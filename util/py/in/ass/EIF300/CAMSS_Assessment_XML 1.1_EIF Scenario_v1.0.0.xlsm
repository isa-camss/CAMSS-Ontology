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EIF\01 XML\Final\"/>
    </mc:Choice>
  </mc:AlternateContent>
  <bookViews>
    <workbookView xWindow="0" yWindow="0" windowWidth="20490" windowHeight="686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<sst xmlns="http://schemas.openxmlformats.org/spreadsheetml/2006/main" count="875" uniqueCount="463">
  <si>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</si>
  <si>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</si>
  <si>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</si>
  <si>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</si>
  <si>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</si>
  <si>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</si>
  <si>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</si>
  <si>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</si>
  <si>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</si>
  <si>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</si>
  <si>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</si>
  <si>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</si>
  <si>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</si>
  <si>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</si>
  <si>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</si>
  <si>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</si>
  <si>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</si>
  <si>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</si>
  <si>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</si>
  <si>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</si>
  <si>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</si>
  <si>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</si>
  <si>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</si>
  <si>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</si>
  <si>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</si>
  <si>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</si>
  <si>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</si>
  <si>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</si>
  <si>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</si>
  <si>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</si>
  <si>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</si>
  <si>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</si>
  <si>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</si>
  <si>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</si>
  <si>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</si>
  <si>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</si>
  <si>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</si>
  <si>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</si>
  <si>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</si>
  <si>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</si>
  <si>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</si>
  <si>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</si>
  <si>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</si>
  <si>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</si>
  <si>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</si>
  <si>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</si>
  <si>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</si>
  <si>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</si>
  <si>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</si>
  <si>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</si>
  <si>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</si>
  <si>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</si>
  <si>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</si>
  <si>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</si>
  <si>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</si>
  <si>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</si>
  <si>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</si>
  <si>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</si>
  <si>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</si>
  <si>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</si>
  <si>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</si>
  <si>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</si>
  <si>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</si>
  <si>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</si>
  <si>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</si>
  <si>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</si>
  <si>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</si>
  <si>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</si>
  <si>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</si>
  <si>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</si>
  <si>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</si>
  <si>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</si>
  <si>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</si>
  <si>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</si>
  <si>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</si>
  <si>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</si>
  <si>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</si>
  <si>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</si>
  <si>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</si>
  <si>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</si>
  <si>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</si>
  <si>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</si>
  <si>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</si>
  <si>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</si>
  <si>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</si>
  <si>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</si>
  <si>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</si>
  <si>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</si>
  <si>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</si>
  <si>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</si>
  <si>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</si>
  <si>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</si>
  <si>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</si>
  <si>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</si>
  <si>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</si>
  <si>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</si>
  <si>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</si>
  <si>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</si>
  <si>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</si>
  <si>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</si>
  <si>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</si>
  <si>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</si>
  <si>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</si>
  <si>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</si>
  <si>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</si>
  <si>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</si>
  <si>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</si>
  <si>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</si>
  <si>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</si>
  <si>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</si>
  <si>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</si>
  <si>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</si>
  <si>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</si>
  <si>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</si>
  <si>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</si>
  <si>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</si>
  <si>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</si>
  <si>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</si>
  <si>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</si>
  <si>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</si>
  <si>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</si>
  <si>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</si>
  <si>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</si>
  <si>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</si>
  <si>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</si>
  <si>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</si>
  <si>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</si>
  <si>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</si>
  <si>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</si>
  <si>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</si>
  <si>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</si>
  <si>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</si>
  <si>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</si>
  <si>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</si>
  <si>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</si>
  <si>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</si>
  <si>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</si>
  <si>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</si>
  <si>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</si>
  <si>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</si>
  <si>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</si>
  <si>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</si>
  <si>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</si>
  <si>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</si>
  <si>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</si>
  <si>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</si>
  <si>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</si>
  <si>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</si>
  <si>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</si>
  <si>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</si>
  <si>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</si>
  <si>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</si>
  <si>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</si>
  <si>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</si>
  <si>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</si>
  <si>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</si>
  <si>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</si>
  <si>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</si>
  <si>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</si>
  <si>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</si>
  <si>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</si>
  <si>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</si>
  <si>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</si>
  <si>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</si>
  <si>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</si>
  <si>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</si>
  <si>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</si>
  <si>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</si>
  <si>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</si>
  <si>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</si>
  <si>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</si>
  <si>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</si>
  <si>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</si>
  <si>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</si>
  <si>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</si>
  <si>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</si>
  <si>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</si>
  <si>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</si>
  <si>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</si>
  <si>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</si>
  <si>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</si>
  <si>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</si>
  <si>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</si>
  <si>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</si>
  <si>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</si>
  <si>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</si>
  <si>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</si>
  <si>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</si>
  <si>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</si>
  <si>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</si>
  <si>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</si>
  <si>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</si>
  <si>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</si>
  <si>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</si>
  <si>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</si>
  <si>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</si>
  <si>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</si>
  <si>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XML, Extensible Markup Language 1.1</t>
  </si>
  <si>
    <t>https://www.w3.org/TR/2006/REC-xml11-20060816/</t>
  </si>
  <si>
    <t>W3C (http://www.w3.org)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</si>
  <si>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</si>
  <si>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</si>
  <si>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</si>
  <si>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</si>
  <si>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</si>
  <si>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</si>
  <si>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</si>
  <si>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</si>
  <si>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</si>
  <si>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</si>
  <si>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</si>
  <si>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</si>
  <si>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</si>
  <si>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 xml:space="preserve">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 </t>
  </si>
  <si>
    <t>A public review is part of the decision-making process.</t>
  </si>
  <si>
    <t xml:space="preserve">W3C has a defined and publicly available Process for the Development and approval process of the specification as a recommended standard, including a public review.
W3C Process document:
https://www.w3.org/2018/Process-20180201/#Policies </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</si>
  <si>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</si>
  <si>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</si>
  <si>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</si>
  <si>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</si>
  <si>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</si>
  <si>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</si>
  <si>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</si>
  <si>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</si>
  <si>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</si>
  <si>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</si>
  <si>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</si>
  <si>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</si>
  <si>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</si>
  <si>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</si>
  <si>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</si>
  <si>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</si>
  <si>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</si>
  <si>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</si>
  <si>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</si>
  <si>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</si>
  <si>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</si>
  <si>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The application of the once-only principle in all EU Member States public administrations aims at reducing the administrative burden. To achieve this, interoperability between public administrations is a sine qua non condition.
XML addresses and facilitates interoperability between public administrations, cross border services and impacts positively the development of eGovernment. This is due to the fact that it has been designed  to store, transport data, and to exchange data through interoperable systems. Moreover, XML defines a set of rules for encoding documents in a human-readable format and machine-readable format enhancing the reusability of data and stimulating the interoperability of systems and services.</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</si>
  <si>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</si>
  <si>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</si>
  <si>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</si>
  <si>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</si>
  <si>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</si>
  <si>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</si>
  <si>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</si>
  <si>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</si>
  <si>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</si>
  <si>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</si>
  <si>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</si>
  <si>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</si>
  <si>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</si>
  <si>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</si>
  <si>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</si>
  <si>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</si>
  <si>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</si>
  <si>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</si>
  <si>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</si>
  <si>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</si>
  <si>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</si>
  <si>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</si>
  <si>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</si>
  <si>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</si>
  <si>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</si>
  <si>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</si>
  <si>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</si>
  <si>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</si>
  <si>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</si>
  <si>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</si>
  <si>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</si>
  <si>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</si>
  <si>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</si>
  <si>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</si>
  <si>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</si>
  <si>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</si>
  <si>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</si>
  <si>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</si>
  <si>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</si>
  <si>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</si>
  <si>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</si>
  <si>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</si>
  <si>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</si>
  <si>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</si>
  <si>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</si>
  <si>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</si>
  <si>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</si>
  <si>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</si>
  <si>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</si>
  <si>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</si>
  <si>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</si>
  <si>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</si>
  <si>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</si>
  <si>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</si>
  <si>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</si>
  <si>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</si>
  <si>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</si>
  <si>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</si>
  <si>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</si>
  <si>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</si>
  <si>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</si>
  <si>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</si>
  <si>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</si>
  <si>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</si>
  <si>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</si>
  <si>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</si>
  <si>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</si>
  <si>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</si>
  <si>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</si>
  <si>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</si>
  <si>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</si>
  <si>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</si>
  <si>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</si>
  <si>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</si>
  <si>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</si>
  <si>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</si>
  <si>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</si>
  <si>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</si>
  <si>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</si>
  <si>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</si>
  <si>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</si>
  <si>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</si>
  <si>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</si>
  <si>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</si>
  <si>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</si>
  <si>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</si>
  <si>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</si>
  <si>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</si>
  <si>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</si>
  <si>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</si>
  <si>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</si>
  <si>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</si>
  <si>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</si>
  <si>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</si>
  <si>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</si>
  <si>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</si>
  <si>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</si>
  <si>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</si>
  <si>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</si>
  <si>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</si>
  <si>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</si>
  <si>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</si>
  <si>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</si>
  <si>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</si>
  <si>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</si>
  <si>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</si>
  <si>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</si>
  <si>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</si>
  <si>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</si>
  <si>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</si>
  <si>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</si>
  <si>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</si>
  <si>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</si>
  <si>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</si>
  <si>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</si>
  <si>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</si>
  <si>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</si>
  <si>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</si>
  <si>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</si>
  <si>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</si>
  <si>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</si>
  <si>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</si>
  <si>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</si>
  <si>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</si>
  <si>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</si>
  <si>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</si>
  <si>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</si>
  <si>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</si>
  <si>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</si>
  <si>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</si>
  <si>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</si>
  <si>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</si>
  <si>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</si>
  <si>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</si>
  <si>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</si>
  <si>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</si>
  <si>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</si>
  <si>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</si>
  <si>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</si>
  <si>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</si>
  <si>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</si>
  <si>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</si>
  <si>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</si>
  <si>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</si>
  <si>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</si>
  <si>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</si>
  <si>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</si>
  <si>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</si>
  <si>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</si>
  <si>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</si>
  <si>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</si>
  <si>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</si>
  <si>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</si>
  <si>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</si>
  <si>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</si>
  <si>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</si>
  <si>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</si>
  <si>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</si>
  <si>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</si>
  <si>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</si>
  <si>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</si>
  <si>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</si>
  <si>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</si>
  <si>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</si>
  <si>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</si>
  <si>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</si>
  <si>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</si>
  <si>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</si>
  <si>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</si>
  <si>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</si>
  <si>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</si>
  <si>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</si>
  <si>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</si>
  <si>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</si>
  <si>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</si>
  <si>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</si>
  <si>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</si>
  <si>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</si>
  <si>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</si>
  <si>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</si>
  <si>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</si>
  <si>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</si>
  <si>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</si>
  <si>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</si>
  <si>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</si>
  <si>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</si>
  <si>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</si>
  <si>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</si>
  <si>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XML is publicly available for implementation and study for free on W3C's webpage. 
See:
https://www.w3.org/TR/2006/REC-xml11-20060816/</t>
  </si>
  <si>
    <t>The specification is a widely used de-facto standard. Thus, it is sufficiently mature for the development of products and services. Since it's recommendation by W3c in 1996, XML has been used by many products and services.
See:
https://www.w3.org/TR/2006/REC-xml11-20060816/</t>
  </si>
  <si>
    <t>XML is a markup language that was  designed to store and transport data, and defines a set of rules for encoding documents in a human-readable format and machine-readable format. XML is appropriate to areas of applications like IoT requiring lightweight payloads of data and is applicable  to any business domain.
However, it is worth noting that  XML has some limitations with heavier amounts of data due to the time consuming process for parsing and validating of data expressed in XML.</t>
  </si>
  <si>
    <t>XML is used by XML Gate, the EU DG SANCO single entry point for Member States submissions of structured data in XML format via web services. 
See:
https://webgate.ec.europa.eu/sanco-xmlgate/Login.jsp</t>
  </si>
  <si>
    <t>The purpose of XML is not related to organisational interoperability. Therefore, this criterion is not applicable to the specification.</t>
  </si>
  <si>
    <t>XML is a business domain agnostic specification.</t>
  </si>
  <si>
    <t>XML 1.1 is publicly available for implementation and use for free on W3C's webpage. Therefore it can be reused by the organisations, administrations, open communities, etc. that developed it.
See:
https://www.w3.org/TR/2006/REC-xml11-20060816/</t>
  </si>
  <si>
    <t>W3C provides a Markup Validation Service for free to validate XML 1.1  implementations.
See:
https://validator.w3.org/</t>
  </si>
  <si>
    <t>XML 1.1 is publicly available for implementation and use for free on W3C's webpage.
See:
https://www.w3.org/TR/2006/REC-xml11-20060816/</t>
  </si>
  <si>
    <t xml:space="preserve">The W3C Royalty-Free IPR licenses granted under the W3C Patent Policy apply to all W3C specifications, including XML 1.1.
See:
https://www.w3.org/TR/patent-practice#ref-AC </t>
  </si>
  <si>
    <t xml:space="preserve">According to the 5 star Open Data model suggested by Tim Berners-Lee about how to publish linked data, the second star corresponds to make data available as structured data, an area of application of XML. 
Additionally, RDF is a W3C specification that defines XML syntax for RDF, the de facto standard for publishing Linked Open Data. 
See:
https://5stardata.info/en/
https://www.w3.org/TR/rdf-syntax-grammar/ </t>
  </si>
  <si>
    <t>According to the 5 star Open Data model suggested by Tim Berners-Lee about how to publish linked data, the second star corresponds to make data available as structured data, an area of application of XML. 
Additionally, RDF is a W3C specification that defines XML syntax for RDF, the de facto standard for publishing Open Data. 
See:
https://5stardata.info/en/
https://www.w3.org/TR/rdf-syntax-grammar/</t>
  </si>
  <si>
    <t xml:space="preserve">XML is included in several national catalogues from EU Member States. A total of 14 countries listed the XML within their national catalogues (e.g. Belgium, France, Germany, etc.).
See:
https://www.belgif.be/nl/specifications 
http://references.modernisation.gouv.fr/sites/default/files/Referentiel_General_Interoperabilite_V2.pdf 
http://www.cio.bund.de/SharedDocs/Publikationen/DE/Architekturen-und-Standards/SAGA/saga_modul_tech_spez_de_bund_5_0_download.pdf?__blob=publicationFile </t>
  </si>
  <si>
    <t xml:space="preserve">XML is included in several national catalogues from Member States. A total of 14 countries listed the XML within their national catalogues (e.g. Belgium, France, Germany, etc.).
See CAMSS List of Standards:
https://joinup.ec.europa.eu/collection/common-assessment-method-standards-and-specifications-camss/camss-list-standards </t>
  </si>
  <si>
    <t>The purpose of XML is not related  to the modelling of business processes. Therefore, this criterion is not applicable to the specification.</t>
  </si>
  <si>
    <t>XML is used to encode all communications between web services. Therefore, it fosters the visibility and comprehensibility of public administrations data and services. 
See:
https://esentool.ted.europa.eu/</t>
  </si>
  <si>
    <t xml:space="preserve">XML is used to encode all communications to web services. Therefore, it fosters the availability of public administrations interfaces.
Additionally, the benefit of using XML is that web services are not tied to any one operating system or programming.
See:
https://esentool.ted.europa.eu/ 
</t>
  </si>
  <si>
    <t>The purpose of XML is to store, transport and  exchange data through interoperable systems. Additionally, the specification provides the means to validate XML documents using XML schemas.</t>
  </si>
  <si>
    <t>The purpose of XML is not related to the  delivery of multilingual public services. Therefore, this criterion is not applicable to the specification.</t>
  </si>
  <si>
    <t xml:space="preserve">XML is already associated to an EIRA ABB in the European Library Of Specifications (ELIS). More specifically, XML can define the interoperability aspects of the "Machine to Machine Interface" and "Representation" ABBs from the EIRA Semantic and Technical views.
See:
https://joinup.ec.europa.eu/solution/elis/distribution/eliscataloguev100betaxlsx </t>
  </si>
  <si>
    <t>CAMSS Team</t>
  </si>
  <si>
    <t>CAMSS@everis.com</t>
  </si>
  <si>
    <t>everis</t>
  </si>
  <si>
    <t>10/31/2019</t>
  </si>
  <si>
    <t>The purpose of XML is to store, transport and  exchange data through interoperable systems. Moreover, XML defines a set of rules for encoding documents in a human-readable format and machine-readable format enhancing the reusability of data and stimulating the interoperability of systems and services.  
Additionally, W3C develops its specification independently from any vendor. Thus, the adoption of XML does not hamper the data portability of data expressed with it. In fact, the adoption of XML fosters data portability, especially between REST APIs.
See:
https://www.w3.org/TR/2006/REC-xml11-20060816/</t>
  </si>
  <si>
    <t>There is no existing study or documentation assessing the specification in terms of effectiveness and efficiency to justify the criterion.</t>
  </si>
  <si>
    <t>The purpose of XML is not related to e-accessibility. Therefore, this criterion is not applicable to the specification.</t>
  </si>
  <si>
    <t>The purpose of XML is not related  to the long-term preservation of electronic records and other kinds of information. Therefore, this criterion is not applicable to the specification.</t>
  </si>
  <si>
    <t xml:space="preserve">The purpose of the specification is to facilitate the exchange of structured data. By allowing to make the data available to other persons or organisations, XML reduces the administrative burden. </t>
  </si>
  <si>
    <t>XML is a de-fact standard markup language that is used in a wide variety of solutions, including innovative solutions.</t>
  </si>
  <si>
    <t>XML is maintained by W3C which is an international community developing open standards. 
See:
https://www.w3.org/Consortium/</t>
  </si>
  <si>
    <t xml:space="preserve">XML can be used independently from any other technical specifications or operating system.
See:
https://www.w3.org/TR/2006/REC-xml11-20060816/ </t>
  </si>
  <si>
    <t xml:space="preserve">XML defines an abstract data model called "the XML Tree" that is used to structure XML documents. It is therefore reused when using XML for exchanging data across sectors.
See:
https://www.w3schools.com/xml/xml_tree.asp </t>
  </si>
  <si>
    <t>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XML has been identified by Commission Implementing Decision.
See:
https://ec.europa.eu/growth/industry/policy/ict-standardisation/ict-technical-specifications_en</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</si>
  <si>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XML has been identified by Commission Implementing Decision and included in the European list of ICT Standards for e-procurement.
See: 
https://ec.europa.eu/growth/industry/policy/ict-standardisation/ict-technical-specifications_en </t>
  </si>
  <si>
    <t>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XML has been identified by Commission Implementing Decision. During the evaluation process, all the Member States are invited to share their doubts. The positive evaluation of XML and its identification is considered an interoperability agreement.
See:
https://ec.europa.eu/growth/industry/policy/ict-standardisation/ict-technical-specifications_en</t>
  </si>
  <si>
    <t>XML is included in 5 national catalogues. They belong to Member States which comply with at least 4 out of 5 sections of the EIF according to the NIFO factsheets. 
See:
https://joinup.ec.europa.eu/collection/common-assessment-method-standards-and-specifications-camss/camss-list-standards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</si>
</sst>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32" fillId="2" borderId="2" xfId="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97"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93" fillId="2" borderId="2" xfId="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2032552"/>
        <c:axId val="352033336"/>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2032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352033336"/>
        <c:crosses val="autoZero"/>
        <c:auto val="1"/>
        <c:lblAlgn val="ctr"/>
        <c:lblOffset val="100"/>
        <c:tickMarkSkip val="1"/>
        <c:noMultiLvlLbl val="1"/>
      </c:catAx>
      <c:valAx>
        <c:axId val="352033336"/>
        <c:scaling>
          <c:orientation val="minMax"/>
          <c:max val="1"/>
          <c:min val="0"/>
        </c:scaling>
        <c:delete val="1"/>
        <c:axPos val="l"/>
        <c:numFmt formatCode="0%" sourceLinked="0"/>
        <c:majorTickMark val="none"/>
        <c:minorTickMark val="none"/>
        <c:tickLblPos val="nextTo"/>
        <c:crossAx val="35203255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2033728"/>
        <c:axId val="35203020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203372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52030200"/>
        <c:crosses val="autoZero"/>
        <c:auto val="1"/>
        <c:lblAlgn val="ctr"/>
        <c:lblOffset val="100"/>
        <c:noMultiLvlLbl val="0"/>
      </c:catAx>
      <c:valAx>
        <c:axId val="35203020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203372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2031376"/>
        <c:axId val="157359248"/>
        <c:extLst xmlns:c16r2="http://schemas.microsoft.com/office/drawing/2015/06/chart"/>
      </c:radarChart>
      <c:catAx>
        <c:axId val="3520313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57359248"/>
        <c:crosses val="autoZero"/>
        <c:auto val="1"/>
        <c:lblAlgn val="ctr"/>
        <c:lblOffset val="100"/>
        <c:noMultiLvlLbl val="0"/>
      </c:catAx>
      <c:valAx>
        <c:axId val="15735924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20313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s://www.w3.org/TR/2006/REC-xml11-20060816/"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40"/>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1"/>
      <c r="B7" s="541"/>
      <c r="C7" s="541"/>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3" t="s">
        <v>1</v>
      </c>
      <c r="B12" s="543"/>
      <c r="C12" s="543"/>
      <c r="D12" s="543"/>
      <c r="E12" s="543"/>
      <c r="F12" s="543"/>
      <c r="G12" s="543"/>
      <c r="H12" s="543"/>
      <c r="I12" s="543"/>
      <c r="J12" s="543"/>
      <c r="K12" s="543"/>
      <c r="L12" s="544"/>
      <c r="M12" s="318"/>
    </row>
    <row r="13" spans="1:13" ht="17.25" customHeight="1" x14ac:dyDescent="0.45">
      <c r="A13" s="545" t="s">
        <v>2</v>
      </c>
      <c r="B13" s="545"/>
      <c r="C13" s="545"/>
      <c r="D13" s="545"/>
      <c r="E13" s="545"/>
      <c r="F13" s="545"/>
      <c r="G13" s="545"/>
      <c r="H13" s="545"/>
      <c r="I13" s="545"/>
      <c r="J13" s="545"/>
      <c r="K13" s="545"/>
      <c r="L13" s="546"/>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66" t="s">
        <v>3</v>
      </c>
      <c r="F15" s="566"/>
      <c r="G15" s="566"/>
      <c r="H15" s="566"/>
      <c r="I15" s="566"/>
      <c r="J15" s="323"/>
      <c r="K15" s="323"/>
      <c r="L15" s="324"/>
      <c r="M15" s="318"/>
    </row>
    <row r="16" spans="1:13" ht="16.5" customHeight="1" x14ac:dyDescent="0.45">
      <c r="A16" s="325"/>
      <c r="B16" s="325"/>
      <c r="C16" s="325"/>
      <c r="D16" s="325"/>
      <c r="E16" s="573" t="s">
        <v>4</v>
      </c>
      <c r="F16" s="573"/>
      <c r="G16" s="573"/>
      <c r="H16" s="573"/>
      <c r="I16" s="458"/>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7" t="s">
        <v>5</v>
      </c>
      <c r="F19" s="547"/>
      <c r="G19" s="547"/>
      <c r="H19" s="547"/>
      <c r="I19" s="172"/>
      <c r="J19" s="172"/>
      <c r="K19" s="172"/>
      <c r="L19" s="330"/>
      <c r="M19" s="318"/>
    </row>
    <row r="20" spans="1:13" ht="22.5" customHeight="1" x14ac:dyDescent="0.45">
      <c r="A20" s="174"/>
      <c r="B20" s="172"/>
      <c r="C20" s="174"/>
      <c r="D20" s="174"/>
      <c r="E20" s="729" t="s">
        <v>6</v>
      </c>
      <c r="F20" s="730"/>
      <c r="G20" s="730"/>
      <c r="H20" s="731"/>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67" t="s">
        <v>7</v>
      </c>
      <c r="C23" s="568"/>
      <c r="D23" s="568"/>
      <c r="E23" s="568"/>
      <c r="F23" s="568"/>
      <c r="G23" s="568"/>
      <c r="H23" s="568"/>
      <c r="I23" s="568"/>
      <c r="J23" s="568"/>
      <c r="K23" s="569"/>
      <c r="L23" s="173"/>
      <c r="M23" s="318"/>
    </row>
    <row r="24" spans="1:13" ht="26.25" hidden="1" customHeight="1" x14ac:dyDescent="0.45">
      <c r="A24" s="174"/>
      <c r="B24" s="570"/>
      <c r="C24" s="571"/>
      <c r="D24" s="571"/>
      <c r="E24" s="571"/>
      <c r="F24" s="571"/>
      <c r="G24" s="571"/>
      <c r="H24" s="571"/>
      <c r="I24" s="571"/>
      <c r="J24" s="571"/>
      <c r="K24" s="572"/>
      <c r="L24" s="173"/>
      <c r="M24" s="318"/>
    </row>
    <row r="25" spans="1:13" ht="24.5" hidden="1" x14ac:dyDescent="0.45">
      <c r="A25" s="174"/>
      <c r="B25" s="175"/>
      <c r="C25" s="176"/>
      <c r="D25" s="176"/>
      <c r="E25" s="176"/>
      <c r="F25" s="176"/>
      <c r="G25" s="176"/>
      <c r="H25" s="176"/>
      <c r="I25" s="176"/>
      <c r="J25" s="176"/>
      <c r="K25" s="177"/>
      <c r="L25" s="173"/>
      <c r="M25" s="318"/>
    </row>
    <row r="26" spans="1:13" ht="16.5" hidden="1" customHeight="1" x14ac:dyDescent="0.45">
      <c r="A26" s="174"/>
      <c r="B26" s="557" t="s">
        <v>8</v>
      </c>
      <c r="C26" s="558"/>
      <c r="D26" s="558"/>
      <c r="E26" s="558"/>
      <c r="F26" s="558"/>
      <c r="G26" s="558"/>
      <c r="H26" s="558"/>
      <c r="I26" s="558"/>
      <c r="J26" s="558"/>
      <c r="K26" s="559"/>
      <c r="L26" s="173"/>
      <c r="M26" s="318"/>
    </row>
    <row r="27" spans="1:13" ht="12.75" hidden="1" customHeight="1" x14ac:dyDescent="0.45">
      <c r="A27" s="174"/>
      <c r="B27" s="560"/>
      <c r="C27" s="561"/>
      <c r="D27" s="561"/>
      <c r="E27" s="561"/>
      <c r="F27" s="561"/>
      <c r="G27" s="561"/>
      <c r="H27" s="561"/>
      <c r="I27" s="561"/>
      <c r="J27" s="561"/>
      <c r="K27" s="562"/>
      <c r="L27" s="173"/>
      <c r="M27" s="318"/>
    </row>
    <row r="28" spans="1:13" ht="24.5" hidden="1" x14ac:dyDescent="0.45">
      <c r="A28" s="174"/>
      <c r="B28" s="563"/>
      <c r="C28" s="564"/>
      <c r="D28" s="564"/>
      <c r="E28" s="564"/>
      <c r="F28" s="564"/>
      <c r="G28" s="564"/>
      <c r="H28" s="564"/>
      <c r="I28" s="564"/>
      <c r="J28" s="564"/>
      <c r="K28" s="565"/>
      <c r="L28" s="173"/>
      <c r="M28" s="318"/>
    </row>
    <row r="29" spans="1:13" ht="24.5" hidden="1" x14ac:dyDescent="0.45">
      <c r="A29" s="174"/>
      <c r="B29" s="175"/>
      <c r="C29" s="176"/>
      <c r="D29" s="176"/>
      <c r="E29" s="176"/>
      <c r="F29" s="176"/>
      <c r="G29" s="176"/>
      <c r="H29" s="176"/>
      <c r="I29" s="176"/>
      <c r="J29" s="176"/>
      <c r="K29" s="177"/>
      <c r="L29" s="173"/>
      <c r="M29" s="318"/>
    </row>
    <row r="30" spans="1:13" s="488" customFormat="1" ht="16.5" customHeight="1" x14ac:dyDescent="0.45">
      <c r="A30" s="485"/>
      <c r="B30" s="557" t="s">
        <v>9</v>
      </c>
      <c r="C30" s="558"/>
      <c r="D30" s="558"/>
      <c r="E30" s="558"/>
      <c r="F30" s="558"/>
      <c r="G30" s="558"/>
      <c r="H30" s="558"/>
      <c r="I30" s="558"/>
      <c r="J30" s="558"/>
      <c r="K30" s="559"/>
      <c r="L30" s="486"/>
      <c r="M30" s="487"/>
    </row>
    <row r="31" spans="1:13" s="488" customFormat="1" ht="24.5" x14ac:dyDescent="0.45">
      <c r="A31" s="485"/>
      <c r="B31" s="560"/>
      <c r="C31" s="561"/>
      <c r="D31" s="561"/>
      <c r="E31" s="561"/>
      <c r="F31" s="561"/>
      <c r="G31" s="561"/>
      <c r="H31" s="561"/>
      <c r="I31" s="561"/>
      <c r="J31" s="561"/>
      <c r="K31" s="562"/>
      <c r="L31" s="486"/>
      <c r="M31" s="487"/>
    </row>
    <row r="32" spans="1:13" s="488" customFormat="1" ht="31.5" customHeight="1" x14ac:dyDescent="0.45">
      <c r="A32" s="485"/>
      <c r="B32" s="560"/>
      <c r="C32" s="561"/>
      <c r="D32" s="561"/>
      <c r="E32" s="561"/>
      <c r="F32" s="561"/>
      <c r="G32" s="561"/>
      <c r="H32" s="561"/>
      <c r="I32" s="561"/>
      <c r="J32" s="561"/>
      <c r="K32" s="562"/>
      <c r="L32" s="486"/>
      <c r="M32" s="487"/>
    </row>
    <row r="33" spans="1:13" s="488" customFormat="1" ht="18.75" customHeight="1" x14ac:dyDescent="0.45">
      <c r="A33" s="485"/>
      <c r="B33" s="563"/>
      <c r="C33" s="564"/>
      <c r="D33" s="564"/>
      <c r="E33" s="564"/>
      <c r="F33" s="564"/>
      <c r="G33" s="564"/>
      <c r="H33" s="564"/>
      <c r="I33" s="564"/>
      <c r="J33" s="564"/>
      <c r="K33" s="565"/>
      <c r="L33" s="486"/>
      <c r="M33" s="487"/>
    </row>
    <row r="34" spans="1:13" s="488" customFormat="1" ht="14.25" hidden="1" customHeight="1" x14ac:dyDescent="0.45">
      <c r="A34" s="485"/>
      <c r="B34" s="489"/>
      <c r="C34" s="489"/>
      <c r="D34" s="489"/>
      <c r="E34" s="489"/>
      <c r="F34" s="489"/>
      <c r="G34" s="489"/>
      <c r="H34" s="489"/>
      <c r="I34" s="489"/>
      <c r="J34" s="489"/>
      <c r="K34" s="489"/>
      <c r="L34" s="486"/>
      <c r="M34" s="487"/>
    </row>
    <row r="35" spans="1:13" s="488" customFormat="1" ht="24.5" hidden="1" x14ac:dyDescent="0.45">
      <c r="A35" s="485"/>
      <c r="B35" s="489"/>
      <c r="C35" s="489"/>
      <c r="D35" s="489"/>
      <c r="E35" s="489"/>
      <c r="F35" s="489"/>
      <c r="G35" s="489"/>
      <c r="H35" s="489"/>
      <c r="I35" s="489"/>
      <c r="J35" s="489"/>
      <c r="K35" s="489"/>
      <c r="L35" s="486"/>
      <c r="M35" s="487"/>
    </row>
    <row r="36" spans="1:13" s="488" customFormat="1" ht="24.5" hidden="1" x14ac:dyDescent="0.45">
      <c r="A36" s="485"/>
      <c r="B36" s="489"/>
      <c r="C36" s="489"/>
      <c r="D36" s="489"/>
      <c r="E36" s="489"/>
      <c r="F36" s="489"/>
      <c r="G36" s="489"/>
      <c r="H36" s="489"/>
      <c r="I36" s="489"/>
      <c r="J36" s="489"/>
      <c r="K36" s="489"/>
      <c r="L36" s="486"/>
      <c r="M36" s="487"/>
    </row>
    <row r="37" spans="1:13" s="488" customFormat="1" ht="16.5" hidden="1" customHeight="1" x14ac:dyDescent="0.45">
      <c r="A37" s="485"/>
      <c r="B37" s="548" t="s">
        <v>10</v>
      </c>
      <c r="C37" s="549"/>
      <c r="D37" s="549"/>
      <c r="E37" s="549"/>
      <c r="F37" s="549"/>
      <c r="G37" s="549"/>
      <c r="H37" s="549"/>
      <c r="I37" s="549"/>
      <c r="J37" s="549"/>
      <c r="K37" s="550"/>
      <c r="L37" s="486"/>
      <c r="M37" s="487"/>
    </row>
    <row r="38" spans="1:13" s="488" customFormat="1" ht="24.5" hidden="1" x14ac:dyDescent="0.45">
      <c r="A38" s="485"/>
      <c r="B38" s="551"/>
      <c r="C38" s="552"/>
      <c r="D38" s="552"/>
      <c r="E38" s="552"/>
      <c r="F38" s="552"/>
      <c r="G38" s="552"/>
      <c r="H38" s="552"/>
      <c r="I38" s="552"/>
      <c r="J38" s="552"/>
      <c r="K38" s="553"/>
      <c r="L38" s="486"/>
      <c r="M38" s="487"/>
    </row>
    <row r="39" spans="1:13" s="488" customFormat="1" ht="24.5" hidden="1" x14ac:dyDescent="0.45">
      <c r="A39" s="485"/>
      <c r="B39" s="551"/>
      <c r="C39" s="552"/>
      <c r="D39" s="552"/>
      <c r="E39" s="552"/>
      <c r="F39" s="552"/>
      <c r="G39" s="552"/>
      <c r="H39" s="552"/>
      <c r="I39" s="552"/>
      <c r="J39" s="552"/>
      <c r="K39" s="553"/>
      <c r="L39" s="486"/>
      <c r="M39" s="487"/>
    </row>
    <row r="40" spans="1:13" s="488" customFormat="1" ht="24.5" hidden="1" x14ac:dyDescent="0.45">
      <c r="A40" s="485"/>
      <c r="B40" s="554"/>
      <c r="C40" s="555"/>
      <c r="D40" s="555"/>
      <c r="E40" s="555"/>
      <c r="F40" s="555"/>
      <c r="G40" s="555"/>
      <c r="H40" s="555"/>
      <c r="I40" s="555"/>
      <c r="J40" s="555"/>
      <c r="K40" s="556"/>
      <c r="L40" s="486"/>
      <c r="M40" s="487"/>
    </row>
    <row r="41" spans="1:13" s="488" customFormat="1" ht="24.5" x14ac:dyDescent="0.45">
      <c r="A41" s="490"/>
      <c r="B41" s="491"/>
      <c r="C41" s="492"/>
      <c r="D41" s="492"/>
      <c r="E41" s="492"/>
      <c r="F41" s="492"/>
      <c r="G41" s="492"/>
      <c r="H41" s="492"/>
      <c r="I41" s="492"/>
      <c r="J41" s="492"/>
      <c r="K41" s="493"/>
      <c r="L41" s="494"/>
      <c r="M41" s="487"/>
    </row>
    <row r="42" spans="1:13" ht="21" customHeight="1" x14ac:dyDescent="0.45">
      <c r="A42" s="333"/>
      <c r="B42" s="542" t="s">
        <v>11</v>
      </c>
      <c r="C42" s="542"/>
      <c r="D42" s="542"/>
      <c r="E42" s="542"/>
      <c r="F42" s="542"/>
      <c r="G42" s="542"/>
      <c r="H42" s="542"/>
      <c r="I42" s="542"/>
      <c r="J42" s="334"/>
      <c r="K42" s="334"/>
      <c r="L42" s="335"/>
      <c r="M42" s="318"/>
    </row>
    <row r="43" spans="1:13" hidden="1" x14ac:dyDescent="0.35"/>
    <row r="44" spans="1:13" hidden="1" x14ac:dyDescent="0.35"/>
    <row r="45" spans="1:13" hidden="1" x14ac:dyDescent="0.35">
      <c r="E45" s="314" t="s">
        <v>12</v>
      </c>
    </row>
    <row r="46" spans="1:13" hidden="1" x14ac:dyDescent="0.35">
      <c r="E46" s="314" t="s">
        <v>13</v>
      </c>
    </row>
    <row r="47" spans="1:13" hidden="1" x14ac:dyDescent="0.35">
      <c r="E47" s="314" t="s">
        <v>6</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59"/>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74" t="s">
        <v>14</v>
      </c>
      <c r="B3" s="575" t="s">
        <v>15</v>
      </c>
      <c r="C3" s="575" t="s">
        <v>15</v>
      </c>
      <c r="D3" s="575" t="s">
        <v>15</v>
      </c>
      <c r="E3" s="575" t="s">
        <v>15</v>
      </c>
      <c r="F3" s="575" t="s">
        <v>15</v>
      </c>
      <c r="G3" s="575" t="s">
        <v>15</v>
      </c>
      <c r="H3" s="575" t="s">
        <v>15</v>
      </c>
      <c r="I3" s="575" t="s">
        <v>15</v>
      </c>
      <c r="J3" s="575" t="s">
        <v>15</v>
      </c>
      <c r="K3" s="575" t="s">
        <v>15</v>
      </c>
      <c r="L3" s="575" t="s">
        <v>15</v>
      </c>
      <c r="M3" s="575" t="s">
        <v>15</v>
      </c>
      <c r="N3" s="575"/>
      <c r="O3" s="575"/>
      <c r="P3" s="575"/>
      <c r="Q3" s="575"/>
      <c r="R3" s="575"/>
    </row>
    <row r="4" spans="1:18" ht="8.25" customHeight="1" x14ac:dyDescent="0.35">
      <c r="A4" s="68"/>
      <c r="B4" s="69"/>
      <c r="C4" s="69"/>
      <c r="D4" s="69"/>
      <c r="E4" s="526"/>
      <c r="F4" s="68"/>
      <c r="G4" s="134"/>
      <c r="H4" s="68"/>
      <c r="I4" s="68"/>
      <c r="J4" s="68"/>
      <c r="K4" s="68"/>
      <c r="L4" s="68"/>
      <c r="M4" s="68"/>
      <c r="N4" s="68"/>
      <c r="O4" s="69"/>
      <c r="P4" s="69"/>
      <c r="Q4" s="69"/>
      <c r="R4" s="69"/>
    </row>
    <row r="5" spans="1:18" x14ac:dyDescent="0.35">
      <c r="A5" s="69"/>
      <c r="B5" s="73"/>
      <c r="C5" s="73"/>
      <c r="D5" s="479"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76" t="s">
        <v>18</v>
      </c>
      <c r="E7" s="577"/>
      <c r="F7" s="578"/>
      <c r="G7" s="75"/>
      <c r="H7" s="579"/>
      <c r="I7" s="580"/>
      <c r="J7" s="580"/>
      <c r="K7" s="580"/>
      <c r="L7" s="580"/>
      <c r="M7" s="580"/>
      <c r="N7" s="580"/>
      <c r="O7" s="580"/>
      <c r="P7" s="580"/>
      <c r="Q7" s="581"/>
      <c r="R7" s="69"/>
    </row>
    <row r="8" spans="1:18" x14ac:dyDescent="0.35">
      <c r="A8" s="74"/>
      <c r="B8" s="74"/>
      <c r="C8" s="83"/>
      <c r="D8" s="76"/>
      <c r="E8" s="77"/>
      <c r="F8" s="75"/>
      <c r="G8" s="75"/>
      <c r="H8" s="443"/>
      <c r="I8" s="443"/>
      <c r="J8" s="443"/>
      <c r="K8" s="443"/>
      <c r="L8" s="443"/>
      <c r="M8" s="443"/>
      <c r="N8" s="443"/>
      <c r="O8" s="444"/>
      <c r="P8" s="444"/>
      <c r="Q8" s="444"/>
      <c r="R8" s="69"/>
    </row>
    <row r="9" spans="1:18" x14ac:dyDescent="0.35">
      <c r="A9" s="74"/>
      <c r="B9" s="74"/>
      <c r="C9" s="83" t="s">
        <v>19</v>
      </c>
      <c r="D9" s="576" t="s">
        <v>20</v>
      </c>
      <c r="E9" s="577"/>
      <c r="F9" s="578"/>
      <c r="G9" s="75"/>
      <c r="H9" s="579"/>
      <c r="I9" s="580"/>
      <c r="J9" s="580"/>
      <c r="K9" s="580"/>
      <c r="L9" s="580"/>
      <c r="M9" s="580"/>
      <c r="N9" s="580"/>
      <c r="O9" s="580"/>
      <c r="P9" s="580"/>
      <c r="Q9" s="581"/>
      <c r="R9" s="69"/>
    </row>
    <row r="10" spans="1:18" x14ac:dyDescent="0.35">
      <c r="A10" s="74"/>
      <c r="B10" s="74"/>
      <c r="C10" s="83"/>
      <c r="D10" s="76"/>
      <c r="E10" s="77"/>
      <c r="F10" s="75"/>
      <c r="G10" s="75"/>
      <c r="H10" s="443"/>
      <c r="I10" s="443"/>
      <c r="J10" s="443"/>
      <c r="K10" s="443"/>
      <c r="L10" s="443"/>
      <c r="M10" s="443"/>
      <c r="N10" s="443"/>
      <c r="O10" s="443"/>
      <c r="P10" s="443"/>
      <c r="Q10" s="443"/>
      <c r="R10" s="69"/>
    </row>
    <row r="11" spans="1:18" x14ac:dyDescent="0.35">
      <c r="A11" s="74"/>
      <c r="B11" s="74"/>
      <c r="C11" s="83" t="s">
        <v>21</v>
      </c>
      <c r="D11" s="576" t="s">
        <v>22</v>
      </c>
      <c r="E11" s="577"/>
      <c r="F11" s="578"/>
      <c r="G11" s="75"/>
      <c r="H11" s="579"/>
      <c r="I11" s="580"/>
      <c r="J11" s="580"/>
      <c r="K11" s="580"/>
      <c r="L11" s="580"/>
      <c r="M11" s="580"/>
      <c r="N11" s="580"/>
      <c r="O11" s="580"/>
      <c r="P11" s="580"/>
      <c r="Q11" s="581"/>
      <c r="R11" s="69"/>
    </row>
    <row r="12" spans="1:18" x14ac:dyDescent="0.35">
      <c r="A12" s="74"/>
      <c r="B12" s="74"/>
      <c r="C12" s="83"/>
      <c r="D12" s="76"/>
      <c r="E12" s="77"/>
      <c r="F12" s="75"/>
      <c r="G12" s="75"/>
      <c r="H12" s="443"/>
      <c r="I12" s="443"/>
      <c r="J12" s="443"/>
      <c r="K12" s="443"/>
      <c r="L12" s="443"/>
      <c r="M12" s="443"/>
      <c r="N12" s="443"/>
      <c r="O12" s="443"/>
      <c r="P12" s="443"/>
      <c r="Q12" s="443"/>
      <c r="R12" s="69"/>
    </row>
    <row r="13" spans="1:18" x14ac:dyDescent="0.35">
      <c r="A13" s="74"/>
      <c r="B13" s="74"/>
      <c r="C13" s="83" t="s">
        <v>23</v>
      </c>
      <c r="D13" s="576" t="s">
        <v>24</v>
      </c>
      <c r="E13" s="577"/>
      <c r="F13" s="578"/>
      <c r="G13" s="75"/>
      <c r="H13" s="579"/>
      <c r="I13" s="580"/>
      <c r="J13" s="580"/>
      <c r="K13" s="580"/>
      <c r="L13" s="580"/>
      <c r="M13" s="580"/>
      <c r="N13" s="580"/>
      <c r="O13" s="580"/>
      <c r="P13" s="580"/>
      <c r="Q13" s="581"/>
      <c r="R13" s="69"/>
    </row>
    <row r="14" spans="1:18" x14ac:dyDescent="0.35">
      <c r="A14" s="74"/>
      <c r="B14" s="74"/>
      <c r="C14" s="83"/>
      <c r="D14" s="76"/>
      <c r="E14" s="77"/>
      <c r="F14" s="75"/>
      <c r="G14" s="75"/>
      <c r="H14" s="443"/>
      <c r="I14" s="443"/>
      <c r="J14" s="443"/>
      <c r="K14" s="443"/>
      <c r="L14" s="443"/>
      <c r="M14" s="443"/>
      <c r="N14" s="443"/>
      <c r="O14" s="443"/>
      <c r="P14" s="443"/>
      <c r="Q14" s="443"/>
      <c r="R14" s="69"/>
    </row>
    <row r="15" spans="1:18" x14ac:dyDescent="0.35">
      <c r="A15" s="74"/>
      <c r="B15" s="74"/>
      <c r="C15" s="83" t="s">
        <v>25</v>
      </c>
      <c r="D15" s="576" t="s">
        <v>26</v>
      </c>
      <c r="E15" s="577"/>
      <c r="F15" s="578"/>
      <c r="G15" s="75"/>
      <c r="H15" s="579"/>
      <c r="I15" s="580"/>
      <c r="J15" s="580"/>
      <c r="K15" s="580"/>
      <c r="L15" s="580"/>
      <c r="M15" s="580"/>
      <c r="N15" s="580"/>
      <c r="O15" s="580"/>
      <c r="P15" s="580"/>
      <c r="Q15" s="581"/>
      <c r="R15" s="69"/>
    </row>
    <row r="16" spans="1:18" x14ac:dyDescent="0.35">
      <c r="A16" s="74"/>
      <c r="B16" s="74"/>
      <c r="C16" s="83"/>
      <c r="D16" s="76"/>
      <c r="E16" s="77"/>
      <c r="F16" s="75"/>
      <c r="G16" s="75"/>
      <c r="H16" s="443"/>
      <c r="I16" s="443"/>
      <c r="J16" s="443"/>
      <c r="K16" s="443"/>
      <c r="L16" s="443"/>
      <c r="M16" s="443"/>
      <c r="N16" s="443"/>
      <c r="O16" s="443"/>
      <c r="P16" s="443"/>
      <c r="Q16" s="443"/>
      <c r="R16" s="69"/>
    </row>
    <row r="17" spans="1:20" x14ac:dyDescent="0.35">
      <c r="A17" s="74"/>
      <c r="B17" s="74"/>
      <c r="C17" s="83" t="s">
        <v>27</v>
      </c>
      <c r="D17" s="576" t="s">
        <v>28</v>
      </c>
      <c r="E17" s="577"/>
      <c r="F17" s="578"/>
      <c r="G17" s="75"/>
      <c r="H17" s="579"/>
      <c r="I17" s="580"/>
      <c r="J17" s="580"/>
      <c r="K17" s="580"/>
      <c r="L17" s="580"/>
      <c r="M17" s="580"/>
      <c r="N17" s="580"/>
      <c r="O17" s="580"/>
      <c r="P17" s="580"/>
      <c r="Q17" s="581"/>
      <c r="R17" s="69"/>
    </row>
    <row r="18" spans="1:20" x14ac:dyDescent="0.35">
      <c r="A18" s="74"/>
      <c r="B18" s="74"/>
      <c r="C18" s="74"/>
      <c r="D18" s="75"/>
      <c r="E18" s="79"/>
      <c r="F18" s="75"/>
      <c r="G18" s="75"/>
      <c r="H18" s="443"/>
      <c r="I18" s="443"/>
      <c r="J18" s="443"/>
      <c r="K18" s="443"/>
      <c r="L18" s="443"/>
      <c r="M18" s="443"/>
      <c r="N18" s="443"/>
      <c r="O18" s="443"/>
      <c r="P18" s="443"/>
      <c r="Q18" s="443"/>
      <c r="R18" s="68"/>
    </row>
    <row r="19" spans="1:20" x14ac:dyDescent="0.35">
      <c r="A19" s="74"/>
      <c r="B19" s="78"/>
      <c r="C19" s="83" t="s">
        <v>29</v>
      </c>
      <c r="D19" s="576" t="s">
        <v>30</v>
      </c>
      <c r="E19" s="577"/>
      <c r="F19" s="578"/>
      <c r="G19" s="158" t="s">
        <v>31</v>
      </c>
      <c r="H19" s="582"/>
      <c r="I19" s="583"/>
      <c r="J19" s="583"/>
      <c r="K19" s="583"/>
      <c r="L19" s="583"/>
      <c r="M19" s="583"/>
      <c r="N19" s="583"/>
      <c r="O19" s="583"/>
      <c r="P19" s="583"/>
      <c r="Q19" s="584"/>
      <c r="R19" s="69"/>
    </row>
    <row r="20" spans="1:20" x14ac:dyDescent="0.35">
      <c r="A20" s="74"/>
      <c r="B20" s="74"/>
      <c r="C20" s="74"/>
      <c r="D20" s="75"/>
      <c r="E20" s="79"/>
      <c r="F20" s="75"/>
      <c r="G20" s="75"/>
      <c r="H20" s="443"/>
      <c r="I20" s="443"/>
      <c r="J20" s="443"/>
      <c r="K20" s="443"/>
      <c r="L20" s="443"/>
      <c r="M20" s="443"/>
      <c r="N20" s="443"/>
      <c r="O20" s="443"/>
      <c r="P20" s="443"/>
      <c r="Q20" s="443"/>
      <c r="R20" s="68"/>
    </row>
    <row r="21" spans="1:20" x14ac:dyDescent="0.35">
      <c r="A21" s="82"/>
      <c r="B21" s="82"/>
      <c r="C21" s="82"/>
      <c r="D21" s="478" t="s">
        <v>32</v>
      </c>
      <c r="E21" s="81"/>
      <c r="F21" s="80"/>
      <c r="G21" s="82"/>
      <c r="H21" s="445"/>
      <c r="I21" s="445"/>
      <c r="J21" s="445"/>
      <c r="K21" s="445"/>
      <c r="L21" s="445"/>
      <c r="M21" s="445"/>
      <c r="N21" s="445"/>
      <c r="O21" s="445"/>
      <c r="P21" s="445"/>
      <c r="Q21" s="445"/>
      <c r="R21" s="82"/>
    </row>
    <row r="22" spans="1:20" x14ac:dyDescent="0.35">
      <c r="A22" s="74"/>
      <c r="B22" s="74"/>
      <c r="C22" s="74"/>
      <c r="D22" s="74"/>
      <c r="E22" s="93"/>
      <c r="F22" s="74"/>
      <c r="G22" s="75"/>
      <c r="H22" s="443"/>
      <c r="I22" s="443"/>
      <c r="J22" s="443"/>
      <c r="K22" s="443"/>
      <c r="L22" s="443"/>
      <c r="M22" s="443"/>
      <c r="N22" s="443"/>
      <c r="O22" s="443"/>
      <c r="P22" s="443"/>
      <c r="Q22" s="443"/>
      <c r="R22" s="68"/>
    </row>
    <row r="23" spans="1:20" x14ac:dyDescent="0.35">
      <c r="A23" s="74"/>
      <c r="B23" s="78"/>
      <c r="C23" s="83" t="s">
        <v>33</v>
      </c>
      <c r="D23" s="576" t="s">
        <v>34</v>
      </c>
      <c r="E23" s="577"/>
      <c r="F23" s="578"/>
      <c r="G23" s="158" t="s">
        <v>31</v>
      </c>
      <c r="H23" s="585"/>
      <c r="I23" s="580"/>
      <c r="J23" s="580"/>
      <c r="K23" s="580"/>
      <c r="L23" s="580"/>
      <c r="M23" s="580"/>
      <c r="N23" s="580"/>
      <c r="O23" s="580"/>
      <c r="P23" s="580"/>
      <c r="Q23" s="581"/>
      <c r="R23" s="83"/>
    </row>
    <row r="24" spans="1:20" x14ac:dyDescent="0.35">
      <c r="A24" s="74"/>
      <c r="B24" s="78"/>
      <c r="C24" s="78"/>
      <c r="D24" s="79"/>
      <c r="E24" s="79"/>
      <c r="F24" s="79"/>
      <c r="G24" s="525"/>
      <c r="H24" s="443"/>
      <c r="I24" s="443"/>
      <c r="J24" s="443"/>
      <c r="K24" s="443"/>
      <c r="L24" s="443"/>
      <c r="M24" s="443"/>
      <c r="N24" s="443"/>
      <c r="O24" s="443"/>
      <c r="P24" s="443"/>
      <c r="Q24" s="443"/>
      <c r="R24" s="83"/>
    </row>
    <row r="25" spans="1:20" ht="33.5" x14ac:dyDescent="0.75">
      <c r="A25" s="74"/>
      <c r="B25" s="74"/>
      <c r="C25" s="78" t="s">
        <v>35</v>
      </c>
      <c r="D25" s="586" t="s">
        <v>36</v>
      </c>
      <c r="E25" s="587"/>
      <c r="F25" s="588"/>
      <c r="G25" s="75"/>
      <c r="H25" s="579"/>
      <c r="I25" s="580"/>
      <c r="J25" s="580"/>
      <c r="K25" s="580"/>
      <c r="L25" s="580"/>
      <c r="M25" s="580"/>
      <c r="N25" s="580"/>
      <c r="O25" s="580"/>
      <c r="P25" s="580"/>
      <c r="Q25" s="581"/>
      <c r="R25" s="68"/>
      <c r="T25" s="430" t="s">
        <v>37</v>
      </c>
    </row>
    <row r="26" spans="1:20" x14ac:dyDescent="0.35">
      <c r="A26" s="74"/>
      <c r="B26" s="78"/>
      <c r="C26" s="83"/>
      <c r="D26" s="79"/>
      <c r="E26" s="79"/>
      <c r="F26" s="79"/>
      <c r="G26" s="525"/>
      <c r="H26" s="446"/>
      <c r="I26" s="443"/>
      <c r="J26" s="443"/>
      <c r="K26" s="443"/>
      <c r="L26" s="443"/>
      <c r="M26" s="443"/>
      <c r="N26" s="443"/>
      <c r="O26" s="443"/>
      <c r="P26" s="443"/>
      <c r="Q26" s="443"/>
      <c r="R26" s="83"/>
    </row>
    <row r="27" spans="1:20" ht="66.5" x14ac:dyDescent="1.45">
      <c r="A27" s="74"/>
      <c r="B27" s="78"/>
      <c r="C27" s="78" t="s">
        <v>38</v>
      </c>
      <c r="D27" s="586" t="s">
        <v>39</v>
      </c>
      <c r="E27" s="587"/>
      <c r="F27" s="588"/>
      <c r="G27" s="159" t="s">
        <v>31</v>
      </c>
      <c r="H27" s="579"/>
      <c r="I27" s="580"/>
      <c r="J27" s="580"/>
      <c r="K27" s="580"/>
      <c r="L27" s="580"/>
      <c r="M27" s="580"/>
      <c r="N27" s="580"/>
      <c r="O27" s="580"/>
      <c r="P27" s="580"/>
      <c r="Q27" s="581"/>
      <c r="R27" s="83"/>
      <c r="T27" s="437" t="s">
        <v>37</v>
      </c>
    </row>
    <row r="28" spans="1:20" x14ac:dyDescent="0.35">
      <c r="A28" s="74"/>
      <c r="B28" s="74"/>
      <c r="C28" s="78"/>
      <c r="D28" s="79"/>
      <c r="E28" s="79"/>
      <c r="F28" s="79"/>
      <c r="G28" s="75"/>
      <c r="H28" s="443"/>
      <c r="I28" s="443"/>
      <c r="J28" s="443"/>
      <c r="K28" s="443"/>
      <c r="L28" s="443"/>
      <c r="M28" s="443"/>
      <c r="N28" s="443"/>
      <c r="O28" s="443"/>
      <c r="P28" s="443"/>
      <c r="Q28" s="443"/>
      <c r="R28" s="68"/>
    </row>
    <row r="29" spans="1:20" ht="51" x14ac:dyDescent="1.1000000000000001">
      <c r="A29" s="74"/>
      <c r="B29" s="74"/>
      <c r="C29" s="83" t="s">
        <v>40</v>
      </c>
      <c r="D29" s="586" t="s">
        <v>41</v>
      </c>
      <c r="E29" s="587"/>
      <c r="F29" s="588"/>
      <c r="G29" s="75"/>
      <c r="H29" s="579"/>
      <c r="I29" s="580"/>
      <c r="J29" s="580"/>
      <c r="K29" s="580"/>
      <c r="L29" s="580"/>
      <c r="M29" s="580"/>
      <c r="N29" s="580"/>
      <c r="O29" s="580"/>
      <c r="P29" s="580"/>
      <c r="Q29" s="581"/>
      <c r="R29" s="68"/>
      <c r="T29" s="432" t="s">
        <v>37</v>
      </c>
    </row>
    <row r="30" spans="1:20" x14ac:dyDescent="0.35">
      <c r="A30" s="74"/>
      <c r="B30" s="74"/>
      <c r="C30" s="78"/>
      <c r="D30" s="79"/>
      <c r="E30" s="79"/>
      <c r="F30" s="79"/>
      <c r="G30" s="75"/>
      <c r="H30" s="443"/>
      <c r="I30" s="443"/>
      <c r="J30" s="443"/>
      <c r="K30" s="443"/>
      <c r="L30" s="443"/>
      <c r="M30" s="443"/>
      <c r="N30" s="443"/>
      <c r="O30" s="443"/>
      <c r="P30" s="443"/>
      <c r="Q30" s="443"/>
      <c r="R30" s="68"/>
    </row>
    <row r="31" spans="1:20" ht="33.5" x14ac:dyDescent="0.75">
      <c r="A31" s="74"/>
      <c r="B31" s="74"/>
      <c r="C31" s="78" t="s">
        <v>42</v>
      </c>
      <c r="D31" s="586" t="s">
        <v>43</v>
      </c>
      <c r="E31" s="587"/>
      <c r="F31" s="588"/>
      <c r="G31" s="75"/>
      <c r="H31" s="594"/>
      <c r="I31" s="580"/>
      <c r="J31" s="580"/>
      <c r="K31" s="580"/>
      <c r="L31" s="580"/>
      <c r="M31" s="580"/>
      <c r="N31" s="580"/>
      <c r="O31" s="580"/>
      <c r="P31" s="580"/>
      <c r="Q31" s="581"/>
      <c r="R31" s="68"/>
      <c r="T31" s="430" t="s">
        <v>37</v>
      </c>
    </row>
    <row r="32" spans="1:20" x14ac:dyDescent="0.35">
      <c r="A32" s="74"/>
      <c r="B32" s="74"/>
      <c r="C32" s="83"/>
      <c r="D32" s="79"/>
      <c r="E32" s="79"/>
      <c r="F32" s="79"/>
      <c r="G32" s="75"/>
      <c r="H32" s="443"/>
      <c r="I32" s="443"/>
      <c r="J32" s="443"/>
      <c r="K32" s="443"/>
      <c r="L32" s="443"/>
      <c r="M32" s="443"/>
      <c r="N32" s="443"/>
      <c r="O32" s="443"/>
      <c r="P32" s="443"/>
      <c r="Q32" s="443"/>
      <c r="R32" s="68"/>
    </row>
    <row r="33" spans="1:20" ht="76.5" x14ac:dyDescent="1.65">
      <c r="A33" s="74"/>
      <c r="B33" s="74"/>
      <c r="C33" s="78" t="s">
        <v>44</v>
      </c>
      <c r="D33" s="586" t="s">
        <v>45</v>
      </c>
      <c r="E33" s="587"/>
      <c r="F33" s="588"/>
      <c r="G33" s="75"/>
      <c r="H33" s="594"/>
      <c r="I33" s="580"/>
      <c r="J33" s="580"/>
      <c r="K33" s="580"/>
      <c r="L33" s="580"/>
      <c r="M33" s="580"/>
      <c r="N33" s="580"/>
      <c r="O33" s="580"/>
      <c r="P33" s="580"/>
      <c r="Q33" s="581"/>
      <c r="R33" s="68"/>
      <c r="T33" s="431" t="s">
        <v>37</v>
      </c>
    </row>
    <row r="34" spans="1:20" x14ac:dyDescent="0.35">
      <c r="A34" s="74"/>
      <c r="B34" s="74"/>
      <c r="C34" s="78"/>
      <c r="D34" s="93"/>
      <c r="E34" s="93"/>
      <c r="F34" s="93"/>
      <c r="G34" s="75"/>
      <c r="H34" s="443"/>
      <c r="I34" s="443"/>
      <c r="J34" s="443"/>
      <c r="K34" s="443"/>
      <c r="L34" s="443"/>
      <c r="M34" s="443"/>
      <c r="N34" s="443"/>
      <c r="O34" s="443"/>
      <c r="P34" s="443"/>
      <c r="Q34" s="443"/>
      <c r="R34" s="68"/>
    </row>
    <row r="35" spans="1:20" ht="127.5" x14ac:dyDescent="2.75">
      <c r="A35" s="74"/>
      <c r="B35" s="74"/>
      <c r="C35" s="83" t="s">
        <v>46</v>
      </c>
      <c r="D35" s="586" t="s">
        <v>47</v>
      </c>
      <c r="E35" s="587"/>
      <c r="F35" s="588"/>
      <c r="G35" s="75"/>
      <c r="H35" s="579"/>
      <c r="I35" s="580"/>
      <c r="J35" s="580"/>
      <c r="K35" s="580"/>
      <c r="L35" s="580"/>
      <c r="M35" s="580"/>
      <c r="N35" s="580"/>
      <c r="O35" s="580"/>
      <c r="P35" s="580"/>
      <c r="Q35" s="581"/>
      <c r="R35" s="68"/>
      <c r="T35" s="438" t="s">
        <v>37</v>
      </c>
    </row>
    <row r="36" spans="1:20" x14ac:dyDescent="0.35">
      <c r="A36" s="74"/>
      <c r="B36" s="74"/>
      <c r="C36" s="74"/>
      <c r="D36" s="93"/>
      <c r="E36" s="93"/>
      <c r="F36" s="93"/>
      <c r="G36" s="75"/>
      <c r="H36" s="443"/>
      <c r="I36" s="443"/>
      <c r="J36" s="443"/>
      <c r="K36" s="443"/>
      <c r="L36" s="443"/>
      <c r="M36" s="443"/>
      <c r="N36" s="443"/>
      <c r="O36" s="443"/>
      <c r="P36" s="443"/>
      <c r="Q36" s="443"/>
      <c r="R36" s="68"/>
    </row>
    <row r="37" spans="1:20" ht="66.5" x14ac:dyDescent="1.45">
      <c r="A37" s="74"/>
      <c r="B37" s="74"/>
      <c r="C37" s="78" t="s">
        <v>48</v>
      </c>
      <c r="D37" s="586" t="s">
        <v>49</v>
      </c>
      <c r="E37" s="587"/>
      <c r="F37" s="588"/>
      <c r="G37" s="75"/>
      <c r="H37" s="579"/>
      <c r="I37" s="580"/>
      <c r="J37" s="580"/>
      <c r="K37" s="580"/>
      <c r="L37" s="580"/>
      <c r="M37" s="580"/>
      <c r="N37" s="580"/>
      <c r="O37" s="580"/>
      <c r="P37" s="580"/>
      <c r="Q37" s="581"/>
      <c r="R37" s="68"/>
      <c r="T37" s="437" t="s">
        <v>37</v>
      </c>
    </row>
    <row r="38" spans="1:20" x14ac:dyDescent="0.35">
      <c r="A38" s="74"/>
      <c r="B38" s="74"/>
      <c r="C38" s="83"/>
      <c r="D38" s="93"/>
      <c r="E38" s="93"/>
      <c r="F38" s="93"/>
      <c r="G38" s="75"/>
      <c r="H38" s="443"/>
      <c r="I38" s="443"/>
      <c r="J38" s="443"/>
      <c r="K38" s="443"/>
      <c r="L38" s="443"/>
      <c r="M38" s="443"/>
      <c r="N38" s="443"/>
      <c r="O38" s="443"/>
      <c r="P38" s="443"/>
      <c r="Q38" s="443"/>
      <c r="R38" s="68"/>
    </row>
    <row r="39" spans="1:20" ht="83" x14ac:dyDescent="1.8">
      <c r="A39" s="74"/>
      <c r="B39" s="74"/>
      <c r="C39" s="78" t="s">
        <v>50</v>
      </c>
      <c r="D39" s="586" t="s">
        <v>51</v>
      </c>
      <c r="E39" s="587"/>
      <c r="F39" s="588"/>
      <c r="G39" s="75"/>
      <c r="H39" s="579"/>
      <c r="I39" s="580"/>
      <c r="J39" s="580"/>
      <c r="K39" s="580"/>
      <c r="L39" s="580"/>
      <c r="M39" s="580"/>
      <c r="N39" s="580"/>
      <c r="O39" s="580"/>
      <c r="P39" s="580"/>
      <c r="Q39" s="581"/>
      <c r="R39" s="68"/>
      <c r="T39" s="439" t="s">
        <v>37</v>
      </c>
    </row>
    <row r="40" spans="1:20" x14ac:dyDescent="0.35">
      <c r="A40" s="74"/>
      <c r="B40" s="74"/>
      <c r="C40" s="78"/>
      <c r="D40" s="93"/>
      <c r="E40" s="93"/>
      <c r="F40" s="93"/>
      <c r="G40" s="75"/>
      <c r="H40" s="443"/>
      <c r="I40" s="443"/>
      <c r="J40" s="443"/>
      <c r="K40" s="443"/>
      <c r="L40" s="443"/>
      <c r="M40" s="443"/>
      <c r="N40" s="443"/>
      <c r="O40" s="443"/>
      <c r="P40" s="443"/>
      <c r="Q40" s="443"/>
      <c r="R40" s="68"/>
    </row>
    <row r="41" spans="1:20" ht="127.5" x14ac:dyDescent="2.75">
      <c r="A41" s="74"/>
      <c r="B41" s="74"/>
      <c r="C41" s="78" t="s">
        <v>52</v>
      </c>
      <c r="D41" s="586" t="s">
        <v>53</v>
      </c>
      <c r="E41" s="587"/>
      <c r="F41" s="588"/>
      <c r="G41" s="75"/>
      <c r="H41" s="585"/>
      <c r="I41" s="580"/>
      <c r="J41" s="580"/>
      <c r="K41" s="580"/>
      <c r="L41" s="580"/>
      <c r="M41" s="580"/>
      <c r="N41" s="580"/>
      <c r="O41" s="580"/>
      <c r="P41" s="580"/>
      <c r="Q41" s="581"/>
      <c r="R41" s="68"/>
      <c r="T41" s="438"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80" t="s">
        <v>54</v>
      </c>
      <c r="E43" s="85"/>
      <c r="F43" s="84"/>
      <c r="G43" s="84"/>
      <c r="H43" s="84"/>
      <c r="I43" s="84"/>
      <c r="J43" s="84"/>
      <c r="K43" s="84"/>
      <c r="L43" s="84"/>
      <c r="M43" s="84"/>
      <c r="N43" s="84"/>
      <c r="O43" s="84"/>
      <c r="P43" s="84"/>
      <c r="Q43" s="84"/>
      <c r="R43" s="84"/>
    </row>
    <row r="44" spans="1:20" x14ac:dyDescent="0.35">
      <c r="A44" s="74"/>
      <c r="B44" s="74"/>
      <c r="C44" s="78"/>
      <c r="D44" s="78"/>
      <c r="E44" s="78"/>
      <c r="F44" s="78"/>
      <c r="G44" s="525"/>
      <c r="H44" s="78"/>
      <c r="I44" s="78"/>
      <c r="J44" s="78"/>
      <c r="K44" s="74"/>
      <c r="L44" s="525"/>
      <c r="M44" s="74"/>
      <c r="N44" s="597"/>
      <c r="O44" s="597"/>
      <c r="P44" s="597"/>
      <c r="Q44" s="597"/>
      <c r="R44" s="68"/>
    </row>
    <row r="45" spans="1:20" hidden="1" x14ac:dyDescent="0.35">
      <c r="A45" s="74"/>
      <c r="B45" s="74"/>
      <c r="C45" s="86"/>
      <c r="D45" s="481"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89" t="s">
        <v>57</v>
      </c>
      <c r="E47" s="590"/>
      <c r="F47" s="590"/>
      <c r="G47" s="590"/>
      <c r="H47" s="590"/>
      <c r="I47" s="590"/>
      <c r="J47" s="591"/>
      <c r="K47" s="74"/>
      <c r="L47" s="87"/>
      <c r="M47" s="74"/>
      <c r="N47" s="592"/>
      <c r="O47" s="593"/>
      <c r="P47" s="593"/>
      <c r="Q47" s="593"/>
      <c r="R47" s="68"/>
    </row>
    <row r="48" spans="1:20" x14ac:dyDescent="0.35">
      <c r="A48" s="74"/>
      <c r="B48" s="74"/>
      <c r="C48" s="93"/>
      <c r="D48" s="74"/>
      <c r="E48" s="74"/>
      <c r="F48" s="75"/>
      <c r="G48" s="75"/>
      <c r="H48" s="75"/>
      <c r="I48" s="74"/>
      <c r="J48" s="74"/>
      <c r="K48" s="74"/>
      <c r="L48" s="74"/>
      <c r="M48" s="74"/>
      <c r="N48" s="440"/>
      <c r="O48" s="440"/>
      <c r="P48" s="441"/>
      <c r="Q48" s="440"/>
      <c r="R48" s="68"/>
    </row>
    <row r="49" spans="1:20" x14ac:dyDescent="0.35">
      <c r="A49" s="74"/>
      <c r="B49" s="74"/>
      <c r="C49" s="78" t="s">
        <v>58</v>
      </c>
      <c r="D49" s="589" t="s">
        <v>59</v>
      </c>
      <c r="E49" s="590"/>
      <c r="F49" s="590"/>
      <c r="G49" s="590"/>
      <c r="H49" s="590"/>
      <c r="I49" s="590"/>
      <c r="J49" s="591"/>
      <c r="K49" s="74"/>
      <c r="L49" s="87"/>
      <c r="M49" s="74"/>
      <c r="N49" s="592"/>
      <c r="O49" s="593"/>
      <c r="P49" s="593"/>
      <c r="Q49" s="593"/>
      <c r="R49" s="68"/>
    </row>
    <row r="50" spans="1:20" x14ac:dyDescent="0.35">
      <c r="A50" s="74"/>
      <c r="B50" s="74"/>
      <c r="C50" s="88"/>
      <c r="D50" s="88"/>
      <c r="E50" s="93"/>
      <c r="F50" s="74"/>
      <c r="G50" s="75"/>
      <c r="H50" s="75"/>
      <c r="I50" s="75"/>
      <c r="J50" s="75"/>
      <c r="K50" s="74"/>
      <c r="L50" s="74"/>
      <c r="M50" s="74"/>
      <c r="N50" s="440"/>
      <c r="O50" s="440"/>
      <c r="P50" s="440"/>
      <c r="Q50" s="440"/>
      <c r="R50" s="68"/>
    </row>
    <row r="51" spans="1:20" hidden="1" x14ac:dyDescent="0.35">
      <c r="A51" s="74"/>
      <c r="B51" s="74"/>
      <c r="C51" s="90"/>
      <c r="D51" s="85" t="s">
        <v>60</v>
      </c>
      <c r="E51" s="90"/>
      <c r="F51" s="90"/>
      <c r="G51" s="84"/>
      <c r="H51" s="90"/>
      <c r="I51" s="90"/>
      <c r="J51" s="90"/>
      <c r="K51" s="90"/>
      <c r="L51" s="90"/>
      <c r="M51" s="90"/>
      <c r="N51" s="442"/>
      <c r="O51" s="442"/>
      <c r="P51" s="442"/>
      <c r="Q51" s="442"/>
      <c r="R51" s="68"/>
    </row>
    <row r="52" spans="1:20" hidden="1" x14ac:dyDescent="0.35">
      <c r="A52" s="74"/>
      <c r="B52" s="74"/>
      <c r="C52" s="88"/>
      <c r="D52" s="88"/>
      <c r="E52" s="93"/>
      <c r="F52" s="74"/>
      <c r="G52" s="75"/>
      <c r="H52" s="75"/>
      <c r="I52" s="75"/>
      <c r="J52" s="75"/>
      <c r="K52" s="74"/>
      <c r="L52" s="74"/>
      <c r="M52" s="74"/>
      <c r="N52" s="440"/>
      <c r="O52" s="440"/>
      <c r="P52" s="440"/>
      <c r="Q52" s="440"/>
      <c r="R52" s="68"/>
    </row>
    <row r="53" spans="1:20" ht="33.5" x14ac:dyDescent="0.75">
      <c r="A53" s="74"/>
      <c r="B53" s="74"/>
      <c r="C53" s="78" t="s">
        <v>61</v>
      </c>
      <c r="D53" s="589" t="s">
        <v>62</v>
      </c>
      <c r="E53" s="590"/>
      <c r="F53" s="590"/>
      <c r="G53" s="590"/>
      <c r="H53" s="590"/>
      <c r="I53" s="590"/>
      <c r="J53" s="591"/>
      <c r="K53" s="74"/>
      <c r="L53" s="87"/>
      <c r="M53" s="74"/>
      <c r="N53" s="592"/>
      <c r="O53" s="593"/>
      <c r="P53" s="593"/>
      <c r="Q53" s="593"/>
      <c r="R53" s="68"/>
      <c r="T53" s="430" t="s">
        <v>37</v>
      </c>
    </row>
    <row r="54" spans="1:20" x14ac:dyDescent="0.35">
      <c r="A54" s="74"/>
      <c r="B54" s="74"/>
      <c r="C54" s="88"/>
      <c r="D54" s="88"/>
      <c r="E54" s="93"/>
      <c r="F54" s="74"/>
      <c r="G54" s="75"/>
      <c r="H54" s="75"/>
      <c r="I54" s="75"/>
      <c r="J54" s="75"/>
      <c r="K54" s="74"/>
      <c r="L54" s="74"/>
      <c r="M54" s="74"/>
      <c r="N54" s="440"/>
      <c r="O54" s="440"/>
      <c r="P54" s="440"/>
      <c r="Q54" s="440"/>
      <c r="R54" s="68"/>
    </row>
    <row r="55" spans="1:20" x14ac:dyDescent="0.35">
      <c r="A55" s="74"/>
      <c r="B55" s="78"/>
      <c r="C55" s="78" t="s">
        <v>63</v>
      </c>
      <c r="D55" s="589" t="s">
        <v>64</v>
      </c>
      <c r="E55" s="590"/>
      <c r="F55" s="590"/>
      <c r="G55" s="590"/>
      <c r="H55" s="590"/>
      <c r="I55" s="590"/>
      <c r="J55" s="591"/>
      <c r="K55" s="74"/>
      <c r="L55" s="87"/>
      <c r="M55" s="74"/>
      <c r="N55" s="592"/>
      <c r="O55" s="593"/>
      <c r="P55" s="593"/>
      <c r="Q55" s="593"/>
      <c r="R55" s="68"/>
    </row>
    <row r="56" spans="1:20" x14ac:dyDescent="0.35">
      <c r="A56" s="74"/>
      <c r="B56" s="78"/>
      <c r="C56" s="78"/>
      <c r="D56" s="77"/>
      <c r="E56" s="77"/>
      <c r="F56" s="77"/>
      <c r="G56" s="77"/>
      <c r="H56" s="77"/>
      <c r="I56" s="77"/>
      <c r="J56" s="77"/>
      <c r="K56" s="74"/>
      <c r="L56" s="495"/>
      <c r="M56" s="74"/>
      <c r="N56" s="496"/>
      <c r="O56" s="496"/>
      <c r="P56" s="496"/>
      <c r="Q56" s="496"/>
      <c r="R56" s="68"/>
    </row>
    <row r="57" spans="1:20" hidden="1" x14ac:dyDescent="0.35">
      <c r="A57" s="74"/>
      <c r="B57" s="78"/>
      <c r="C57" s="90"/>
      <c r="D57" s="85" t="s">
        <v>65</v>
      </c>
      <c r="E57" s="90"/>
      <c r="F57" s="90"/>
      <c r="G57" s="84"/>
      <c r="H57" s="90"/>
      <c r="I57" s="90"/>
      <c r="J57" s="90"/>
      <c r="K57" s="90"/>
      <c r="L57" s="90"/>
      <c r="M57" s="90"/>
      <c r="N57" s="442"/>
      <c r="O57" s="442"/>
      <c r="P57" s="442"/>
      <c r="Q57" s="442"/>
      <c r="R57" s="68"/>
    </row>
    <row r="58" spans="1:20" hidden="1" x14ac:dyDescent="0.35">
      <c r="A58" s="74"/>
      <c r="B58" s="74"/>
      <c r="C58" s="88"/>
      <c r="D58" s="88"/>
      <c r="E58" s="93"/>
      <c r="F58" s="74"/>
      <c r="G58" s="75"/>
      <c r="H58" s="75"/>
      <c r="I58" s="75"/>
      <c r="J58" s="75"/>
      <c r="K58" s="74"/>
      <c r="L58" s="74"/>
      <c r="M58" s="74"/>
      <c r="N58" s="440"/>
      <c r="O58" s="440"/>
      <c r="P58" s="440"/>
      <c r="Q58" s="440"/>
      <c r="R58" s="68"/>
    </row>
    <row r="59" spans="1:20" ht="33.5" x14ac:dyDescent="0.75">
      <c r="A59" s="74"/>
      <c r="B59" s="68"/>
      <c r="C59" s="78" t="s">
        <v>66</v>
      </c>
      <c r="D59" s="589" t="s">
        <v>67</v>
      </c>
      <c r="E59" s="590"/>
      <c r="F59" s="590"/>
      <c r="G59" s="590"/>
      <c r="H59" s="590"/>
      <c r="I59" s="590"/>
      <c r="J59" s="591"/>
      <c r="K59" s="74"/>
      <c r="L59" s="87"/>
      <c r="M59" s="74"/>
      <c r="N59" s="592"/>
      <c r="O59" s="593"/>
      <c r="P59" s="593"/>
      <c r="Q59" s="593"/>
      <c r="R59" s="68"/>
      <c r="T59" s="430" t="s">
        <v>37</v>
      </c>
    </row>
    <row r="60" spans="1:20" x14ac:dyDescent="0.35">
      <c r="A60" s="74"/>
      <c r="B60" s="78"/>
      <c r="C60" s="78"/>
      <c r="D60" s="78"/>
      <c r="E60" s="78"/>
      <c r="F60" s="78"/>
      <c r="G60" s="525"/>
      <c r="H60" s="78"/>
      <c r="I60" s="78"/>
      <c r="J60" s="78"/>
      <c r="K60" s="78"/>
      <c r="L60" s="78"/>
      <c r="M60" s="78"/>
      <c r="N60" s="78"/>
      <c r="O60" s="78"/>
      <c r="P60" s="78"/>
      <c r="Q60" s="78"/>
      <c r="R60" s="78"/>
    </row>
    <row r="61" spans="1:20" ht="18.75" customHeight="1" x14ac:dyDescent="0.35">
      <c r="A61" s="595" t="s">
        <v>68</v>
      </c>
      <c r="B61" s="596"/>
      <c r="C61" s="596"/>
      <c r="D61" s="596"/>
      <c r="E61" s="596"/>
      <c r="F61" s="596"/>
      <c r="G61" s="596"/>
      <c r="H61" s="596"/>
      <c r="I61" s="596"/>
      <c r="J61" s="596"/>
      <c r="K61" s="596"/>
      <c r="L61" s="596"/>
      <c r="M61" s="596"/>
      <c r="N61" s="596"/>
      <c r="O61" s="596"/>
      <c r="P61" s="596"/>
      <c r="Q61" s="596"/>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84"/>
      <c r="C1" s="3"/>
      <c r="D1" s="622" t="s">
        <v>69</v>
      </c>
      <c r="E1" s="622"/>
      <c r="F1" s="622"/>
      <c r="G1" s="622"/>
      <c r="H1" s="622"/>
      <c r="I1" s="622"/>
      <c r="J1" s="622"/>
      <c r="K1" s="622"/>
      <c r="L1" s="622"/>
      <c r="M1" s="622"/>
      <c r="N1" s="622"/>
      <c r="O1" s="622"/>
      <c r="P1" s="622"/>
      <c r="Q1" s="622"/>
    </row>
    <row r="2" spans="1:18" s="141" customFormat="1" x14ac:dyDescent="0.35">
      <c r="A2"/>
      <c r="B2" s="143"/>
      <c r="C2" s="3"/>
      <c r="D2" s="622"/>
      <c r="E2" s="622"/>
      <c r="F2" s="622"/>
      <c r="G2" s="622"/>
      <c r="H2" s="622"/>
      <c r="I2" s="622"/>
      <c r="J2" s="622"/>
      <c r="K2" s="622"/>
      <c r="L2" s="622"/>
      <c r="M2" s="622"/>
      <c r="N2" s="622"/>
      <c r="O2" s="622"/>
      <c r="P2" s="622"/>
      <c r="Q2" s="622"/>
      <c r="R2" s="3"/>
    </row>
    <row r="3" spans="1:18" s="146" customFormat="1" ht="7.5" customHeight="1" x14ac:dyDescent="0.35">
      <c r="A3"/>
      <c r="B3" s="144"/>
      <c r="C3" s="145"/>
      <c r="D3" s="623"/>
      <c r="E3" s="623"/>
      <c r="F3" s="623"/>
      <c r="G3" s="623"/>
      <c r="H3" s="623"/>
      <c r="I3" s="623"/>
      <c r="J3" s="623"/>
      <c r="K3" s="623"/>
      <c r="L3" s="623"/>
      <c r="M3" s="623"/>
      <c r="N3" s="623"/>
      <c r="O3" s="623"/>
      <c r="P3" s="623"/>
      <c r="Q3" s="623"/>
      <c r="R3" s="145"/>
    </row>
    <row r="4" spans="1:18" hidden="1" x14ac:dyDescent="0.35">
      <c r="B4" s="3"/>
      <c r="C4" s="3"/>
      <c r="D4" s="3"/>
      <c r="E4" s="3"/>
      <c r="F4" s="2"/>
      <c r="G4" s="2"/>
      <c r="H4" s="2"/>
      <c r="I4" s="2"/>
      <c r="J4" s="2"/>
      <c r="K4" s="2"/>
      <c r="L4" s="5"/>
      <c r="M4" s="5"/>
      <c r="N4" s="2"/>
      <c r="O4" s="3"/>
      <c r="P4" s="3"/>
      <c r="Q4" s="3"/>
      <c r="R4" s="3"/>
    </row>
    <row r="5" spans="1:18" x14ac:dyDescent="0.35">
      <c r="B5" s="149"/>
      <c r="C5" s="150"/>
      <c r="D5" s="497" t="s">
        <v>16</v>
      </c>
      <c r="E5" s="467"/>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598" t="s">
        <v>70</v>
      </c>
      <c r="E7" s="599"/>
      <c r="F7" s="600"/>
      <c r="G7" s="5"/>
      <c r="H7" s="607"/>
      <c r="I7" s="608"/>
      <c r="J7" s="608"/>
      <c r="K7" s="608"/>
      <c r="L7" s="608"/>
      <c r="M7" s="608"/>
      <c r="N7" s="608"/>
      <c r="O7" s="608"/>
      <c r="P7" s="608"/>
      <c r="Q7" s="609"/>
      <c r="R7" s="3"/>
    </row>
    <row r="8" spans="1:18" x14ac:dyDescent="0.35">
      <c r="B8" s="5"/>
      <c r="C8" s="6"/>
      <c r="D8" s="8"/>
      <c r="E8" s="147"/>
      <c r="F8" s="7"/>
      <c r="G8" s="5"/>
      <c r="H8" s="7"/>
      <c r="I8" s="7"/>
      <c r="J8" s="7"/>
      <c r="K8" s="7"/>
      <c r="L8" s="7"/>
      <c r="M8" s="7"/>
      <c r="N8" s="7"/>
      <c r="O8" s="9"/>
      <c r="P8" s="9"/>
      <c r="Q8" s="9"/>
      <c r="R8" s="3"/>
    </row>
    <row r="9" spans="1:18" x14ac:dyDescent="0.35">
      <c r="B9" s="5"/>
      <c r="C9" s="6" t="s">
        <v>19</v>
      </c>
      <c r="D9" s="598" t="s">
        <v>20</v>
      </c>
      <c r="E9" s="599"/>
      <c r="F9" s="600"/>
      <c r="G9" s="5"/>
      <c r="H9" s="607"/>
      <c r="I9" s="608"/>
      <c r="J9" s="608"/>
      <c r="K9" s="608"/>
      <c r="L9" s="608"/>
      <c r="M9" s="608"/>
      <c r="N9" s="608"/>
      <c r="O9" s="608"/>
      <c r="P9" s="608"/>
      <c r="Q9" s="609"/>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598" t="s">
        <v>71</v>
      </c>
      <c r="E11" s="599"/>
      <c r="F11" s="600"/>
      <c r="G11" s="5"/>
      <c r="H11" s="607"/>
      <c r="I11" s="608"/>
      <c r="J11" s="608"/>
      <c r="K11" s="608"/>
      <c r="L11" s="608"/>
      <c r="M11" s="608"/>
      <c r="N11" s="608"/>
      <c r="O11" s="608"/>
      <c r="P11" s="608"/>
      <c r="Q11" s="609"/>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598" t="s">
        <v>24</v>
      </c>
      <c r="E13" s="599"/>
      <c r="F13" s="600"/>
      <c r="G13" s="5"/>
      <c r="H13" s="607"/>
      <c r="I13" s="608"/>
      <c r="J13" s="608"/>
      <c r="K13" s="608"/>
      <c r="L13" s="608"/>
      <c r="M13" s="608"/>
      <c r="N13" s="608"/>
      <c r="O13" s="608"/>
      <c r="P13" s="608"/>
      <c r="Q13" s="609"/>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598" t="s">
        <v>26</v>
      </c>
      <c r="E15" s="599"/>
      <c r="F15" s="600"/>
      <c r="G15" s="5"/>
      <c r="H15" s="607"/>
      <c r="I15" s="608"/>
      <c r="J15" s="608"/>
      <c r="K15" s="608"/>
      <c r="L15" s="608"/>
      <c r="M15" s="608"/>
      <c r="N15" s="608"/>
      <c r="O15" s="608"/>
      <c r="P15" s="608"/>
      <c r="Q15" s="609"/>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598" t="s">
        <v>28</v>
      </c>
      <c r="E17" s="599"/>
      <c r="F17" s="600"/>
      <c r="G17" s="5"/>
      <c r="H17" s="607"/>
      <c r="I17" s="608"/>
      <c r="J17" s="608"/>
      <c r="K17" s="608"/>
      <c r="L17" s="608"/>
      <c r="M17" s="608"/>
      <c r="N17" s="608"/>
      <c r="O17" s="608"/>
      <c r="P17" s="608"/>
      <c r="Q17" s="609"/>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598" t="s">
        <v>30</v>
      </c>
      <c r="E19" s="599"/>
      <c r="F19" s="600"/>
      <c r="G19" s="130" t="s">
        <v>31</v>
      </c>
      <c r="H19" s="601"/>
      <c r="I19" s="602"/>
      <c r="J19" s="602"/>
      <c r="K19" s="602"/>
      <c r="L19" s="602"/>
      <c r="M19" s="602"/>
      <c r="N19" s="602"/>
      <c r="O19" s="602"/>
      <c r="P19" s="602"/>
      <c r="Q19" s="603"/>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598" t="s">
        <v>73</v>
      </c>
      <c r="E21" s="599"/>
      <c r="F21" s="600"/>
      <c r="G21" s="131" t="s">
        <v>31</v>
      </c>
      <c r="H21" s="604" t="s">
        <v>74</v>
      </c>
      <c r="I21" s="605"/>
      <c r="J21" s="605"/>
      <c r="K21" s="605"/>
      <c r="L21" s="605"/>
      <c r="M21" s="605"/>
      <c r="N21" s="605"/>
      <c r="O21" s="605"/>
      <c r="P21" s="605"/>
      <c r="Q21" s="606"/>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598" t="s">
        <v>76</v>
      </c>
      <c r="E23" s="599"/>
      <c r="F23" s="600"/>
      <c r="G23" s="5"/>
      <c r="H23" s="607"/>
      <c r="I23" s="608"/>
      <c r="J23" s="608"/>
      <c r="K23" s="608"/>
      <c r="L23" s="608"/>
      <c r="M23" s="608"/>
      <c r="N23" s="608"/>
      <c r="O23" s="608"/>
      <c r="P23" s="608"/>
      <c r="Q23" s="609"/>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598" t="s">
        <v>78</v>
      </c>
      <c r="E25" s="599"/>
      <c r="F25" s="600"/>
      <c r="G25" s="5"/>
      <c r="H25" s="607"/>
      <c r="I25" s="608"/>
      <c r="J25" s="608"/>
      <c r="K25" s="608"/>
      <c r="L25" s="608"/>
      <c r="M25" s="608"/>
      <c r="N25" s="608"/>
      <c r="O25" s="608"/>
      <c r="P25" s="608"/>
      <c r="Q25" s="609"/>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598" t="s">
        <v>80</v>
      </c>
      <c r="E27" s="599"/>
      <c r="F27" s="600"/>
      <c r="G27" s="5"/>
      <c r="H27" s="607"/>
      <c r="I27" s="608"/>
      <c r="J27" s="608"/>
      <c r="K27" s="608"/>
      <c r="L27" s="608"/>
      <c r="M27" s="608"/>
      <c r="N27" s="608"/>
      <c r="O27" s="608"/>
      <c r="P27" s="608"/>
      <c r="Q27" s="609"/>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0" t="s">
        <v>82</v>
      </c>
      <c r="E29" s="611"/>
      <c r="F29" s="612"/>
      <c r="G29" s="5"/>
      <c r="H29" s="607"/>
      <c r="I29" s="608"/>
      <c r="J29" s="608"/>
      <c r="K29" s="608"/>
      <c r="L29" s="608"/>
      <c r="M29" s="608"/>
      <c r="N29" s="608"/>
      <c r="O29" s="608"/>
      <c r="P29" s="608"/>
      <c r="Q29" s="609"/>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0" t="s">
        <v>84</v>
      </c>
      <c r="E31" s="611"/>
      <c r="F31" s="612"/>
      <c r="G31" s="5"/>
      <c r="H31" s="607"/>
      <c r="I31" s="608"/>
      <c r="J31" s="608"/>
      <c r="K31" s="608"/>
      <c r="L31" s="608"/>
      <c r="M31" s="608"/>
      <c r="N31" s="608"/>
      <c r="O31" s="608"/>
      <c r="P31" s="608"/>
      <c r="Q31" s="609"/>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0" t="s">
        <v>86</v>
      </c>
      <c r="E33" s="611"/>
      <c r="F33" s="612"/>
      <c r="G33" s="5"/>
      <c r="H33" s="607"/>
      <c r="I33" s="608"/>
      <c r="J33" s="608"/>
      <c r="K33" s="608"/>
      <c r="L33" s="608"/>
      <c r="M33" s="608"/>
      <c r="N33" s="608"/>
      <c r="O33" s="608"/>
      <c r="P33" s="608"/>
      <c r="Q33" s="609"/>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74"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16" t="s">
        <v>34</v>
      </c>
      <c r="E37" s="617"/>
      <c r="F37" s="618"/>
      <c r="G37" s="131" t="s">
        <v>31</v>
      </c>
      <c r="H37" s="607"/>
      <c r="I37" s="608"/>
      <c r="J37" s="608"/>
      <c r="K37" s="608"/>
      <c r="L37" s="608"/>
      <c r="M37" s="608"/>
      <c r="N37" s="608"/>
      <c r="O37" s="608"/>
      <c r="P37" s="608"/>
      <c r="Q37" s="609"/>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19" t="s">
        <v>36</v>
      </c>
      <c r="E39" s="620"/>
      <c r="F39" s="621"/>
      <c r="G39" s="5"/>
      <c r="H39" s="607"/>
      <c r="I39" s="608"/>
      <c r="J39" s="608"/>
      <c r="K39" s="608"/>
      <c r="L39" s="608"/>
      <c r="M39" s="608"/>
      <c r="N39" s="608"/>
      <c r="O39" s="608"/>
      <c r="P39" s="608"/>
      <c r="Q39" s="609"/>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19" t="s">
        <v>87</v>
      </c>
      <c r="E41" s="620"/>
      <c r="F41" s="621"/>
      <c r="G41" s="132" t="s">
        <v>31</v>
      </c>
      <c r="H41" s="607"/>
      <c r="I41" s="608"/>
      <c r="J41" s="608"/>
      <c r="K41" s="608"/>
      <c r="L41" s="608"/>
      <c r="M41" s="608"/>
      <c r="N41" s="608"/>
      <c r="O41" s="608"/>
      <c r="P41" s="608"/>
      <c r="Q41" s="609"/>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19" t="s">
        <v>41</v>
      </c>
      <c r="E43" s="620"/>
      <c r="F43" s="621"/>
      <c r="G43" s="5"/>
      <c r="H43" s="607"/>
      <c r="I43" s="608"/>
      <c r="J43" s="608"/>
      <c r="K43" s="608"/>
      <c r="L43" s="608"/>
      <c r="M43" s="608"/>
      <c r="N43" s="608"/>
      <c r="O43" s="608"/>
      <c r="P43" s="608"/>
      <c r="Q43" s="609"/>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19" t="s">
        <v>43</v>
      </c>
      <c r="E45" s="620"/>
      <c r="F45" s="621"/>
      <c r="G45" s="5"/>
      <c r="H45" s="607"/>
      <c r="I45" s="608"/>
      <c r="J45" s="608"/>
      <c r="K45" s="608"/>
      <c r="L45" s="608"/>
      <c r="M45" s="608"/>
      <c r="N45" s="608"/>
      <c r="O45" s="608"/>
      <c r="P45" s="608"/>
      <c r="Q45" s="609"/>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19" t="s">
        <v>45</v>
      </c>
      <c r="E47" s="620"/>
      <c r="F47" s="621"/>
      <c r="G47" s="5"/>
      <c r="H47" s="607"/>
      <c r="I47" s="608"/>
      <c r="J47" s="608"/>
      <c r="K47" s="608"/>
      <c r="L47" s="608"/>
      <c r="M47" s="608"/>
      <c r="N47" s="608"/>
      <c r="O47" s="608"/>
      <c r="P47" s="608"/>
      <c r="Q47" s="609"/>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19" t="s">
        <v>47</v>
      </c>
      <c r="E49" s="620"/>
      <c r="F49" s="621"/>
      <c r="G49" s="5"/>
      <c r="H49" s="607"/>
      <c r="I49" s="608"/>
      <c r="J49" s="608"/>
      <c r="K49" s="608"/>
      <c r="L49" s="608"/>
      <c r="M49" s="608"/>
      <c r="N49" s="608"/>
      <c r="O49" s="608"/>
      <c r="P49" s="608"/>
      <c r="Q49" s="609"/>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19" t="s">
        <v>49</v>
      </c>
      <c r="E51" s="620"/>
      <c r="F51" s="621"/>
      <c r="G51" s="5"/>
      <c r="H51" s="607"/>
      <c r="I51" s="608"/>
      <c r="J51" s="608"/>
      <c r="K51" s="608"/>
      <c r="L51" s="608"/>
      <c r="M51" s="608"/>
      <c r="N51" s="608"/>
      <c r="O51" s="608"/>
      <c r="P51" s="608"/>
      <c r="Q51" s="609"/>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19" t="s">
        <v>51</v>
      </c>
      <c r="E53" s="620"/>
      <c r="F53" s="621"/>
      <c r="G53" s="5"/>
      <c r="H53" s="607"/>
      <c r="I53" s="608"/>
      <c r="J53" s="608"/>
      <c r="K53" s="608"/>
      <c r="L53" s="608"/>
      <c r="M53" s="608"/>
      <c r="N53" s="608"/>
      <c r="O53" s="608"/>
      <c r="P53" s="608"/>
      <c r="Q53" s="609"/>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19" t="s">
        <v>88</v>
      </c>
      <c r="E55" s="620"/>
      <c r="F55" s="621"/>
      <c r="G55" s="5"/>
      <c r="H55" s="607"/>
      <c r="I55" s="608"/>
      <c r="J55" s="608"/>
      <c r="K55" s="608"/>
      <c r="L55" s="608"/>
      <c r="M55" s="608"/>
      <c r="N55" s="608"/>
      <c r="O55" s="608"/>
      <c r="P55" s="608"/>
      <c r="Q55" s="609"/>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16" t="s">
        <v>90</v>
      </c>
      <c r="E57" s="617"/>
      <c r="F57" s="618"/>
      <c r="G57" s="5"/>
      <c r="H57" s="607"/>
      <c r="I57" s="608"/>
      <c r="J57" s="608"/>
      <c r="K57" s="608"/>
      <c r="L57" s="608"/>
      <c r="M57" s="608"/>
      <c r="N57" s="608"/>
      <c r="O57" s="608"/>
      <c r="P57" s="608"/>
      <c r="Q57" s="609"/>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16" t="s">
        <v>92</v>
      </c>
      <c r="E59" s="617"/>
      <c r="F59" s="618"/>
      <c r="G59" s="5"/>
      <c r="H59" s="607"/>
      <c r="I59" s="608"/>
      <c r="J59" s="608"/>
      <c r="K59" s="608"/>
      <c r="L59" s="608"/>
      <c r="M59" s="608"/>
      <c r="N59" s="608"/>
      <c r="O59" s="608"/>
      <c r="P59" s="608"/>
      <c r="Q59" s="609"/>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16" t="s">
        <v>94</v>
      </c>
      <c r="E61" s="617"/>
      <c r="F61" s="618"/>
      <c r="G61" s="5"/>
      <c r="H61" s="607"/>
      <c r="I61" s="608"/>
      <c r="J61" s="608"/>
      <c r="K61" s="608"/>
      <c r="L61" s="608"/>
      <c r="M61" s="608"/>
      <c r="N61" s="608"/>
      <c r="O61" s="608"/>
      <c r="P61" s="608"/>
      <c r="Q61" s="609"/>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16" t="s">
        <v>96</v>
      </c>
      <c r="E63" s="617"/>
      <c r="F63" s="618"/>
      <c r="G63" s="5"/>
      <c r="H63" s="607"/>
      <c r="I63" s="608"/>
      <c r="J63" s="608"/>
      <c r="K63" s="608"/>
      <c r="L63" s="608"/>
      <c r="M63" s="608"/>
      <c r="N63" s="608"/>
      <c r="O63" s="608"/>
      <c r="P63" s="608"/>
      <c r="Q63" s="609"/>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16" t="s">
        <v>98</v>
      </c>
      <c r="E65" s="617"/>
      <c r="F65" s="618"/>
      <c r="G65" s="5"/>
      <c r="H65" s="607"/>
      <c r="I65" s="608"/>
      <c r="J65" s="608"/>
      <c r="K65" s="608"/>
      <c r="L65" s="608"/>
      <c r="M65" s="608"/>
      <c r="N65" s="608"/>
      <c r="O65" s="608"/>
      <c r="P65" s="608"/>
      <c r="Q65" s="609"/>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16" t="s">
        <v>100</v>
      </c>
      <c r="E67" s="617"/>
      <c r="F67" s="618"/>
      <c r="G67" s="5"/>
      <c r="H67" s="607"/>
      <c r="I67" s="608"/>
      <c r="J67" s="608"/>
      <c r="K67" s="608"/>
      <c r="L67" s="608"/>
      <c r="M67" s="608"/>
      <c r="N67" s="608"/>
      <c r="O67" s="608"/>
      <c r="P67" s="608"/>
      <c r="Q67" s="609"/>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16" t="s">
        <v>102</v>
      </c>
      <c r="E69" s="617"/>
      <c r="F69" s="618"/>
      <c r="G69" s="5"/>
      <c r="H69" s="607"/>
      <c r="I69" s="608"/>
      <c r="J69" s="608"/>
      <c r="K69" s="608"/>
      <c r="L69" s="608"/>
      <c r="M69" s="608"/>
      <c r="N69" s="608"/>
      <c r="O69" s="608"/>
      <c r="P69" s="608"/>
      <c r="Q69" s="609"/>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16" t="s">
        <v>104</v>
      </c>
      <c r="E71" s="617"/>
      <c r="F71" s="618"/>
      <c r="G71" s="5"/>
      <c r="H71" s="607"/>
      <c r="I71" s="608"/>
      <c r="J71" s="608"/>
      <c r="K71" s="608"/>
      <c r="L71" s="608"/>
      <c r="M71" s="608"/>
      <c r="N71" s="608"/>
      <c r="O71" s="608"/>
      <c r="P71" s="608"/>
      <c r="Q71" s="609"/>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16" t="s">
        <v>106</v>
      </c>
      <c r="E73" s="617"/>
      <c r="F73" s="618"/>
      <c r="G73" s="5"/>
      <c r="H73" s="607"/>
      <c r="I73" s="608"/>
      <c r="J73" s="608"/>
      <c r="K73" s="608"/>
      <c r="L73" s="608"/>
      <c r="M73" s="608"/>
      <c r="N73" s="608"/>
      <c r="O73" s="608"/>
      <c r="P73" s="608"/>
      <c r="Q73" s="609"/>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16" t="s">
        <v>108</v>
      </c>
      <c r="E75" s="617"/>
      <c r="F75" s="618"/>
      <c r="G75" s="5"/>
      <c r="H75" s="607"/>
      <c r="I75" s="608"/>
      <c r="J75" s="608"/>
      <c r="K75" s="608"/>
      <c r="L75" s="608"/>
      <c r="M75" s="608"/>
      <c r="N75" s="608"/>
      <c r="O75" s="608"/>
      <c r="P75" s="608"/>
      <c r="Q75" s="609"/>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16" t="s">
        <v>110</v>
      </c>
      <c r="E77" s="617"/>
      <c r="F77" s="618"/>
      <c r="G77" s="5"/>
      <c r="H77" s="607"/>
      <c r="I77" s="608"/>
      <c r="J77" s="608"/>
      <c r="K77" s="608"/>
      <c r="L77" s="608"/>
      <c r="M77" s="608"/>
      <c r="N77" s="608"/>
      <c r="O77" s="608"/>
      <c r="P77" s="608"/>
      <c r="Q77" s="609"/>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16" t="s">
        <v>112</v>
      </c>
      <c r="E79" s="617"/>
      <c r="F79" s="618"/>
      <c r="G79" s="5"/>
      <c r="H79" s="607"/>
      <c r="I79" s="608"/>
      <c r="J79" s="608"/>
      <c r="K79" s="608"/>
      <c r="L79" s="608"/>
      <c r="M79" s="608"/>
      <c r="N79" s="608"/>
      <c r="O79" s="608"/>
      <c r="P79" s="608"/>
      <c r="Q79" s="609"/>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16" t="s">
        <v>114</v>
      </c>
      <c r="E81" s="617"/>
      <c r="F81" s="618"/>
      <c r="G81" s="5"/>
      <c r="H81" s="607"/>
      <c r="I81" s="608"/>
      <c r="J81" s="608"/>
      <c r="K81" s="608"/>
      <c r="L81" s="608"/>
      <c r="M81" s="608"/>
      <c r="N81" s="608"/>
      <c r="O81" s="608"/>
      <c r="P81" s="608"/>
      <c r="Q81" s="609"/>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16" t="s">
        <v>116</v>
      </c>
      <c r="E83" s="617"/>
      <c r="F83" s="618"/>
      <c r="G83" s="5"/>
      <c r="H83" s="607"/>
      <c r="I83" s="608"/>
      <c r="J83" s="608"/>
      <c r="K83" s="608"/>
      <c r="L83" s="608"/>
      <c r="M83" s="608"/>
      <c r="N83" s="608"/>
      <c r="O83" s="608"/>
      <c r="P83" s="608"/>
      <c r="Q83" s="609"/>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16" t="s">
        <v>118</v>
      </c>
      <c r="E85" s="617"/>
      <c r="F85" s="618"/>
      <c r="G85" s="5"/>
      <c r="H85" s="607"/>
      <c r="I85" s="608"/>
      <c r="J85" s="608"/>
      <c r="K85" s="608"/>
      <c r="L85" s="608"/>
      <c r="M85" s="608"/>
      <c r="N85" s="608"/>
      <c r="O85" s="608"/>
      <c r="P85" s="608"/>
      <c r="Q85" s="609"/>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16" t="s">
        <v>120</v>
      </c>
      <c r="E87" s="617"/>
      <c r="F87" s="618"/>
      <c r="G87" s="5"/>
      <c r="H87" s="607"/>
      <c r="I87" s="608"/>
      <c r="J87" s="608"/>
      <c r="K87" s="608"/>
      <c r="L87" s="608"/>
      <c r="M87" s="608"/>
      <c r="N87" s="608"/>
      <c r="O87" s="608"/>
      <c r="P87" s="608"/>
      <c r="Q87" s="609"/>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16" t="s">
        <v>122</v>
      </c>
      <c r="E89" s="617"/>
      <c r="F89" s="618"/>
      <c r="G89" s="5"/>
      <c r="H89" s="607"/>
      <c r="I89" s="608"/>
      <c r="J89" s="608"/>
      <c r="K89" s="608"/>
      <c r="L89" s="608"/>
      <c r="M89" s="608"/>
      <c r="N89" s="608"/>
      <c r="O89" s="608"/>
      <c r="P89" s="608"/>
      <c r="Q89" s="609"/>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75"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76"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24" t="s">
        <v>57</v>
      </c>
      <c r="E95" s="625"/>
      <c r="F95" s="625"/>
      <c r="G95" s="625"/>
      <c r="H95" s="625"/>
      <c r="I95" s="625"/>
      <c r="J95" s="626"/>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24" t="s">
        <v>59</v>
      </c>
      <c r="E97" s="625"/>
      <c r="F97" s="625"/>
      <c r="G97" s="625"/>
      <c r="H97" s="625"/>
      <c r="I97" s="625"/>
      <c r="J97" s="626"/>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24" t="s">
        <v>127</v>
      </c>
      <c r="E99" s="625"/>
      <c r="F99" s="625"/>
      <c r="G99" s="625"/>
      <c r="H99" s="625"/>
      <c r="I99" s="625"/>
      <c r="J99" s="626"/>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77"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24" t="s">
        <v>129</v>
      </c>
      <c r="E103" s="625"/>
      <c r="F103" s="625"/>
      <c r="G103" s="625"/>
      <c r="H103" s="625"/>
      <c r="I103" s="625"/>
      <c r="J103" s="626"/>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24" t="s">
        <v>67</v>
      </c>
      <c r="E105" s="625"/>
      <c r="F105" s="625"/>
      <c r="G105" s="625"/>
      <c r="H105" s="625"/>
      <c r="I105" s="625"/>
      <c r="J105" s="626"/>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3" t="s">
        <v>130</v>
      </c>
      <c r="C107" s="614"/>
      <c r="D107" s="614"/>
      <c r="E107" s="614"/>
      <c r="F107" s="614"/>
      <c r="G107" s="614"/>
      <c r="H107" s="614"/>
      <c r="I107" s="614"/>
      <c r="J107" s="614"/>
      <c r="K107" s="614"/>
      <c r="L107" s="614"/>
      <c r="M107" s="614"/>
      <c r="N107" s="614"/>
      <c r="O107" s="614"/>
      <c r="P107" s="614"/>
      <c r="Q107" s="614"/>
      <c r="R107" s="615"/>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8.7265625"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26"/>
      <c r="C1" s="98"/>
      <c r="D1" s="526"/>
      <c r="E1" s="92"/>
      <c r="F1" s="94"/>
      <c r="G1" s="94"/>
      <c r="H1" s="94"/>
      <c r="I1" s="526"/>
      <c r="J1" s="526"/>
      <c r="K1" s="526"/>
      <c r="L1" s="526"/>
    </row>
    <row r="2" spans="1:12" x14ac:dyDescent="0.35">
      <c r="A2" s="99"/>
      <c r="B2" s="526"/>
      <c r="C2" s="98"/>
      <c r="D2" s="526"/>
      <c r="E2" s="429" t="s">
        <v>131</v>
      </c>
      <c r="F2" s="99"/>
      <c r="G2" s="427" t="s">
        <v>132</v>
      </c>
      <c r="H2" s="94"/>
      <c r="I2" s="629"/>
      <c r="J2" s="629"/>
      <c r="K2" s="526"/>
      <c r="L2" s="526"/>
    </row>
    <row r="3" spans="1:12" ht="5.15" customHeight="1" x14ac:dyDescent="0.35">
      <c r="A3" s="99"/>
      <c r="B3" s="526"/>
      <c r="C3" s="98"/>
      <c r="D3" s="526"/>
      <c r="E3" s="99"/>
      <c r="F3" s="99"/>
      <c r="G3" s="526"/>
      <c r="H3" s="94"/>
      <c r="I3" s="526"/>
      <c r="J3" s="526"/>
      <c r="K3" s="526"/>
      <c r="L3" s="526"/>
    </row>
    <row r="4" spans="1:12" x14ac:dyDescent="0.35">
      <c r="A4" s="99"/>
      <c r="B4" s="526"/>
      <c r="C4" s="98"/>
      <c r="D4" s="526"/>
      <c r="E4" s="429" t="s">
        <v>133</v>
      </c>
      <c r="F4" s="99"/>
      <c r="G4" s="433" t="s">
        <v>134</v>
      </c>
      <c r="H4" s="94"/>
      <c r="I4" s="629"/>
      <c r="J4" s="629"/>
      <c r="K4" s="526"/>
      <c r="L4" s="526"/>
    </row>
    <row r="5" spans="1:12" hidden="1" x14ac:dyDescent="0.35">
      <c r="A5" s="99"/>
      <c r="B5" s="526"/>
      <c r="C5" s="98"/>
      <c r="D5" s="526"/>
      <c r="E5" s="99"/>
      <c r="F5" s="99"/>
      <c r="G5" s="526"/>
      <c r="H5" s="94"/>
      <c r="I5" s="526"/>
      <c r="J5" s="526"/>
      <c r="K5" s="526"/>
      <c r="L5" s="526"/>
    </row>
    <row r="6" spans="1:12" hidden="1" x14ac:dyDescent="0.35">
      <c r="A6" s="99"/>
      <c r="B6" s="526"/>
      <c r="C6" s="98"/>
      <c r="D6" s="526"/>
      <c r="E6" s="526"/>
      <c r="F6" s="99"/>
      <c r="G6" s="428"/>
      <c r="H6" s="94"/>
      <c r="I6" s="526"/>
      <c r="J6" s="526"/>
      <c r="K6" s="526"/>
      <c r="L6" s="526"/>
    </row>
    <row r="7" spans="1:12" ht="5.15" customHeight="1" x14ac:dyDescent="0.35">
      <c r="A7" s="99"/>
      <c r="B7" s="526"/>
      <c r="C7" s="98"/>
      <c r="D7" s="526"/>
      <c r="E7" s="99"/>
      <c r="F7" s="99"/>
      <c r="G7" s="526"/>
      <c r="H7" s="94"/>
      <c r="I7" s="526"/>
      <c r="J7" s="526"/>
      <c r="K7" s="526"/>
      <c r="L7" s="526"/>
    </row>
    <row r="8" spans="1:12" x14ac:dyDescent="0.35">
      <c r="A8" s="99"/>
      <c r="B8" s="526"/>
      <c r="C8" s="98"/>
      <c r="D8" s="526"/>
      <c r="E8" s="429" t="s">
        <v>12</v>
      </c>
      <c r="F8" s="99"/>
      <c r="G8" s="427" t="s">
        <v>132</v>
      </c>
      <c r="H8" s="94"/>
      <c r="I8" s="629"/>
      <c r="J8" s="629"/>
      <c r="K8" s="526"/>
      <c r="L8" s="526"/>
    </row>
    <row r="9" spans="1:12" hidden="1" x14ac:dyDescent="0.35">
      <c r="A9" s="99"/>
      <c r="B9" s="526"/>
      <c r="C9" s="98"/>
      <c r="D9" s="526"/>
      <c r="E9" s="94"/>
      <c r="F9" s="94"/>
      <c r="G9" s="100"/>
      <c r="H9" s="94"/>
      <c r="I9" s="526"/>
      <c r="J9" s="526"/>
      <c r="K9" s="526"/>
      <c r="L9" s="526"/>
    </row>
    <row r="10" spans="1:12" hidden="1" x14ac:dyDescent="0.35">
      <c r="A10" s="99"/>
      <c r="B10" s="526"/>
      <c r="C10" s="98"/>
      <c r="D10" s="526"/>
      <c r="E10" s="526"/>
      <c r="F10" s="94"/>
      <c r="G10" s="526"/>
      <c r="H10" s="94"/>
      <c r="I10" s="629"/>
      <c r="J10" s="629"/>
      <c r="K10" s="526"/>
      <c r="L10" s="526"/>
    </row>
    <row r="11" spans="1:12" hidden="1" x14ac:dyDescent="0.35">
      <c r="A11" s="94"/>
      <c r="B11" s="526"/>
      <c r="C11" s="98"/>
      <c r="D11" s="526"/>
      <c r="E11" s="526"/>
      <c r="F11" s="94"/>
      <c r="G11" s="94"/>
      <c r="H11" s="94"/>
      <c r="I11" s="95"/>
      <c r="J11" s="526"/>
      <c r="K11" s="101"/>
      <c r="L11" s="526"/>
    </row>
    <row r="12" spans="1:12" x14ac:dyDescent="0.35">
      <c r="A12" s="102"/>
      <c r="B12" s="102"/>
      <c r="C12" s="630"/>
      <c r="D12" s="630"/>
      <c r="E12" s="630"/>
      <c r="F12" s="630"/>
      <c r="G12" s="630"/>
      <c r="H12" s="630"/>
      <c r="I12" s="630"/>
      <c r="J12" s="630"/>
      <c r="K12" s="630"/>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82" t="s">
        <v>135</v>
      </c>
      <c r="F14" s="109"/>
      <c r="G14" s="109"/>
      <c r="H14" s="109"/>
      <c r="I14" s="109"/>
      <c r="J14" s="109"/>
      <c r="K14" s="110"/>
      <c r="L14" s="110"/>
    </row>
    <row r="15" spans="1:12" x14ac:dyDescent="0.35">
      <c r="A15" s="526"/>
      <c r="B15" s="526"/>
      <c r="C15" s="112"/>
      <c r="D15" s="111"/>
      <c r="E15" s="111"/>
      <c r="F15" s="93"/>
      <c r="G15" s="93"/>
      <c r="H15" s="93"/>
      <c r="I15" s="93"/>
      <c r="J15" s="93"/>
      <c r="K15" s="93"/>
      <c r="L15" s="111"/>
    </row>
    <row r="16" spans="1:12" x14ac:dyDescent="0.35">
      <c r="A16" s="526"/>
      <c r="B16" s="526"/>
      <c r="C16" s="97" t="s">
        <v>136</v>
      </c>
      <c r="D16" s="93"/>
      <c r="E16" s="627" t="s">
        <v>137</v>
      </c>
      <c r="F16" s="627"/>
      <c r="G16" s="627"/>
      <c r="H16" s="93"/>
      <c r="I16" s="126"/>
      <c r="J16" s="93"/>
      <c r="K16" s="114"/>
      <c r="L16" s="111"/>
    </row>
    <row r="17" spans="1:14" x14ac:dyDescent="0.35">
      <c r="A17" s="526"/>
      <c r="B17" s="526"/>
      <c r="C17" s="97"/>
      <c r="D17" s="99"/>
      <c r="E17" s="94"/>
      <c r="F17" s="93"/>
      <c r="G17" s="93"/>
      <c r="H17" s="93"/>
      <c r="I17" s="93"/>
      <c r="J17" s="93"/>
      <c r="K17" s="93"/>
      <c r="L17" s="111"/>
    </row>
    <row r="18" spans="1:14" ht="33.5" x14ac:dyDescent="0.75">
      <c r="A18" s="526"/>
      <c r="B18" s="526"/>
      <c r="C18" s="97" t="s">
        <v>138</v>
      </c>
      <c r="D18" s="99"/>
      <c r="E18" s="627" t="s">
        <v>139</v>
      </c>
      <c r="F18" s="627"/>
      <c r="G18" s="627"/>
      <c r="H18" s="93"/>
      <c r="I18" s="126"/>
      <c r="J18" s="93"/>
      <c r="K18" s="114"/>
      <c r="L18" s="111"/>
      <c r="N18" s="430" t="s">
        <v>37</v>
      </c>
    </row>
    <row r="19" spans="1:14" x14ac:dyDescent="0.35">
      <c r="A19" s="526"/>
      <c r="B19" s="526"/>
      <c r="C19" s="97"/>
      <c r="D19" s="99"/>
      <c r="E19" s="94"/>
      <c r="F19" s="93"/>
      <c r="G19" s="93"/>
      <c r="H19" s="93"/>
      <c r="I19" s="93"/>
      <c r="J19" s="93"/>
      <c r="K19" s="93"/>
      <c r="L19" s="93"/>
    </row>
    <row r="20" spans="1:14" ht="33.5" x14ac:dyDescent="0.75">
      <c r="A20" s="526"/>
      <c r="B20" s="526"/>
      <c r="C20" s="97" t="s">
        <v>140</v>
      </c>
      <c r="D20" s="99"/>
      <c r="E20" s="627" t="s">
        <v>141</v>
      </c>
      <c r="F20" s="627"/>
      <c r="G20" s="627"/>
      <c r="H20" s="93"/>
      <c r="I20" s="126"/>
      <c r="J20" s="93"/>
      <c r="K20" s="114"/>
      <c r="L20" s="93"/>
      <c r="N20" s="430" t="s">
        <v>37</v>
      </c>
    </row>
    <row r="21" spans="1:14" x14ac:dyDescent="0.35">
      <c r="A21" s="526"/>
      <c r="B21" s="526"/>
      <c r="C21" s="97"/>
      <c r="D21" s="99"/>
      <c r="E21" s="94"/>
      <c r="F21" s="93"/>
      <c r="G21" s="93"/>
      <c r="H21" s="93"/>
      <c r="I21" s="93"/>
      <c r="J21" s="93"/>
      <c r="K21" s="93"/>
      <c r="L21" s="93"/>
    </row>
    <row r="22" spans="1:14" x14ac:dyDescent="0.35">
      <c r="A22" s="116"/>
      <c r="B22" s="116"/>
      <c r="C22" s="116"/>
      <c r="D22" s="116"/>
      <c r="E22" s="469" t="s">
        <v>142</v>
      </c>
      <c r="F22" s="116"/>
      <c r="G22" s="116"/>
      <c r="H22" s="116"/>
      <c r="I22" s="116"/>
      <c r="J22" s="116"/>
      <c r="K22" s="116"/>
      <c r="L22" s="116"/>
    </row>
    <row r="23" spans="1:14" x14ac:dyDescent="0.35">
      <c r="A23" s="526"/>
      <c r="B23" s="526"/>
      <c r="C23" s="113"/>
      <c r="D23" s="93"/>
      <c r="E23" s="93"/>
      <c r="F23" s="93"/>
      <c r="G23" s="93"/>
      <c r="H23" s="93"/>
      <c r="I23" s="93"/>
      <c r="J23" s="93"/>
      <c r="K23" s="93"/>
      <c r="L23" s="93"/>
    </row>
    <row r="24" spans="1:14" ht="76.5" x14ac:dyDescent="1.65">
      <c r="A24" s="526"/>
      <c r="B24" s="526"/>
      <c r="C24" s="97" t="s">
        <v>143</v>
      </c>
      <c r="D24" s="99"/>
      <c r="E24" s="627" t="s">
        <v>144</v>
      </c>
      <c r="F24" s="627"/>
      <c r="G24" s="627"/>
      <c r="H24" s="93"/>
      <c r="I24" s="126"/>
      <c r="J24" s="93"/>
      <c r="K24" s="114"/>
      <c r="L24" s="93"/>
      <c r="N24" s="431" t="s">
        <v>37</v>
      </c>
    </row>
    <row r="25" spans="1:14" x14ac:dyDescent="0.35">
      <c r="A25" s="526"/>
      <c r="B25" s="526"/>
      <c r="C25" s="97"/>
      <c r="D25" s="99"/>
      <c r="E25" s="527"/>
      <c r="F25" s="93"/>
      <c r="G25" s="93"/>
      <c r="H25" s="93"/>
      <c r="I25" s="93"/>
      <c r="J25" s="93"/>
      <c r="K25" s="93"/>
      <c r="L25" s="93"/>
    </row>
    <row r="26" spans="1:14" ht="33.5" x14ac:dyDescent="0.75">
      <c r="A26" s="526"/>
      <c r="B26" s="526"/>
      <c r="C26" s="97" t="s">
        <v>145</v>
      </c>
      <c r="D26" s="99" t="s">
        <v>146</v>
      </c>
      <c r="E26" s="627" t="s">
        <v>147</v>
      </c>
      <c r="F26" s="627"/>
      <c r="G26" s="627"/>
      <c r="H26" s="93"/>
      <c r="I26" s="126"/>
      <c r="J26" s="93"/>
      <c r="K26" s="114"/>
      <c r="L26" s="93"/>
      <c r="N26" s="430" t="s">
        <v>37</v>
      </c>
    </row>
    <row r="27" spans="1:14" x14ac:dyDescent="0.35">
      <c r="A27" s="526"/>
      <c r="B27" s="526"/>
      <c r="C27" s="97"/>
      <c r="D27" s="99"/>
      <c r="E27" s="94"/>
      <c r="F27" s="93"/>
      <c r="G27" s="93"/>
      <c r="H27" s="93"/>
      <c r="I27" s="93"/>
      <c r="J27" s="93"/>
      <c r="K27" s="93"/>
      <c r="L27" s="93"/>
    </row>
    <row r="28" spans="1:14" ht="33.5" x14ac:dyDescent="0.75">
      <c r="A28" s="526"/>
      <c r="B28" s="526"/>
      <c r="C28" s="97"/>
      <c r="D28" s="99" t="s">
        <v>148</v>
      </c>
      <c r="E28" s="627" t="s">
        <v>149</v>
      </c>
      <c r="F28" s="627"/>
      <c r="G28" s="627"/>
      <c r="H28" s="93"/>
      <c r="I28" s="126"/>
      <c r="J28" s="93"/>
      <c r="K28" s="114"/>
      <c r="L28" s="93"/>
      <c r="N28" s="430" t="s">
        <v>37</v>
      </c>
    </row>
    <row r="29" spans="1:14" x14ac:dyDescent="0.35">
      <c r="A29" s="526"/>
      <c r="B29" s="526"/>
      <c r="C29" s="97"/>
      <c r="D29" s="99"/>
      <c r="E29" s="94"/>
      <c r="F29" s="93"/>
      <c r="G29" s="93"/>
      <c r="H29" s="93"/>
      <c r="I29" s="93"/>
      <c r="J29" s="93"/>
      <c r="K29" s="93"/>
      <c r="L29" s="93"/>
    </row>
    <row r="30" spans="1:14" hidden="1" x14ac:dyDescent="0.35">
      <c r="A30" s="526"/>
      <c r="B30" s="526"/>
      <c r="C30" s="97"/>
      <c r="D30" s="99" t="s">
        <v>150</v>
      </c>
      <c r="E30" s="627" t="s">
        <v>151</v>
      </c>
      <c r="F30" s="627"/>
      <c r="G30" s="627"/>
      <c r="H30" s="93"/>
      <c r="I30" s="126"/>
      <c r="J30" s="93"/>
      <c r="K30" s="114"/>
      <c r="L30" s="93"/>
    </row>
    <row r="31" spans="1:14" hidden="1" x14ac:dyDescent="0.35">
      <c r="A31" s="526"/>
      <c r="B31" s="526"/>
      <c r="C31" s="97"/>
      <c r="D31" s="99"/>
      <c r="E31" s="94"/>
      <c r="F31" s="93"/>
      <c r="G31" s="93"/>
      <c r="H31" s="93"/>
      <c r="I31" s="93"/>
      <c r="J31" s="93"/>
      <c r="K31" s="93"/>
      <c r="L31" s="93"/>
    </row>
    <row r="32" spans="1:14" x14ac:dyDescent="0.35">
      <c r="A32" s="118"/>
      <c r="B32" s="118"/>
      <c r="C32" s="118"/>
      <c r="D32" s="118"/>
      <c r="E32" s="470" t="s">
        <v>152</v>
      </c>
      <c r="F32" s="118"/>
      <c r="G32" s="118"/>
      <c r="H32" s="118"/>
      <c r="I32" s="118"/>
      <c r="J32" s="118"/>
      <c r="K32" s="118"/>
      <c r="L32" s="118"/>
    </row>
    <row r="33" spans="1:14" x14ac:dyDescent="0.35">
      <c r="A33" s="526"/>
      <c r="B33" s="526"/>
      <c r="C33" s="113"/>
      <c r="D33" s="93"/>
      <c r="E33" s="93"/>
      <c r="F33" s="93"/>
      <c r="G33" s="93"/>
      <c r="H33" s="93"/>
      <c r="I33" s="93"/>
      <c r="J33" s="93"/>
      <c r="K33" s="93"/>
      <c r="L33" s="93"/>
    </row>
    <row r="34" spans="1:14" x14ac:dyDescent="0.35">
      <c r="A34" s="526"/>
      <c r="B34" s="526"/>
      <c r="C34" s="97" t="s">
        <v>153</v>
      </c>
      <c r="D34" s="99"/>
      <c r="E34" s="627" t="s">
        <v>154</v>
      </c>
      <c r="F34" s="627"/>
      <c r="G34" s="627"/>
      <c r="H34" s="93"/>
      <c r="I34" s="126"/>
      <c r="J34" s="93"/>
      <c r="K34" s="114"/>
      <c r="L34" s="93"/>
    </row>
    <row r="35" spans="1:14" x14ac:dyDescent="0.35">
      <c r="A35" s="526"/>
      <c r="B35" s="526"/>
      <c r="C35" s="113"/>
      <c r="D35" s="93"/>
      <c r="E35" s="93"/>
      <c r="F35" s="93"/>
      <c r="G35" s="93"/>
      <c r="H35" s="93"/>
      <c r="I35" s="93"/>
      <c r="J35" s="93"/>
      <c r="K35" s="93"/>
      <c r="L35" s="93"/>
    </row>
    <row r="36" spans="1:14" x14ac:dyDescent="0.35">
      <c r="A36" s="526"/>
      <c r="B36" s="526"/>
      <c r="C36" s="118"/>
      <c r="D36" s="118"/>
      <c r="E36" s="119" t="s">
        <v>155</v>
      </c>
      <c r="F36" s="118"/>
      <c r="G36" s="118"/>
      <c r="H36" s="118"/>
      <c r="I36" s="118"/>
      <c r="J36" s="118"/>
      <c r="K36" s="118"/>
      <c r="L36" s="93"/>
    </row>
    <row r="37" spans="1:14" x14ac:dyDescent="0.35">
      <c r="A37" s="526"/>
      <c r="B37" s="526"/>
      <c r="C37" s="113"/>
      <c r="D37" s="93"/>
      <c r="E37" s="93"/>
      <c r="F37" s="93"/>
      <c r="G37" s="93"/>
      <c r="H37" s="93"/>
      <c r="I37" s="93"/>
      <c r="J37" s="93"/>
      <c r="K37" s="93"/>
      <c r="L37" s="93"/>
    </row>
    <row r="38" spans="1:14" ht="58" x14ac:dyDescent="0.75">
      <c r="A38" s="526"/>
      <c r="B38" s="526"/>
      <c r="C38" s="97" t="s">
        <v>156</v>
      </c>
      <c r="D38" s="99"/>
      <c r="E38" s="627" t="s">
        <v>157</v>
      </c>
      <c r="F38" s="627"/>
      <c r="G38" s="627"/>
      <c r="H38" s="93"/>
      <c r="I38" s="126" t="s">
        <v>158</v>
      </c>
      <c r="J38" s="93"/>
      <c r="K38" s="114" t="s">
        <v>159</v>
      </c>
      <c r="L38" s="93"/>
      <c r="N38" s="430" t="s">
        <v>37</v>
      </c>
    </row>
    <row r="39" spans="1:14" x14ac:dyDescent="0.35">
      <c r="A39" s="526"/>
      <c r="B39" s="526"/>
      <c r="C39" s="113"/>
      <c r="D39" s="93"/>
      <c r="E39" s="93"/>
      <c r="F39" s="93"/>
      <c r="G39" s="93"/>
      <c r="H39" s="93"/>
      <c r="I39" s="93"/>
      <c r="J39" s="93"/>
      <c r="K39" s="93"/>
      <c r="L39" s="93"/>
    </row>
    <row r="40" spans="1:14" x14ac:dyDescent="0.35">
      <c r="A40" s="526"/>
      <c r="B40" s="526"/>
      <c r="C40" s="118"/>
      <c r="D40" s="118"/>
      <c r="E40" s="119" t="s">
        <v>160</v>
      </c>
      <c r="F40" s="118"/>
      <c r="G40" s="118"/>
      <c r="H40" s="118"/>
      <c r="I40" s="118"/>
      <c r="J40" s="118"/>
      <c r="K40" s="118"/>
      <c r="L40" s="93"/>
    </row>
    <row r="41" spans="1:14" x14ac:dyDescent="0.35">
      <c r="A41" s="526"/>
      <c r="B41" s="526"/>
      <c r="C41" s="113"/>
      <c r="D41" s="93"/>
      <c r="E41" s="93"/>
      <c r="F41" s="93"/>
      <c r="G41" s="93"/>
      <c r="H41" s="93"/>
      <c r="I41" s="93"/>
      <c r="J41" s="93"/>
      <c r="K41" s="93"/>
      <c r="L41" s="93"/>
    </row>
    <row r="42" spans="1:14" ht="43.5" x14ac:dyDescent="0.35">
      <c r="A42" s="526"/>
      <c r="B42" s="526"/>
      <c r="C42" s="120" t="s">
        <v>161</v>
      </c>
      <c r="D42" s="121"/>
      <c r="E42" s="627" t="s">
        <v>162</v>
      </c>
      <c r="F42" s="627"/>
      <c r="G42" s="627"/>
      <c r="H42" s="93"/>
      <c r="I42" s="126" t="s">
        <v>158</v>
      </c>
      <c r="J42" s="93"/>
      <c r="K42" s="114" t="s">
        <v>163</v>
      </c>
      <c r="L42" s="93"/>
    </row>
    <row r="43" spans="1:14" x14ac:dyDescent="0.35">
      <c r="A43" s="526"/>
      <c r="B43" s="526"/>
      <c r="C43" s="113"/>
      <c r="D43" s="93"/>
      <c r="E43" s="93"/>
      <c r="F43" s="93"/>
      <c r="G43" s="93"/>
      <c r="H43" s="93"/>
      <c r="I43" s="93"/>
      <c r="J43" s="93"/>
      <c r="K43" s="93"/>
      <c r="L43" s="93"/>
    </row>
    <row r="44" spans="1:14" x14ac:dyDescent="0.35">
      <c r="A44" s="526"/>
      <c r="B44" s="526"/>
      <c r="C44" s="118"/>
      <c r="D44" s="118"/>
      <c r="E44" s="119" t="s">
        <v>164</v>
      </c>
      <c r="F44" s="122"/>
      <c r="G44" s="122"/>
      <c r="H44" s="122"/>
      <c r="I44" s="122"/>
      <c r="J44" s="122"/>
      <c r="K44" s="122"/>
      <c r="L44" s="93"/>
    </row>
    <row r="45" spans="1:14" x14ac:dyDescent="0.35">
      <c r="A45" s="526"/>
      <c r="B45" s="526"/>
      <c r="C45" s="113"/>
      <c r="D45" s="93"/>
      <c r="E45" s="93"/>
      <c r="F45" s="93"/>
      <c r="G45" s="93"/>
      <c r="H45" s="93"/>
      <c r="I45" s="93"/>
      <c r="J45" s="93"/>
      <c r="K45" s="93"/>
      <c r="L45" s="93"/>
    </row>
    <row r="46" spans="1:14" ht="33.5" x14ac:dyDescent="0.75">
      <c r="A46" s="526"/>
      <c r="B46" s="526"/>
      <c r="C46" s="120" t="s">
        <v>165</v>
      </c>
      <c r="D46" s="121"/>
      <c r="E46" s="627" t="s">
        <v>166</v>
      </c>
      <c r="F46" s="627"/>
      <c r="G46" s="627"/>
      <c r="H46" s="93"/>
      <c r="I46" s="126"/>
      <c r="J46" s="93"/>
      <c r="K46" s="114"/>
      <c r="L46" s="93"/>
      <c r="N46" s="430" t="s">
        <v>37</v>
      </c>
    </row>
    <row r="47" spans="1:14" x14ac:dyDescent="0.35">
      <c r="A47" s="526"/>
      <c r="B47" s="526"/>
      <c r="C47" s="113"/>
      <c r="D47" s="93"/>
      <c r="E47" s="93"/>
      <c r="F47" s="93"/>
      <c r="G47" s="93"/>
      <c r="H47" s="93"/>
      <c r="I47" s="93"/>
      <c r="J47" s="93"/>
      <c r="K47" s="93"/>
      <c r="L47" s="93"/>
    </row>
    <row r="48" spans="1:14" ht="33.5" x14ac:dyDescent="0.75">
      <c r="A48" s="526"/>
      <c r="B48" s="526"/>
      <c r="C48" s="120" t="s">
        <v>167</v>
      </c>
      <c r="D48" s="121"/>
      <c r="E48" s="627" t="s">
        <v>168</v>
      </c>
      <c r="F48" s="627"/>
      <c r="G48" s="627"/>
      <c r="H48" s="93"/>
      <c r="I48" s="126"/>
      <c r="J48" s="93"/>
      <c r="K48" s="114"/>
      <c r="L48" s="93"/>
      <c r="N48" s="430" t="s">
        <v>37</v>
      </c>
    </row>
    <row r="49" spans="1:12" x14ac:dyDescent="0.35">
      <c r="A49" s="526"/>
      <c r="B49" s="526"/>
      <c r="C49" s="113"/>
      <c r="D49" s="93"/>
      <c r="E49" s="93"/>
      <c r="F49" s="93"/>
      <c r="G49" s="93"/>
      <c r="H49" s="93"/>
      <c r="I49" s="93"/>
      <c r="J49" s="93"/>
      <c r="K49" s="93"/>
      <c r="L49" s="93"/>
    </row>
    <row r="50" spans="1:12" ht="43.5" x14ac:dyDescent="0.35">
      <c r="A50" s="526"/>
      <c r="B50" s="526"/>
      <c r="C50" s="120" t="s">
        <v>169</v>
      </c>
      <c r="D50" s="121"/>
      <c r="E50" s="627" t="s">
        <v>170</v>
      </c>
      <c r="F50" s="627"/>
      <c r="G50" s="627"/>
      <c r="H50" s="93"/>
      <c r="I50" s="126" t="s">
        <v>158</v>
      </c>
      <c r="J50" s="93"/>
      <c r="K50" s="114" t="s">
        <v>171</v>
      </c>
      <c r="L50" s="93"/>
    </row>
    <row r="51" spans="1:12" x14ac:dyDescent="0.35">
      <c r="A51" s="526"/>
      <c r="B51" s="526"/>
      <c r="C51" s="113"/>
      <c r="D51" s="93"/>
      <c r="E51" s="93"/>
      <c r="F51" s="93"/>
      <c r="G51" s="93"/>
      <c r="H51" s="93"/>
      <c r="I51" s="93"/>
      <c r="J51" s="93"/>
      <c r="K51" s="93"/>
      <c r="L51" s="93"/>
    </row>
    <row r="52" spans="1:12" x14ac:dyDescent="0.35">
      <c r="A52" s="526"/>
      <c r="B52" s="124"/>
      <c r="C52" s="124"/>
      <c r="D52" s="124"/>
      <c r="E52" s="472" t="s">
        <v>172</v>
      </c>
      <c r="F52" s="124"/>
      <c r="G52" s="124"/>
      <c r="H52" s="124"/>
      <c r="I52" s="124"/>
      <c r="J52" s="124"/>
      <c r="K52" s="124"/>
      <c r="L52" s="124"/>
    </row>
    <row r="53" spans="1:12" x14ac:dyDescent="0.35">
      <c r="A53" s="526"/>
      <c r="B53" s="526"/>
      <c r="C53" s="113"/>
      <c r="D53" s="93"/>
      <c r="E53" s="93"/>
      <c r="F53" s="93"/>
      <c r="G53" s="93"/>
      <c r="H53" s="93"/>
      <c r="I53" s="93"/>
      <c r="J53" s="93"/>
      <c r="K53" s="93"/>
      <c r="L53" s="93"/>
    </row>
    <row r="54" spans="1:12" x14ac:dyDescent="0.35">
      <c r="A54" s="526"/>
      <c r="B54" s="526"/>
      <c r="C54" s="124"/>
      <c r="D54" s="124"/>
      <c r="E54" s="125" t="s">
        <v>173</v>
      </c>
      <c r="F54" s="124"/>
      <c r="G54" s="124"/>
      <c r="H54" s="124"/>
      <c r="I54" s="124"/>
      <c r="J54" s="124"/>
      <c r="K54" s="124"/>
      <c r="L54" s="93"/>
    </row>
    <row r="55" spans="1:12" x14ac:dyDescent="0.35">
      <c r="A55" s="526"/>
      <c r="B55" s="526"/>
      <c r="C55" s="113"/>
      <c r="D55" s="93"/>
      <c r="E55" s="93"/>
      <c r="F55" s="93"/>
      <c r="G55" s="93"/>
      <c r="H55" s="93"/>
      <c r="I55" s="93"/>
      <c r="J55" s="93"/>
      <c r="K55" s="93"/>
      <c r="L55" s="93"/>
    </row>
    <row r="56" spans="1:12" x14ac:dyDescent="0.35">
      <c r="A56" s="526"/>
      <c r="B56" s="526"/>
      <c r="C56" s="120" t="s">
        <v>174</v>
      </c>
      <c r="D56" s="121"/>
      <c r="E56" s="627" t="s">
        <v>175</v>
      </c>
      <c r="F56" s="627"/>
      <c r="G56" s="627"/>
      <c r="H56" s="93"/>
      <c r="I56" s="126"/>
      <c r="J56" s="93"/>
      <c r="K56" s="114"/>
      <c r="L56" s="93"/>
    </row>
    <row r="57" spans="1:12" x14ac:dyDescent="0.35">
      <c r="A57" s="526"/>
      <c r="B57" s="526"/>
      <c r="C57" s="113"/>
      <c r="D57" s="93"/>
      <c r="E57" s="93"/>
      <c r="F57" s="93"/>
      <c r="G57" s="93"/>
      <c r="H57" s="93"/>
      <c r="I57" s="93"/>
      <c r="J57" s="93"/>
      <c r="K57" s="93"/>
      <c r="L57" s="93"/>
    </row>
    <row r="58" spans="1:12" x14ac:dyDescent="0.35">
      <c r="A58" s="526"/>
      <c r="B58" s="526"/>
      <c r="C58" s="124"/>
      <c r="D58" s="124"/>
      <c r="E58" s="125" t="s">
        <v>176</v>
      </c>
      <c r="F58" s="124"/>
      <c r="G58" s="124"/>
      <c r="H58" s="124"/>
      <c r="I58" s="124"/>
      <c r="J58" s="124"/>
      <c r="K58" s="124"/>
      <c r="L58" s="93"/>
    </row>
    <row r="59" spans="1:12" x14ac:dyDescent="0.35">
      <c r="A59" s="526"/>
      <c r="B59" s="526"/>
      <c r="C59" s="113"/>
      <c r="D59" s="93"/>
      <c r="E59" s="93"/>
      <c r="F59" s="93"/>
      <c r="G59" s="93"/>
      <c r="H59" s="93"/>
      <c r="I59" s="93"/>
      <c r="J59" s="93"/>
      <c r="K59" s="93"/>
      <c r="L59" s="93"/>
    </row>
    <row r="60" spans="1:12" x14ac:dyDescent="0.35">
      <c r="A60" s="526"/>
      <c r="B60" s="526"/>
      <c r="C60" s="120" t="s">
        <v>177</v>
      </c>
      <c r="D60" s="121"/>
      <c r="E60" s="627" t="s">
        <v>178</v>
      </c>
      <c r="F60" s="627"/>
      <c r="G60" s="627"/>
      <c r="H60" s="93"/>
      <c r="I60" s="126"/>
      <c r="J60" s="93"/>
      <c r="K60" s="114"/>
      <c r="L60" s="93"/>
    </row>
    <row r="61" spans="1:12" x14ac:dyDescent="0.35">
      <c r="A61" s="526"/>
      <c r="B61" s="526"/>
      <c r="C61" s="113"/>
      <c r="D61" s="93"/>
      <c r="E61" s="94"/>
      <c r="F61" s="93"/>
      <c r="G61" s="93"/>
      <c r="H61" s="93"/>
      <c r="I61" s="93"/>
      <c r="J61" s="93"/>
      <c r="K61" s="93"/>
      <c r="L61" s="93"/>
    </row>
    <row r="62" spans="1:12" x14ac:dyDescent="0.35">
      <c r="A62" s="526"/>
      <c r="B62" s="526"/>
      <c r="C62" s="124"/>
      <c r="D62" s="124"/>
      <c r="E62" s="125" t="s">
        <v>179</v>
      </c>
      <c r="F62" s="124"/>
      <c r="G62" s="124"/>
      <c r="H62" s="124"/>
      <c r="I62" s="124"/>
      <c r="J62" s="124"/>
      <c r="K62" s="124"/>
      <c r="L62" s="93"/>
    </row>
    <row r="63" spans="1:12" x14ac:dyDescent="0.35">
      <c r="A63" s="526"/>
      <c r="B63" s="526"/>
      <c r="C63" s="97"/>
      <c r="D63" s="99"/>
      <c r="E63" s="94"/>
      <c r="F63" s="93"/>
      <c r="G63" s="93"/>
      <c r="H63" s="93"/>
      <c r="I63" s="93"/>
      <c r="J63" s="93"/>
      <c r="K63" s="93"/>
      <c r="L63" s="93"/>
    </row>
    <row r="64" spans="1:12" x14ac:dyDescent="0.35">
      <c r="A64" s="526"/>
      <c r="B64" s="526"/>
      <c r="C64" s="97" t="s">
        <v>180</v>
      </c>
      <c r="D64" s="99" t="s">
        <v>146</v>
      </c>
      <c r="E64" s="627" t="s">
        <v>181</v>
      </c>
      <c r="F64" s="627"/>
      <c r="G64" s="627"/>
      <c r="H64" s="93"/>
      <c r="I64" s="126"/>
      <c r="J64" s="93"/>
      <c r="K64" s="114"/>
      <c r="L64" s="93"/>
    </row>
    <row r="65" spans="1:14" x14ac:dyDescent="0.35">
      <c r="A65" s="526"/>
      <c r="B65" s="526"/>
      <c r="C65" s="97"/>
      <c r="D65" s="99"/>
      <c r="E65" s="94"/>
      <c r="F65" s="93"/>
      <c r="G65" s="93"/>
      <c r="H65" s="93"/>
      <c r="I65" s="93"/>
      <c r="J65" s="93"/>
      <c r="K65" s="93"/>
      <c r="L65" s="93"/>
    </row>
    <row r="66" spans="1:14" x14ac:dyDescent="0.35">
      <c r="A66" s="526"/>
      <c r="B66" s="526"/>
      <c r="C66" s="97"/>
      <c r="D66" s="99" t="s">
        <v>148</v>
      </c>
      <c r="E66" s="627" t="s">
        <v>182</v>
      </c>
      <c r="F66" s="627"/>
      <c r="G66" s="627"/>
      <c r="H66" s="93"/>
      <c r="I66" s="126"/>
      <c r="J66" s="93"/>
      <c r="K66" s="114"/>
      <c r="L66" s="93"/>
    </row>
    <row r="67" spans="1:14" x14ac:dyDescent="0.35">
      <c r="A67" s="526"/>
      <c r="B67" s="526"/>
      <c r="C67" s="113"/>
      <c r="D67" s="93"/>
      <c r="E67" s="93"/>
      <c r="F67" s="93"/>
      <c r="G67" s="93"/>
      <c r="H67" s="93"/>
      <c r="I67" s="93"/>
      <c r="J67" s="93"/>
      <c r="K67" s="93"/>
      <c r="L67" s="93"/>
    </row>
    <row r="68" spans="1:14" x14ac:dyDescent="0.35">
      <c r="A68" s="526"/>
      <c r="B68" s="526"/>
      <c r="C68" s="124"/>
      <c r="D68" s="124"/>
      <c r="E68" s="125" t="s">
        <v>183</v>
      </c>
      <c r="F68" s="124"/>
      <c r="G68" s="124"/>
      <c r="H68" s="124"/>
      <c r="I68" s="124"/>
      <c r="J68" s="124"/>
      <c r="K68" s="124"/>
      <c r="L68" s="93"/>
    </row>
    <row r="69" spans="1:14" x14ac:dyDescent="0.35">
      <c r="A69" s="526"/>
      <c r="B69" s="526"/>
      <c r="C69" s="97"/>
      <c r="D69" s="99"/>
      <c r="E69" s="94"/>
      <c r="F69" s="93"/>
      <c r="G69" s="93"/>
      <c r="H69" s="93"/>
      <c r="I69" s="93"/>
      <c r="J69" s="93"/>
      <c r="K69" s="93"/>
      <c r="L69" s="93"/>
    </row>
    <row r="70" spans="1:14" x14ac:dyDescent="0.35">
      <c r="A70" s="526"/>
      <c r="B70" s="526"/>
      <c r="C70" s="97" t="s">
        <v>184</v>
      </c>
      <c r="D70" s="99" t="s">
        <v>146</v>
      </c>
      <c r="E70" s="627" t="s">
        <v>185</v>
      </c>
      <c r="F70" s="627"/>
      <c r="G70" s="627"/>
      <c r="H70" s="93"/>
      <c r="I70" s="126"/>
      <c r="J70" s="93"/>
      <c r="K70" s="114"/>
      <c r="L70" s="93"/>
    </row>
    <row r="71" spans="1:14" x14ac:dyDescent="0.35">
      <c r="A71" s="526"/>
      <c r="B71" s="526"/>
      <c r="C71" s="97"/>
      <c r="D71" s="99"/>
      <c r="E71" s="94"/>
      <c r="F71" s="93"/>
      <c r="G71" s="93"/>
      <c r="H71" s="93"/>
      <c r="I71" s="93"/>
      <c r="J71" s="93"/>
      <c r="K71" s="93"/>
      <c r="L71" s="93"/>
    </row>
    <row r="72" spans="1:14" ht="51" x14ac:dyDescent="1.1000000000000001">
      <c r="A72" s="526"/>
      <c r="B72" s="526"/>
      <c r="C72" s="97"/>
      <c r="D72" s="135" t="s">
        <v>148</v>
      </c>
      <c r="E72" s="627" t="s">
        <v>186</v>
      </c>
      <c r="F72" s="627"/>
      <c r="G72" s="627"/>
      <c r="H72" s="93"/>
      <c r="I72" s="126"/>
      <c r="J72" s="93"/>
      <c r="K72" s="114"/>
      <c r="L72" s="93"/>
      <c r="N72" s="432" t="s">
        <v>37</v>
      </c>
    </row>
    <row r="73" spans="1:14" x14ac:dyDescent="0.35">
      <c r="A73" s="526"/>
      <c r="B73" s="526"/>
      <c r="C73" s="113"/>
      <c r="D73" s="93"/>
      <c r="E73" s="93"/>
      <c r="F73" s="93"/>
      <c r="G73" s="93"/>
      <c r="H73" s="93"/>
      <c r="I73" s="93"/>
      <c r="J73" s="93"/>
      <c r="K73" s="93"/>
      <c r="L73" s="93"/>
    </row>
    <row r="74" spans="1:14" x14ac:dyDescent="0.35">
      <c r="A74" s="526"/>
      <c r="B74" s="526"/>
      <c r="C74" s="124"/>
      <c r="D74" s="124"/>
      <c r="E74" s="125" t="s">
        <v>187</v>
      </c>
      <c r="F74" s="124"/>
      <c r="G74" s="124"/>
      <c r="H74" s="124"/>
      <c r="I74" s="124"/>
      <c r="J74" s="124"/>
      <c r="K74" s="124"/>
      <c r="L74" s="93"/>
    </row>
    <row r="75" spans="1:14" x14ac:dyDescent="0.35">
      <c r="A75" s="526"/>
      <c r="B75" s="526"/>
      <c r="C75" s="97"/>
      <c r="D75" s="99"/>
      <c r="E75" s="94"/>
      <c r="F75" s="93"/>
      <c r="G75" s="93"/>
      <c r="H75" s="93"/>
      <c r="I75" s="96"/>
      <c r="J75" s="111"/>
      <c r="K75" s="111"/>
      <c r="L75" s="93"/>
    </row>
    <row r="76" spans="1:14" x14ac:dyDescent="0.35">
      <c r="A76" s="526"/>
      <c r="B76" s="526"/>
      <c r="C76" s="97" t="s">
        <v>188</v>
      </c>
      <c r="D76" s="99" t="s">
        <v>146</v>
      </c>
      <c r="E76" s="627" t="s">
        <v>189</v>
      </c>
      <c r="F76" s="627"/>
      <c r="G76" s="627"/>
      <c r="H76" s="93"/>
      <c r="I76" s="126"/>
      <c r="J76" s="93"/>
      <c r="K76" s="114"/>
      <c r="L76" s="93"/>
    </row>
    <row r="77" spans="1:14" x14ac:dyDescent="0.35">
      <c r="A77" s="526"/>
      <c r="B77" s="526"/>
      <c r="C77" s="97"/>
      <c r="D77" s="99"/>
      <c r="E77" s="94"/>
      <c r="F77" s="93"/>
      <c r="G77" s="93"/>
      <c r="H77" s="93"/>
      <c r="I77" s="93"/>
      <c r="J77" s="93"/>
      <c r="K77" s="93"/>
      <c r="L77" s="93"/>
    </row>
    <row r="78" spans="1:14" x14ac:dyDescent="0.35">
      <c r="A78" s="526"/>
      <c r="B78" s="526"/>
      <c r="C78" s="97"/>
      <c r="D78" s="99" t="s">
        <v>148</v>
      </c>
      <c r="E78" s="627" t="s">
        <v>190</v>
      </c>
      <c r="F78" s="627"/>
      <c r="G78" s="627"/>
      <c r="H78" s="93"/>
      <c r="I78" s="126"/>
      <c r="J78" s="93"/>
      <c r="K78" s="114"/>
      <c r="L78" s="93"/>
    </row>
    <row r="79" spans="1:14" x14ac:dyDescent="0.35">
      <c r="A79" s="526"/>
      <c r="B79" s="526"/>
      <c r="C79" s="113"/>
      <c r="D79" s="93"/>
      <c r="E79" s="93"/>
      <c r="F79" s="93"/>
      <c r="G79" s="93"/>
      <c r="H79" s="93"/>
      <c r="I79" s="93"/>
      <c r="J79" s="93"/>
      <c r="K79" s="93"/>
      <c r="L79" s="93"/>
    </row>
    <row r="80" spans="1:14" x14ac:dyDescent="0.35">
      <c r="A80" s="526"/>
      <c r="B80" s="526"/>
      <c r="C80" s="124"/>
      <c r="D80" s="124"/>
      <c r="E80" s="125" t="s">
        <v>191</v>
      </c>
      <c r="F80" s="124"/>
      <c r="G80" s="124"/>
      <c r="H80" s="124"/>
      <c r="I80" s="124"/>
      <c r="J80" s="124"/>
      <c r="K80" s="124"/>
      <c r="L80" s="93"/>
    </row>
    <row r="81" spans="1:14" x14ac:dyDescent="0.35">
      <c r="A81" s="526"/>
      <c r="B81" s="526"/>
      <c r="C81" s="113"/>
      <c r="D81" s="93"/>
      <c r="E81" s="93"/>
      <c r="F81" s="93"/>
      <c r="G81" s="93"/>
      <c r="H81" s="93"/>
      <c r="I81" s="93"/>
      <c r="J81" s="93"/>
      <c r="K81" s="93"/>
      <c r="L81" s="93"/>
    </row>
    <row r="82" spans="1:14" ht="33.5" x14ac:dyDescent="0.75">
      <c r="A82" s="526"/>
      <c r="B82" s="526"/>
      <c r="C82" s="120" t="s">
        <v>192</v>
      </c>
      <c r="D82" s="121"/>
      <c r="E82" s="627" t="s">
        <v>193</v>
      </c>
      <c r="F82" s="627"/>
      <c r="G82" s="627"/>
      <c r="H82" s="93"/>
      <c r="I82" s="126"/>
      <c r="J82" s="93"/>
      <c r="K82" s="114"/>
      <c r="L82" s="93"/>
      <c r="N82" s="430" t="s">
        <v>37</v>
      </c>
    </row>
    <row r="83" spans="1:14" ht="11.25" customHeight="1" x14ac:dyDescent="0.35">
      <c r="A83" s="93"/>
      <c r="B83" s="93"/>
      <c r="C83" s="113"/>
      <c r="D83" s="93"/>
      <c r="E83" s="93"/>
      <c r="F83" s="93"/>
      <c r="G83" s="93"/>
      <c r="H83" s="93"/>
      <c r="I83" s="93"/>
      <c r="J83" s="93"/>
      <c r="K83" s="111"/>
      <c r="L83" s="111"/>
    </row>
    <row r="84" spans="1:14" ht="18.75" customHeight="1" x14ac:dyDescent="0.35">
      <c r="A84" s="595" t="s">
        <v>194</v>
      </c>
      <c r="B84" s="596"/>
      <c r="C84" s="596"/>
      <c r="D84" s="596"/>
      <c r="E84" s="596"/>
      <c r="F84" s="596"/>
      <c r="G84" s="596"/>
      <c r="H84" s="596"/>
      <c r="I84" s="596"/>
      <c r="J84" s="596"/>
      <c r="K84" s="596"/>
      <c r="L84" s="628"/>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 zoomScaleNormal="100" workbookViewId="0">
      <selection activeCell="D11" sqref="D11:F11"/>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337"/>
      <c r="C1" s="631" t="s">
        <v>69</v>
      </c>
      <c r="D1" s="631"/>
      <c r="E1" s="631"/>
      <c r="F1" s="631"/>
      <c r="G1" s="631"/>
      <c r="H1" s="631"/>
      <c r="I1" s="631"/>
      <c r="J1" s="631"/>
      <c r="K1" s="631"/>
      <c r="L1" s="631"/>
      <c r="M1" s="631"/>
      <c r="N1" s="631"/>
      <c r="O1" s="631"/>
      <c r="P1" s="631"/>
      <c r="Q1" s="631"/>
    </row>
    <row r="2" spans="1:18" s="236" customFormat="1" x14ac:dyDescent="0.35">
      <c r="A2" s="336"/>
      <c r="B2" s="338"/>
      <c r="C2" s="631"/>
      <c r="D2" s="631"/>
      <c r="E2" s="631"/>
      <c r="F2" s="631"/>
      <c r="G2" s="631"/>
      <c r="H2" s="631"/>
      <c r="I2" s="631"/>
      <c r="J2" s="631"/>
      <c r="K2" s="631"/>
      <c r="L2" s="631"/>
      <c r="M2" s="631"/>
      <c r="N2" s="631"/>
      <c r="O2" s="631"/>
      <c r="P2" s="631"/>
      <c r="Q2" s="631"/>
      <c r="R2" s="337"/>
    </row>
    <row r="3" spans="1:18" s="341" customFormat="1" ht="9.75" customHeight="1" x14ac:dyDescent="0.35">
      <c r="A3" s="336"/>
      <c r="B3" s="339"/>
      <c r="C3" s="632"/>
      <c r="D3" s="632"/>
      <c r="E3" s="632"/>
      <c r="F3" s="632"/>
      <c r="G3" s="632"/>
      <c r="H3" s="632"/>
      <c r="I3" s="632"/>
      <c r="J3" s="632"/>
      <c r="K3" s="632"/>
      <c r="L3" s="632"/>
      <c r="M3" s="632"/>
      <c r="N3" s="632"/>
      <c r="O3" s="632"/>
      <c r="P3" s="632"/>
      <c r="Q3" s="632"/>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66"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33" t="s">
        <v>18</v>
      </c>
      <c r="E7" s="634"/>
      <c r="F7" s="635"/>
      <c r="G7" s="343"/>
      <c r="H7" s="604" t="s">
        <v>446</v>
      </c>
      <c r="I7" s="605"/>
      <c r="J7" s="605"/>
      <c r="K7" s="605"/>
      <c r="L7" s="605"/>
      <c r="M7" s="605"/>
      <c r="N7" s="605"/>
      <c r="O7" s="605"/>
      <c r="P7" s="605"/>
      <c r="Q7" s="606"/>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33" t="s">
        <v>20</v>
      </c>
      <c r="E9" s="634"/>
      <c r="F9" s="635"/>
      <c r="G9" s="343"/>
      <c r="H9" s="604" t="s">
        <v>448</v>
      </c>
      <c r="I9" s="605"/>
      <c r="J9" s="605"/>
      <c r="K9" s="605"/>
      <c r="L9" s="605"/>
      <c r="M9" s="605"/>
      <c r="N9" s="605"/>
      <c r="O9" s="605"/>
      <c r="P9" s="605"/>
      <c r="Q9" s="606"/>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33" t="s">
        <v>71</v>
      </c>
      <c r="E11" s="634"/>
      <c r="F11" s="635"/>
      <c r="G11" s="343"/>
      <c r="H11" s="604"/>
      <c r="I11" s="605"/>
      <c r="J11" s="605"/>
      <c r="K11" s="605"/>
      <c r="L11" s="605"/>
      <c r="M11" s="605"/>
      <c r="N11" s="605"/>
      <c r="O11" s="605"/>
      <c r="P11" s="605"/>
      <c r="Q11" s="606"/>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33" t="s">
        <v>24</v>
      </c>
      <c r="E13" s="634"/>
      <c r="F13" s="635"/>
      <c r="G13" s="343"/>
      <c r="H13" s="604"/>
      <c r="I13" s="605"/>
      <c r="J13" s="605"/>
      <c r="K13" s="605"/>
      <c r="L13" s="605"/>
      <c r="M13" s="605"/>
      <c r="N13" s="605"/>
      <c r="O13" s="605"/>
      <c r="P13" s="605"/>
      <c r="Q13" s="606"/>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33" t="s">
        <v>26</v>
      </c>
      <c r="E15" s="634"/>
      <c r="F15" s="635"/>
      <c r="G15" s="343"/>
      <c r="H15" s="604"/>
      <c r="I15" s="605"/>
      <c r="J15" s="605"/>
      <c r="K15" s="605"/>
      <c r="L15" s="605"/>
      <c r="M15" s="605"/>
      <c r="N15" s="605"/>
      <c r="O15" s="605"/>
      <c r="P15" s="605"/>
      <c r="Q15" s="606"/>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33" t="s">
        <v>28</v>
      </c>
      <c r="E17" s="634"/>
      <c r="F17" s="635"/>
      <c r="G17" s="343"/>
      <c r="H17" s="732" t="s">
        <v>447</v>
      </c>
      <c r="I17" s="605"/>
      <c r="J17" s="605"/>
      <c r="K17" s="605"/>
      <c r="L17" s="605"/>
      <c r="M17" s="605"/>
      <c r="N17" s="605"/>
      <c r="O17" s="605"/>
      <c r="P17" s="605"/>
      <c r="Q17" s="606"/>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33" t="s">
        <v>30</v>
      </c>
      <c r="E19" s="634"/>
      <c r="F19" s="635"/>
      <c r="G19" s="357" t="s">
        <v>31</v>
      </c>
      <c r="H19" s="733">
        <v>43769</v>
      </c>
      <c r="I19" s="734"/>
      <c r="J19" s="734"/>
      <c r="K19" s="734"/>
      <c r="L19" s="734"/>
      <c r="M19" s="734"/>
      <c r="N19" s="734"/>
      <c r="O19" s="734"/>
      <c r="P19" s="734"/>
      <c r="Q19" s="735"/>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33" t="s">
        <v>73</v>
      </c>
      <c r="E21" s="634"/>
      <c r="F21" s="635"/>
      <c r="G21" s="359" t="s">
        <v>31</v>
      </c>
      <c r="H21" s="604" t="s">
        <v>195</v>
      </c>
      <c r="I21" s="605"/>
      <c r="J21" s="605"/>
      <c r="K21" s="605"/>
      <c r="L21" s="605"/>
      <c r="M21" s="605"/>
      <c r="N21" s="605"/>
      <c r="O21" s="605"/>
      <c r="P21" s="605"/>
      <c r="Q21" s="606"/>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33" t="s">
        <v>76</v>
      </c>
      <c r="E23" s="634"/>
      <c r="F23" s="635"/>
      <c r="G23" s="343"/>
      <c r="H23" s="604"/>
      <c r="I23" s="605"/>
      <c r="J23" s="605"/>
      <c r="K23" s="605"/>
      <c r="L23" s="605"/>
      <c r="M23" s="605"/>
      <c r="N23" s="605"/>
      <c r="O23" s="605"/>
      <c r="P23" s="605"/>
      <c r="Q23" s="606"/>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33" t="s">
        <v>78</v>
      </c>
      <c r="E25" s="634"/>
      <c r="F25" s="635"/>
      <c r="G25" s="343"/>
      <c r="H25" s="604"/>
      <c r="I25" s="605"/>
      <c r="J25" s="605"/>
      <c r="K25" s="605"/>
      <c r="L25" s="605"/>
      <c r="M25" s="605"/>
      <c r="N25" s="605"/>
      <c r="O25" s="605"/>
      <c r="P25" s="605"/>
      <c r="Q25" s="606"/>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33" t="s">
        <v>80</v>
      </c>
      <c r="E27" s="634"/>
      <c r="F27" s="635"/>
      <c r="G27" s="343"/>
      <c r="H27" s="604"/>
      <c r="I27" s="605"/>
      <c r="J27" s="605"/>
      <c r="K27" s="605"/>
      <c r="L27" s="605"/>
      <c r="M27" s="605"/>
      <c r="N27" s="605"/>
      <c r="O27" s="605"/>
      <c r="P27" s="605"/>
      <c r="Q27" s="606"/>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36" t="s">
        <v>82</v>
      </c>
      <c r="E29" s="637"/>
      <c r="F29" s="638"/>
      <c r="G29" s="343"/>
      <c r="H29" s="604"/>
      <c r="I29" s="605"/>
      <c r="J29" s="605"/>
      <c r="K29" s="605"/>
      <c r="L29" s="605"/>
      <c r="M29" s="605"/>
      <c r="N29" s="605"/>
      <c r="O29" s="605"/>
      <c r="P29" s="605"/>
      <c r="Q29" s="606"/>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36" t="s">
        <v>84</v>
      </c>
      <c r="E31" s="637"/>
      <c r="F31" s="638"/>
      <c r="G31" s="343"/>
      <c r="H31" s="604"/>
      <c r="I31" s="605"/>
      <c r="J31" s="605"/>
      <c r="K31" s="605"/>
      <c r="L31" s="605"/>
      <c r="M31" s="605"/>
      <c r="N31" s="605"/>
      <c r="O31" s="605"/>
      <c r="P31" s="605"/>
      <c r="Q31" s="606"/>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36" t="s">
        <v>86</v>
      </c>
      <c r="E33" s="637"/>
      <c r="F33" s="638"/>
      <c r="G33" s="343"/>
      <c r="H33" s="604"/>
      <c r="I33" s="605"/>
      <c r="J33" s="605"/>
      <c r="K33" s="605"/>
      <c r="L33" s="605"/>
      <c r="M33" s="605"/>
      <c r="N33" s="605"/>
      <c r="O33" s="605"/>
      <c r="P33" s="605"/>
      <c r="Q33" s="606"/>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65" t="s">
        <v>32</v>
      </c>
      <c r="E35" s="366"/>
      <c r="F35" s="365"/>
      <c r="G35" s="365"/>
      <c r="H35" s="364"/>
      <c r="I35" s="364"/>
      <c r="J35" s="364"/>
      <c r="K35" s="364"/>
      <c r="L35" s="364"/>
      <c r="M35" s="364"/>
      <c r="N35" s="364"/>
      <c r="O35" s="364"/>
      <c r="P35" s="364"/>
      <c r="Q35" s="364"/>
      <c r="R35" s="364" t="s">
        <v>196</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39" t="s">
        <v>34</v>
      </c>
      <c r="E37" s="640"/>
      <c r="F37" s="641"/>
      <c r="G37" s="359" t="s">
        <v>31</v>
      </c>
      <c r="H37" s="604" t="s">
        <v>197</v>
      </c>
      <c r="I37" s="605"/>
      <c r="J37" s="605"/>
      <c r="K37" s="605"/>
      <c r="L37" s="605"/>
      <c r="M37" s="605"/>
      <c r="N37" s="605"/>
      <c r="O37" s="605"/>
      <c r="P37" s="605"/>
      <c r="Q37" s="606"/>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2" t="s">
        <v>36</v>
      </c>
      <c r="E39" s="643"/>
      <c r="F39" s="644"/>
      <c r="G39" s="343"/>
      <c r="H39" s="732" t="s">
        <v>198</v>
      </c>
      <c r="I39" s="605"/>
      <c r="J39" s="605"/>
      <c r="K39" s="605"/>
      <c r="L39" s="605"/>
      <c r="M39" s="605"/>
      <c r="N39" s="605"/>
      <c r="O39" s="605"/>
      <c r="P39" s="605"/>
      <c r="Q39" s="606"/>
      <c r="R39" s="342"/>
      <c r="T39" s="450"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2" t="s">
        <v>87</v>
      </c>
      <c r="E41" s="643"/>
      <c r="F41" s="644"/>
      <c r="G41" s="367" t="s">
        <v>31</v>
      </c>
      <c r="H41" s="604" t="s">
        <v>199</v>
      </c>
      <c r="I41" s="605"/>
      <c r="J41" s="605"/>
      <c r="K41" s="605"/>
      <c r="L41" s="605"/>
      <c r="M41" s="605"/>
      <c r="N41" s="605"/>
      <c r="O41" s="605"/>
      <c r="P41" s="605"/>
      <c r="Q41" s="606"/>
      <c r="R41" s="352"/>
      <c r="T41" s="454"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2" t="s">
        <v>41</v>
      </c>
      <c r="E43" s="643"/>
      <c r="F43" s="644"/>
      <c r="G43" s="343"/>
      <c r="H43" s="604"/>
      <c r="I43" s="605"/>
      <c r="J43" s="605"/>
      <c r="K43" s="605"/>
      <c r="L43" s="605"/>
      <c r="M43" s="605"/>
      <c r="N43" s="605"/>
      <c r="O43" s="605"/>
      <c r="P43" s="605"/>
      <c r="Q43" s="606"/>
      <c r="R43" s="342"/>
      <c r="T43" s="454"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2" t="s">
        <v>43</v>
      </c>
      <c r="E45" s="643"/>
      <c r="F45" s="644"/>
      <c r="G45" s="343"/>
      <c r="H45" s="604"/>
      <c r="I45" s="605"/>
      <c r="J45" s="605"/>
      <c r="K45" s="605"/>
      <c r="L45" s="605"/>
      <c r="M45" s="605"/>
      <c r="N45" s="605"/>
      <c r="O45" s="605"/>
      <c r="P45" s="605"/>
      <c r="Q45" s="606"/>
      <c r="R45" s="342"/>
      <c r="T45" s="452"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2" t="s">
        <v>45</v>
      </c>
      <c r="E47" s="643"/>
      <c r="F47" s="644"/>
      <c r="G47" s="343"/>
      <c r="H47" s="604"/>
      <c r="I47" s="605"/>
      <c r="J47" s="605"/>
      <c r="K47" s="605"/>
      <c r="L47" s="605"/>
      <c r="M47" s="605"/>
      <c r="N47" s="605"/>
      <c r="O47" s="605"/>
      <c r="P47" s="605"/>
      <c r="Q47" s="606"/>
      <c r="R47" s="342"/>
      <c r="T47" s="453"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2" t="s">
        <v>47</v>
      </c>
      <c r="E49" s="643"/>
      <c r="F49" s="644"/>
      <c r="G49" s="343"/>
      <c r="H49" s="604"/>
      <c r="I49" s="605"/>
      <c r="J49" s="605"/>
      <c r="K49" s="605"/>
      <c r="L49" s="605"/>
      <c r="M49" s="605"/>
      <c r="N49" s="605"/>
      <c r="O49" s="605"/>
      <c r="P49" s="605"/>
      <c r="Q49" s="606"/>
      <c r="R49" s="342"/>
      <c r="T49" s="455"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2" t="s">
        <v>49</v>
      </c>
      <c r="E51" s="643"/>
      <c r="F51" s="644"/>
      <c r="G51" s="343"/>
      <c r="H51" s="604"/>
      <c r="I51" s="605"/>
      <c r="J51" s="605"/>
      <c r="K51" s="605"/>
      <c r="L51" s="605"/>
      <c r="M51" s="605"/>
      <c r="N51" s="605"/>
      <c r="O51" s="605"/>
      <c r="P51" s="605"/>
      <c r="Q51" s="606"/>
      <c r="R51" s="342"/>
      <c r="T51" s="451"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2" t="s">
        <v>51</v>
      </c>
      <c r="E53" s="643"/>
      <c r="F53" s="644"/>
      <c r="G53" s="343"/>
      <c r="H53" s="604"/>
      <c r="I53" s="605"/>
      <c r="J53" s="605"/>
      <c r="K53" s="605"/>
      <c r="L53" s="605"/>
      <c r="M53" s="605"/>
      <c r="N53" s="605"/>
      <c r="O53" s="605"/>
      <c r="P53" s="605"/>
      <c r="Q53" s="606"/>
      <c r="R53" s="342"/>
      <c r="T53" s="456"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2" t="s">
        <v>88</v>
      </c>
      <c r="E55" s="643"/>
      <c r="F55" s="644"/>
      <c r="G55" s="343"/>
      <c r="H55" s="604"/>
      <c r="I55" s="605"/>
      <c r="J55" s="605"/>
      <c r="K55" s="605"/>
      <c r="L55" s="605"/>
      <c r="M55" s="605"/>
      <c r="N55" s="605"/>
      <c r="O55" s="605"/>
      <c r="P55" s="605"/>
      <c r="Q55" s="606"/>
      <c r="R55" s="342"/>
      <c r="T55" s="457"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39" t="s">
        <v>90</v>
      </c>
      <c r="E57" s="640"/>
      <c r="F57" s="641"/>
      <c r="G57" s="343"/>
      <c r="H57" s="604"/>
      <c r="I57" s="605"/>
      <c r="J57" s="605"/>
      <c r="K57" s="605"/>
      <c r="L57" s="605"/>
      <c r="M57" s="605"/>
      <c r="N57" s="605"/>
      <c r="O57" s="605"/>
      <c r="P57" s="605"/>
      <c r="Q57" s="606"/>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39" t="s">
        <v>92</v>
      </c>
      <c r="E59" s="640"/>
      <c r="F59" s="641"/>
      <c r="G59" s="343"/>
      <c r="H59" s="604"/>
      <c r="I59" s="605"/>
      <c r="J59" s="605"/>
      <c r="K59" s="605"/>
      <c r="L59" s="605"/>
      <c r="M59" s="605"/>
      <c r="N59" s="605"/>
      <c r="O59" s="605"/>
      <c r="P59" s="605"/>
      <c r="Q59" s="606"/>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39" t="s">
        <v>94</v>
      </c>
      <c r="E61" s="640"/>
      <c r="F61" s="641"/>
      <c r="G61" s="343"/>
      <c r="H61" s="604"/>
      <c r="I61" s="605"/>
      <c r="J61" s="605"/>
      <c r="K61" s="605"/>
      <c r="L61" s="605"/>
      <c r="M61" s="605"/>
      <c r="N61" s="605"/>
      <c r="O61" s="605"/>
      <c r="P61" s="605"/>
      <c r="Q61" s="606"/>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39" t="s">
        <v>96</v>
      </c>
      <c r="E63" s="640"/>
      <c r="F63" s="641"/>
      <c r="G63" s="343"/>
      <c r="H63" s="604"/>
      <c r="I63" s="605"/>
      <c r="J63" s="605"/>
      <c r="K63" s="605"/>
      <c r="L63" s="605"/>
      <c r="M63" s="605"/>
      <c r="N63" s="605"/>
      <c r="O63" s="605"/>
      <c r="P63" s="605"/>
      <c r="Q63" s="606"/>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39" t="s">
        <v>200</v>
      </c>
      <c r="E65" s="640"/>
      <c r="F65" s="641"/>
      <c r="G65" s="343"/>
      <c r="H65" s="604"/>
      <c r="I65" s="605"/>
      <c r="J65" s="605"/>
      <c r="K65" s="605"/>
      <c r="L65" s="605"/>
      <c r="M65" s="605"/>
      <c r="N65" s="605"/>
      <c r="O65" s="605"/>
      <c r="P65" s="605"/>
      <c r="Q65" s="606"/>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39" t="s">
        <v>100</v>
      </c>
      <c r="E67" s="640"/>
      <c r="F67" s="641"/>
      <c r="G67" s="343"/>
      <c r="H67" s="604"/>
      <c r="I67" s="605"/>
      <c r="J67" s="605"/>
      <c r="K67" s="605"/>
      <c r="L67" s="605"/>
      <c r="M67" s="605"/>
      <c r="N67" s="605"/>
      <c r="O67" s="605"/>
      <c r="P67" s="605"/>
      <c r="Q67" s="606"/>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39" t="s">
        <v>102</v>
      </c>
      <c r="E69" s="640"/>
      <c r="F69" s="641"/>
      <c r="G69" s="343"/>
      <c r="H69" s="604"/>
      <c r="I69" s="605"/>
      <c r="J69" s="605"/>
      <c r="K69" s="605"/>
      <c r="L69" s="605"/>
      <c r="M69" s="605"/>
      <c r="N69" s="605"/>
      <c r="O69" s="605"/>
      <c r="P69" s="605"/>
      <c r="Q69" s="606"/>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39" t="s">
        <v>104</v>
      </c>
      <c r="E71" s="640"/>
      <c r="F71" s="641"/>
      <c r="G71" s="343"/>
      <c r="H71" s="604"/>
      <c r="I71" s="605"/>
      <c r="J71" s="605"/>
      <c r="K71" s="605"/>
      <c r="L71" s="605"/>
      <c r="M71" s="605"/>
      <c r="N71" s="605"/>
      <c r="O71" s="605"/>
      <c r="P71" s="605"/>
      <c r="Q71" s="606"/>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39" t="s">
        <v>106</v>
      </c>
      <c r="E73" s="640"/>
      <c r="F73" s="641"/>
      <c r="G73" s="343"/>
      <c r="H73" s="604"/>
      <c r="I73" s="605"/>
      <c r="J73" s="605"/>
      <c r="K73" s="605"/>
      <c r="L73" s="605"/>
      <c r="M73" s="605"/>
      <c r="N73" s="605"/>
      <c r="O73" s="605"/>
      <c r="P73" s="605"/>
      <c r="Q73" s="606"/>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39" t="s">
        <v>108</v>
      </c>
      <c r="E75" s="640"/>
      <c r="F75" s="641"/>
      <c r="G75" s="343"/>
      <c r="H75" s="604"/>
      <c r="I75" s="605"/>
      <c r="J75" s="605"/>
      <c r="K75" s="605"/>
      <c r="L75" s="605"/>
      <c r="M75" s="605"/>
      <c r="N75" s="605"/>
      <c r="O75" s="605"/>
      <c r="P75" s="605"/>
      <c r="Q75" s="606"/>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39" t="s">
        <v>110</v>
      </c>
      <c r="E77" s="640"/>
      <c r="F77" s="641"/>
      <c r="G77" s="343"/>
      <c r="H77" s="604"/>
      <c r="I77" s="605"/>
      <c r="J77" s="605"/>
      <c r="K77" s="605"/>
      <c r="L77" s="605"/>
      <c r="M77" s="605"/>
      <c r="N77" s="605"/>
      <c r="O77" s="605"/>
      <c r="P77" s="605"/>
      <c r="Q77" s="606"/>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39" t="s">
        <v>112</v>
      </c>
      <c r="E79" s="640"/>
      <c r="F79" s="641"/>
      <c r="G79" s="343"/>
      <c r="H79" s="604"/>
      <c r="I79" s="605"/>
      <c r="J79" s="605"/>
      <c r="K79" s="605"/>
      <c r="L79" s="605"/>
      <c r="M79" s="605"/>
      <c r="N79" s="605"/>
      <c r="O79" s="605"/>
      <c r="P79" s="605"/>
      <c r="Q79" s="606"/>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39" t="s">
        <v>114</v>
      </c>
      <c r="E81" s="640"/>
      <c r="F81" s="641"/>
      <c r="G81" s="343"/>
      <c r="H81" s="604"/>
      <c r="I81" s="605"/>
      <c r="J81" s="605"/>
      <c r="K81" s="605"/>
      <c r="L81" s="605"/>
      <c r="M81" s="605"/>
      <c r="N81" s="605"/>
      <c r="O81" s="605"/>
      <c r="P81" s="605"/>
      <c r="Q81" s="606"/>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39" t="s">
        <v>116</v>
      </c>
      <c r="E83" s="640"/>
      <c r="F83" s="641"/>
      <c r="G83" s="343"/>
      <c r="H83" s="604"/>
      <c r="I83" s="605"/>
      <c r="J83" s="605"/>
      <c r="K83" s="605"/>
      <c r="L83" s="605"/>
      <c r="M83" s="605"/>
      <c r="N83" s="605"/>
      <c r="O83" s="605"/>
      <c r="P83" s="605"/>
      <c r="Q83" s="606"/>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39" t="s">
        <v>118</v>
      </c>
      <c r="E85" s="640"/>
      <c r="F85" s="641"/>
      <c r="G85" s="343"/>
      <c r="H85" s="604"/>
      <c r="I85" s="605"/>
      <c r="J85" s="605"/>
      <c r="K85" s="605"/>
      <c r="L85" s="605"/>
      <c r="M85" s="605"/>
      <c r="N85" s="605"/>
      <c r="O85" s="605"/>
      <c r="P85" s="605"/>
      <c r="Q85" s="606"/>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39" t="s">
        <v>120</v>
      </c>
      <c r="E87" s="640"/>
      <c r="F87" s="641"/>
      <c r="G87" s="343"/>
      <c r="H87" s="604"/>
      <c r="I87" s="605"/>
      <c r="J87" s="605"/>
      <c r="K87" s="605"/>
      <c r="L87" s="605"/>
      <c r="M87" s="605"/>
      <c r="N87" s="605"/>
      <c r="O87" s="605"/>
      <c r="P87" s="605"/>
      <c r="Q87" s="606"/>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39" t="s">
        <v>122</v>
      </c>
      <c r="E89" s="640"/>
      <c r="F89" s="641"/>
      <c r="G89" s="343"/>
      <c r="H89" s="604"/>
      <c r="I89" s="605"/>
      <c r="J89" s="605"/>
      <c r="K89" s="605"/>
      <c r="L89" s="605"/>
      <c r="M89" s="605"/>
      <c r="N89" s="605"/>
      <c r="O89" s="605"/>
      <c r="P89" s="605"/>
      <c r="Q89" s="606"/>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64"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45" t="s">
        <v>57</v>
      </c>
      <c r="E95" s="646"/>
      <c r="F95" s="646"/>
      <c r="G95" s="646"/>
      <c r="H95" s="646"/>
      <c r="I95" s="646"/>
      <c r="J95" s="647"/>
      <c r="K95" s="343"/>
      <c r="L95" s="374"/>
      <c r="M95" s="343"/>
      <c r="N95" s="374"/>
      <c r="O95" s="374"/>
      <c r="P95" s="374"/>
      <c r="Q95" s="736"/>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45" t="s">
        <v>59</v>
      </c>
      <c r="E97" s="646"/>
      <c r="F97" s="646"/>
      <c r="G97" s="646"/>
      <c r="H97" s="646"/>
      <c r="I97" s="646"/>
      <c r="J97" s="647"/>
      <c r="K97" s="343"/>
      <c r="L97" s="374"/>
      <c r="M97" s="343"/>
      <c r="N97" s="374"/>
      <c r="O97" s="374"/>
      <c r="P97" s="374"/>
      <c r="Q97" s="736"/>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45" t="s">
        <v>201</v>
      </c>
      <c r="E99" s="646"/>
      <c r="F99" s="646"/>
      <c r="G99" s="646"/>
      <c r="H99" s="646"/>
      <c r="I99" s="646"/>
      <c r="J99" s="647"/>
      <c r="K99" s="343"/>
      <c r="L99" s="374"/>
      <c r="M99" s="343"/>
      <c r="N99" s="374"/>
      <c r="O99" s="374"/>
      <c r="P99" s="374"/>
      <c r="Q99" s="736"/>
      <c r="R99" s="343"/>
      <c r="T99" s="450"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48" t="s">
        <v>202</v>
      </c>
      <c r="C102" s="649"/>
      <c r="D102" s="649"/>
      <c r="E102" s="649"/>
      <c r="F102" s="649"/>
      <c r="G102" s="649"/>
      <c r="H102" s="649"/>
      <c r="I102" s="649"/>
      <c r="J102" s="649"/>
      <c r="K102" s="649"/>
      <c r="L102" s="649"/>
      <c r="M102" s="649"/>
      <c r="N102" s="649"/>
      <c r="O102" s="649"/>
      <c r="P102" s="649"/>
      <c r="Q102" s="649"/>
      <c r="R102" s="650"/>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YnxWMd+/C71E8U4UOaQtK2dOY08FTts1wCaf1hBHUotHiwnnbZRlckQrIJXJ/xhenB9kQpM6isrbu5NmrwEpHw==" saltValue="XguadHL9BTz41M7B2NIBBw==" spinCount="100000" sheet="1" objects="1" scenarios="1"/>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Normal="100" workbookViewId="0">
      <selection activeCell="C18" sqref="C18:E18"/>
    </sheetView>
  </sheetViews>
  <sheetFormatPr defaultColWidth="0" defaultRowHeight="14.5" zeroHeight="1" x14ac:dyDescent="0.35"/>
  <cols>
    <col min="1" max="1" width="2.54296875" style="529" customWidth="1"/>
    <col min="2" max="2" width="5.453125" style="529" customWidth="1"/>
    <col min="3" max="3" width="46.7265625" style="529" customWidth="1"/>
    <col min="4" max="4" width="2.7265625" style="529" customWidth="1"/>
    <col min="5" max="5" width="38.7265625" style="529" customWidth="1"/>
    <col min="6" max="6" width="2.7265625" style="529" customWidth="1"/>
    <col min="7" max="7" width="8.453125" style="529" customWidth="1"/>
    <col min="8" max="8" width="2.7265625" style="529" customWidth="1"/>
    <col min="9" max="9" width="66.1796875" style="529" customWidth="1"/>
    <col min="10" max="10" width="4" style="529" customWidth="1"/>
    <col min="11" max="16384" width="34.54296875" style="529" hidden="1"/>
  </cols>
  <sheetData>
    <row r="1" spans="1:10" x14ac:dyDescent="0.35">
      <c r="A1" s="379"/>
      <c r="B1" s="379"/>
      <c r="C1" s="380"/>
      <c r="D1" s="381"/>
      <c r="E1" s="381"/>
      <c r="F1" s="381"/>
      <c r="G1" s="379"/>
      <c r="H1" s="379"/>
      <c r="I1" s="382"/>
      <c r="J1" s="528"/>
    </row>
    <row r="2" spans="1:10" x14ac:dyDescent="0.35">
      <c r="A2" s="383"/>
      <c r="B2" s="383"/>
      <c r="C2" s="426" t="s">
        <v>131</v>
      </c>
      <c r="D2" s="383"/>
      <c r="E2" s="660" t="s">
        <v>449</v>
      </c>
      <c r="F2" s="661"/>
      <c r="G2" s="661"/>
      <c r="H2" s="662"/>
      <c r="I2" s="384"/>
      <c r="J2" s="530"/>
    </row>
    <row r="3" spans="1:10" ht="4.5" customHeight="1" x14ac:dyDescent="0.35">
      <c r="A3" s="383"/>
      <c r="B3" s="383"/>
      <c r="C3" s="395"/>
      <c r="D3" s="383"/>
      <c r="E3" s="387"/>
      <c r="F3" s="387"/>
      <c r="G3" s="387"/>
      <c r="H3" s="387"/>
      <c r="I3" s="384"/>
      <c r="J3" s="530"/>
    </row>
    <row r="4" spans="1:10" x14ac:dyDescent="0.35">
      <c r="A4" s="383"/>
      <c r="B4" s="383"/>
      <c r="C4" s="426" t="s">
        <v>133</v>
      </c>
      <c r="D4" s="383"/>
      <c r="E4" s="719" t="s">
        <v>199</v>
      </c>
      <c r="F4" s="720"/>
      <c r="G4" s="720"/>
      <c r="H4" s="721"/>
      <c r="I4" s="384"/>
      <c r="J4" s="530"/>
    </row>
    <row r="5" spans="1:10" ht="5.15" customHeight="1" x14ac:dyDescent="0.35">
      <c r="A5" s="383"/>
      <c r="B5" s="383"/>
      <c r="C5" s="395"/>
      <c r="D5" s="383"/>
      <c r="E5" s="387"/>
      <c r="F5" s="387"/>
      <c r="G5" s="387"/>
      <c r="H5" s="387"/>
      <c r="I5" s="384"/>
      <c r="J5" s="530"/>
    </row>
    <row r="6" spans="1:10" hidden="1" x14ac:dyDescent="0.35">
      <c r="A6" s="383"/>
      <c r="B6" s="383"/>
      <c r="C6" s="395"/>
      <c r="D6" s="383"/>
      <c r="E6" s="663"/>
      <c r="F6" s="664"/>
      <c r="G6" s="664"/>
      <c r="H6" s="665"/>
      <c r="I6" s="384"/>
      <c r="J6" s="530"/>
    </row>
    <row r="7" spans="1:10" ht="5.15" hidden="1" customHeight="1" x14ac:dyDescent="0.35">
      <c r="A7" s="383"/>
      <c r="B7" s="383"/>
      <c r="C7" s="395"/>
      <c r="D7" s="383"/>
      <c r="E7" s="387"/>
      <c r="F7" s="387"/>
      <c r="G7" s="387"/>
      <c r="H7" s="387"/>
      <c r="I7" s="384"/>
      <c r="J7" s="530"/>
    </row>
    <row r="8" spans="1:10" x14ac:dyDescent="0.35">
      <c r="A8" s="383"/>
      <c r="B8" s="383"/>
      <c r="C8" s="426" t="s">
        <v>203</v>
      </c>
      <c r="D8" s="383"/>
      <c r="E8" s="660" t="s">
        <v>197</v>
      </c>
      <c r="F8" s="661"/>
      <c r="G8" s="661"/>
      <c r="H8" s="662"/>
      <c r="I8" s="384"/>
      <c r="J8" s="530"/>
    </row>
    <row r="9" spans="1:10" ht="5.15" customHeight="1" x14ac:dyDescent="0.35">
      <c r="A9" s="383"/>
      <c r="B9" s="383"/>
      <c r="C9" s="395"/>
      <c r="D9" s="383"/>
      <c r="E9" s="387"/>
      <c r="F9" s="387"/>
      <c r="G9" s="387"/>
      <c r="H9" s="387"/>
      <c r="I9" s="384"/>
      <c r="J9" s="530"/>
    </row>
    <row r="10" spans="1:10" x14ac:dyDescent="0.35">
      <c r="A10" s="383"/>
      <c r="B10" s="388"/>
      <c r="C10" s="426" t="s">
        <v>204</v>
      </c>
      <c r="D10" s="383"/>
      <c r="E10" s="722"/>
      <c r="F10" s="723"/>
      <c r="G10" s="723"/>
      <c r="H10" s="724"/>
      <c r="I10" s="384"/>
      <c r="J10" s="530"/>
    </row>
    <row r="11" spans="1:10" x14ac:dyDescent="0.35">
      <c r="A11" s="389"/>
      <c r="B11" s="389"/>
      <c r="C11" s="389"/>
      <c r="D11" s="390"/>
      <c r="E11" s="390"/>
      <c r="F11" s="390"/>
      <c r="G11" s="391"/>
      <c r="H11" s="389"/>
      <c r="I11" s="392"/>
      <c r="J11" s="531"/>
    </row>
    <row r="12" spans="1:10" ht="15.5" x14ac:dyDescent="0.35">
      <c r="A12" s="393"/>
      <c r="B12" s="394" t="s">
        <v>96</v>
      </c>
      <c r="C12" s="395" t="s">
        <v>124</v>
      </c>
      <c r="D12" s="396"/>
      <c r="E12" s="396"/>
      <c r="F12" s="396"/>
      <c r="G12" s="395" t="s">
        <v>125</v>
      </c>
      <c r="H12" s="396"/>
      <c r="I12" s="397" t="s">
        <v>126</v>
      </c>
      <c r="J12" s="532"/>
    </row>
    <row r="13" spans="1:10" ht="15.5" hidden="1" x14ac:dyDescent="0.35">
      <c r="A13" s="393"/>
      <c r="B13" s="394"/>
      <c r="C13" s="395"/>
      <c r="D13" s="396"/>
      <c r="E13" s="396"/>
      <c r="F13" s="396"/>
      <c r="G13" s="395"/>
      <c r="H13" s="396"/>
      <c r="I13" s="397"/>
      <c r="J13" s="393"/>
    </row>
    <row r="14" spans="1:10" ht="15" customHeight="1" x14ac:dyDescent="0.35">
      <c r="A14" s="462"/>
      <c r="B14" s="462"/>
      <c r="C14" s="666" t="s">
        <v>205</v>
      </c>
      <c r="D14" s="666"/>
      <c r="E14" s="666"/>
      <c r="F14" s="462"/>
      <c r="G14" s="462"/>
      <c r="H14" s="462"/>
      <c r="I14" s="462"/>
      <c r="J14" s="462"/>
    </row>
    <row r="15" spans="1:10" ht="15.5" x14ac:dyDescent="0.35">
      <c r="A15" s="393"/>
      <c r="B15" s="394"/>
      <c r="C15" s="395"/>
      <c r="D15" s="396"/>
      <c r="E15" s="396"/>
      <c r="F15" s="396"/>
      <c r="G15" s="395"/>
      <c r="H15" s="396"/>
      <c r="I15" s="397"/>
      <c r="J15" s="393"/>
    </row>
    <row r="16" spans="1:10" ht="15.5" x14ac:dyDescent="0.35">
      <c r="A16" s="393"/>
      <c r="B16" s="462"/>
      <c r="C16" s="463" t="s">
        <v>206</v>
      </c>
      <c r="D16" s="462"/>
      <c r="E16" s="462"/>
      <c r="F16" s="462"/>
      <c r="G16" s="462"/>
      <c r="H16" s="462"/>
      <c r="I16" s="462"/>
      <c r="J16" s="393"/>
    </row>
    <row r="17" spans="1:12" ht="15.5" x14ac:dyDescent="0.35">
      <c r="A17" s="393"/>
      <c r="B17" s="394"/>
      <c r="C17" s="395"/>
      <c r="D17" s="396"/>
      <c r="E17" s="396"/>
      <c r="F17" s="396"/>
      <c r="G17" s="395"/>
      <c r="H17" s="396"/>
      <c r="I17" s="397"/>
      <c r="J17" s="393"/>
    </row>
    <row r="18" spans="1:12" ht="101.5" x14ac:dyDescent="0.8">
      <c r="A18" s="393"/>
      <c r="B18" s="400" t="s">
        <v>136</v>
      </c>
      <c r="C18" s="653" t="s">
        <v>207</v>
      </c>
      <c r="D18" s="654"/>
      <c r="E18" s="655"/>
      <c r="F18" s="386"/>
      <c r="G18" s="725" t="s">
        <v>208</v>
      </c>
      <c r="H18" s="386"/>
      <c r="I18" s="718" t="s">
        <v>462</v>
      </c>
      <c r="J18" s="393"/>
      <c r="L18" s="533" t="s">
        <v>37</v>
      </c>
    </row>
    <row r="19" spans="1:12" x14ac:dyDescent="0.35">
      <c r="A19" s="395"/>
      <c r="B19" s="395"/>
      <c r="C19" s="395"/>
      <c r="D19" s="395"/>
      <c r="E19" s="395"/>
      <c r="F19" s="395"/>
      <c r="G19" s="395"/>
      <c r="H19" s="395"/>
      <c r="I19" s="395"/>
      <c r="J19" s="395"/>
    </row>
    <row r="20" spans="1:12" ht="15" customHeight="1" x14ac:dyDescent="0.35">
      <c r="A20" s="398"/>
      <c r="B20" s="461"/>
      <c r="C20" s="398" t="s">
        <v>209</v>
      </c>
      <c r="D20" s="398"/>
      <c r="E20" s="398"/>
      <c r="F20" s="398"/>
      <c r="G20" s="398"/>
      <c r="H20" s="398"/>
      <c r="I20" s="398"/>
      <c r="J20" s="398"/>
    </row>
    <row r="21" spans="1:12" x14ac:dyDescent="0.35">
      <c r="A21" s="401"/>
      <c r="B21" s="402"/>
      <c r="C21" s="401"/>
      <c r="D21" s="401"/>
      <c r="E21" s="401"/>
      <c r="F21" s="401"/>
      <c r="G21" s="403"/>
      <c r="H21" s="401"/>
      <c r="I21" s="404"/>
      <c r="J21" s="534"/>
    </row>
    <row r="22" spans="1:12" x14ac:dyDescent="0.35">
      <c r="A22" s="386"/>
      <c r="B22" s="398"/>
      <c r="C22" s="399" t="s">
        <v>210</v>
      </c>
      <c r="D22" s="398"/>
      <c r="E22" s="398"/>
      <c r="F22" s="398"/>
      <c r="G22" s="398"/>
      <c r="H22" s="398"/>
      <c r="I22" s="398"/>
      <c r="J22" s="535"/>
    </row>
    <row r="23" spans="1:12" x14ac:dyDescent="0.35">
      <c r="A23" s="386"/>
      <c r="B23" s="400"/>
      <c r="C23" s="401"/>
      <c r="D23" s="401"/>
      <c r="E23" s="401"/>
      <c r="F23" s="386"/>
      <c r="G23" s="387"/>
      <c r="H23" s="386"/>
      <c r="I23" s="404"/>
      <c r="J23" s="535"/>
    </row>
    <row r="24" spans="1:12" ht="145" x14ac:dyDescent="0.35">
      <c r="A24" s="386"/>
      <c r="B24" s="400" t="s">
        <v>138</v>
      </c>
      <c r="C24" s="653" t="s">
        <v>211</v>
      </c>
      <c r="D24" s="654"/>
      <c r="E24" s="655"/>
      <c r="F24" s="386"/>
      <c r="G24" s="725" t="s">
        <v>208</v>
      </c>
      <c r="H24" s="386"/>
      <c r="I24" s="718" t="s">
        <v>437</v>
      </c>
      <c r="J24" s="535"/>
    </row>
    <row r="25" spans="1:12" x14ac:dyDescent="0.35">
      <c r="A25" s="386"/>
      <c r="B25" s="400"/>
      <c r="C25" s="401"/>
      <c r="D25" s="401"/>
      <c r="E25" s="401"/>
      <c r="F25" s="386"/>
      <c r="G25" s="387"/>
      <c r="H25" s="386"/>
      <c r="I25" s="404"/>
      <c r="J25" s="535"/>
    </row>
    <row r="26" spans="1:12" ht="87" x14ac:dyDescent="0.8">
      <c r="A26" s="386"/>
      <c r="B26" s="400" t="s">
        <v>140</v>
      </c>
      <c r="C26" s="653" t="s">
        <v>212</v>
      </c>
      <c r="D26" s="654"/>
      <c r="E26" s="655"/>
      <c r="F26" s="386"/>
      <c r="G26" s="725" t="s">
        <v>208</v>
      </c>
      <c r="H26" s="386"/>
      <c r="I26" s="718" t="s">
        <v>213</v>
      </c>
      <c r="J26" s="535"/>
      <c r="L26" s="533" t="s">
        <v>37</v>
      </c>
    </row>
    <row r="27" spans="1:12" x14ac:dyDescent="0.35">
      <c r="A27" s="386"/>
      <c r="B27" s="400"/>
      <c r="C27" s="536"/>
      <c r="D27" s="385"/>
      <c r="E27" s="385"/>
      <c r="F27" s="386"/>
      <c r="G27" s="387"/>
      <c r="H27" s="386"/>
      <c r="I27" s="404"/>
      <c r="J27" s="535"/>
    </row>
    <row r="28" spans="1:12" ht="87" x14ac:dyDescent="0.35">
      <c r="A28" s="386"/>
      <c r="B28" s="400" t="s">
        <v>143</v>
      </c>
      <c r="C28" s="653" t="s">
        <v>214</v>
      </c>
      <c r="D28" s="654"/>
      <c r="E28" s="655"/>
      <c r="F28" s="386"/>
      <c r="G28" s="725" t="s">
        <v>208</v>
      </c>
      <c r="H28" s="386"/>
      <c r="I28" s="718" t="s">
        <v>215</v>
      </c>
      <c r="J28" s="535"/>
    </row>
    <row r="29" spans="1:12" x14ac:dyDescent="0.35">
      <c r="A29" s="386"/>
      <c r="B29" s="400"/>
      <c r="C29" s="536"/>
      <c r="D29" s="385"/>
      <c r="E29" s="385"/>
      <c r="F29" s="386"/>
      <c r="G29" s="387"/>
      <c r="H29" s="386"/>
      <c r="I29" s="404"/>
      <c r="J29" s="535"/>
    </row>
    <row r="30" spans="1:12" ht="72.5" x14ac:dyDescent="0.35">
      <c r="A30" s="386"/>
      <c r="B30" s="400" t="s">
        <v>145</v>
      </c>
      <c r="C30" s="653" t="s">
        <v>216</v>
      </c>
      <c r="D30" s="654"/>
      <c r="E30" s="655"/>
      <c r="F30" s="386"/>
      <c r="G30" s="725" t="s">
        <v>208</v>
      </c>
      <c r="H30" s="386"/>
      <c r="I30" s="718" t="s">
        <v>426</v>
      </c>
      <c r="J30" s="535"/>
    </row>
    <row r="31" spans="1:12" x14ac:dyDescent="0.35">
      <c r="A31" s="386"/>
      <c r="B31" s="400"/>
      <c r="C31" s="536"/>
      <c r="D31" s="385"/>
      <c r="E31" s="385"/>
      <c r="F31" s="386"/>
      <c r="G31" s="387"/>
      <c r="H31" s="386"/>
      <c r="I31" s="404"/>
      <c r="J31" s="535"/>
    </row>
    <row r="32" spans="1:12" ht="72.5" x14ac:dyDescent="0.35">
      <c r="A32" s="386"/>
      <c r="B32" s="400" t="s">
        <v>153</v>
      </c>
      <c r="C32" s="653" t="s">
        <v>217</v>
      </c>
      <c r="D32" s="654"/>
      <c r="E32" s="655"/>
      <c r="F32" s="386"/>
      <c r="G32" s="725" t="s">
        <v>208</v>
      </c>
      <c r="H32" s="386"/>
      <c r="I32" s="718" t="s">
        <v>435</v>
      </c>
      <c r="J32" s="535"/>
    </row>
    <row r="33" spans="1:12" x14ac:dyDescent="0.35">
      <c r="A33" s="386"/>
      <c r="B33" s="405"/>
      <c r="C33" s="536"/>
      <c r="D33" s="385"/>
      <c r="E33" s="385"/>
      <c r="F33" s="386"/>
      <c r="G33" s="387"/>
      <c r="H33" s="386"/>
      <c r="I33" s="404"/>
      <c r="J33" s="535"/>
    </row>
    <row r="34" spans="1:12" ht="72.5" x14ac:dyDescent="0.35">
      <c r="A34" s="386"/>
      <c r="B34" s="400" t="s">
        <v>156</v>
      </c>
      <c r="C34" s="653" t="s">
        <v>218</v>
      </c>
      <c r="D34" s="654"/>
      <c r="E34" s="655"/>
      <c r="F34" s="386"/>
      <c r="G34" s="725" t="s">
        <v>208</v>
      </c>
      <c r="H34" s="386"/>
      <c r="I34" s="718" t="s">
        <v>435</v>
      </c>
      <c r="J34" s="535"/>
    </row>
    <row r="35" spans="1:12" x14ac:dyDescent="0.35">
      <c r="A35" s="386"/>
      <c r="B35" s="386"/>
      <c r="C35" s="536"/>
      <c r="D35" s="385"/>
      <c r="E35" s="385"/>
      <c r="F35" s="386"/>
      <c r="G35" s="387"/>
      <c r="H35" s="386"/>
      <c r="I35" s="404"/>
      <c r="J35" s="535"/>
    </row>
    <row r="36" spans="1:12" ht="101.5" x14ac:dyDescent="0.8">
      <c r="A36" s="386"/>
      <c r="B36" s="387" t="s">
        <v>161</v>
      </c>
      <c r="C36" s="653" t="s">
        <v>219</v>
      </c>
      <c r="D36" s="654"/>
      <c r="E36" s="655"/>
      <c r="F36" s="386"/>
      <c r="G36" s="725" t="s">
        <v>208</v>
      </c>
      <c r="H36" s="386"/>
      <c r="I36" s="718" t="s">
        <v>427</v>
      </c>
      <c r="J36" s="535"/>
      <c r="L36" s="533" t="s">
        <v>37</v>
      </c>
    </row>
    <row r="37" spans="1:12" x14ac:dyDescent="0.35">
      <c r="A37" s="386"/>
      <c r="B37" s="387"/>
      <c r="C37" s="536"/>
      <c r="D37" s="385"/>
      <c r="E37" s="385"/>
      <c r="F37" s="386"/>
      <c r="G37" s="387"/>
      <c r="H37" s="386"/>
      <c r="I37" s="404"/>
      <c r="J37" s="535"/>
    </row>
    <row r="38" spans="1:12" ht="29" x14ac:dyDescent="0.35">
      <c r="A38" s="386"/>
      <c r="B38" s="387" t="s">
        <v>165</v>
      </c>
      <c r="C38" s="653" t="s">
        <v>220</v>
      </c>
      <c r="D38" s="654"/>
      <c r="E38" s="655"/>
      <c r="F38" s="386"/>
      <c r="G38" s="725" t="s">
        <v>208</v>
      </c>
      <c r="H38" s="386"/>
      <c r="I38" s="718" t="s">
        <v>455</v>
      </c>
      <c r="J38" s="535"/>
    </row>
    <row r="39" spans="1:12" x14ac:dyDescent="0.35">
      <c r="A39" s="386"/>
      <c r="B39" s="387"/>
      <c r="C39" s="536"/>
      <c r="D39" s="385"/>
      <c r="E39" s="385"/>
      <c r="F39" s="386"/>
      <c r="G39" s="387"/>
      <c r="H39" s="386"/>
      <c r="I39" s="404"/>
      <c r="J39" s="535"/>
    </row>
    <row r="40" spans="1:12" ht="72.5" x14ac:dyDescent="0.35">
      <c r="A40" s="386"/>
      <c r="B40" s="387" t="s">
        <v>167</v>
      </c>
      <c r="C40" s="653" t="s">
        <v>221</v>
      </c>
      <c r="D40" s="654"/>
      <c r="E40" s="655"/>
      <c r="F40" s="386"/>
      <c r="G40" s="725" t="s">
        <v>208</v>
      </c>
      <c r="H40" s="386"/>
      <c r="I40" s="718" t="s">
        <v>456</v>
      </c>
      <c r="J40" s="535"/>
    </row>
    <row r="41" spans="1:12" x14ac:dyDescent="0.35">
      <c r="A41" s="386"/>
      <c r="B41" s="387"/>
      <c r="C41" s="401"/>
      <c r="D41" s="401"/>
      <c r="E41" s="401"/>
      <c r="F41" s="386"/>
      <c r="G41" s="387"/>
      <c r="H41" s="386"/>
      <c r="I41" s="404"/>
      <c r="J41" s="535"/>
    </row>
    <row r="42" spans="1:12" x14ac:dyDescent="0.35">
      <c r="A42" s="386"/>
      <c r="B42" s="406"/>
      <c r="C42" s="407" t="s">
        <v>222</v>
      </c>
      <c r="D42" s="406"/>
      <c r="E42" s="406"/>
      <c r="F42" s="406"/>
      <c r="G42" s="406"/>
      <c r="H42" s="406"/>
      <c r="I42" s="406"/>
      <c r="J42" s="535"/>
    </row>
    <row r="43" spans="1:12" x14ac:dyDescent="0.35">
      <c r="A43" s="386"/>
      <c r="B43" s="387"/>
      <c r="C43" s="401"/>
      <c r="D43" s="401"/>
      <c r="E43" s="401"/>
      <c r="F43" s="386"/>
      <c r="G43" s="387"/>
      <c r="H43" s="386"/>
      <c r="I43" s="404"/>
      <c r="J43" s="535"/>
    </row>
    <row r="44" spans="1:12" ht="87" x14ac:dyDescent="0.8">
      <c r="A44" s="386"/>
      <c r="B44" s="387" t="s">
        <v>169</v>
      </c>
      <c r="C44" s="653" t="s">
        <v>223</v>
      </c>
      <c r="D44" s="654"/>
      <c r="E44" s="655"/>
      <c r="F44" s="386"/>
      <c r="G44" s="725" t="s">
        <v>208</v>
      </c>
      <c r="H44" s="386"/>
      <c r="I44" s="718" t="s">
        <v>441</v>
      </c>
      <c r="J44" s="535"/>
      <c r="L44" s="533" t="s">
        <v>37</v>
      </c>
    </row>
    <row r="45" spans="1:12" x14ac:dyDescent="0.35">
      <c r="A45" s="386"/>
      <c r="B45" s="408"/>
      <c r="C45" s="409"/>
      <c r="D45" s="409"/>
      <c r="E45" s="409"/>
      <c r="F45" s="410"/>
      <c r="G45" s="387"/>
      <c r="H45" s="410"/>
      <c r="I45" s="404"/>
      <c r="J45" s="535"/>
    </row>
    <row r="46" spans="1:12" ht="130.5" x14ac:dyDescent="0.8">
      <c r="A46" s="386"/>
      <c r="B46" s="387" t="s">
        <v>174</v>
      </c>
      <c r="C46" s="653" t="s">
        <v>224</v>
      </c>
      <c r="D46" s="654"/>
      <c r="E46" s="655"/>
      <c r="F46" s="386"/>
      <c r="G46" s="725" t="s">
        <v>208</v>
      </c>
      <c r="H46" s="386"/>
      <c r="I46" s="718" t="s">
        <v>442</v>
      </c>
      <c r="J46" s="535"/>
      <c r="L46" s="533" t="s">
        <v>37</v>
      </c>
    </row>
    <row r="47" spans="1:12" x14ac:dyDescent="0.35">
      <c r="A47" s="386"/>
      <c r="B47" s="387"/>
      <c r="C47" s="411"/>
      <c r="D47" s="411"/>
      <c r="E47" s="411"/>
      <c r="F47" s="410"/>
      <c r="G47" s="412"/>
      <c r="H47" s="386"/>
      <c r="I47" s="404"/>
      <c r="J47" s="535"/>
    </row>
    <row r="48" spans="1:12" x14ac:dyDescent="0.35">
      <c r="A48" s="386"/>
      <c r="B48" s="406"/>
      <c r="C48" s="407" t="s">
        <v>225</v>
      </c>
      <c r="D48" s="406"/>
      <c r="E48" s="406"/>
      <c r="F48" s="406"/>
      <c r="G48" s="406"/>
      <c r="H48" s="406"/>
      <c r="I48" s="406"/>
      <c r="J48" s="535"/>
    </row>
    <row r="49" spans="1:12" x14ac:dyDescent="0.35">
      <c r="A49" s="386"/>
      <c r="B49" s="386"/>
      <c r="C49" s="401"/>
      <c r="D49" s="401"/>
      <c r="E49" s="401"/>
      <c r="F49" s="410"/>
      <c r="G49" s="387"/>
      <c r="H49" s="386"/>
      <c r="I49" s="404"/>
      <c r="J49" s="535"/>
    </row>
    <row r="50" spans="1:12" ht="36" x14ac:dyDescent="0.8">
      <c r="A50" s="386"/>
      <c r="B50" s="387" t="s">
        <v>177</v>
      </c>
      <c r="C50" s="653" t="s">
        <v>226</v>
      </c>
      <c r="D50" s="654"/>
      <c r="E50" s="655"/>
      <c r="F50" s="386"/>
      <c r="G50" s="725" t="s">
        <v>208</v>
      </c>
      <c r="H50" s="386"/>
      <c r="I50" s="718" t="s">
        <v>431</v>
      </c>
      <c r="J50" s="535"/>
      <c r="L50" s="533" t="s">
        <v>37</v>
      </c>
    </row>
    <row r="51" spans="1:12" x14ac:dyDescent="0.35">
      <c r="A51" s="386"/>
      <c r="B51" s="386"/>
      <c r="C51" s="401"/>
      <c r="D51" s="401"/>
      <c r="E51" s="401"/>
      <c r="F51" s="386"/>
      <c r="G51" s="387"/>
      <c r="H51" s="386"/>
      <c r="I51" s="404"/>
      <c r="J51" s="535"/>
    </row>
    <row r="52" spans="1:12" ht="87" x14ac:dyDescent="0.8">
      <c r="A52" s="386"/>
      <c r="B52" s="387" t="s">
        <v>180</v>
      </c>
      <c r="C52" s="653" t="s">
        <v>228</v>
      </c>
      <c r="D52" s="654"/>
      <c r="E52" s="655"/>
      <c r="F52" s="386"/>
      <c r="G52" s="725" t="s">
        <v>208</v>
      </c>
      <c r="H52" s="386"/>
      <c r="I52" s="718" t="s">
        <v>432</v>
      </c>
      <c r="J52" s="535"/>
      <c r="L52" s="533" t="s">
        <v>37</v>
      </c>
    </row>
    <row r="53" spans="1:12" x14ac:dyDescent="0.35">
      <c r="A53" s="386"/>
      <c r="B53" s="387"/>
      <c r="C53" s="409"/>
      <c r="D53" s="401"/>
      <c r="E53" s="401"/>
      <c r="F53" s="386"/>
      <c r="G53" s="387"/>
      <c r="H53" s="386"/>
      <c r="I53" s="404"/>
      <c r="J53" s="535"/>
    </row>
    <row r="54" spans="1:12" x14ac:dyDescent="0.35">
      <c r="A54" s="386"/>
      <c r="B54" s="406"/>
      <c r="C54" s="656" t="s">
        <v>229</v>
      </c>
      <c r="D54" s="656"/>
      <c r="E54" s="656"/>
      <c r="F54" s="406"/>
      <c r="G54" s="406"/>
      <c r="H54" s="406"/>
      <c r="I54" s="406"/>
      <c r="J54" s="535"/>
    </row>
    <row r="55" spans="1:12" x14ac:dyDescent="0.35">
      <c r="A55" s="386"/>
      <c r="B55" s="386"/>
      <c r="C55" s="401"/>
      <c r="D55" s="401"/>
      <c r="E55" s="401"/>
      <c r="F55" s="386"/>
      <c r="G55" s="387"/>
      <c r="H55" s="386"/>
      <c r="I55" s="404"/>
      <c r="J55" s="535"/>
    </row>
    <row r="56" spans="1:12" ht="72.5" x14ac:dyDescent="0.35">
      <c r="A56" s="386"/>
      <c r="B56" s="387" t="s">
        <v>184</v>
      </c>
      <c r="C56" s="653" t="s">
        <v>230</v>
      </c>
      <c r="D56" s="654"/>
      <c r="E56" s="655"/>
      <c r="F56" s="386"/>
      <c r="G56" s="725" t="s">
        <v>208</v>
      </c>
      <c r="H56" s="386"/>
      <c r="I56" s="718" t="s">
        <v>457</v>
      </c>
      <c r="J56" s="535"/>
    </row>
    <row r="57" spans="1:12" x14ac:dyDescent="0.35">
      <c r="A57" s="386"/>
      <c r="B57" s="387"/>
      <c r="C57" s="401"/>
      <c r="D57" s="401"/>
      <c r="E57" s="401"/>
      <c r="F57" s="386"/>
      <c r="G57" s="387"/>
      <c r="H57" s="386"/>
      <c r="I57" s="404"/>
      <c r="J57" s="535"/>
    </row>
    <row r="58" spans="1:12" ht="130.5" x14ac:dyDescent="0.8">
      <c r="A58" s="386"/>
      <c r="B58" s="387" t="s">
        <v>188</v>
      </c>
      <c r="C58" s="653" t="s">
        <v>231</v>
      </c>
      <c r="D58" s="654"/>
      <c r="E58" s="655"/>
      <c r="F58" s="386"/>
      <c r="G58" s="725" t="s">
        <v>208</v>
      </c>
      <c r="H58" s="386"/>
      <c r="I58" s="718" t="s">
        <v>428</v>
      </c>
      <c r="J58" s="535"/>
      <c r="L58" s="533" t="s">
        <v>37</v>
      </c>
    </row>
    <row r="59" spans="1:12" x14ac:dyDescent="0.35">
      <c r="A59" s="386"/>
      <c r="B59" s="387"/>
      <c r="C59" s="385"/>
      <c r="D59" s="385"/>
      <c r="E59" s="385"/>
      <c r="F59" s="386"/>
      <c r="H59" s="386"/>
      <c r="I59" s="404"/>
      <c r="J59" s="535"/>
    </row>
    <row r="60" spans="1:12" ht="188.5" x14ac:dyDescent="0.8">
      <c r="A60" s="386"/>
      <c r="B60" s="387" t="s">
        <v>192</v>
      </c>
      <c r="C60" s="653" t="s">
        <v>232</v>
      </c>
      <c r="D60" s="654"/>
      <c r="E60" s="655"/>
      <c r="F60" s="386"/>
      <c r="G60" s="725" t="s">
        <v>208</v>
      </c>
      <c r="H60" s="386"/>
      <c r="I60" s="718" t="s">
        <v>450</v>
      </c>
      <c r="J60" s="535"/>
      <c r="L60" s="533" t="s">
        <v>37</v>
      </c>
    </row>
    <row r="61" spans="1:12" x14ac:dyDescent="0.35">
      <c r="A61" s="386"/>
      <c r="B61" s="387"/>
      <c r="C61" s="385"/>
      <c r="D61" s="385"/>
      <c r="E61" s="385"/>
      <c r="F61" s="386"/>
      <c r="H61" s="386"/>
      <c r="I61" s="404"/>
      <c r="J61" s="535"/>
    </row>
    <row r="62" spans="1:12" x14ac:dyDescent="0.35">
      <c r="A62" s="413"/>
      <c r="B62" s="413"/>
      <c r="C62" s="414" t="s">
        <v>233</v>
      </c>
      <c r="D62" s="415"/>
      <c r="E62" s="415"/>
      <c r="F62" s="415"/>
      <c r="G62" s="415"/>
      <c r="H62" s="415"/>
      <c r="I62" s="415"/>
      <c r="J62" s="416"/>
    </row>
    <row r="63" spans="1:12" x14ac:dyDescent="0.35">
      <c r="A63" s="386"/>
      <c r="B63" s="387"/>
      <c r="C63" s="385"/>
      <c r="D63" s="385"/>
      <c r="E63" s="385"/>
      <c r="F63" s="386"/>
      <c r="G63" s="404"/>
      <c r="H63" s="386"/>
      <c r="I63" s="404"/>
      <c r="J63" s="535"/>
    </row>
    <row r="64" spans="1:12" x14ac:dyDescent="0.35">
      <c r="A64" s="386"/>
      <c r="B64" s="417"/>
      <c r="C64" s="418" t="s">
        <v>234</v>
      </c>
      <c r="D64" s="417"/>
      <c r="E64" s="417"/>
      <c r="F64" s="417"/>
      <c r="G64" s="417"/>
      <c r="H64" s="417"/>
      <c r="I64" s="417"/>
      <c r="J64" s="535"/>
    </row>
    <row r="65" spans="1:12" x14ac:dyDescent="0.35">
      <c r="A65" s="386"/>
      <c r="B65" s="387"/>
      <c r="C65" s="385"/>
      <c r="D65" s="385"/>
      <c r="E65" s="385"/>
      <c r="F65" s="386"/>
      <c r="H65" s="386"/>
      <c r="I65" s="404"/>
      <c r="J65" s="535"/>
    </row>
    <row r="66" spans="1:12" ht="174" x14ac:dyDescent="0.35">
      <c r="A66" s="386"/>
      <c r="B66" s="387" t="s">
        <v>235</v>
      </c>
      <c r="C66" s="653" t="s">
        <v>236</v>
      </c>
      <c r="D66" s="654"/>
      <c r="E66" s="655"/>
      <c r="F66" s="386"/>
      <c r="G66" s="725" t="s">
        <v>208</v>
      </c>
      <c r="H66" s="386"/>
      <c r="I66" s="718" t="s">
        <v>237</v>
      </c>
      <c r="J66" s="535"/>
    </row>
    <row r="67" spans="1:12" x14ac:dyDescent="0.35">
      <c r="A67" s="386"/>
      <c r="B67" s="387"/>
      <c r="C67" s="385"/>
      <c r="D67" s="385"/>
      <c r="E67" s="385"/>
      <c r="F67" s="386"/>
      <c r="H67" s="386"/>
      <c r="I67" s="404"/>
      <c r="J67" s="535"/>
    </row>
    <row r="68" spans="1:12" x14ac:dyDescent="0.35">
      <c r="A68" s="386"/>
      <c r="B68" s="417"/>
      <c r="C68" s="418" t="s">
        <v>238</v>
      </c>
      <c r="D68" s="417"/>
      <c r="E68" s="417"/>
      <c r="F68" s="417"/>
      <c r="G68" s="417"/>
      <c r="H68" s="417"/>
      <c r="I68" s="417"/>
      <c r="J68" s="535"/>
    </row>
    <row r="69" spans="1:12" x14ac:dyDescent="0.35">
      <c r="A69" s="386"/>
      <c r="B69" s="387"/>
      <c r="C69" s="385"/>
      <c r="D69" s="385"/>
      <c r="E69" s="385"/>
      <c r="F69" s="386"/>
      <c r="H69" s="386"/>
      <c r="I69" s="404"/>
      <c r="J69" s="535"/>
    </row>
    <row r="70" spans="1:12" ht="29" x14ac:dyDescent="0.35">
      <c r="A70" s="386"/>
      <c r="B70" s="387" t="s">
        <v>239</v>
      </c>
      <c r="C70" s="653" t="s">
        <v>240</v>
      </c>
      <c r="D70" s="654"/>
      <c r="E70" s="655"/>
      <c r="F70" s="386"/>
      <c r="G70" s="725" t="s">
        <v>241</v>
      </c>
      <c r="H70" s="386"/>
      <c r="I70" s="718" t="s">
        <v>452</v>
      </c>
      <c r="J70" s="535"/>
    </row>
    <row r="71" spans="1:12" x14ac:dyDescent="0.35">
      <c r="A71" s="386"/>
      <c r="B71" s="387"/>
      <c r="C71" s="385"/>
      <c r="D71" s="385"/>
      <c r="E71" s="385"/>
      <c r="F71" s="386"/>
      <c r="G71" s="412"/>
      <c r="H71" s="386"/>
      <c r="I71" s="404"/>
      <c r="J71" s="535"/>
    </row>
    <row r="72" spans="1:12" x14ac:dyDescent="0.35">
      <c r="A72" s="386"/>
      <c r="B72" s="417"/>
      <c r="C72" s="418" t="s">
        <v>242</v>
      </c>
      <c r="D72" s="417"/>
      <c r="E72" s="417"/>
      <c r="F72" s="417"/>
      <c r="G72" s="417"/>
      <c r="H72" s="417"/>
      <c r="I72" s="417"/>
      <c r="J72" s="535"/>
    </row>
    <row r="73" spans="1:12" x14ac:dyDescent="0.35">
      <c r="A73" s="386"/>
      <c r="B73" s="387"/>
      <c r="C73" s="385"/>
      <c r="D73" s="385"/>
      <c r="E73" s="385"/>
      <c r="F73" s="386"/>
      <c r="G73" s="412"/>
      <c r="H73" s="386"/>
      <c r="I73" s="404"/>
      <c r="J73" s="535"/>
    </row>
    <row r="74" spans="1:12" ht="43.5" x14ac:dyDescent="0.8">
      <c r="A74" s="386"/>
      <c r="B74" s="387" t="s">
        <v>243</v>
      </c>
      <c r="C74" s="653" t="s">
        <v>244</v>
      </c>
      <c r="D74" s="654"/>
      <c r="E74" s="655"/>
      <c r="F74" s="386"/>
      <c r="G74" s="725" t="s">
        <v>208</v>
      </c>
      <c r="H74" s="386"/>
      <c r="I74" s="718" t="s">
        <v>443</v>
      </c>
      <c r="J74" s="535"/>
      <c r="L74" s="533" t="s">
        <v>37</v>
      </c>
    </row>
    <row r="75" spans="1:12" x14ac:dyDescent="0.35">
      <c r="A75" s="386"/>
      <c r="B75" s="387"/>
      <c r="C75" s="385"/>
      <c r="D75" s="385"/>
      <c r="E75" s="385"/>
      <c r="F75" s="386"/>
      <c r="G75" s="412"/>
      <c r="H75" s="386"/>
      <c r="I75" s="404"/>
      <c r="J75" s="535"/>
    </row>
    <row r="76" spans="1:12" x14ac:dyDescent="0.35">
      <c r="A76" s="386"/>
      <c r="B76" s="417"/>
      <c r="C76" s="418" t="s">
        <v>245</v>
      </c>
      <c r="D76" s="417"/>
      <c r="E76" s="417"/>
      <c r="F76" s="417"/>
      <c r="G76" s="417"/>
      <c r="H76" s="417"/>
      <c r="I76" s="417"/>
      <c r="J76" s="535"/>
    </row>
    <row r="77" spans="1:12" x14ac:dyDescent="0.35">
      <c r="A77" s="386"/>
      <c r="B77" s="387"/>
      <c r="C77" s="385"/>
      <c r="D77" s="385"/>
      <c r="E77" s="385"/>
      <c r="F77" s="386"/>
      <c r="G77" s="412"/>
      <c r="H77" s="386"/>
      <c r="I77" s="404"/>
      <c r="J77" s="535"/>
    </row>
    <row r="78" spans="1:12" ht="29" x14ac:dyDescent="0.35">
      <c r="A78" s="386"/>
      <c r="B78" s="387" t="s">
        <v>246</v>
      </c>
      <c r="C78" s="653" t="s">
        <v>247</v>
      </c>
      <c r="D78" s="654"/>
      <c r="E78" s="655"/>
      <c r="F78" s="386"/>
      <c r="G78" s="725" t="s">
        <v>241</v>
      </c>
      <c r="H78" s="386"/>
      <c r="I78" s="718" t="s">
        <v>444</v>
      </c>
      <c r="J78" s="535"/>
    </row>
    <row r="79" spans="1:12" x14ac:dyDescent="0.35">
      <c r="A79" s="386"/>
      <c r="B79" s="387"/>
      <c r="C79" s="385"/>
      <c r="D79" s="385"/>
      <c r="E79" s="385"/>
      <c r="F79" s="386"/>
      <c r="G79" s="412"/>
      <c r="H79" s="386"/>
      <c r="I79" s="404"/>
      <c r="J79" s="535"/>
    </row>
    <row r="80" spans="1:12" x14ac:dyDescent="0.35">
      <c r="A80" s="419"/>
      <c r="B80" s="657" t="s">
        <v>248</v>
      </c>
      <c r="C80" s="657"/>
      <c r="D80" s="657"/>
      <c r="E80" s="657"/>
      <c r="F80" s="657"/>
      <c r="G80" s="657"/>
      <c r="H80" s="657"/>
      <c r="I80" s="657"/>
      <c r="J80" s="658"/>
    </row>
    <row r="81" spans="1:12" x14ac:dyDescent="0.35">
      <c r="A81" s="386"/>
      <c r="B81" s="387"/>
      <c r="C81" s="385"/>
      <c r="D81" s="385"/>
      <c r="E81" s="385"/>
      <c r="F81" s="386"/>
      <c r="G81" s="401"/>
      <c r="H81" s="386"/>
      <c r="I81" s="404"/>
      <c r="J81" s="535"/>
    </row>
    <row r="82" spans="1:12" x14ac:dyDescent="0.35">
      <c r="A82" s="386"/>
      <c r="B82" s="420"/>
      <c r="C82" s="421" t="s">
        <v>249</v>
      </c>
      <c r="D82" s="421"/>
      <c r="E82" s="421"/>
      <c r="F82" s="421"/>
      <c r="G82" s="421"/>
      <c r="H82" s="421"/>
      <c r="I82" s="421"/>
      <c r="J82" s="535"/>
    </row>
    <row r="83" spans="1:12" x14ac:dyDescent="0.35">
      <c r="A83" s="386"/>
      <c r="B83" s="387"/>
      <c r="C83" s="385"/>
      <c r="D83" s="385"/>
      <c r="E83" s="385"/>
      <c r="F83" s="386"/>
      <c r="G83" s="412"/>
      <c r="H83" s="386"/>
      <c r="I83" s="404"/>
      <c r="J83" s="535"/>
    </row>
    <row r="84" spans="1:12" ht="43.5" x14ac:dyDescent="0.8">
      <c r="A84" s="386"/>
      <c r="B84" s="387" t="s">
        <v>250</v>
      </c>
      <c r="C84" s="653" t="s">
        <v>251</v>
      </c>
      <c r="D84" s="654"/>
      <c r="E84" s="655"/>
      <c r="F84" s="386"/>
      <c r="G84" s="725" t="s">
        <v>208</v>
      </c>
      <c r="H84" s="386"/>
      <c r="I84" s="718" t="s">
        <v>454</v>
      </c>
      <c r="J84" s="535"/>
      <c r="L84" s="533" t="s">
        <v>37</v>
      </c>
    </row>
    <row r="85" spans="1:12" x14ac:dyDescent="0.35">
      <c r="A85" s="386"/>
      <c r="B85" s="387"/>
      <c r="C85" s="411"/>
      <c r="D85" s="411"/>
      <c r="E85" s="411"/>
      <c r="F85" s="386"/>
      <c r="G85" s="412"/>
      <c r="H85" s="386"/>
      <c r="I85" s="404"/>
      <c r="J85" s="535"/>
    </row>
    <row r="86" spans="1:12" x14ac:dyDescent="0.35">
      <c r="A86" s="386"/>
      <c r="B86" s="420"/>
      <c r="C86" s="421" t="s">
        <v>252</v>
      </c>
      <c r="D86" s="420"/>
      <c r="E86" s="420"/>
      <c r="F86" s="420"/>
      <c r="G86" s="420"/>
      <c r="H86" s="420"/>
      <c r="I86" s="420"/>
      <c r="J86" s="535"/>
    </row>
    <row r="87" spans="1:12" x14ac:dyDescent="0.35">
      <c r="A87" s="386"/>
      <c r="B87" s="387"/>
      <c r="C87" s="385"/>
      <c r="D87" s="385"/>
      <c r="E87" s="385"/>
      <c r="F87" s="386"/>
      <c r="G87" s="412"/>
      <c r="H87" s="386"/>
      <c r="I87" s="404"/>
      <c r="J87" s="535"/>
    </row>
    <row r="88" spans="1:12" ht="43.5" x14ac:dyDescent="0.8">
      <c r="A88" s="386"/>
      <c r="B88" s="387" t="s">
        <v>253</v>
      </c>
      <c r="C88" s="653" t="s">
        <v>254</v>
      </c>
      <c r="D88" s="654"/>
      <c r="E88" s="655"/>
      <c r="F88" s="386"/>
      <c r="G88" s="725" t="s">
        <v>241</v>
      </c>
      <c r="H88" s="386"/>
      <c r="I88" s="718" t="s">
        <v>453</v>
      </c>
      <c r="J88" s="535"/>
      <c r="L88" s="533" t="s">
        <v>37</v>
      </c>
    </row>
    <row r="89" spans="1:12" x14ac:dyDescent="0.35">
      <c r="A89" s="386"/>
      <c r="B89" s="387"/>
      <c r="C89" s="411"/>
      <c r="D89" s="411"/>
      <c r="E89" s="411"/>
      <c r="F89" s="386"/>
      <c r="G89" s="412"/>
      <c r="H89" s="386"/>
      <c r="I89" s="404"/>
      <c r="J89" s="535"/>
    </row>
    <row r="90" spans="1:12" x14ac:dyDescent="0.35">
      <c r="A90" s="386"/>
      <c r="B90" s="420"/>
      <c r="C90" s="659" t="s">
        <v>255</v>
      </c>
      <c r="D90" s="659"/>
      <c r="E90" s="659"/>
      <c r="F90" s="420"/>
      <c r="G90" s="420"/>
      <c r="H90" s="420"/>
      <c r="I90" s="420"/>
      <c r="J90" s="535"/>
    </row>
    <row r="91" spans="1:12" x14ac:dyDescent="0.35">
      <c r="A91" s="386"/>
      <c r="B91" s="387"/>
      <c r="C91" s="411"/>
      <c r="D91" s="411"/>
      <c r="E91" s="411"/>
      <c r="F91" s="386"/>
      <c r="G91" s="412"/>
      <c r="H91" s="386"/>
      <c r="I91" s="404"/>
      <c r="J91" s="535"/>
    </row>
    <row r="92" spans="1:12" ht="36" x14ac:dyDescent="0.8">
      <c r="A92" s="386"/>
      <c r="B92" s="387" t="s">
        <v>256</v>
      </c>
      <c r="C92" s="653" t="s">
        <v>257</v>
      </c>
      <c r="D92" s="654"/>
      <c r="E92" s="655"/>
      <c r="F92" s="386"/>
      <c r="G92" s="725" t="s">
        <v>227</v>
      </c>
      <c r="H92" s="386"/>
      <c r="I92" s="718" t="s">
        <v>451</v>
      </c>
      <c r="J92" s="535"/>
      <c r="L92" s="533" t="s">
        <v>37</v>
      </c>
    </row>
    <row r="93" spans="1:12" x14ac:dyDescent="0.35">
      <c r="A93" s="386"/>
      <c r="B93" s="387"/>
      <c r="C93" s="385"/>
      <c r="D93" s="385"/>
      <c r="E93" s="385"/>
      <c r="F93" s="386"/>
      <c r="G93" s="412"/>
      <c r="H93" s="386"/>
      <c r="I93" s="404"/>
      <c r="J93" s="535"/>
    </row>
    <row r="94" spans="1:12" ht="15" customHeight="1" x14ac:dyDescent="0.35">
      <c r="A94" s="422"/>
      <c r="B94" s="460"/>
      <c r="C94" s="460" t="s">
        <v>258</v>
      </c>
      <c r="D94" s="422"/>
      <c r="E94" s="422"/>
      <c r="F94" s="422"/>
      <c r="G94" s="422"/>
      <c r="H94" s="422"/>
      <c r="I94" s="422"/>
      <c r="J94" s="422"/>
    </row>
    <row r="95" spans="1:12" x14ac:dyDescent="0.35">
      <c r="A95" s="386"/>
      <c r="B95" s="386"/>
      <c r="C95" s="401"/>
      <c r="D95" s="386"/>
      <c r="E95" s="386"/>
      <c r="F95" s="386"/>
      <c r="G95" s="387"/>
      <c r="H95" s="386"/>
      <c r="I95" s="537"/>
      <c r="J95" s="535"/>
    </row>
    <row r="96" spans="1:12" x14ac:dyDescent="0.35">
      <c r="A96" s="401"/>
      <c r="B96" s="422"/>
      <c r="C96" s="423" t="s">
        <v>259</v>
      </c>
      <c r="D96" s="422"/>
      <c r="E96" s="422"/>
      <c r="F96" s="422"/>
      <c r="G96" s="422"/>
      <c r="H96" s="422"/>
      <c r="I96" s="422"/>
      <c r="J96" s="401"/>
    </row>
    <row r="97" spans="1:12" x14ac:dyDescent="0.35">
      <c r="A97" s="401"/>
      <c r="B97" s="401"/>
      <c r="C97" s="401"/>
      <c r="D97" s="401"/>
      <c r="E97" s="401"/>
      <c r="F97" s="401"/>
      <c r="G97" s="401"/>
      <c r="H97" s="401"/>
      <c r="I97" s="401"/>
      <c r="J97" s="401"/>
    </row>
    <row r="98" spans="1:12" ht="116" x14ac:dyDescent="0.35">
      <c r="A98" s="401"/>
      <c r="B98" s="387" t="s">
        <v>260</v>
      </c>
      <c r="C98" s="653" t="s">
        <v>261</v>
      </c>
      <c r="D98" s="654"/>
      <c r="E98" s="655"/>
      <c r="F98" s="386"/>
      <c r="G98" s="725" t="s">
        <v>208</v>
      </c>
      <c r="H98" s="386"/>
      <c r="I98" s="718" t="s">
        <v>445</v>
      </c>
      <c r="J98" s="401"/>
    </row>
    <row r="99" spans="1:12" x14ac:dyDescent="0.35">
      <c r="A99" s="401"/>
      <c r="B99" s="401"/>
      <c r="C99" s="401"/>
      <c r="D99" s="401"/>
      <c r="E99" s="401"/>
      <c r="F99" s="401"/>
      <c r="G99" s="401"/>
      <c r="H99" s="401"/>
      <c r="I99" s="401"/>
      <c r="J99" s="401"/>
    </row>
    <row r="100" spans="1:12" ht="72.5" x14ac:dyDescent="0.8">
      <c r="A100" s="401"/>
      <c r="B100" s="387" t="s">
        <v>262</v>
      </c>
      <c r="C100" s="653" t="s">
        <v>263</v>
      </c>
      <c r="D100" s="654"/>
      <c r="E100" s="655"/>
      <c r="F100" s="386"/>
      <c r="G100" s="725" t="s">
        <v>208</v>
      </c>
      <c r="H100" s="386"/>
      <c r="I100" s="718" t="s">
        <v>433</v>
      </c>
      <c r="J100" s="401"/>
      <c r="L100" s="533" t="s">
        <v>37</v>
      </c>
    </row>
    <row r="101" spans="1:12" x14ac:dyDescent="0.35">
      <c r="A101" s="401"/>
      <c r="B101" s="401"/>
      <c r="C101" s="401"/>
      <c r="D101" s="401"/>
      <c r="E101" s="401"/>
      <c r="F101" s="401"/>
      <c r="G101" s="401"/>
      <c r="H101" s="401"/>
      <c r="I101" s="401"/>
      <c r="J101" s="401"/>
    </row>
    <row r="102" spans="1:12" ht="159.5" x14ac:dyDescent="0.35">
      <c r="A102" s="401"/>
      <c r="B102" s="387" t="s">
        <v>264</v>
      </c>
      <c r="C102" s="653" t="s">
        <v>265</v>
      </c>
      <c r="D102" s="654"/>
      <c r="E102" s="655"/>
      <c r="F102" s="386"/>
      <c r="G102" s="725" t="s">
        <v>208</v>
      </c>
      <c r="H102" s="386"/>
      <c r="I102" s="718" t="s">
        <v>438</v>
      </c>
      <c r="J102" s="401"/>
    </row>
    <row r="103" spans="1:12" x14ac:dyDescent="0.35">
      <c r="A103" s="401"/>
      <c r="B103" s="401"/>
      <c r="C103" s="401"/>
      <c r="D103" s="401"/>
      <c r="E103" s="401"/>
      <c r="F103" s="401"/>
      <c r="G103" s="401"/>
      <c r="H103" s="401"/>
      <c r="I103" s="401"/>
      <c r="J103" s="401"/>
    </row>
    <row r="104" spans="1:12" ht="72.5" x14ac:dyDescent="0.8">
      <c r="A104" s="401"/>
      <c r="B104" s="387" t="s">
        <v>266</v>
      </c>
      <c r="C104" s="653" t="s">
        <v>267</v>
      </c>
      <c r="D104" s="654"/>
      <c r="E104" s="655"/>
      <c r="F104" s="386"/>
      <c r="G104" s="725" t="s">
        <v>208</v>
      </c>
      <c r="H104" s="386"/>
      <c r="I104" s="718" t="s">
        <v>429</v>
      </c>
      <c r="J104" s="401"/>
      <c r="L104" s="533" t="s">
        <v>37</v>
      </c>
    </row>
    <row r="105" spans="1:12" x14ac:dyDescent="0.35">
      <c r="A105" s="401"/>
      <c r="B105" s="401"/>
      <c r="C105" s="401"/>
      <c r="D105" s="401"/>
      <c r="E105" s="401"/>
      <c r="F105" s="401"/>
      <c r="G105" s="401"/>
      <c r="H105" s="401"/>
      <c r="I105" s="401"/>
      <c r="J105" s="401"/>
    </row>
    <row r="106" spans="1:12" ht="101.5" x14ac:dyDescent="0.35">
      <c r="A106" s="401"/>
      <c r="B106" s="387" t="s">
        <v>268</v>
      </c>
      <c r="C106" s="653" t="s">
        <v>269</v>
      </c>
      <c r="D106" s="654"/>
      <c r="E106" s="655"/>
      <c r="F106" s="386"/>
      <c r="G106" s="725" t="s">
        <v>208</v>
      </c>
      <c r="H106" s="386"/>
      <c r="I106" s="718" t="s">
        <v>439</v>
      </c>
      <c r="J106" s="401"/>
    </row>
    <row r="107" spans="1:12" x14ac:dyDescent="0.35">
      <c r="A107" s="401"/>
      <c r="B107" s="401"/>
      <c r="C107" s="401"/>
      <c r="D107" s="401"/>
      <c r="E107" s="401"/>
      <c r="F107" s="401"/>
      <c r="G107" s="401"/>
      <c r="H107" s="401"/>
      <c r="I107" s="401"/>
      <c r="J107" s="401"/>
    </row>
    <row r="108" spans="1:12" ht="217.5" x14ac:dyDescent="0.35">
      <c r="A108" s="401"/>
      <c r="B108" s="387" t="s">
        <v>270</v>
      </c>
      <c r="C108" s="653" t="s">
        <v>271</v>
      </c>
      <c r="D108" s="654"/>
      <c r="E108" s="655"/>
      <c r="F108" s="386"/>
      <c r="G108" s="725" t="s">
        <v>208</v>
      </c>
      <c r="H108" s="386"/>
      <c r="I108" s="718" t="s">
        <v>460</v>
      </c>
      <c r="J108" s="401"/>
    </row>
    <row r="109" spans="1:12" ht="15" customHeight="1" x14ac:dyDescent="0.35">
      <c r="A109" s="401"/>
      <c r="B109" s="387"/>
      <c r="C109" s="411"/>
      <c r="D109" s="411"/>
      <c r="E109" s="411"/>
      <c r="F109" s="386"/>
      <c r="G109" s="401"/>
      <c r="H109" s="386"/>
      <c r="I109" s="404"/>
      <c r="J109" s="401"/>
    </row>
    <row r="110" spans="1:12" x14ac:dyDescent="0.35">
      <c r="A110" s="401"/>
      <c r="B110" s="422"/>
      <c r="C110" s="423" t="s">
        <v>272</v>
      </c>
      <c r="D110" s="422"/>
      <c r="E110" s="422"/>
      <c r="F110" s="422"/>
      <c r="G110" s="422"/>
      <c r="H110" s="422"/>
      <c r="I110" s="422"/>
      <c r="J110" s="401"/>
    </row>
    <row r="111" spans="1:12" ht="15" customHeight="1" x14ac:dyDescent="0.35">
      <c r="A111" s="401"/>
      <c r="B111" s="387"/>
      <c r="C111" s="411"/>
      <c r="D111" s="411"/>
      <c r="E111" s="411"/>
      <c r="F111" s="386"/>
      <c r="G111" s="401"/>
      <c r="H111" s="386"/>
      <c r="I111" s="404"/>
      <c r="J111" s="401"/>
    </row>
    <row r="112" spans="1:12" ht="246.5" x14ac:dyDescent="1">
      <c r="A112" s="401"/>
      <c r="B112" s="387" t="s">
        <v>273</v>
      </c>
      <c r="C112" s="653" t="s">
        <v>274</v>
      </c>
      <c r="D112" s="654"/>
      <c r="E112" s="655"/>
      <c r="F112" s="386"/>
      <c r="G112" s="725" t="s">
        <v>208</v>
      </c>
      <c r="H112" s="386"/>
      <c r="I112" s="718" t="s">
        <v>461</v>
      </c>
      <c r="J112" s="401"/>
      <c r="L112" s="538" t="s">
        <v>37</v>
      </c>
    </row>
    <row r="113" spans="1:12" ht="15" customHeight="1" x14ac:dyDescent="0.35">
      <c r="A113" s="401"/>
      <c r="B113" s="387"/>
      <c r="C113" s="411"/>
      <c r="D113" s="411"/>
      <c r="E113" s="411"/>
      <c r="F113" s="386"/>
      <c r="G113" s="401"/>
      <c r="H113" s="386"/>
      <c r="I113" s="404"/>
      <c r="J113" s="401"/>
    </row>
    <row r="114" spans="1:12" x14ac:dyDescent="0.35">
      <c r="A114" s="401"/>
      <c r="B114" s="422"/>
      <c r="C114" s="423" t="s">
        <v>275</v>
      </c>
      <c r="D114" s="422"/>
      <c r="E114" s="422"/>
      <c r="F114" s="422"/>
      <c r="G114" s="422"/>
      <c r="H114" s="422"/>
      <c r="I114" s="422"/>
      <c r="J114" s="401"/>
    </row>
    <row r="115" spans="1:12" ht="13.5" customHeight="1" x14ac:dyDescent="0.35">
      <c r="A115" s="401"/>
      <c r="B115" s="401"/>
      <c r="C115" s="401"/>
      <c r="D115" s="401"/>
      <c r="E115" s="401"/>
      <c r="F115" s="401"/>
      <c r="G115" s="401"/>
      <c r="H115" s="401"/>
      <c r="I115" s="401"/>
      <c r="J115" s="401"/>
    </row>
    <row r="116" spans="1:12" ht="203" x14ac:dyDescent="0.8">
      <c r="A116" s="401"/>
      <c r="B116" s="387" t="s">
        <v>276</v>
      </c>
      <c r="C116" s="653" t="s">
        <v>277</v>
      </c>
      <c r="D116" s="654"/>
      <c r="E116" s="655"/>
      <c r="F116" s="386"/>
      <c r="G116" s="725" t="s">
        <v>208</v>
      </c>
      <c r="H116" s="386"/>
      <c r="I116" s="718" t="s">
        <v>459</v>
      </c>
      <c r="J116" s="401"/>
      <c r="L116" s="533" t="s">
        <v>37</v>
      </c>
    </row>
    <row r="117" spans="1:12" ht="12.75" customHeight="1" x14ac:dyDescent="0.8">
      <c r="A117" s="401"/>
      <c r="B117" s="387"/>
      <c r="C117" s="411"/>
      <c r="D117" s="411"/>
      <c r="E117" s="411"/>
      <c r="F117" s="386"/>
      <c r="G117" s="401"/>
      <c r="H117" s="386"/>
      <c r="I117" s="404"/>
      <c r="J117" s="401"/>
      <c r="L117" s="533"/>
    </row>
    <row r="118" spans="1:12" x14ac:dyDescent="0.35">
      <c r="A118" s="401"/>
      <c r="B118" s="422"/>
      <c r="C118" s="423" t="s">
        <v>278</v>
      </c>
      <c r="D118" s="422"/>
      <c r="E118" s="422"/>
      <c r="F118" s="422"/>
      <c r="G118" s="422"/>
      <c r="H118" s="422"/>
      <c r="I118" s="422"/>
      <c r="J118" s="401"/>
    </row>
    <row r="119" spans="1:12" x14ac:dyDescent="0.35">
      <c r="A119" s="401"/>
      <c r="B119" s="401"/>
      <c r="C119" s="401"/>
      <c r="D119" s="401"/>
      <c r="E119" s="401"/>
      <c r="F119" s="401"/>
      <c r="G119" s="401"/>
      <c r="H119" s="401"/>
      <c r="I119" s="401"/>
      <c r="J119" s="401"/>
    </row>
    <row r="120" spans="1:12" hidden="1" x14ac:dyDescent="0.35">
      <c r="A120" s="401"/>
      <c r="C120" s="539" t="s">
        <v>208</v>
      </c>
      <c r="D120" s="539"/>
      <c r="E120" s="539"/>
      <c r="G120" s="424"/>
      <c r="J120" s="401"/>
    </row>
    <row r="121" spans="1:12" hidden="1" x14ac:dyDescent="0.35">
      <c r="A121" s="401"/>
      <c r="C121" s="539" t="s">
        <v>227</v>
      </c>
      <c r="D121" s="539"/>
      <c r="E121" s="539"/>
      <c r="G121" s="424"/>
      <c r="J121" s="401"/>
    </row>
    <row r="122" spans="1:12" hidden="1" x14ac:dyDescent="0.35">
      <c r="A122" s="401"/>
      <c r="C122" s="539" t="s">
        <v>241</v>
      </c>
      <c r="D122" s="539"/>
      <c r="E122" s="539"/>
      <c r="G122" s="424"/>
      <c r="J122" s="401"/>
    </row>
    <row r="123" spans="1:12" ht="36" x14ac:dyDescent="0.8">
      <c r="A123" s="401"/>
      <c r="B123" s="387" t="s">
        <v>279</v>
      </c>
      <c r="C123" s="653" t="s">
        <v>280</v>
      </c>
      <c r="D123" s="654"/>
      <c r="E123" s="655"/>
      <c r="F123" s="386"/>
      <c r="G123" s="725" t="s">
        <v>241</v>
      </c>
      <c r="H123" s="386"/>
      <c r="I123" s="718" t="s">
        <v>440</v>
      </c>
      <c r="J123" s="401"/>
      <c r="L123" s="533" t="s">
        <v>37</v>
      </c>
    </row>
    <row r="124" spans="1:12" x14ac:dyDescent="0.35">
      <c r="A124" s="401"/>
      <c r="B124" s="401"/>
      <c r="C124" s="401"/>
      <c r="D124" s="401"/>
      <c r="E124" s="401"/>
      <c r="F124" s="401"/>
      <c r="G124" s="401"/>
      <c r="H124" s="401"/>
      <c r="I124" s="401"/>
      <c r="J124" s="401"/>
    </row>
    <row r="125" spans="1:12" ht="30.75" customHeight="1" x14ac:dyDescent="0.8">
      <c r="A125" s="401"/>
      <c r="B125" s="387" t="s">
        <v>281</v>
      </c>
      <c r="C125" s="653" t="s">
        <v>282</v>
      </c>
      <c r="D125" s="654"/>
      <c r="E125" s="655"/>
      <c r="F125" s="386"/>
      <c r="G125" s="725" t="s">
        <v>241</v>
      </c>
      <c r="H125" s="386"/>
      <c r="I125" s="718" t="s">
        <v>430</v>
      </c>
      <c r="J125" s="401"/>
      <c r="L125" s="533" t="s">
        <v>37</v>
      </c>
    </row>
    <row r="126" spans="1:12" x14ac:dyDescent="0.35">
      <c r="A126" s="401"/>
      <c r="B126" s="387"/>
      <c r="C126" s="411"/>
      <c r="D126" s="411"/>
      <c r="E126" s="411"/>
      <c r="F126" s="386"/>
      <c r="G126" s="401"/>
      <c r="H126" s="386"/>
      <c r="I126" s="404"/>
      <c r="J126" s="401"/>
    </row>
    <row r="127" spans="1:12" x14ac:dyDescent="0.35">
      <c r="A127" s="401"/>
      <c r="B127" s="422"/>
      <c r="C127" s="423" t="s">
        <v>283</v>
      </c>
      <c r="D127" s="422"/>
      <c r="E127" s="422"/>
      <c r="F127" s="422"/>
      <c r="G127" s="422"/>
      <c r="H127" s="422"/>
      <c r="I127" s="422"/>
      <c r="J127" s="401"/>
    </row>
    <row r="128" spans="1:12" x14ac:dyDescent="0.35">
      <c r="A128" s="401"/>
      <c r="B128" s="387"/>
      <c r="C128" s="411"/>
      <c r="D128" s="411"/>
      <c r="E128" s="411"/>
      <c r="F128" s="386"/>
      <c r="G128" s="401"/>
      <c r="H128" s="386"/>
      <c r="I128" s="404"/>
      <c r="J128" s="401"/>
    </row>
    <row r="129" spans="1:11" ht="87" x14ac:dyDescent="0.35">
      <c r="A129" s="401"/>
      <c r="B129" s="387" t="s">
        <v>284</v>
      </c>
      <c r="C129" s="653" t="s">
        <v>285</v>
      </c>
      <c r="D129" s="654"/>
      <c r="E129" s="655"/>
      <c r="F129" s="386"/>
      <c r="G129" s="725" t="s">
        <v>208</v>
      </c>
      <c r="H129" s="386"/>
      <c r="I129" s="718" t="s">
        <v>458</v>
      </c>
      <c r="J129" s="401"/>
    </row>
    <row r="130" spans="1:11" x14ac:dyDescent="0.35">
      <c r="A130" s="401"/>
      <c r="B130" s="387"/>
      <c r="C130" s="411"/>
      <c r="D130" s="411"/>
      <c r="E130" s="411"/>
      <c r="F130" s="386"/>
      <c r="G130" s="401"/>
      <c r="H130" s="386"/>
      <c r="I130" s="404"/>
      <c r="J130" s="401"/>
    </row>
    <row r="131" spans="1:11" ht="145" x14ac:dyDescent="0.35">
      <c r="A131" s="401"/>
      <c r="B131" s="387" t="s">
        <v>286</v>
      </c>
      <c r="C131" s="653" t="s">
        <v>287</v>
      </c>
      <c r="D131" s="654"/>
      <c r="E131" s="655"/>
      <c r="F131" s="386"/>
      <c r="G131" s="725" t="s">
        <v>208</v>
      </c>
      <c r="H131" s="386"/>
      <c r="I131" s="718" t="s">
        <v>436</v>
      </c>
      <c r="J131" s="401"/>
    </row>
    <row r="132" spans="1:11" x14ac:dyDescent="0.35">
      <c r="A132" s="401"/>
      <c r="B132" s="387"/>
      <c r="C132" s="411"/>
      <c r="D132" s="411"/>
      <c r="E132" s="411"/>
      <c r="F132" s="386"/>
      <c r="G132" s="401"/>
      <c r="H132" s="386"/>
      <c r="I132" s="404"/>
      <c r="J132" s="401"/>
    </row>
    <row r="133" spans="1:11" ht="72.5" x14ac:dyDescent="0.35">
      <c r="A133" s="401"/>
      <c r="B133" s="387" t="s">
        <v>288</v>
      </c>
      <c r="C133" s="653" t="s">
        <v>289</v>
      </c>
      <c r="D133" s="654"/>
      <c r="E133" s="655"/>
      <c r="F133" s="386"/>
      <c r="G133" s="725" t="s">
        <v>208</v>
      </c>
      <c r="H133" s="386"/>
      <c r="I133" s="718" t="s">
        <v>434</v>
      </c>
      <c r="J133" s="401"/>
    </row>
    <row r="134" spans="1:11" x14ac:dyDescent="0.35">
      <c r="A134" s="401"/>
      <c r="B134" s="387"/>
      <c r="C134" s="411"/>
      <c r="D134" s="411"/>
      <c r="E134" s="411"/>
      <c r="F134" s="386"/>
      <c r="G134" s="401"/>
      <c r="H134" s="386"/>
      <c r="I134" s="404"/>
      <c r="J134" s="401"/>
    </row>
    <row r="135" spans="1:11" x14ac:dyDescent="0.35">
      <c r="A135" s="401"/>
      <c r="B135" s="422"/>
      <c r="C135" s="423" t="s">
        <v>290</v>
      </c>
      <c r="D135" s="422"/>
      <c r="E135" s="422"/>
      <c r="F135" s="422"/>
      <c r="G135" s="422"/>
      <c r="H135" s="422"/>
      <c r="I135" s="422"/>
      <c r="J135" s="401"/>
    </row>
    <row r="136" spans="1:11" x14ac:dyDescent="0.35">
      <c r="A136" s="401"/>
      <c r="B136" s="401"/>
      <c r="C136" s="401"/>
      <c r="D136" s="401"/>
      <c r="E136" s="401"/>
      <c r="F136" s="401"/>
      <c r="G136" s="401"/>
      <c r="H136" s="401"/>
      <c r="I136" s="401"/>
      <c r="J136" s="401"/>
    </row>
    <row r="137" spans="1:11" ht="15" customHeight="1" x14ac:dyDescent="0.35">
      <c r="A137" s="401"/>
      <c r="B137" s="726" t="s">
        <v>291</v>
      </c>
      <c r="C137" s="727"/>
      <c r="D137" s="727"/>
      <c r="E137" s="727"/>
      <c r="F137" s="727"/>
      <c r="G137" s="727"/>
      <c r="H137" s="727"/>
      <c r="I137" s="728"/>
      <c r="J137" s="401"/>
    </row>
    <row r="138" spans="1:11" x14ac:dyDescent="0.35">
      <c r="A138" s="401"/>
      <c r="B138" s="387"/>
      <c r="C138" s="411"/>
      <c r="D138" s="411"/>
      <c r="E138" s="411"/>
      <c r="F138" s="386"/>
      <c r="G138" s="401"/>
      <c r="H138" s="386"/>
      <c r="I138" s="404"/>
      <c r="J138" s="401"/>
    </row>
    <row r="139" spans="1:11" ht="20.25" customHeight="1" x14ac:dyDescent="0.35">
      <c r="A139" s="651" t="s">
        <v>194</v>
      </c>
      <c r="B139" s="652"/>
      <c r="C139" s="652"/>
      <c r="D139" s="652"/>
      <c r="E139" s="652"/>
      <c r="F139" s="652"/>
      <c r="G139" s="652"/>
      <c r="H139" s="652"/>
      <c r="I139" s="652"/>
      <c r="J139" s="652"/>
      <c r="K139" s="425"/>
    </row>
    <row r="140" spans="1:11" hidden="1" x14ac:dyDescent="0.35">
      <c r="G140" s="424"/>
    </row>
    <row r="141" spans="1:11" hidden="1" x14ac:dyDescent="0.35">
      <c r="G141" s="424"/>
    </row>
    <row r="142" spans="1:11" hidden="1" x14ac:dyDescent="0.35">
      <c r="G142" s="424"/>
    </row>
    <row r="143" spans="1:11" hidden="1" x14ac:dyDescent="0.35">
      <c r="G143" s="424"/>
    </row>
    <row r="144" spans="1:11" hidden="1" x14ac:dyDescent="0.35">
      <c r="G144" s="424"/>
    </row>
    <row r="145" spans="7:7" hidden="1" x14ac:dyDescent="0.35">
      <c r="G145" s="424"/>
    </row>
    <row r="146" spans="7:7" hidden="1" x14ac:dyDescent="0.35">
      <c r="G146" s="424"/>
    </row>
    <row r="147" spans="7:7" hidden="1" x14ac:dyDescent="0.35">
      <c r="G147" s="424"/>
    </row>
    <row r="148" spans="7:7" hidden="1" x14ac:dyDescent="0.35">
      <c r="G148" s="424"/>
    </row>
    <row r="149" spans="7:7" hidden="1" x14ac:dyDescent="0.35">
      <c r="G149" s="424"/>
    </row>
    <row r="150" spans="7:7" hidden="1" x14ac:dyDescent="0.35">
      <c r="G150" s="424"/>
    </row>
    <row r="151" spans="7:7" hidden="1" x14ac:dyDescent="0.35">
      <c r="G151" s="424"/>
    </row>
    <row r="152" spans="7:7" hidden="1" x14ac:dyDescent="0.35">
      <c r="G152" s="424"/>
    </row>
    <row r="153" spans="7:7" hidden="1" x14ac:dyDescent="0.35">
      <c r="G153" s="424"/>
    </row>
    <row r="154" spans="7:7" hidden="1" x14ac:dyDescent="0.35">
      <c r="G154" s="424"/>
    </row>
    <row r="155" spans="7:7" hidden="1" x14ac:dyDescent="0.35">
      <c r="G155" s="424"/>
    </row>
    <row r="156" spans="7:7" hidden="1" x14ac:dyDescent="0.35">
      <c r="G156" s="424"/>
    </row>
    <row r="157" spans="7:7" hidden="1" x14ac:dyDescent="0.35">
      <c r="G157" s="424"/>
    </row>
    <row r="158" spans="7:7" hidden="1" x14ac:dyDescent="0.35">
      <c r="G158" s="424"/>
    </row>
    <row r="159" spans="7:7" hidden="1" x14ac:dyDescent="0.35">
      <c r="G159" s="424"/>
    </row>
    <row r="160" spans="7:7" hidden="1" x14ac:dyDescent="0.35">
      <c r="G160" s="424"/>
    </row>
    <row r="161" spans="7:7" hidden="1" x14ac:dyDescent="0.35">
      <c r="G161" s="424"/>
    </row>
    <row r="162" spans="7:7" hidden="1" x14ac:dyDescent="0.35">
      <c r="G162" s="424"/>
    </row>
    <row r="163" spans="7:7" hidden="1" x14ac:dyDescent="0.35">
      <c r="G163" s="424"/>
    </row>
    <row r="164" spans="7:7" hidden="1" x14ac:dyDescent="0.35">
      <c r="G164" s="424"/>
    </row>
    <row r="165" spans="7:7" hidden="1" x14ac:dyDescent="0.35">
      <c r="G165" s="424"/>
    </row>
    <row r="166" spans="7:7" hidden="1" x14ac:dyDescent="0.35">
      <c r="G166" s="424"/>
    </row>
    <row r="167" spans="7:7" hidden="1" x14ac:dyDescent="0.35">
      <c r="G167" s="424" t="s">
        <v>208</v>
      </c>
    </row>
    <row r="168" spans="7:7" hidden="1" x14ac:dyDescent="0.35">
      <c r="G168" s="424" t="s">
        <v>227</v>
      </c>
    </row>
    <row r="169" spans="7:7" hidden="1" x14ac:dyDescent="0.35">
      <c r="G169" s="424" t="s">
        <v>241</v>
      </c>
    </row>
    <row r="170" spans="7:7" hidden="1" x14ac:dyDescent="0.35">
      <c r="G170" s="424"/>
    </row>
    <row r="171" spans="7:7" hidden="1" x14ac:dyDescent="0.35">
      <c r="G171" s="424"/>
    </row>
    <row r="172" spans="7:7" hidden="1" x14ac:dyDescent="0.35">
      <c r="G172" s="424"/>
    </row>
    <row r="173" spans="7:7" hidden="1" x14ac:dyDescent="0.35">
      <c r="G173" s="424"/>
    </row>
    <row r="174" spans="7:7" hidden="1" x14ac:dyDescent="0.35">
      <c r="G174" s="424"/>
    </row>
    <row r="175" spans="7:7" hidden="1" x14ac:dyDescent="0.35">
      <c r="G175" s="424"/>
    </row>
    <row r="176" spans="7:7" hidden="1" x14ac:dyDescent="0.35">
      <c r="G176" s="424"/>
    </row>
    <row r="177" spans="7:7" hidden="1" x14ac:dyDescent="0.35">
      <c r="G177" s="424"/>
    </row>
    <row r="178" spans="7:7" hidden="1" x14ac:dyDescent="0.35">
      <c r="G178" s="424"/>
    </row>
    <row r="179" spans="7:7" hidden="1" x14ac:dyDescent="0.35">
      <c r="G179" s="424"/>
    </row>
    <row r="180" spans="7:7" hidden="1" x14ac:dyDescent="0.35">
      <c r="G180" s="424"/>
    </row>
    <row r="181" spans="7:7" hidden="1" x14ac:dyDescent="0.35">
      <c r="G181" s="424"/>
    </row>
    <row r="182" spans="7:7" hidden="1" x14ac:dyDescent="0.35">
      <c r="G182" s="424"/>
    </row>
    <row r="183" spans="7:7" hidden="1" x14ac:dyDescent="0.35">
      <c r="G183" s="424"/>
    </row>
    <row r="184" spans="7:7" hidden="1" x14ac:dyDescent="0.35">
      <c r="G184" s="424"/>
    </row>
    <row r="185" spans="7:7" hidden="1" x14ac:dyDescent="0.35">
      <c r="G185" s="424"/>
    </row>
    <row r="186" spans="7:7" hidden="1" x14ac:dyDescent="0.35">
      <c r="G186" s="424"/>
    </row>
    <row r="187" spans="7:7" hidden="1" x14ac:dyDescent="0.35">
      <c r="G187" s="424"/>
    </row>
    <row r="188" spans="7:7" hidden="1" x14ac:dyDescent="0.35">
      <c r="G188" s="424"/>
    </row>
    <row r="189" spans="7:7" hidden="1" x14ac:dyDescent="0.35">
      <c r="G189" s="424"/>
    </row>
    <row r="190" spans="7:7" hidden="1" x14ac:dyDescent="0.35">
      <c r="G190" s="424"/>
    </row>
    <row r="191" spans="7:7" hidden="1" x14ac:dyDescent="0.35">
      <c r="G191" s="424"/>
    </row>
    <row r="192" spans="7:7" hidden="1" x14ac:dyDescent="0.35">
      <c r="G192" s="424"/>
    </row>
    <row r="193" spans="7:7" hidden="1" x14ac:dyDescent="0.35">
      <c r="G193" s="424"/>
    </row>
    <row r="194" spans="7:7" hidden="1" x14ac:dyDescent="0.35">
      <c r="G194" s="424"/>
    </row>
    <row r="195" spans="7:7" hidden="1" x14ac:dyDescent="0.35">
      <c r="G195" s="424"/>
    </row>
    <row r="196" spans="7:7" hidden="1" x14ac:dyDescent="0.35">
      <c r="G196" s="424"/>
    </row>
    <row r="197" spans="7:7" hidden="1" x14ac:dyDescent="0.35">
      <c r="G197" s="424"/>
    </row>
    <row r="198" spans="7:7" hidden="1" x14ac:dyDescent="0.35">
      <c r="G198" s="424"/>
    </row>
    <row r="199" spans="7:7" hidden="1" x14ac:dyDescent="0.35">
      <c r="G199" s="424"/>
    </row>
    <row r="200" spans="7:7" hidden="1" x14ac:dyDescent="0.35">
      <c r="G200" s="424"/>
    </row>
    <row r="201" spans="7:7" hidden="1" x14ac:dyDescent="0.35">
      <c r="G201" s="424"/>
    </row>
    <row r="202" spans="7:7" hidden="1" x14ac:dyDescent="0.35">
      <c r="G202" s="424"/>
    </row>
    <row r="203" spans="7:7" hidden="1" x14ac:dyDescent="0.35">
      <c r="G203" s="424"/>
    </row>
    <row r="204" spans="7:7" hidden="1" x14ac:dyDescent="0.35">
      <c r="G204" s="424"/>
    </row>
    <row r="205" spans="7:7" hidden="1" x14ac:dyDescent="0.35">
      <c r="G205" s="424"/>
    </row>
    <row r="206" spans="7:7" hidden="1" x14ac:dyDescent="0.35">
      <c r="G206" s="424"/>
    </row>
    <row r="207" spans="7:7" hidden="1" x14ac:dyDescent="0.35">
      <c r="G207" s="424"/>
    </row>
    <row r="208" spans="7:7" hidden="1" x14ac:dyDescent="0.35">
      <c r="G208" s="424"/>
    </row>
    <row r="209" spans="7:7" hidden="1" x14ac:dyDescent="0.35">
      <c r="G209" s="424"/>
    </row>
    <row r="210" spans="7:7" hidden="1" x14ac:dyDescent="0.35">
      <c r="G210" s="424"/>
    </row>
    <row r="211" spans="7:7" hidden="1" x14ac:dyDescent="0.35">
      <c r="G211" s="424"/>
    </row>
    <row r="212" spans="7:7" hidden="1" x14ac:dyDescent="0.35">
      <c r="G212" s="424"/>
    </row>
    <row r="213" spans="7:7" hidden="1" x14ac:dyDescent="0.35">
      <c r="G213" s="424"/>
    </row>
    <row r="214" spans="7:7" hidden="1" x14ac:dyDescent="0.35">
      <c r="G214" s="424"/>
    </row>
    <row r="215" spans="7:7" hidden="1" x14ac:dyDescent="0.35">
      <c r="G215" s="424"/>
    </row>
    <row r="216" spans="7:7" hidden="1" x14ac:dyDescent="0.35">
      <c r="G216" s="424"/>
    </row>
    <row r="217" spans="7:7" hidden="1" x14ac:dyDescent="0.35">
      <c r="G217" s="424"/>
    </row>
    <row r="218" spans="7:7" hidden="1" x14ac:dyDescent="0.35">
      <c r="G218" s="424"/>
    </row>
    <row r="219" spans="7:7" hidden="1" x14ac:dyDescent="0.35">
      <c r="G219" s="424"/>
    </row>
    <row r="220" spans="7:7" hidden="1" x14ac:dyDescent="0.35">
      <c r="G220" s="424"/>
    </row>
    <row r="221" spans="7:7" hidden="1" x14ac:dyDescent="0.35">
      <c r="G221" s="424"/>
    </row>
    <row r="222" spans="7:7" hidden="1" x14ac:dyDescent="0.35">
      <c r="G222" s="424"/>
    </row>
    <row r="223" spans="7:7" hidden="1" x14ac:dyDescent="0.35">
      <c r="G223" s="424"/>
    </row>
    <row r="224" spans="7:7" hidden="1" x14ac:dyDescent="0.35">
      <c r="G224" s="424"/>
    </row>
    <row r="225" spans="7:7" hidden="1" x14ac:dyDescent="0.35">
      <c r="G225" s="424"/>
    </row>
    <row r="226" spans="7:7" hidden="1" x14ac:dyDescent="0.35">
      <c r="G226" s="424"/>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bE6Wxx2Wm+FHdLqKddAspWldgjsXF8uupCupo4G6G1lZWhV08Y3Y+8KM7YT8QS07TnuPHi81rY2Whi5Ku/6RsQ==" saltValue="X6fF0bVBTw9NQOU4WIvNjw=="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8.7265625"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8.7265625" defaultRowHeight="14.5" x14ac:dyDescent="0.3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49" t="s">
        <v>131</v>
      </c>
      <c r="E2" s="24"/>
      <c r="F2" s="668" t="s">
        <v>292</v>
      </c>
      <c r="G2" s="669"/>
      <c r="H2" s="669"/>
      <c r="I2" s="670"/>
      <c r="J2" s="33"/>
      <c r="K2" s="46"/>
    </row>
    <row r="3" spans="1:14" ht="8.15" customHeight="1" x14ac:dyDescent="0.35">
      <c r="A3" s="45"/>
      <c r="B3" s="69"/>
      <c r="C3" s="69"/>
      <c r="D3" s="135"/>
      <c r="E3" s="24"/>
      <c r="F3" s="69"/>
      <c r="G3" s="69"/>
      <c r="H3" s="69"/>
      <c r="I3" s="69"/>
      <c r="J3" s="33"/>
      <c r="K3" s="46"/>
    </row>
    <row r="4" spans="1:14" x14ac:dyDescent="0.35">
      <c r="A4" s="45"/>
      <c r="B4" s="69"/>
      <c r="C4" s="69"/>
      <c r="D4" s="449" t="s">
        <v>133</v>
      </c>
      <c r="E4" s="24"/>
      <c r="F4" s="671"/>
      <c r="G4" s="672"/>
      <c r="H4" s="672"/>
      <c r="I4" s="673"/>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74"/>
      <c r="G6" s="675"/>
      <c r="H6" s="675"/>
      <c r="I6" s="676"/>
      <c r="J6" s="33"/>
      <c r="K6" s="46"/>
    </row>
    <row r="7" spans="1:14" ht="15" hidden="1" customHeight="1" x14ac:dyDescent="0.35">
      <c r="A7" s="45"/>
      <c r="B7" s="69"/>
      <c r="C7" s="69"/>
      <c r="D7" s="135"/>
      <c r="E7" s="24"/>
      <c r="F7" s="69"/>
      <c r="G7" s="69"/>
      <c r="H7" s="69"/>
      <c r="I7" s="69"/>
      <c r="J7" s="33"/>
      <c r="K7" s="46"/>
    </row>
    <row r="8" spans="1:14" x14ac:dyDescent="0.35">
      <c r="A8" s="45"/>
      <c r="B8" s="69"/>
      <c r="C8" s="69"/>
      <c r="D8" s="449" t="s">
        <v>34</v>
      </c>
      <c r="E8" s="24"/>
      <c r="F8" s="668" t="s">
        <v>293</v>
      </c>
      <c r="G8" s="669"/>
      <c r="H8" s="669"/>
      <c r="I8" s="670"/>
      <c r="J8" s="33"/>
      <c r="K8" s="46"/>
    </row>
    <row r="9" spans="1:14" ht="8.15" customHeight="1" x14ac:dyDescent="0.35">
      <c r="A9" s="45"/>
      <c r="B9" s="69"/>
      <c r="C9" s="69"/>
      <c r="D9" s="135"/>
      <c r="E9" s="24"/>
      <c r="F9" s="69"/>
      <c r="G9" s="69"/>
      <c r="H9" s="69"/>
      <c r="I9" s="69"/>
      <c r="J9" s="33"/>
      <c r="K9" s="46"/>
    </row>
    <row r="10" spans="1:14" x14ac:dyDescent="0.35">
      <c r="A10" s="45"/>
      <c r="B10" s="69"/>
      <c r="C10" s="28"/>
      <c r="D10" s="449" t="s">
        <v>294</v>
      </c>
      <c r="E10" s="24"/>
      <c r="F10" s="668"/>
      <c r="G10" s="669"/>
      <c r="H10" s="669"/>
      <c r="I10" s="670"/>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68" t="s">
        <v>135</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136</v>
      </c>
      <c r="D15" s="667" t="s">
        <v>295</v>
      </c>
      <c r="E15" s="667"/>
      <c r="F15" s="667"/>
      <c r="G15" s="68"/>
      <c r="H15" s="168"/>
      <c r="I15" s="68"/>
      <c r="J15" s="34"/>
      <c r="K15" s="46"/>
      <c r="N15" s="430" t="s">
        <v>37</v>
      </c>
    </row>
    <row r="16" spans="1:14" x14ac:dyDescent="0.35">
      <c r="A16" s="56"/>
      <c r="B16" s="94"/>
      <c r="C16" s="29"/>
      <c r="D16" s="94"/>
      <c r="E16" s="94"/>
      <c r="F16" s="94"/>
      <c r="G16" s="94"/>
      <c r="H16" s="99"/>
      <c r="I16" s="94"/>
      <c r="J16" s="35"/>
      <c r="K16" s="59"/>
    </row>
    <row r="17" spans="1:15" ht="33.5" x14ac:dyDescent="0.75">
      <c r="A17" s="56"/>
      <c r="B17" s="68"/>
      <c r="C17" s="27" t="s">
        <v>138</v>
      </c>
      <c r="D17" s="627" t="s">
        <v>296</v>
      </c>
      <c r="E17" s="627"/>
      <c r="F17" s="627"/>
      <c r="G17" s="68"/>
      <c r="H17" s="126"/>
      <c r="I17" s="68"/>
      <c r="J17" s="34"/>
      <c r="K17" s="46"/>
      <c r="N17" s="430" t="s">
        <v>37</v>
      </c>
    </row>
    <row r="18" spans="1:15" x14ac:dyDescent="0.35">
      <c r="A18" s="56"/>
      <c r="B18" s="68"/>
      <c r="C18" s="27"/>
      <c r="D18" s="94"/>
      <c r="E18" s="94"/>
      <c r="F18" s="94"/>
      <c r="G18" s="68"/>
      <c r="H18" s="83"/>
      <c r="I18" s="68"/>
      <c r="J18" s="35"/>
      <c r="K18" s="60"/>
    </row>
    <row r="19" spans="1:15" ht="33.5" x14ac:dyDescent="0.75">
      <c r="A19" s="56"/>
      <c r="B19" s="68"/>
      <c r="C19" s="27" t="s">
        <v>140</v>
      </c>
      <c r="D19" s="677" t="s">
        <v>297</v>
      </c>
      <c r="E19" s="677"/>
      <c r="F19" s="677"/>
      <c r="G19" s="68"/>
      <c r="H19" s="126"/>
      <c r="I19" s="68"/>
      <c r="J19" s="34"/>
      <c r="K19" s="60"/>
      <c r="N19" s="430" t="s">
        <v>37</v>
      </c>
    </row>
    <row r="20" spans="1:15" x14ac:dyDescent="0.35">
      <c r="A20" s="56"/>
      <c r="B20" s="68"/>
      <c r="C20" s="27"/>
      <c r="D20" s="94"/>
      <c r="E20" s="94"/>
      <c r="F20" s="94"/>
      <c r="G20" s="68"/>
      <c r="H20" s="83"/>
      <c r="I20" s="68"/>
      <c r="J20" s="35"/>
      <c r="K20" s="60"/>
    </row>
    <row r="21" spans="1:15" ht="33.5" x14ac:dyDescent="0.75">
      <c r="A21" s="56"/>
      <c r="B21" s="68"/>
      <c r="C21" s="27" t="s">
        <v>143</v>
      </c>
      <c r="D21" s="627" t="s">
        <v>298</v>
      </c>
      <c r="E21" s="627"/>
      <c r="F21" s="627"/>
      <c r="G21" s="68"/>
      <c r="H21" s="126"/>
      <c r="I21" s="68"/>
      <c r="J21" s="34"/>
      <c r="K21" s="60"/>
      <c r="N21" s="430" t="s">
        <v>37</v>
      </c>
    </row>
    <row r="22" spans="1:15" x14ac:dyDescent="0.35">
      <c r="A22" s="56"/>
      <c r="B22" s="68"/>
      <c r="C22" s="27"/>
      <c r="D22" s="94"/>
      <c r="E22" s="94"/>
      <c r="F22" s="94"/>
      <c r="G22" s="68"/>
      <c r="H22" s="83"/>
      <c r="I22" s="68"/>
      <c r="J22" s="35"/>
      <c r="K22" s="60"/>
    </row>
    <row r="23" spans="1:15" ht="33.5" x14ac:dyDescent="0.75">
      <c r="A23" s="56"/>
      <c r="B23" s="68"/>
      <c r="C23" s="27" t="s">
        <v>145</v>
      </c>
      <c r="D23" s="627" t="s">
        <v>299</v>
      </c>
      <c r="E23" s="627"/>
      <c r="F23" s="627"/>
      <c r="G23" s="68"/>
      <c r="H23" s="126"/>
      <c r="I23" s="68"/>
      <c r="J23" s="34"/>
      <c r="K23" s="60"/>
      <c r="N23" s="430" t="s">
        <v>37</v>
      </c>
    </row>
    <row r="24" spans="1:15" x14ac:dyDescent="0.35">
      <c r="A24" s="56"/>
      <c r="B24" s="68"/>
      <c r="C24" s="27"/>
      <c r="D24" s="94"/>
      <c r="E24" s="94"/>
      <c r="F24" s="94"/>
      <c r="G24" s="68"/>
      <c r="H24" s="83"/>
      <c r="I24" s="68"/>
      <c r="J24" s="35"/>
      <c r="K24" s="60"/>
    </row>
    <row r="25" spans="1:15" ht="33.5" x14ac:dyDescent="0.75">
      <c r="A25" s="56"/>
      <c r="B25" s="68"/>
      <c r="C25" s="27" t="s">
        <v>153</v>
      </c>
      <c r="D25" s="627" t="s">
        <v>300</v>
      </c>
      <c r="E25" s="627"/>
      <c r="F25" s="627"/>
      <c r="G25" s="68"/>
      <c r="H25" s="126"/>
      <c r="I25" s="68"/>
      <c r="J25" s="34"/>
      <c r="K25" s="60"/>
      <c r="N25" s="430" t="s">
        <v>37</v>
      </c>
    </row>
    <row r="26" spans="1:15" x14ac:dyDescent="0.35">
      <c r="A26" s="56"/>
      <c r="B26" s="68"/>
      <c r="C26" s="61"/>
      <c r="D26" s="94"/>
      <c r="E26" s="94"/>
      <c r="F26" s="94"/>
      <c r="G26" s="68"/>
      <c r="H26" s="83"/>
      <c r="I26" s="68"/>
      <c r="J26" s="35"/>
      <c r="K26" s="60"/>
    </row>
    <row r="27" spans="1:15" x14ac:dyDescent="0.35">
      <c r="A27" s="56"/>
      <c r="B27" s="68"/>
      <c r="C27" s="27" t="s">
        <v>156</v>
      </c>
      <c r="D27" s="627" t="s">
        <v>301</v>
      </c>
      <c r="E27" s="627"/>
      <c r="F27" s="627"/>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69" t="s">
        <v>142</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161</v>
      </c>
      <c r="D31" s="678" t="s">
        <v>302</v>
      </c>
      <c r="E31" s="679"/>
      <c r="F31" s="680"/>
      <c r="G31" s="68"/>
      <c r="H31" s="126"/>
      <c r="I31" s="68"/>
      <c r="J31" s="34"/>
      <c r="K31" s="60"/>
      <c r="M31" s="448" t="s">
        <v>37</v>
      </c>
    </row>
    <row r="32" spans="1:15" x14ac:dyDescent="0.35">
      <c r="A32" s="56"/>
      <c r="B32" s="68"/>
      <c r="C32" s="83"/>
      <c r="D32" s="527"/>
      <c r="E32" s="94"/>
      <c r="F32" s="94"/>
      <c r="G32" s="68"/>
      <c r="H32" s="83"/>
      <c r="I32" s="68"/>
      <c r="J32" s="35"/>
      <c r="K32" s="60"/>
    </row>
    <row r="33" spans="1:15" ht="33.5" x14ac:dyDescent="0.75">
      <c r="A33" s="56"/>
      <c r="B33" s="68"/>
      <c r="C33" s="83" t="s">
        <v>303</v>
      </c>
      <c r="D33" s="627" t="s">
        <v>304</v>
      </c>
      <c r="E33" s="627"/>
      <c r="F33" s="627"/>
      <c r="G33" s="68"/>
      <c r="H33" s="126"/>
      <c r="I33" s="68"/>
      <c r="J33" s="34"/>
      <c r="K33" s="60"/>
      <c r="M33" s="430" t="s">
        <v>37</v>
      </c>
    </row>
    <row r="34" spans="1:15" x14ac:dyDescent="0.35">
      <c r="A34" s="56"/>
      <c r="B34" s="68"/>
      <c r="C34" s="83"/>
      <c r="D34" s="94"/>
      <c r="E34" s="94"/>
      <c r="F34" s="94"/>
      <c r="G34" s="68"/>
      <c r="H34" s="83"/>
      <c r="I34" s="68"/>
      <c r="J34" s="35"/>
      <c r="K34" s="60"/>
    </row>
    <row r="35" spans="1:15" ht="33.5" x14ac:dyDescent="0.75">
      <c r="A35" s="56"/>
      <c r="B35" s="68"/>
      <c r="C35" s="83" t="s">
        <v>305</v>
      </c>
      <c r="D35" s="627" t="s">
        <v>306</v>
      </c>
      <c r="E35" s="627"/>
      <c r="F35" s="627"/>
      <c r="G35" s="68"/>
      <c r="H35" s="126"/>
      <c r="I35" s="68"/>
      <c r="J35" s="34"/>
      <c r="K35" s="60"/>
      <c r="M35" s="430" t="s">
        <v>37</v>
      </c>
    </row>
    <row r="36" spans="1:15" hidden="1" x14ac:dyDescent="0.35">
      <c r="A36" s="56"/>
      <c r="B36" s="68"/>
      <c r="C36" s="83"/>
      <c r="D36" s="94"/>
      <c r="E36" s="94"/>
      <c r="F36" s="94"/>
      <c r="G36" s="68"/>
      <c r="H36" s="83"/>
      <c r="I36" s="68"/>
      <c r="J36" s="35"/>
      <c r="K36" s="60"/>
    </row>
    <row r="37" spans="1:15" hidden="1" x14ac:dyDescent="0.35">
      <c r="A37" s="56"/>
      <c r="B37" s="68"/>
      <c r="C37" s="83"/>
      <c r="D37" s="627" t="s">
        <v>307</v>
      </c>
      <c r="E37" s="627"/>
      <c r="F37" s="627"/>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167</v>
      </c>
      <c r="D39" s="627" t="s">
        <v>308</v>
      </c>
      <c r="E39" s="627"/>
      <c r="F39" s="627"/>
      <c r="G39" s="68"/>
      <c r="H39" s="126"/>
      <c r="I39" s="68"/>
      <c r="J39" s="34"/>
      <c r="K39" s="60"/>
    </row>
    <row r="40" spans="1:15" x14ac:dyDescent="0.35">
      <c r="A40" s="56"/>
      <c r="B40" s="30"/>
      <c r="C40" s="30"/>
      <c r="D40" s="681"/>
      <c r="E40" s="681"/>
      <c r="F40" s="681"/>
      <c r="G40" s="574"/>
      <c r="H40" s="83"/>
      <c r="I40" s="62"/>
      <c r="J40" s="35"/>
      <c r="K40" s="60"/>
    </row>
    <row r="41" spans="1:15" ht="33.5" x14ac:dyDescent="0.75">
      <c r="A41" s="56"/>
      <c r="B41" s="68"/>
      <c r="C41" s="83" t="s">
        <v>169</v>
      </c>
      <c r="D41" s="627" t="s">
        <v>309</v>
      </c>
      <c r="E41" s="627"/>
      <c r="F41" s="627"/>
      <c r="G41" s="574"/>
      <c r="H41" s="126"/>
      <c r="I41" s="68"/>
      <c r="J41" s="34"/>
      <c r="K41" s="60"/>
      <c r="M41" s="430" t="s">
        <v>37</v>
      </c>
    </row>
    <row r="42" spans="1:15" x14ac:dyDescent="0.35">
      <c r="A42" s="56"/>
      <c r="B42" s="68"/>
      <c r="C42" s="68"/>
      <c r="D42" s="94"/>
      <c r="E42" s="94"/>
      <c r="F42" s="94"/>
      <c r="G42" s="574"/>
      <c r="H42" s="83"/>
      <c r="I42" s="68"/>
      <c r="J42" s="35"/>
      <c r="K42" s="60"/>
    </row>
    <row r="43" spans="1:15" ht="33.5" x14ac:dyDescent="0.75">
      <c r="A43" s="56"/>
      <c r="B43" s="68"/>
      <c r="C43" s="83" t="s">
        <v>174</v>
      </c>
      <c r="D43" s="627" t="s">
        <v>310</v>
      </c>
      <c r="E43" s="627"/>
      <c r="F43" s="627"/>
      <c r="G43" s="68"/>
      <c r="H43" s="126"/>
      <c r="I43" s="68"/>
      <c r="J43" s="34"/>
      <c r="K43" s="60"/>
      <c r="M43" s="430" t="s">
        <v>37</v>
      </c>
    </row>
    <row r="44" spans="1:15" x14ac:dyDescent="0.35">
      <c r="A44" s="56"/>
      <c r="B44" s="68"/>
      <c r="C44" s="68"/>
      <c r="D44" s="94"/>
      <c r="E44" s="94"/>
      <c r="F44" s="94"/>
      <c r="G44" s="68"/>
      <c r="H44" s="83"/>
      <c r="I44" s="68"/>
      <c r="J44" s="35"/>
      <c r="K44" s="60"/>
    </row>
    <row r="45" spans="1:15" x14ac:dyDescent="0.35">
      <c r="A45" s="56"/>
      <c r="B45" s="117"/>
      <c r="C45" s="117"/>
      <c r="D45" s="470" t="s">
        <v>311</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177</v>
      </c>
      <c r="D47" s="627" t="s">
        <v>312</v>
      </c>
      <c r="E47" s="627"/>
      <c r="F47" s="627"/>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180</v>
      </c>
      <c r="D49" s="627" t="s">
        <v>313</v>
      </c>
      <c r="E49" s="627"/>
      <c r="F49" s="627"/>
      <c r="G49" s="68"/>
      <c r="H49" s="126"/>
      <c r="I49" s="68"/>
      <c r="J49" s="34"/>
      <c r="K49" s="60"/>
      <c r="M49" s="430" t="s">
        <v>37</v>
      </c>
    </row>
    <row r="50" spans="1:13" x14ac:dyDescent="0.35">
      <c r="A50" s="56"/>
      <c r="B50" s="68"/>
      <c r="C50" s="68"/>
      <c r="D50" s="94"/>
      <c r="E50" s="94"/>
      <c r="F50" s="94"/>
      <c r="G50" s="68"/>
      <c r="H50" s="83"/>
      <c r="I50" s="68"/>
      <c r="J50" s="35"/>
      <c r="K50" s="60"/>
    </row>
    <row r="51" spans="1:13" x14ac:dyDescent="0.35">
      <c r="A51" s="56"/>
      <c r="B51" s="30"/>
      <c r="C51" s="36"/>
      <c r="D51" s="471" t="s">
        <v>210</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184</v>
      </c>
      <c r="D53" s="627" t="s">
        <v>314</v>
      </c>
      <c r="E53" s="627"/>
      <c r="F53" s="627"/>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188</v>
      </c>
      <c r="D55" s="627" t="s">
        <v>315</v>
      </c>
      <c r="E55" s="627"/>
      <c r="F55" s="627"/>
      <c r="G55" s="68"/>
      <c r="H55" s="126"/>
      <c r="I55" s="68"/>
      <c r="J55" s="34"/>
      <c r="K55" s="60"/>
      <c r="M55" s="430" t="s">
        <v>37</v>
      </c>
    </row>
    <row r="56" spans="1:13" x14ac:dyDescent="0.35">
      <c r="A56" s="56"/>
      <c r="B56" s="68"/>
      <c r="C56" s="68"/>
      <c r="D56" s="94"/>
      <c r="E56" s="94"/>
      <c r="F56" s="94"/>
      <c r="G56" s="68"/>
      <c r="H56" s="83"/>
      <c r="I56" s="68"/>
      <c r="J56" s="35"/>
      <c r="K56" s="60"/>
    </row>
    <row r="57" spans="1:13" x14ac:dyDescent="0.35">
      <c r="A57" s="56"/>
      <c r="B57" s="30"/>
      <c r="C57" s="36"/>
      <c r="D57" s="471" t="s">
        <v>316</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192</v>
      </c>
      <c r="D59" s="627" t="s">
        <v>317</v>
      </c>
      <c r="E59" s="627"/>
      <c r="F59" s="627"/>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71" t="s">
        <v>222</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235</v>
      </c>
      <c r="D63" s="627" t="s">
        <v>318</v>
      </c>
      <c r="E63" s="627"/>
      <c r="F63" s="627"/>
      <c r="G63" s="68"/>
      <c r="H63" s="126"/>
      <c r="I63" s="68"/>
      <c r="J63" s="34"/>
      <c r="K63" s="60"/>
      <c r="M63" s="430" t="s">
        <v>37</v>
      </c>
    </row>
    <row r="64" spans="1:13" x14ac:dyDescent="0.35">
      <c r="A64" s="56"/>
      <c r="B64" s="68"/>
      <c r="C64" s="68"/>
      <c r="D64" s="94"/>
      <c r="E64" s="94"/>
      <c r="F64" s="94"/>
      <c r="G64" s="68"/>
      <c r="H64" s="83"/>
      <c r="I64" s="68"/>
      <c r="J64" s="35"/>
      <c r="K64" s="60"/>
    </row>
    <row r="65" spans="1:13" ht="33.5" x14ac:dyDescent="0.75">
      <c r="A65" s="56"/>
      <c r="B65" s="68"/>
      <c r="C65" s="83" t="s">
        <v>239</v>
      </c>
      <c r="D65" s="627" t="s">
        <v>319</v>
      </c>
      <c r="E65" s="627"/>
      <c r="F65" s="627"/>
      <c r="G65" s="68"/>
      <c r="H65" s="126"/>
      <c r="I65" s="68"/>
      <c r="J65" s="34"/>
      <c r="K65" s="60"/>
      <c r="M65" s="430" t="s">
        <v>37</v>
      </c>
    </row>
    <row r="66" spans="1:13" x14ac:dyDescent="0.35">
      <c r="A66" s="56"/>
      <c r="B66" s="68"/>
      <c r="C66" s="68"/>
      <c r="D66" s="94"/>
      <c r="E66" s="94"/>
      <c r="F66" s="94"/>
      <c r="G66" s="68"/>
      <c r="H66" s="83"/>
      <c r="I66" s="68"/>
      <c r="J66" s="35"/>
      <c r="K66" s="60"/>
    </row>
    <row r="67" spans="1:13" x14ac:dyDescent="0.35">
      <c r="A67" s="56"/>
      <c r="B67" s="68"/>
      <c r="C67" s="83" t="s">
        <v>243</v>
      </c>
      <c r="D67" s="627" t="s">
        <v>320</v>
      </c>
      <c r="E67" s="627"/>
      <c r="F67" s="627"/>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246</v>
      </c>
      <c r="D69" s="627" t="s">
        <v>321</v>
      </c>
      <c r="E69" s="627"/>
      <c r="F69" s="627"/>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250</v>
      </c>
      <c r="D71" s="627" t="s">
        <v>322</v>
      </c>
      <c r="E71" s="627"/>
      <c r="F71" s="627"/>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253</v>
      </c>
      <c r="D73" s="627" t="s">
        <v>323</v>
      </c>
      <c r="E73" s="627"/>
      <c r="F73" s="627"/>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72" t="s">
        <v>324</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325</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256</v>
      </c>
      <c r="D79" s="627" t="s">
        <v>326</v>
      </c>
      <c r="E79" s="627"/>
      <c r="F79" s="627"/>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260</v>
      </c>
      <c r="D81" s="627" t="s">
        <v>327</v>
      </c>
      <c r="E81" s="627"/>
      <c r="F81" s="627"/>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262</v>
      </c>
      <c r="D83" s="627" t="s">
        <v>328</v>
      </c>
      <c r="E83" s="627"/>
      <c r="F83" s="627"/>
      <c r="G83" s="68"/>
      <c r="H83" s="126"/>
      <c r="I83" s="68"/>
      <c r="J83" s="34"/>
      <c r="K83" s="60"/>
      <c r="M83" s="430" t="s">
        <v>37</v>
      </c>
    </row>
    <row r="84" spans="1:13" x14ac:dyDescent="0.35">
      <c r="A84" s="56"/>
      <c r="B84" s="68"/>
      <c r="C84" s="68"/>
      <c r="D84" s="94"/>
      <c r="E84" s="94"/>
      <c r="F84" s="94"/>
      <c r="G84" s="68"/>
      <c r="H84" s="83"/>
      <c r="I84" s="68"/>
      <c r="J84" s="35"/>
      <c r="K84" s="60"/>
    </row>
    <row r="85" spans="1:13" x14ac:dyDescent="0.35">
      <c r="A85" s="56"/>
      <c r="B85" s="68"/>
      <c r="C85" s="83" t="s">
        <v>264</v>
      </c>
      <c r="D85" s="627" t="s">
        <v>329</v>
      </c>
      <c r="E85" s="627"/>
      <c r="F85" s="627"/>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73" t="s">
        <v>330</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266</v>
      </c>
      <c r="D89" s="627" t="s">
        <v>331</v>
      </c>
      <c r="E89" s="627"/>
      <c r="F89" s="627"/>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73" t="s">
        <v>332</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333</v>
      </c>
      <c r="D93" s="627" t="s">
        <v>334</v>
      </c>
      <c r="E93" s="627"/>
      <c r="F93" s="627"/>
      <c r="G93" s="68"/>
      <c r="H93" s="126"/>
      <c r="I93" s="68"/>
      <c r="J93" s="34"/>
      <c r="K93" s="60"/>
      <c r="M93" s="430" t="s">
        <v>37</v>
      </c>
    </row>
    <row r="94" spans="1:13" x14ac:dyDescent="0.35">
      <c r="A94" s="56"/>
      <c r="B94" s="68"/>
      <c r="C94" s="83"/>
      <c r="D94" s="94"/>
      <c r="E94" s="94"/>
      <c r="F94" s="94"/>
      <c r="G94" s="68"/>
      <c r="H94" s="83"/>
      <c r="I94" s="68"/>
      <c r="J94" s="35"/>
      <c r="K94" s="60"/>
    </row>
    <row r="95" spans="1:13" x14ac:dyDescent="0.35">
      <c r="A95" s="56"/>
      <c r="B95" s="68"/>
      <c r="C95" s="83" t="s">
        <v>335</v>
      </c>
      <c r="D95" s="627" t="s">
        <v>336</v>
      </c>
      <c r="E95" s="627"/>
      <c r="F95" s="627"/>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270</v>
      </c>
      <c r="D97" s="627" t="s">
        <v>337</v>
      </c>
      <c r="E97" s="627"/>
      <c r="F97" s="627"/>
      <c r="G97" s="68"/>
      <c r="H97" s="126"/>
      <c r="I97" s="68"/>
      <c r="J97" s="34"/>
      <c r="K97" s="60"/>
      <c r="M97" s="430" t="s">
        <v>37</v>
      </c>
    </row>
    <row r="98" spans="1:13" x14ac:dyDescent="0.35">
      <c r="A98" s="56"/>
      <c r="B98" s="68"/>
      <c r="C98" s="68"/>
      <c r="D98" s="94"/>
      <c r="E98" s="94"/>
      <c r="F98" s="94"/>
      <c r="G98" s="68"/>
      <c r="H98" s="83"/>
      <c r="I98" s="68"/>
      <c r="J98" s="35"/>
      <c r="K98" s="60"/>
    </row>
    <row r="99" spans="1:13" x14ac:dyDescent="0.35">
      <c r="A99" s="56"/>
      <c r="B99" s="68"/>
      <c r="C99" s="37"/>
      <c r="D99" s="154" t="s">
        <v>338</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339</v>
      </c>
      <c r="D101" s="627" t="s">
        <v>340</v>
      </c>
      <c r="E101" s="627"/>
      <c r="F101" s="627"/>
      <c r="G101" s="68"/>
      <c r="H101" s="126"/>
      <c r="I101" s="68"/>
      <c r="J101" s="34"/>
      <c r="K101" s="60"/>
      <c r="M101" s="430"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341</v>
      </c>
      <c r="D103" s="627" t="s">
        <v>342</v>
      </c>
      <c r="E103" s="627"/>
      <c r="F103" s="627"/>
      <c r="G103" s="68"/>
      <c r="H103" s="126"/>
      <c r="I103" s="68"/>
      <c r="J103" s="34"/>
      <c r="K103" s="60"/>
      <c r="M103" s="432" t="s">
        <v>37</v>
      </c>
    </row>
    <row r="104" spans="1:13" x14ac:dyDescent="0.35">
      <c r="A104" s="56"/>
      <c r="B104" s="68"/>
      <c r="C104" s="68"/>
      <c r="D104" s="94"/>
      <c r="E104" s="94"/>
      <c r="F104" s="94"/>
      <c r="G104" s="68"/>
      <c r="H104" s="83"/>
      <c r="I104" s="68"/>
      <c r="J104" s="35"/>
      <c r="K104" s="60"/>
    </row>
    <row r="105" spans="1:13" x14ac:dyDescent="0.35">
      <c r="A105" s="56"/>
      <c r="B105" s="68"/>
      <c r="C105" s="83" t="s">
        <v>276</v>
      </c>
      <c r="D105" s="627" t="s">
        <v>343</v>
      </c>
      <c r="E105" s="627"/>
      <c r="F105" s="627"/>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279</v>
      </c>
      <c r="D107" s="627" t="s">
        <v>344</v>
      </c>
      <c r="E107" s="627"/>
      <c r="F107" s="627"/>
      <c r="G107" s="68"/>
      <c r="H107" s="126"/>
      <c r="I107" s="68"/>
      <c r="J107" s="34"/>
      <c r="K107" s="60"/>
      <c r="M107" s="430" t="s">
        <v>37</v>
      </c>
    </row>
    <row r="108" spans="1:13" x14ac:dyDescent="0.35">
      <c r="A108" s="56"/>
      <c r="B108" s="68"/>
      <c r="C108" s="68"/>
      <c r="D108" s="94"/>
      <c r="E108" s="94"/>
      <c r="F108" s="94"/>
      <c r="G108" s="68"/>
      <c r="H108" s="83"/>
      <c r="I108" s="68"/>
      <c r="J108" s="35"/>
      <c r="K108" s="60"/>
    </row>
    <row r="109" spans="1:13" ht="33.5" x14ac:dyDescent="0.75">
      <c r="A109" s="56"/>
      <c r="B109" s="68"/>
      <c r="C109" s="83" t="s">
        <v>281</v>
      </c>
      <c r="D109" s="627" t="s">
        <v>345</v>
      </c>
      <c r="E109" s="627"/>
      <c r="F109" s="627"/>
      <c r="G109" s="68"/>
      <c r="H109" s="126"/>
      <c r="I109" s="68"/>
      <c r="J109" s="34"/>
      <c r="K109" s="60"/>
      <c r="M109" s="430" t="s">
        <v>37</v>
      </c>
    </row>
    <row r="110" spans="1:13" x14ac:dyDescent="0.35">
      <c r="A110" s="56"/>
      <c r="B110" s="68"/>
      <c r="C110" s="68"/>
      <c r="D110" s="94"/>
      <c r="E110" s="94"/>
      <c r="F110" s="94"/>
      <c r="G110" s="68"/>
      <c r="H110" s="83"/>
      <c r="I110" s="68"/>
      <c r="J110" s="35"/>
      <c r="K110" s="60"/>
    </row>
    <row r="111" spans="1:13" ht="33.5" x14ac:dyDescent="0.75">
      <c r="A111" s="56"/>
      <c r="B111" s="68"/>
      <c r="C111" s="83" t="s">
        <v>284</v>
      </c>
      <c r="D111" s="627" t="s">
        <v>346</v>
      </c>
      <c r="E111" s="627"/>
      <c r="F111" s="627"/>
      <c r="G111" s="68"/>
      <c r="H111" s="126"/>
      <c r="I111" s="68"/>
      <c r="J111" s="34"/>
      <c r="K111" s="60"/>
      <c r="M111" s="430" t="s">
        <v>37</v>
      </c>
    </row>
    <row r="112" spans="1:13" x14ac:dyDescent="0.35">
      <c r="A112" s="56"/>
      <c r="B112" s="68"/>
      <c r="C112" s="68"/>
      <c r="D112" s="94"/>
      <c r="E112" s="94"/>
      <c r="F112" s="94"/>
      <c r="G112" s="68"/>
      <c r="H112" s="83"/>
      <c r="I112" s="68"/>
      <c r="J112" s="35"/>
      <c r="K112" s="60"/>
    </row>
    <row r="113" spans="1:13" ht="33.5" x14ac:dyDescent="0.75">
      <c r="A113" s="56"/>
      <c r="B113" s="68"/>
      <c r="C113" s="83" t="s">
        <v>286</v>
      </c>
      <c r="D113" s="627" t="s">
        <v>347</v>
      </c>
      <c r="E113" s="627"/>
      <c r="F113" s="627"/>
      <c r="G113" s="68"/>
      <c r="H113" s="126"/>
      <c r="I113" s="68"/>
      <c r="J113" s="34"/>
      <c r="K113" s="60"/>
      <c r="M113" s="430" t="s">
        <v>37</v>
      </c>
    </row>
    <row r="114" spans="1:13" x14ac:dyDescent="0.35">
      <c r="A114" s="56"/>
      <c r="B114" s="68"/>
      <c r="C114" s="68"/>
      <c r="D114" s="94"/>
      <c r="E114" s="94"/>
      <c r="F114" s="94"/>
      <c r="G114" s="68"/>
      <c r="H114" s="83"/>
      <c r="I114" s="68"/>
      <c r="J114" s="35"/>
      <c r="K114" s="60"/>
    </row>
    <row r="115" spans="1:13" ht="33.5" x14ac:dyDescent="0.75">
      <c r="A115" s="56"/>
      <c r="B115" s="68"/>
      <c r="C115" s="83" t="s">
        <v>288</v>
      </c>
      <c r="D115" s="627" t="s">
        <v>348</v>
      </c>
      <c r="E115" s="627"/>
      <c r="F115" s="627"/>
      <c r="G115" s="68"/>
      <c r="H115" s="126"/>
      <c r="I115" s="68"/>
      <c r="J115" s="34"/>
      <c r="K115" s="60"/>
      <c r="M115" s="430" t="s">
        <v>37</v>
      </c>
    </row>
    <row r="116" spans="1:13" x14ac:dyDescent="0.35">
      <c r="A116" s="56"/>
      <c r="B116" s="68"/>
      <c r="C116" s="68"/>
      <c r="D116" s="94"/>
      <c r="E116" s="94"/>
      <c r="F116" s="94"/>
      <c r="G116" s="68"/>
      <c r="H116" s="83"/>
      <c r="I116" s="68"/>
      <c r="J116" s="35"/>
      <c r="K116" s="60"/>
    </row>
    <row r="117" spans="1:13" ht="33.5" x14ac:dyDescent="0.75">
      <c r="A117" s="56"/>
      <c r="B117" s="68"/>
      <c r="C117" s="83" t="s">
        <v>349</v>
      </c>
      <c r="D117" s="627" t="s">
        <v>350</v>
      </c>
      <c r="E117" s="627"/>
      <c r="F117" s="627"/>
      <c r="G117" s="68"/>
      <c r="H117" s="126"/>
      <c r="I117" s="68"/>
      <c r="J117" s="34"/>
      <c r="K117" s="60"/>
      <c r="M117" s="430" t="s">
        <v>37</v>
      </c>
    </row>
    <row r="118" spans="1:13" x14ac:dyDescent="0.35">
      <c r="A118" s="56"/>
      <c r="B118" s="68"/>
      <c r="C118" s="68"/>
      <c r="D118" s="94"/>
      <c r="E118" s="94"/>
      <c r="F118" s="94"/>
      <c r="G118" s="68"/>
      <c r="H118" s="83"/>
      <c r="I118" s="68"/>
      <c r="J118" s="35"/>
      <c r="K118" s="60"/>
    </row>
    <row r="119" spans="1:13" ht="64" x14ac:dyDescent="1.4">
      <c r="A119" s="56"/>
      <c r="B119" s="68"/>
      <c r="C119" s="83" t="s">
        <v>351</v>
      </c>
      <c r="D119" s="627" t="s">
        <v>352</v>
      </c>
      <c r="E119" s="627"/>
      <c r="F119" s="627"/>
      <c r="G119" s="68"/>
      <c r="H119" s="126"/>
      <c r="I119" s="68"/>
      <c r="J119" s="34"/>
      <c r="K119" s="60"/>
      <c r="M119" s="447" t="s">
        <v>37</v>
      </c>
    </row>
    <row r="120" spans="1:13" x14ac:dyDescent="0.35">
      <c r="A120" s="56"/>
      <c r="B120" s="68"/>
      <c r="C120" s="68"/>
      <c r="D120" s="94"/>
      <c r="E120" s="94"/>
      <c r="F120" s="94"/>
      <c r="G120" s="68"/>
      <c r="H120" s="83"/>
      <c r="I120" s="68"/>
      <c r="J120" s="35"/>
      <c r="K120" s="60"/>
    </row>
    <row r="121" spans="1:13" x14ac:dyDescent="0.35">
      <c r="A121" s="56"/>
      <c r="B121" s="68"/>
      <c r="C121" s="83" t="s">
        <v>353</v>
      </c>
      <c r="D121" s="627" t="s">
        <v>354</v>
      </c>
      <c r="E121" s="627"/>
      <c r="F121" s="627"/>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355</v>
      </c>
      <c r="D123" s="627" t="s">
        <v>356</v>
      </c>
      <c r="E123" s="627"/>
      <c r="F123" s="627"/>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73" t="s">
        <v>357</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358</v>
      </c>
      <c r="D127" s="627" t="s">
        <v>359</v>
      </c>
      <c r="E127" s="627"/>
      <c r="F127" s="627"/>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341</v>
      </c>
      <c r="D129" s="627" t="s">
        <v>360</v>
      </c>
      <c r="E129" s="627"/>
      <c r="F129" s="627"/>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73" t="s">
        <v>361</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362</v>
      </c>
      <c r="D133" s="627" t="s">
        <v>363</v>
      </c>
      <c r="E133" s="627"/>
      <c r="F133" s="627"/>
      <c r="G133" s="68"/>
      <c r="H133" s="126"/>
      <c r="I133" s="68"/>
      <c r="J133" s="34"/>
      <c r="K133" s="60"/>
      <c r="M133" s="430" t="s">
        <v>37</v>
      </c>
    </row>
    <row r="134" spans="1:13" x14ac:dyDescent="0.35">
      <c r="A134" s="56"/>
      <c r="B134" s="68"/>
      <c r="C134" s="68"/>
      <c r="D134" s="94"/>
      <c r="E134" s="94"/>
      <c r="F134" s="94"/>
      <c r="G134" s="68"/>
      <c r="H134" s="83"/>
      <c r="I134" s="68"/>
      <c r="J134" s="35"/>
      <c r="K134" s="60"/>
    </row>
    <row r="135" spans="1:13" ht="33.5" x14ac:dyDescent="0.75">
      <c r="A135" s="56"/>
      <c r="B135" s="68"/>
      <c r="C135" s="83" t="s">
        <v>364</v>
      </c>
      <c r="D135" s="685" t="s">
        <v>365</v>
      </c>
      <c r="E135" s="685"/>
      <c r="F135" s="685"/>
      <c r="G135" s="68"/>
      <c r="H135" s="126"/>
      <c r="I135" s="68"/>
      <c r="J135" s="34"/>
      <c r="K135" s="60"/>
      <c r="M135" s="430" t="s">
        <v>37</v>
      </c>
    </row>
    <row r="136" spans="1:13" x14ac:dyDescent="0.35">
      <c r="A136" s="56"/>
      <c r="B136" s="68"/>
      <c r="C136" s="68"/>
      <c r="D136" s="94"/>
      <c r="E136" s="94"/>
      <c r="F136" s="94"/>
      <c r="G136" s="68"/>
      <c r="H136" s="83"/>
      <c r="I136" s="68"/>
      <c r="J136" s="35"/>
      <c r="K136" s="60"/>
    </row>
    <row r="137" spans="1:13" ht="33.5" x14ac:dyDescent="0.75">
      <c r="A137" s="56"/>
      <c r="B137" s="68"/>
      <c r="C137" s="83" t="s">
        <v>366</v>
      </c>
      <c r="D137" s="627" t="s">
        <v>367</v>
      </c>
      <c r="E137" s="627"/>
      <c r="F137" s="627"/>
      <c r="G137" s="68"/>
      <c r="H137" s="126"/>
      <c r="I137" s="68"/>
      <c r="J137" s="34"/>
      <c r="K137" s="60"/>
      <c r="M137" s="430" t="s">
        <v>37</v>
      </c>
    </row>
    <row r="138" spans="1:13" x14ac:dyDescent="0.35">
      <c r="A138" s="56"/>
      <c r="B138" s="68"/>
      <c r="C138" s="68"/>
      <c r="D138" s="94"/>
      <c r="E138" s="94"/>
      <c r="F138" s="94"/>
      <c r="G138" s="68"/>
      <c r="H138" s="83"/>
      <c r="I138" s="68"/>
      <c r="J138" s="35"/>
      <c r="K138" s="60"/>
    </row>
    <row r="139" spans="1:13" ht="33.5" x14ac:dyDescent="0.75">
      <c r="A139" s="56"/>
      <c r="B139" s="68"/>
      <c r="C139" s="83" t="s">
        <v>368</v>
      </c>
      <c r="D139" s="627" t="s">
        <v>369</v>
      </c>
      <c r="E139" s="627"/>
      <c r="F139" s="627"/>
      <c r="G139" s="68"/>
      <c r="H139" s="126"/>
      <c r="I139" s="68"/>
      <c r="J139" s="34"/>
      <c r="K139" s="60"/>
      <c r="M139" s="430" t="s">
        <v>37</v>
      </c>
    </row>
    <row r="140" spans="1:13" x14ac:dyDescent="0.35">
      <c r="A140" s="56"/>
      <c r="B140" s="63"/>
      <c r="C140" s="63"/>
      <c r="D140" s="153"/>
      <c r="E140" s="153"/>
      <c r="F140" s="153"/>
      <c r="G140" s="63"/>
      <c r="H140" s="83"/>
      <c r="I140" s="63"/>
      <c r="J140" s="64"/>
      <c r="K140" s="65"/>
    </row>
    <row r="141" spans="1:13" x14ac:dyDescent="0.35">
      <c r="A141" s="56"/>
      <c r="B141" s="68"/>
      <c r="C141" s="83" t="s">
        <v>370</v>
      </c>
      <c r="D141" s="627" t="s">
        <v>371</v>
      </c>
      <c r="E141" s="627"/>
      <c r="F141" s="627"/>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372</v>
      </c>
      <c r="D143" s="627" t="s">
        <v>373</v>
      </c>
      <c r="E143" s="627"/>
      <c r="F143" s="627"/>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374</v>
      </c>
      <c r="D145" s="627" t="s">
        <v>375</v>
      </c>
      <c r="E145" s="627"/>
      <c r="F145" s="627"/>
      <c r="G145" s="68"/>
      <c r="H145" s="126"/>
      <c r="I145" s="68"/>
      <c r="J145" s="34"/>
      <c r="K145" s="60"/>
      <c r="M145" s="430" t="s">
        <v>37</v>
      </c>
    </row>
    <row r="146" spans="1:13" x14ac:dyDescent="0.35">
      <c r="A146" s="66"/>
      <c r="B146" s="25"/>
      <c r="C146" s="25"/>
      <c r="D146" s="26"/>
      <c r="E146" s="25"/>
      <c r="F146" s="25"/>
      <c r="G146" s="25"/>
      <c r="H146" s="166"/>
      <c r="I146" s="25"/>
      <c r="J146" s="67"/>
      <c r="K146" s="60"/>
    </row>
    <row r="147" spans="1:13" ht="20.25" customHeight="1" x14ac:dyDescent="0.35">
      <c r="A147" s="682" t="s">
        <v>194</v>
      </c>
      <c r="B147" s="683"/>
      <c r="C147" s="683"/>
      <c r="D147" s="683"/>
      <c r="E147" s="683"/>
      <c r="F147" s="683"/>
      <c r="G147" s="683"/>
      <c r="H147" s="683"/>
      <c r="I147" s="683"/>
      <c r="J147" s="683"/>
      <c r="K147" s="684"/>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208</v>
      </c>
    </row>
    <row r="158" spans="1:13" hidden="1" x14ac:dyDescent="0.35">
      <c r="D158" t="s">
        <v>227</v>
      </c>
    </row>
    <row r="159" spans="1:13" hidden="1" x14ac:dyDescent="0.35">
      <c r="D159" t="s">
        <v>241</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688" customFormat="1" x14ac:dyDescent="0.35">
      <c r="A1" s="686" t="s">
        <v>376</v>
      </c>
      <c r="B1" s="687"/>
      <c r="C1" s="687"/>
      <c r="D1" s="687"/>
      <c r="E1" s="687"/>
      <c r="F1" s="687"/>
      <c r="G1" s="687"/>
      <c r="H1" s="687"/>
      <c r="I1" s="687"/>
      <c r="J1" s="687"/>
      <c r="K1" s="687"/>
      <c r="L1" s="687"/>
      <c r="M1" s="687"/>
      <c r="N1" s="687"/>
      <c r="O1" s="687"/>
      <c r="P1" s="687"/>
      <c r="Q1" s="687"/>
      <c r="R1" s="687"/>
      <c r="S1" s="687"/>
      <c r="T1" s="687"/>
      <c r="U1" s="687"/>
      <c r="V1" s="687"/>
      <c r="W1" s="687"/>
      <c r="X1" s="687"/>
      <c r="Y1" s="687"/>
      <c r="Z1" s="687"/>
      <c r="AA1" s="687"/>
      <c r="AB1" s="687"/>
      <c r="AC1" s="687"/>
      <c r="AD1" s="687"/>
      <c r="AE1" s="687"/>
      <c r="AF1" s="687"/>
      <c r="AG1" s="687"/>
      <c r="AH1" s="687"/>
      <c r="AI1" s="687"/>
      <c r="AJ1" s="687"/>
      <c r="AK1" s="687"/>
      <c r="AL1" s="687"/>
      <c r="AM1" s="687"/>
      <c r="AN1" s="687"/>
      <c r="AO1" s="687"/>
      <c r="AP1" s="687"/>
      <c r="AQ1" s="687"/>
      <c r="AR1" s="687"/>
      <c r="AS1" s="687"/>
      <c r="AT1" s="687"/>
      <c r="AU1" s="687"/>
      <c r="AV1" s="687"/>
      <c r="AW1" s="687"/>
      <c r="AX1" s="687"/>
      <c r="AY1" s="687"/>
      <c r="AZ1" s="687"/>
      <c r="BA1" s="687"/>
      <c r="BB1" s="687"/>
      <c r="BC1" s="687"/>
      <c r="BD1" s="687"/>
      <c r="BE1" s="687"/>
      <c r="BF1" s="687"/>
      <c r="BG1" s="687"/>
      <c r="BH1" s="687"/>
      <c r="BI1" s="687"/>
      <c r="BJ1" s="687"/>
      <c r="BK1" s="687"/>
      <c r="BL1" s="687"/>
      <c r="BM1" s="687"/>
      <c r="BN1" s="687"/>
      <c r="BO1" s="687"/>
      <c r="BP1" s="687"/>
      <c r="BQ1" s="687"/>
      <c r="BR1" s="687"/>
      <c r="BS1" s="687"/>
      <c r="BT1" s="687"/>
      <c r="BU1" s="687"/>
      <c r="BV1" s="687"/>
      <c r="BW1" s="687"/>
      <c r="BX1" s="687"/>
      <c r="BY1" s="687"/>
      <c r="BZ1" s="687"/>
      <c r="CA1" s="687"/>
      <c r="CB1" s="687"/>
      <c r="CC1" s="687"/>
      <c r="CD1" s="687"/>
      <c r="CE1" s="687"/>
      <c r="CF1" s="687"/>
      <c r="CG1" s="687"/>
      <c r="CH1" s="687"/>
      <c r="CI1" s="687"/>
      <c r="CJ1" s="687"/>
      <c r="CK1" s="687"/>
      <c r="CL1" s="687"/>
      <c r="CM1" s="687"/>
      <c r="CN1" s="687"/>
      <c r="CO1" s="687"/>
      <c r="CP1" s="687"/>
      <c r="CQ1" s="687"/>
      <c r="CR1" s="687"/>
      <c r="CS1" s="687"/>
      <c r="CT1" s="687"/>
      <c r="CU1" s="687"/>
      <c r="CV1" s="687"/>
      <c r="CW1" s="687"/>
      <c r="CX1" s="687"/>
      <c r="CY1" s="687"/>
      <c r="CZ1" s="687"/>
      <c r="DA1" s="687"/>
      <c r="DB1" s="687"/>
      <c r="DC1" s="687"/>
      <c r="DD1" s="687"/>
      <c r="DE1" s="687"/>
      <c r="DF1" s="687"/>
      <c r="DG1" s="687"/>
      <c r="DH1" s="687"/>
      <c r="DI1" s="687"/>
      <c r="DJ1" s="687"/>
      <c r="DK1" s="687"/>
      <c r="DL1" s="687"/>
      <c r="DM1" s="687"/>
      <c r="DN1" s="687"/>
      <c r="DO1" s="687"/>
      <c r="DP1" s="687"/>
      <c r="DQ1" s="687"/>
      <c r="DR1" s="687"/>
      <c r="DS1" s="687"/>
      <c r="DT1" s="687"/>
      <c r="DU1" s="687"/>
      <c r="DV1" s="687"/>
      <c r="DW1" s="687"/>
      <c r="DX1" s="687"/>
      <c r="DY1" s="687"/>
      <c r="DZ1" s="687"/>
      <c r="EA1" s="687"/>
      <c r="EB1" s="687"/>
      <c r="EC1" s="687"/>
      <c r="ED1" s="687"/>
      <c r="EE1" s="687"/>
      <c r="EF1" s="687"/>
      <c r="EG1" s="687"/>
      <c r="EH1" s="687"/>
      <c r="EI1" s="687"/>
      <c r="EJ1" s="687"/>
      <c r="EK1" s="687"/>
      <c r="EL1" s="687"/>
      <c r="EM1" s="687"/>
      <c r="EN1" s="687"/>
      <c r="EO1" s="687"/>
      <c r="EP1" s="687"/>
      <c r="EQ1" s="687"/>
      <c r="ER1" s="687"/>
      <c r="ES1" s="687"/>
      <c r="ET1" s="687"/>
      <c r="EU1" s="687"/>
      <c r="EV1" s="687"/>
      <c r="EW1" s="687"/>
      <c r="EX1" s="687"/>
      <c r="EY1" s="687"/>
      <c r="EZ1" s="687"/>
      <c r="FA1" s="687"/>
      <c r="FB1" s="687"/>
      <c r="FC1" s="687"/>
      <c r="FD1" s="687"/>
      <c r="FE1" s="687"/>
      <c r="FF1" s="687"/>
      <c r="FG1" s="687"/>
      <c r="FH1" s="687"/>
      <c r="FI1" s="687"/>
      <c r="FJ1" s="687"/>
      <c r="FK1" s="687"/>
      <c r="FL1" s="687"/>
      <c r="FM1" s="687"/>
      <c r="FN1" s="687"/>
      <c r="FO1" s="687"/>
      <c r="FP1" s="687"/>
      <c r="FQ1" s="687"/>
      <c r="FR1" s="687"/>
      <c r="FS1" s="687"/>
      <c r="FT1" s="687"/>
      <c r="FU1" s="687"/>
      <c r="FV1" s="687"/>
      <c r="FW1" s="687"/>
      <c r="FX1" s="687"/>
      <c r="FY1" s="687"/>
      <c r="FZ1" s="687"/>
      <c r="GA1" s="687"/>
      <c r="GB1" s="687"/>
      <c r="GC1" s="687"/>
      <c r="GD1" s="687"/>
      <c r="GE1" s="687"/>
      <c r="GF1" s="687"/>
      <c r="GG1" s="687"/>
      <c r="GH1" s="687"/>
      <c r="GI1" s="687"/>
      <c r="GJ1" s="687"/>
      <c r="GK1" s="687"/>
      <c r="GL1" s="687"/>
      <c r="GM1" s="687"/>
      <c r="GN1" s="687"/>
      <c r="GO1" s="687"/>
      <c r="GP1" s="687"/>
      <c r="GQ1" s="687"/>
      <c r="GR1" s="687"/>
      <c r="GS1" s="687"/>
      <c r="GT1" s="687"/>
      <c r="GU1" s="687"/>
      <c r="GV1" s="687"/>
      <c r="GW1" s="687"/>
      <c r="GX1" s="687"/>
      <c r="GY1" s="687"/>
      <c r="GZ1" s="687"/>
      <c r="HA1" s="687"/>
      <c r="HB1" s="687"/>
      <c r="HC1" s="687"/>
      <c r="HD1" s="687"/>
      <c r="HE1" s="687"/>
      <c r="HF1" s="687"/>
      <c r="HG1" s="687"/>
      <c r="HH1" s="687"/>
      <c r="HI1" s="687"/>
      <c r="HJ1" s="687"/>
      <c r="HK1" s="687"/>
      <c r="HL1" s="687"/>
      <c r="HM1" s="687"/>
      <c r="HN1" s="687"/>
      <c r="HO1" s="687"/>
      <c r="HP1" s="687"/>
      <c r="HQ1" s="687"/>
      <c r="HR1" s="687"/>
      <c r="HS1" s="687"/>
      <c r="HT1" s="687"/>
      <c r="HU1" s="687"/>
      <c r="HV1" s="687"/>
      <c r="HW1" s="687"/>
      <c r="HX1" s="687"/>
      <c r="HY1" s="687"/>
      <c r="HZ1" s="687"/>
      <c r="IA1" s="687"/>
      <c r="IB1" s="687"/>
      <c r="IC1" s="687"/>
      <c r="ID1" s="687"/>
      <c r="IE1" s="687"/>
      <c r="IF1" s="687"/>
      <c r="IG1" s="687"/>
      <c r="IH1" s="687"/>
      <c r="II1" s="687"/>
      <c r="IJ1" s="687"/>
      <c r="IK1" s="687"/>
      <c r="IL1" s="687"/>
      <c r="IM1" s="687"/>
      <c r="IN1" s="687"/>
      <c r="IO1" s="687"/>
      <c r="IP1" s="687"/>
      <c r="IQ1" s="687"/>
      <c r="IR1" s="687"/>
      <c r="IS1" s="687"/>
      <c r="IT1" s="687"/>
      <c r="IU1" s="687"/>
      <c r="IV1" s="687"/>
      <c r="IW1" s="687"/>
      <c r="IX1" s="687"/>
      <c r="IY1" s="687"/>
      <c r="IZ1" s="687"/>
      <c r="JA1" s="687"/>
      <c r="JB1" s="687"/>
      <c r="JC1" s="687"/>
      <c r="JD1" s="687"/>
      <c r="JE1" s="687"/>
      <c r="JF1" s="687"/>
      <c r="JG1" s="687"/>
      <c r="JH1" s="687"/>
      <c r="JI1" s="687"/>
      <c r="JJ1" s="687"/>
      <c r="JK1" s="687"/>
      <c r="JL1" s="687"/>
      <c r="JM1" s="687"/>
      <c r="JN1" s="687"/>
      <c r="JO1" s="687"/>
      <c r="JP1" s="687"/>
      <c r="JQ1" s="687"/>
      <c r="JR1" s="687"/>
      <c r="JS1" s="687"/>
      <c r="JT1" s="687"/>
      <c r="JU1" s="687"/>
      <c r="JV1" s="687"/>
      <c r="JW1" s="687"/>
      <c r="JX1" s="687"/>
      <c r="JY1" s="687"/>
      <c r="JZ1" s="687"/>
      <c r="KA1" s="687"/>
      <c r="KB1" s="687"/>
      <c r="KC1" s="687"/>
      <c r="KD1" s="687"/>
      <c r="KE1" s="687"/>
      <c r="KF1" s="687"/>
      <c r="KG1" s="687"/>
      <c r="KH1" s="687"/>
      <c r="KI1" s="687"/>
      <c r="KJ1" s="687"/>
      <c r="KK1" s="687"/>
      <c r="KL1" s="687"/>
      <c r="KM1" s="687"/>
      <c r="KN1" s="687"/>
      <c r="KO1" s="687"/>
      <c r="KP1" s="687"/>
      <c r="KQ1" s="687"/>
      <c r="KR1" s="687"/>
      <c r="KS1" s="687"/>
      <c r="KT1" s="687"/>
      <c r="KU1" s="687"/>
      <c r="KV1" s="687"/>
      <c r="KW1" s="687"/>
      <c r="KX1" s="687"/>
      <c r="KY1" s="687"/>
      <c r="KZ1" s="687"/>
      <c r="LA1" s="687"/>
      <c r="LB1" s="687"/>
      <c r="LC1" s="687"/>
      <c r="LD1" s="687"/>
      <c r="LE1" s="687"/>
      <c r="LF1" s="687"/>
      <c r="LG1" s="687"/>
      <c r="LH1" s="687"/>
      <c r="LI1" s="687"/>
      <c r="LJ1" s="687"/>
      <c r="LK1" s="687"/>
      <c r="LL1" s="687"/>
      <c r="LM1" s="687"/>
      <c r="LN1" s="687"/>
      <c r="LO1" s="687"/>
      <c r="LP1" s="687"/>
      <c r="LQ1" s="687"/>
      <c r="LR1" s="687"/>
      <c r="LS1" s="687"/>
      <c r="LT1" s="687"/>
      <c r="LU1" s="687"/>
      <c r="LV1" s="687"/>
      <c r="LW1" s="687"/>
      <c r="LX1" s="687"/>
      <c r="LY1" s="687"/>
      <c r="LZ1" s="687"/>
      <c r="MA1" s="687"/>
      <c r="MB1" s="687"/>
      <c r="MC1" s="687"/>
      <c r="MD1" s="687"/>
      <c r="ME1" s="687"/>
      <c r="MF1" s="687"/>
      <c r="MG1" s="687"/>
      <c r="MH1" s="687"/>
      <c r="MI1" s="687"/>
      <c r="MJ1" s="687"/>
      <c r="MK1" s="687"/>
      <c r="ML1" s="687"/>
      <c r="MM1" s="687"/>
      <c r="MN1" s="687"/>
      <c r="MO1" s="687"/>
      <c r="MP1" s="687"/>
      <c r="MQ1" s="687"/>
      <c r="MR1" s="687"/>
      <c r="MS1" s="687"/>
      <c r="MT1" s="687"/>
      <c r="MU1" s="687"/>
      <c r="MV1" s="687"/>
      <c r="MW1" s="687"/>
      <c r="MX1" s="687"/>
      <c r="MY1" s="687"/>
      <c r="MZ1" s="687"/>
      <c r="NA1" s="687"/>
      <c r="NB1" s="687"/>
      <c r="NC1" s="687"/>
      <c r="ND1" s="687"/>
      <c r="NE1" s="687"/>
      <c r="NF1" s="687"/>
      <c r="NG1" s="687"/>
      <c r="NH1" s="687"/>
      <c r="NI1" s="687"/>
      <c r="NJ1" s="687"/>
      <c r="NK1" s="687"/>
      <c r="NL1" s="687"/>
      <c r="NM1" s="687"/>
      <c r="NN1" s="687"/>
      <c r="NO1" s="687"/>
      <c r="NP1" s="687"/>
      <c r="NQ1" s="687"/>
      <c r="NR1" s="687"/>
      <c r="NS1" s="687"/>
      <c r="NT1" s="687"/>
      <c r="NU1" s="687"/>
      <c r="NV1" s="687"/>
      <c r="NW1" s="687"/>
      <c r="NX1" s="687"/>
      <c r="NY1" s="687"/>
      <c r="NZ1" s="687"/>
      <c r="OA1" s="687"/>
      <c r="OB1" s="687"/>
      <c r="OC1" s="687"/>
      <c r="OD1" s="687"/>
      <c r="OE1" s="687"/>
      <c r="OF1" s="687"/>
      <c r="OG1" s="687"/>
      <c r="OH1" s="687"/>
      <c r="OI1" s="687"/>
      <c r="OJ1" s="687"/>
      <c r="OK1" s="687"/>
      <c r="OL1" s="687"/>
      <c r="OM1" s="687"/>
      <c r="ON1" s="687"/>
      <c r="OO1" s="687"/>
      <c r="OP1" s="687"/>
      <c r="OQ1" s="687"/>
      <c r="OR1" s="687"/>
      <c r="OS1" s="687"/>
      <c r="OT1" s="687"/>
      <c r="OU1" s="687"/>
      <c r="OV1" s="687"/>
      <c r="OW1" s="687"/>
      <c r="OX1" s="687"/>
      <c r="OY1" s="687"/>
      <c r="OZ1" s="687"/>
      <c r="PA1" s="687"/>
      <c r="PB1" s="687"/>
      <c r="PC1" s="687"/>
      <c r="PD1" s="687"/>
      <c r="PE1" s="687"/>
      <c r="PF1" s="687"/>
      <c r="PG1" s="687"/>
      <c r="PH1" s="687"/>
      <c r="PI1" s="687"/>
      <c r="PJ1" s="687"/>
      <c r="PK1" s="687"/>
      <c r="PL1" s="687"/>
      <c r="PM1" s="687"/>
      <c r="PN1" s="687"/>
      <c r="PO1" s="687"/>
      <c r="PP1" s="687"/>
      <c r="PQ1" s="687"/>
      <c r="PR1" s="687"/>
      <c r="PS1" s="687"/>
      <c r="PT1" s="687"/>
      <c r="PU1" s="687"/>
      <c r="PV1" s="687"/>
      <c r="PW1" s="687"/>
      <c r="PX1" s="687"/>
      <c r="PY1" s="687"/>
      <c r="PZ1" s="687"/>
      <c r="QA1" s="687"/>
      <c r="QB1" s="687"/>
      <c r="QC1" s="687"/>
      <c r="QD1" s="687"/>
      <c r="QE1" s="687"/>
      <c r="QF1" s="687"/>
      <c r="QG1" s="687"/>
      <c r="QH1" s="687"/>
      <c r="QI1" s="687"/>
      <c r="QJ1" s="687"/>
      <c r="QK1" s="687"/>
      <c r="QL1" s="687"/>
      <c r="QM1" s="687"/>
      <c r="QN1" s="687"/>
      <c r="QO1" s="687"/>
      <c r="QP1" s="687"/>
      <c r="QQ1" s="687"/>
      <c r="QR1" s="687"/>
      <c r="QS1" s="687"/>
      <c r="QT1" s="687"/>
      <c r="QU1" s="687"/>
      <c r="QV1" s="687"/>
      <c r="QW1" s="687"/>
      <c r="QX1" s="687"/>
      <c r="QY1" s="687"/>
      <c r="QZ1" s="687"/>
      <c r="RA1" s="687"/>
      <c r="RB1" s="687"/>
      <c r="RC1" s="687"/>
      <c r="RD1" s="687"/>
      <c r="RE1" s="687"/>
      <c r="RF1" s="687"/>
      <c r="RG1" s="687"/>
      <c r="RH1" s="687"/>
      <c r="RI1" s="687"/>
      <c r="RJ1" s="687"/>
      <c r="RK1" s="687"/>
      <c r="RL1" s="687"/>
      <c r="RM1" s="687"/>
      <c r="RN1" s="687"/>
      <c r="RO1" s="687"/>
      <c r="RP1" s="687"/>
      <c r="RQ1" s="687"/>
      <c r="RR1" s="687"/>
      <c r="RS1" s="687"/>
      <c r="RT1" s="687"/>
      <c r="RU1" s="687"/>
      <c r="RV1" s="687"/>
      <c r="RW1" s="687"/>
      <c r="RX1" s="687"/>
      <c r="RY1" s="687"/>
      <c r="RZ1" s="687"/>
      <c r="SA1" s="687"/>
      <c r="SB1" s="687"/>
      <c r="SC1" s="687"/>
      <c r="SD1" s="687"/>
      <c r="SE1" s="687"/>
      <c r="SF1" s="687"/>
      <c r="SG1" s="687"/>
      <c r="SH1" s="687"/>
      <c r="SI1" s="687"/>
      <c r="SJ1" s="687"/>
      <c r="SK1" s="687"/>
      <c r="SL1" s="687"/>
      <c r="SM1" s="687"/>
      <c r="SN1" s="687"/>
      <c r="SO1" s="687"/>
      <c r="SP1" s="687"/>
      <c r="SQ1" s="687"/>
      <c r="SR1" s="687"/>
      <c r="SS1" s="687"/>
      <c r="ST1" s="687"/>
      <c r="SU1" s="687"/>
      <c r="SV1" s="687"/>
      <c r="SW1" s="687"/>
      <c r="SX1" s="687"/>
      <c r="SY1" s="687"/>
      <c r="SZ1" s="687"/>
      <c r="TA1" s="687"/>
      <c r="TB1" s="687"/>
      <c r="TC1" s="687"/>
      <c r="TD1" s="687"/>
      <c r="TE1" s="687"/>
      <c r="TF1" s="687"/>
      <c r="TG1" s="687"/>
      <c r="TH1" s="687"/>
      <c r="TI1" s="687"/>
      <c r="TJ1" s="687"/>
      <c r="TK1" s="687"/>
      <c r="TL1" s="687"/>
      <c r="TM1" s="687"/>
      <c r="TN1" s="687"/>
      <c r="TO1" s="687"/>
      <c r="TP1" s="687"/>
      <c r="TQ1" s="687"/>
      <c r="TR1" s="687"/>
      <c r="TS1" s="687"/>
      <c r="TT1" s="687"/>
      <c r="TU1" s="687"/>
      <c r="TV1" s="687"/>
      <c r="TW1" s="687"/>
      <c r="TX1" s="687"/>
      <c r="TY1" s="687"/>
      <c r="TZ1" s="687"/>
      <c r="UA1" s="687"/>
      <c r="UB1" s="687"/>
      <c r="UC1" s="687"/>
      <c r="UD1" s="687"/>
      <c r="UE1" s="687"/>
      <c r="UF1" s="687"/>
      <c r="UG1" s="687"/>
      <c r="UH1" s="687"/>
      <c r="UI1" s="687"/>
      <c r="UJ1" s="687"/>
      <c r="UK1" s="687"/>
      <c r="UL1" s="687"/>
      <c r="UM1" s="687"/>
      <c r="UN1" s="687"/>
      <c r="UO1" s="687"/>
      <c r="UP1" s="687"/>
      <c r="UQ1" s="687"/>
      <c r="UR1" s="687"/>
      <c r="US1" s="687"/>
      <c r="UT1" s="687"/>
      <c r="UU1" s="687"/>
      <c r="UV1" s="687"/>
      <c r="UW1" s="687"/>
      <c r="UX1" s="687"/>
      <c r="UY1" s="687"/>
      <c r="UZ1" s="687"/>
      <c r="VA1" s="687"/>
      <c r="VB1" s="687"/>
      <c r="VC1" s="687"/>
      <c r="VD1" s="687"/>
      <c r="VE1" s="687"/>
      <c r="VF1" s="687"/>
      <c r="VG1" s="687"/>
      <c r="VH1" s="687"/>
      <c r="VI1" s="687"/>
      <c r="VJ1" s="687"/>
      <c r="VK1" s="687"/>
      <c r="VL1" s="687"/>
      <c r="VM1" s="687"/>
      <c r="VN1" s="687"/>
      <c r="VO1" s="687"/>
      <c r="VP1" s="687"/>
      <c r="VQ1" s="687"/>
      <c r="VR1" s="687"/>
      <c r="VS1" s="687"/>
      <c r="VT1" s="687"/>
      <c r="VU1" s="687"/>
      <c r="VV1" s="687"/>
      <c r="VW1" s="687"/>
      <c r="VX1" s="687"/>
      <c r="VY1" s="687"/>
      <c r="VZ1" s="687"/>
      <c r="WA1" s="687"/>
      <c r="WB1" s="687"/>
      <c r="WC1" s="687"/>
      <c r="WD1" s="687"/>
      <c r="WE1" s="687"/>
      <c r="WF1" s="687"/>
      <c r="WG1" s="687"/>
      <c r="WH1" s="687"/>
      <c r="WI1" s="687"/>
      <c r="WJ1" s="687"/>
      <c r="WK1" s="687"/>
      <c r="WL1" s="687"/>
      <c r="WM1" s="687"/>
      <c r="WN1" s="687"/>
      <c r="WO1" s="687"/>
      <c r="WP1" s="687"/>
      <c r="WQ1" s="687"/>
      <c r="WR1" s="687"/>
      <c r="WS1" s="687"/>
      <c r="WT1" s="687"/>
      <c r="WU1" s="687"/>
      <c r="WV1" s="687"/>
      <c r="WW1" s="687"/>
      <c r="WX1" s="687"/>
      <c r="WY1" s="687"/>
      <c r="WZ1" s="687"/>
      <c r="XA1" s="687"/>
      <c r="XB1" s="687"/>
      <c r="XC1" s="687"/>
      <c r="XD1" s="687"/>
      <c r="XE1" s="687"/>
      <c r="XF1" s="687"/>
      <c r="XG1" s="687"/>
      <c r="XH1" s="687"/>
      <c r="XI1" s="687"/>
      <c r="XJ1" s="687"/>
      <c r="XK1" s="687"/>
      <c r="XL1" s="687"/>
      <c r="XM1" s="687"/>
      <c r="XN1" s="687"/>
      <c r="XO1" s="687"/>
      <c r="XP1" s="687"/>
      <c r="XQ1" s="687"/>
      <c r="XR1" s="687"/>
      <c r="XS1" s="687"/>
      <c r="XT1" s="687"/>
      <c r="XU1" s="687"/>
      <c r="XV1" s="687"/>
      <c r="XW1" s="687"/>
      <c r="XX1" s="687"/>
      <c r="XY1" s="687"/>
      <c r="XZ1" s="687"/>
      <c r="YA1" s="687"/>
      <c r="YB1" s="687"/>
      <c r="YC1" s="687"/>
      <c r="YD1" s="687"/>
      <c r="YE1" s="687"/>
      <c r="YF1" s="687"/>
      <c r="YG1" s="687"/>
      <c r="YH1" s="687"/>
      <c r="YI1" s="687"/>
      <c r="YJ1" s="687"/>
      <c r="YK1" s="687"/>
      <c r="YL1" s="687"/>
      <c r="YM1" s="687"/>
      <c r="YN1" s="687"/>
      <c r="YO1" s="687"/>
      <c r="YP1" s="687"/>
      <c r="YQ1" s="687"/>
      <c r="YR1" s="687"/>
      <c r="YS1" s="687"/>
      <c r="YT1" s="687"/>
      <c r="YU1" s="687"/>
      <c r="YV1" s="687"/>
      <c r="YW1" s="687"/>
      <c r="YX1" s="687"/>
      <c r="YY1" s="687"/>
      <c r="YZ1" s="687"/>
      <c r="ZA1" s="687"/>
      <c r="ZB1" s="687"/>
      <c r="ZC1" s="687"/>
      <c r="ZD1" s="687"/>
      <c r="ZE1" s="687"/>
      <c r="ZF1" s="687"/>
      <c r="ZG1" s="687"/>
      <c r="ZH1" s="687"/>
      <c r="ZI1" s="687"/>
      <c r="ZJ1" s="687"/>
      <c r="ZK1" s="687"/>
      <c r="ZL1" s="687"/>
      <c r="ZM1" s="687"/>
      <c r="ZN1" s="687"/>
      <c r="ZO1" s="687"/>
      <c r="ZP1" s="687"/>
      <c r="ZQ1" s="687"/>
      <c r="ZR1" s="687"/>
      <c r="ZS1" s="687"/>
      <c r="ZT1" s="687"/>
      <c r="ZU1" s="687"/>
      <c r="ZV1" s="687"/>
      <c r="ZW1" s="687"/>
      <c r="ZX1" s="687"/>
      <c r="ZY1" s="687"/>
      <c r="ZZ1" s="687"/>
      <c r="AAA1" s="687"/>
      <c r="AAB1" s="687"/>
      <c r="AAC1" s="687"/>
      <c r="AAD1" s="687"/>
      <c r="AAE1" s="687"/>
      <c r="AAF1" s="687"/>
      <c r="AAG1" s="687"/>
      <c r="AAH1" s="687"/>
      <c r="AAI1" s="687"/>
      <c r="AAJ1" s="687"/>
      <c r="AAK1" s="687"/>
      <c r="AAL1" s="687"/>
      <c r="AAM1" s="687"/>
      <c r="AAN1" s="687"/>
      <c r="AAO1" s="687"/>
      <c r="AAP1" s="687"/>
      <c r="AAQ1" s="687"/>
      <c r="AAR1" s="687"/>
      <c r="AAS1" s="687"/>
      <c r="AAT1" s="687"/>
      <c r="AAU1" s="687"/>
      <c r="AAV1" s="687"/>
      <c r="AAW1" s="687"/>
      <c r="AAX1" s="687"/>
      <c r="AAY1" s="687"/>
      <c r="AAZ1" s="687"/>
      <c r="ABA1" s="687"/>
      <c r="ABB1" s="687"/>
      <c r="ABC1" s="687"/>
      <c r="ABD1" s="687"/>
      <c r="ABE1" s="687"/>
      <c r="ABF1" s="687"/>
      <c r="ABG1" s="687"/>
      <c r="ABH1" s="687"/>
      <c r="ABI1" s="687"/>
      <c r="ABJ1" s="687"/>
      <c r="ABK1" s="687"/>
      <c r="ABL1" s="687"/>
      <c r="ABM1" s="687"/>
      <c r="ABN1" s="687"/>
      <c r="ABO1" s="687"/>
      <c r="ABP1" s="687"/>
      <c r="ABQ1" s="687"/>
      <c r="ABR1" s="687"/>
      <c r="ABS1" s="687"/>
      <c r="ABT1" s="687"/>
      <c r="ABU1" s="687"/>
      <c r="ABV1" s="687"/>
      <c r="ABW1" s="687"/>
      <c r="ABX1" s="687"/>
      <c r="ABY1" s="687"/>
      <c r="ABZ1" s="687"/>
      <c r="ACA1" s="687"/>
      <c r="ACB1" s="687"/>
      <c r="ACC1" s="687"/>
      <c r="ACD1" s="687"/>
      <c r="ACE1" s="687"/>
      <c r="ACF1" s="687"/>
      <c r="ACG1" s="687"/>
      <c r="ACH1" s="687"/>
      <c r="ACI1" s="687"/>
      <c r="ACJ1" s="687"/>
      <c r="ACK1" s="687"/>
      <c r="ACL1" s="687"/>
      <c r="ACM1" s="687"/>
      <c r="ACN1" s="687"/>
      <c r="ACO1" s="687"/>
      <c r="ACP1" s="687"/>
      <c r="ACQ1" s="687"/>
      <c r="ACR1" s="687"/>
      <c r="ACS1" s="687"/>
      <c r="ACT1" s="687"/>
      <c r="ACU1" s="687"/>
      <c r="ACV1" s="687"/>
      <c r="ACW1" s="687"/>
      <c r="ACX1" s="687"/>
      <c r="ACY1" s="687"/>
      <c r="ACZ1" s="687"/>
      <c r="ADA1" s="687"/>
      <c r="ADB1" s="687"/>
      <c r="ADC1" s="687"/>
      <c r="ADD1" s="687"/>
      <c r="ADE1" s="687"/>
      <c r="ADF1" s="687"/>
      <c r="ADG1" s="687"/>
      <c r="ADH1" s="687"/>
      <c r="ADI1" s="687"/>
      <c r="ADJ1" s="687"/>
      <c r="ADK1" s="687"/>
      <c r="ADL1" s="687"/>
      <c r="ADM1" s="687"/>
      <c r="ADN1" s="687"/>
      <c r="ADO1" s="687"/>
      <c r="ADP1" s="687"/>
      <c r="ADQ1" s="687"/>
      <c r="ADR1" s="687"/>
      <c r="ADS1" s="687"/>
      <c r="ADT1" s="687"/>
      <c r="ADU1" s="687"/>
      <c r="ADV1" s="687"/>
      <c r="ADW1" s="687"/>
      <c r="ADX1" s="687"/>
      <c r="ADY1" s="687"/>
      <c r="ADZ1" s="687"/>
      <c r="AEA1" s="687"/>
      <c r="AEB1" s="687"/>
      <c r="AEC1" s="687"/>
      <c r="AED1" s="687"/>
      <c r="AEE1" s="687"/>
      <c r="AEF1" s="687"/>
      <c r="AEG1" s="687"/>
      <c r="AEH1" s="687"/>
      <c r="AEI1" s="687"/>
      <c r="AEJ1" s="687"/>
      <c r="AEK1" s="687"/>
      <c r="AEL1" s="687"/>
      <c r="AEM1" s="687"/>
      <c r="AEN1" s="687"/>
      <c r="AEO1" s="687"/>
      <c r="AEP1" s="687"/>
      <c r="AEQ1" s="687"/>
      <c r="AER1" s="687"/>
      <c r="AES1" s="687"/>
      <c r="AET1" s="687"/>
      <c r="AEU1" s="687"/>
      <c r="AEV1" s="687"/>
      <c r="AEW1" s="687"/>
      <c r="AEX1" s="687"/>
      <c r="AEY1" s="687"/>
      <c r="AEZ1" s="687"/>
      <c r="AFA1" s="687"/>
      <c r="AFB1" s="687"/>
      <c r="AFC1" s="687"/>
      <c r="AFD1" s="687"/>
      <c r="AFE1" s="687"/>
      <c r="AFF1" s="687"/>
      <c r="AFG1" s="687"/>
      <c r="AFH1" s="687"/>
      <c r="AFI1" s="687"/>
      <c r="AFJ1" s="687"/>
      <c r="AFK1" s="687"/>
      <c r="AFL1" s="687"/>
      <c r="AFM1" s="687"/>
      <c r="AFN1" s="687"/>
      <c r="AFO1" s="687"/>
      <c r="AFP1" s="687"/>
      <c r="AFQ1" s="687"/>
      <c r="AFR1" s="687"/>
      <c r="AFS1" s="687"/>
      <c r="AFT1" s="687"/>
      <c r="AFU1" s="687"/>
      <c r="AFV1" s="687"/>
      <c r="AFW1" s="687"/>
      <c r="AFX1" s="687"/>
      <c r="AFY1" s="687"/>
      <c r="AFZ1" s="687"/>
      <c r="AGA1" s="687"/>
      <c r="AGB1" s="687"/>
      <c r="AGC1" s="687"/>
      <c r="AGD1" s="687"/>
      <c r="AGE1" s="687"/>
      <c r="AGF1" s="687"/>
      <c r="AGG1" s="687"/>
      <c r="AGH1" s="687"/>
      <c r="AGI1" s="687"/>
      <c r="AGJ1" s="687"/>
      <c r="AGK1" s="687"/>
      <c r="AGL1" s="687"/>
      <c r="AGM1" s="687"/>
      <c r="AGN1" s="687"/>
      <c r="AGO1" s="687"/>
      <c r="AGP1" s="687"/>
      <c r="AGQ1" s="687"/>
      <c r="AGR1" s="687"/>
      <c r="AGS1" s="687"/>
      <c r="AGT1" s="687"/>
      <c r="AGU1" s="687"/>
      <c r="AGV1" s="687"/>
      <c r="AGW1" s="687"/>
      <c r="AGX1" s="687"/>
      <c r="AGY1" s="687"/>
      <c r="AGZ1" s="687"/>
      <c r="AHA1" s="687"/>
      <c r="AHB1" s="687"/>
      <c r="AHC1" s="687"/>
      <c r="AHD1" s="687"/>
      <c r="AHE1" s="687"/>
      <c r="AHF1" s="687"/>
      <c r="AHG1" s="687"/>
      <c r="AHH1" s="687"/>
      <c r="AHI1" s="687"/>
      <c r="AHJ1" s="687"/>
      <c r="AHK1" s="687"/>
      <c r="AHL1" s="687"/>
      <c r="AHM1" s="687"/>
      <c r="AHN1" s="687"/>
      <c r="AHO1" s="687"/>
      <c r="AHP1" s="687"/>
      <c r="AHQ1" s="687"/>
      <c r="AHR1" s="687"/>
      <c r="AHS1" s="687"/>
      <c r="AHT1" s="687"/>
      <c r="AHU1" s="687"/>
      <c r="AHV1" s="687"/>
      <c r="AHW1" s="687"/>
      <c r="AHX1" s="687"/>
      <c r="AHY1" s="687"/>
      <c r="AHZ1" s="687"/>
      <c r="AIA1" s="687"/>
      <c r="AIB1" s="687"/>
      <c r="AIC1" s="687"/>
      <c r="AID1" s="687"/>
      <c r="AIE1" s="687"/>
      <c r="AIF1" s="687"/>
      <c r="AIG1" s="687"/>
      <c r="AIH1" s="687"/>
      <c r="AII1" s="687"/>
      <c r="AIJ1" s="687"/>
      <c r="AIK1" s="687"/>
      <c r="AIL1" s="687"/>
      <c r="AIM1" s="687"/>
      <c r="AIN1" s="687"/>
      <c r="AIO1" s="687"/>
      <c r="AIP1" s="687"/>
      <c r="AIQ1" s="687"/>
      <c r="AIR1" s="687"/>
      <c r="AIS1" s="687"/>
      <c r="AIT1" s="687"/>
      <c r="AIU1" s="687"/>
      <c r="AIV1" s="687"/>
      <c r="AIW1" s="687"/>
      <c r="AIX1" s="687"/>
      <c r="AIY1" s="687"/>
      <c r="AIZ1" s="687"/>
      <c r="AJA1" s="687"/>
      <c r="AJB1" s="687"/>
      <c r="AJC1" s="687"/>
      <c r="AJD1" s="687"/>
      <c r="AJE1" s="687"/>
      <c r="AJF1" s="687"/>
      <c r="AJG1" s="687"/>
      <c r="AJH1" s="687"/>
      <c r="AJI1" s="687"/>
      <c r="AJJ1" s="687"/>
      <c r="AJK1" s="687"/>
      <c r="AJL1" s="687"/>
      <c r="AJM1" s="687"/>
      <c r="AJN1" s="687"/>
      <c r="AJO1" s="687"/>
      <c r="AJP1" s="687"/>
      <c r="AJQ1" s="687"/>
      <c r="AJR1" s="687"/>
      <c r="AJS1" s="687"/>
      <c r="AJT1" s="687"/>
      <c r="AJU1" s="687"/>
      <c r="AJV1" s="687"/>
      <c r="AJW1" s="687"/>
      <c r="AJX1" s="687"/>
      <c r="AJY1" s="687"/>
      <c r="AJZ1" s="687"/>
      <c r="AKA1" s="687"/>
      <c r="AKB1" s="687"/>
      <c r="AKC1" s="687"/>
      <c r="AKD1" s="687"/>
      <c r="AKE1" s="687"/>
      <c r="AKF1" s="687"/>
      <c r="AKG1" s="687"/>
      <c r="AKH1" s="687"/>
      <c r="AKI1" s="687"/>
      <c r="AKJ1" s="687"/>
      <c r="AKK1" s="687"/>
      <c r="AKL1" s="687"/>
      <c r="AKM1" s="687"/>
      <c r="AKN1" s="687"/>
      <c r="AKO1" s="687"/>
      <c r="AKP1" s="687"/>
      <c r="AKQ1" s="687"/>
      <c r="AKR1" s="687"/>
      <c r="AKS1" s="687"/>
      <c r="AKT1" s="687"/>
      <c r="AKU1" s="687"/>
      <c r="AKV1" s="687"/>
      <c r="AKW1" s="687"/>
      <c r="AKX1" s="687"/>
      <c r="AKY1" s="687"/>
      <c r="AKZ1" s="687"/>
      <c r="ALA1" s="687"/>
      <c r="ALB1" s="687"/>
      <c r="ALC1" s="687"/>
      <c r="ALD1" s="687"/>
      <c r="ALE1" s="687"/>
      <c r="ALF1" s="687"/>
      <c r="ALG1" s="687"/>
      <c r="ALH1" s="687"/>
      <c r="ALI1" s="687"/>
      <c r="ALJ1" s="687"/>
      <c r="ALK1" s="687"/>
      <c r="ALL1" s="687"/>
      <c r="ALM1" s="687"/>
      <c r="ALN1" s="687"/>
      <c r="ALO1" s="687"/>
      <c r="ALP1" s="687"/>
      <c r="ALQ1" s="687"/>
      <c r="ALR1" s="687"/>
      <c r="ALS1" s="687"/>
      <c r="ALT1" s="687"/>
      <c r="ALU1" s="687"/>
      <c r="ALV1" s="687"/>
      <c r="ALW1" s="687"/>
      <c r="ALX1" s="687"/>
      <c r="ALY1" s="687"/>
      <c r="ALZ1" s="687"/>
      <c r="AMA1" s="687"/>
      <c r="AMB1" s="687"/>
      <c r="AMC1" s="687"/>
      <c r="AMD1" s="687"/>
      <c r="AME1" s="687"/>
      <c r="AMF1" s="687"/>
      <c r="AMG1" s="687"/>
      <c r="AMH1" s="687"/>
      <c r="AMI1" s="687"/>
    </row>
    <row r="2" spans="1:1023" s="260" customFormat="1" ht="15.75" customHeight="1" x14ac:dyDescent="0.3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699" t="s">
        <v>377</v>
      </c>
      <c r="F3" s="700"/>
      <c r="G3" s="700"/>
      <c r="H3" s="700"/>
      <c r="I3" s="701"/>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133</v>
      </c>
      <c r="D5" s="189"/>
      <c r="E5" s="695" t="s">
        <v>134</v>
      </c>
      <c r="F5" s="696"/>
      <c r="G5" s="696"/>
      <c r="H5" s="696"/>
      <c r="I5" s="697"/>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695" t="s">
        <v>377</v>
      </c>
      <c r="F7" s="696"/>
      <c r="G7" s="696"/>
      <c r="H7" s="696"/>
      <c r="I7" s="697"/>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294</v>
      </c>
      <c r="D9" s="262"/>
      <c r="E9" s="695"/>
      <c r="F9" s="696"/>
      <c r="G9" s="696"/>
      <c r="H9" s="696"/>
      <c r="I9" s="697"/>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378</v>
      </c>
      <c r="F11" s="268"/>
      <c r="G11" s="267" t="s">
        <v>379</v>
      </c>
      <c r="H11" s="268"/>
      <c r="I11" s="267" t="s">
        <v>380</v>
      </c>
      <c r="J11" s="268"/>
      <c r="K11" s="267" t="s">
        <v>381</v>
      </c>
      <c r="L11" s="269"/>
      <c r="M11" s="267" t="s">
        <v>382</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383</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384</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311</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324</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385</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689" t="s">
        <v>386</v>
      </c>
      <c r="B24" s="690"/>
      <c r="C24" s="690"/>
      <c r="D24" s="690"/>
      <c r="E24" s="698"/>
      <c r="F24" s="698"/>
      <c r="G24" s="698"/>
      <c r="H24" s="698"/>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689" t="s">
        <v>387</v>
      </c>
      <c r="B26" s="690"/>
      <c r="C26" s="690"/>
      <c r="D26" s="690"/>
      <c r="E26" s="691"/>
      <c r="F26" s="691"/>
      <c r="G26" s="691"/>
      <c r="H26" s="691"/>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388</v>
      </c>
      <c r="F30" s="181" t="s">
        <v>389</v>
      </c>
      <c r="G30" s="181" t="s">
        <v>390</v>
      </c>
      <c r="H30" s="305" t="s">
        <v>391</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392</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393</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394</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395</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396</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692" t="s">
        <v>397</v>
      </c>
      <c r="B45" s="692"/>
      <c r="C45" s="692"/>
      <c r="D45" s="692"/>
      <c r="E45" s="692"/>
      <c r="F45" s="692"/>
      <c r="G45" s="692"/>
      <c r="H45" s="692"/>
      <c r="I45" s="692"/>
      <c r="J45" s="692"/>
      <c r="K45" s="692"/>
      <c r="L45" s="692"/>
      <c r="M45" s="692"/>
      <c r="N45" s="692"/>
      <c r="O45" s="692"/>
      <c r="P45" s="692"/>
      <c r="Q45" s="692"/>
      <c r="R45" s="692"/>
      <c r="S45" s="692"/>
      <c r="T45" s="692"/>
      <c r="U45" s="692"/>
      <c r="V45" s="692"/>
      <c r="W45" s="692"/>
      <c r="X45" s="692"/>
      <c r="Y45" s="692"/>
      <c r="Z45" s="692"/>
      <c r="AA45" s="692"/>
      <c r="AB45" s="692"/>
      <c r="AC45" s="692"/>
      <c r="AD45" s="692"/>
      <c r="AE45" s="692"/>
      <c r="AF45" s="692"/>
      <c r="AG45" s="692"/>
      <c r="AH45" s="692"/>
      <c r="AI45" s="692"/>
      <c r="AJ45" s="692"/>
      <c r="AK45" s="692"/>
      <c r="AL45" s="692"/>
      <c r="AM45" s="692"/>
      <c r="AN45" s="692"/>
      <c r="AO45" s="692"/>
      <c r="AP45" s="692"/>
      <c r="AQ45" s="692"/>
      <c r="AR45" s="692"/>
      <c r="AS45" s="692"/>
      <c r="AT45" s="692"/>
      <c r="AU45" s="692"/>
      <c r="AV45" s="692"/>
      <c r="AW45" s="692"/>
      <c r="AX45" s="692"/>
      <c r="AY45" s="692"/>
      <c r="AZ45" s="692"/>
      <c r="BA45" s="692"/>
      <c r="BB45" s="692"/>
      <c r="BC45" s="692"/>
      <c r="BD45" s="692"/>
      <c r="BE45" s="692"/>
      <c r="BF45" s="692"/>
      <c r="BG45" s="692"/>
      <c r="BH45" s="692"/>
      <c r="BI45" s="692"/>
      <c r="BJ45" s="692"/>
      <c r="BK45" s="692"/>
      <c r="BL45" s="692"/>
      <c r="BM45" s="692"/>
      <c r="BN45" s="692"/>
      <c r="BO45" s="692"/>
      <c r="BP45" s="692"/>
      <c r="BQ45" s="692"/>
      <c r="BR45" s="692"/>
      <c r="BS45" s="692"/>
      <c r="BT45" s="692"/>
      <c r="BU45" s="692"/>
      <c r="BV45" s="692"/>
      <c r="BW45" s="692"/>
      <c r="BX45" s="692"/>
      <c r="BY45" s="692"/>
      <c r="BZ45" s="692"/>
      <c r="CA45" s="692"/>
      <c r="CB45" s="692"/>
      <c r="CC45" s="692"/>
      <c r="CD45" s="692"/>
      <c r="CE45" s="692"/>
      <c r="CF45" s="692"/>
      <c r="CG45" s="692"/>
      <c r="CH45" s="692"/>
      <c r="CI45" s="692"/>
      <c r="CJ45" s="692"/>
      <c r="CK45" s="692"/>
      <c r="CL45" s="692"/>
      <c r="CM45" s="692"/>
      <c r="CN45" s="692"/>
      <c r="CO45" s="692"/>
      <c r="CP45" s="692"/>
      <c r="CQ45" s="692"/>
      <c r="CR45" s="692"/>
      <c r="CS45" s="692"/>
      <c r="CT45" s="692"/>
      <c r="CU45" s="692"/>
      <c r="CV45" s="692"/>
      <c r="CW45" s="692"/>
      <c r="CX45" s="692"/>
      <c r="CY45" s="692"/>
      <c r="CZ45" s="692"/>
      <c r="DA45" s="692"/>
      <c r="DB45" s="692"/>
      <c r="DC45" s="692"/>
      <c r="DD45" s="692"/>
      <c r="DE45" s="692"/>
      <c r="DF45" s="692"/>
      <c r="DG45" s="692"/>
      <c r="DH45" s="692"/>
      <c r="DI45" s="692"/>
      <c r="DJ45" s="692"/>
      <c r="DK45" s="692"/>
      <c r="DL45" s="692"/>
      <c r="DM45" s="692"/>
      <c r="DN45" s="692"/>
      <c r="DO45" s="692"/>
      <c r="DP45" s="692"/>
      <c r="DQ45" s="692"/>
      <c r="DR45" s="692"/>
      <c r="DS45" s="692"/>
      <c r="DT45" s="692"/>
      <c r="DU45" s="692"/>
      <c r="DV45" s="692"/>
      <c r="DW45" s="692"/>
      <c r="DX45" s="692"/>
      <c r="DY45" s="692"/>
      <c r="DZ45" s="692"/>
      <c r="EA45" s="692"/>
      <c r="EB45" s="692"/>
      <c r="EC45" s="692"/>
      <c r="ED45" s="692"/>
      <c r="EE45" s="692"/>
      <c r="EF45" s="692"/>
      <c r="EG45" s="692"/>
      <c r="EH45" s="692"/>
      <c r="EI45" s="692"/>
      <c r="EJ45" s="692"/>
      <c r="EK45" s="692"/>
      <c r="EL45" s="692"/>
      <c r="EM45" s="692"/>
      <c r="EN45" s="692"/>
      <c r="EO45" s="692"/>
      <c r="EP45" s="692"/>
      <c r="EQ45" s="692"/>
      <c r="ER45" s="692"/>
      <c r="ES45" s="692"/>
      <c r="ET45" s="692"/>
      <c r="EU45" s="692"/>
      <c r="EV45" s="692"/>
      <c r="EW45" s="692"/>
      <c r="EX45" s="692"/>
      <c r="EY45" s="692"/>
      <c r="EZ45" s="692"/>
      <c r="FA45" s="692"/>
      <c r="FB45" s="692"/>
      <c r="FC45" s="692"/>
      <c r="FD45" s="692"/>
      <c r="FE45" s="692"/>
      <c r="FF45" s="692"/>
      <c r="FG45" s="692"/>
      <c r="FH45" s="692"/>
      <c r="FI45" s="692"/>
      <c r="FJ45" s="692"/>
      <c r="FK45" s="692"/>
      <c r="FL45" s="692"/>
      <c r="FM45" s="692"/>
      <c r="FN45" s="692"/>
      <c r="FO45" s="692"/>
      <c r="FP45" s="692"/>
      <c r="FQ45" s="692"/>
      <c r="FR45" s="692"/>
      <c r="FS45" s="692"/>
      <c r="FT45" s="692"/>
      <c r="FU45" s="692"/>
      <c r="FV45" s="692"/>
      <c r="FW45" s="692"/>
      <c r="FX45" s="692"/>
      <c r="FY45" s="692"/>
      <c r="FZ45" s="692"/>
      <c r="GA45" s="692"/>
      <c r="GB45" s="692"/>
      <c r="GC45" s="692"/>
      <c r="GD45" s="692"/>
      <c r="GE45" s="692"/>
      <c r="GF45" s="692"/>
      <c r="GG45" s="692"/>
      <c r="GH45" s="692"/>
      <c r="GI45" s="692"/>
      <c r="GJ45" s="692"/>
      <c r="GK45" s="692"/>
      <c r="GL45" s="692"/>
      <c r="GM45" s="692"/>
      <c r="GN45" s="692"/>
      <c r="GO45" s="692"/>
      <c r="GP45" s="692"/>
      <c r="GQ45" s="692"/>
      <c r="GR45" s="692"/>
      <c r="GS45" s="692"/>
      <c r="GT45" s="692"/>
      <c r="GU45" s="692"/>
      <c r="GV45" s="692"/>
      <c r="GW45" s="692"/>
      <c r="GX45" s="692"/>
      <c r="GY45" s="692"/>
      <c r="GZ45" s="692"/>
      <c r="HA45" s="692"/>
      <c r="HB45" s="692"/>
      <c r="HC45" s="692"/>
      <c r="HD45" s="692"/>
      <c r="HE45" s="692"/>
      <c r="HF45" s="692"/>
      <c r="HG45" s="692"/>
      <c r="HH45" s="692"/>
      <c r="HI45" s="692"/>
      <c r="HJ45" s="692"/>
      <c r="HK45" s="692"/>
      <c r="HL45" s="692"/>
      <c r="HM45" s="692"/>
      <c r="HN45" s="692"/>
      <c r="HO45" s="692"/>
      <c r="HP45" s="692"/>
      <c r="HQ45" s="692"/>
      <c r="HR45" s="692"/>
      <c r="HS45" s="692"/>
      <c r="HT45" s="692"/>
      <c r="HU45" s="692"/>
      <c r="HV45" s="692"/>
      <c r="HW45" s="692"/>
      <c r="HX45" s="692"/>
      <c r="HY45" s="692"/>
      <c r="HZ45" s="692"/>
      <c r="IA45" s="692"/>
      <c r="IB45" s="692"/>
      <c r="IC45" s="692"/>
      <c r="ID45" s="692"/>
      <c r="IE45" s="692"/>
      <c r="IF45" s="692"/>
      <c r="IG45" s="692"/>
      <c r="IH45" s="692"/>
      <c r="II45" s="692"/>
      <c r="IJ45" s="692"/>
      <c r="IK45" s="692"/>
      <c r="IL45" s="692"/>
      <c r="IM45" s="692"/>
      <c r="IN45" s="692"/>
      <c r="IO45" s="692"/>
      <c r="IP45" s="692"/>
      <c r="IQ45" s="692"/>
      <c r="IR45" s="692"/>
      <c r="IS45" s="692"/>
      <c r="IT45" s="692"/>
      <c r="IU45" s="692"/>
      <c r="IV45" s="692"/>
      <c r="IW45" s="692"/>
      <c r="IX45" s="692"/>
      <c r="IY45" s="692"/>
      <c r="IZ45" s="692"/>
      <c r="JA45" s="692"/>
      <c r="JB45" s="692"/>
      <c r="JC45" s="692"/>
      <c r="JD45" s="692"/>
      <c r="JE45" s="692"/>
      <c r="JF45" s="692"/>
      <c r="JG45" s="692"/>
      <c r="JH45" s="692"/>
      <c r="JI45" s="692"/>
      <c r="JJ45" s="692"/>
      <c r="JK45" s="692"/>
      <c r="JL45" s="692"/>
      <c r="JM45" s="692"/>
      <c r="JN45" s="692"/>
      <c r="JO45" s="692"/>
      <c r="JP45" s="692"/>
      <c r="JQ45" s="692"/>
      <c r="JR45" s="692"/>
      <c r="JS45" s="692"/>
      <c r="JT45" s="692"/>
      <c r="JU45" s="692"/>
      <c r="JV45" s="692"/>
      <c r="JW45" s="692"/>
      <c r="JX45" s="692"/>
      <c r="JY45" s="692"/>
      <c r="JZ45" s="692"/>
      <c r="KA45" s="692"/>
      <c r="KB45" s="692"/>
      <c r="KC45" s="692"/>
      <c r="KD45" s="692"/>
      <c r="KE45" s="692"/>
      <c r="KF45" s="692"/>
      <c r="KG45" s="692"/>
      <c r="KH45" s="692"/>
      <c r="KI45" s="692"/>
      <c r="KJ45" s="692"/>
      <c r="KK45" s="692"/>
      <c r="KL45" s="692"/>
      <c r="KM45" s="692"/>
      <c r="KN45" s="692"/>
      <c r="KO45" s="692"/>
      <c r="KP45" s="692"/>
      <c r="KQ45" s="692"/>
      <c r="KR45" s="692"/>
      <c r="KS45" s="692"/>
      <c r="KT45" s="692"/>
      <c r="KU45" s="692"/>
      <c r="KV45" s="692"/>
      <c r="KW45" s="692"/>
      <c r="KX45" s="692"/>
      <c r="KY45" s="692"/>
      <c r="KZ45" s="692"/>
      <c r="LA45" s="692"/>
      <c r="LB45" s="692"/>
      <c r="LC45" s="692"/>
      <c r="LD45" s="692"/>
      <c r="LE45" s="692"/>
      <c r="LF45" s="692"/>
      <c r="LG45" s="692"/>
      <c r="LH45" s="692"/>
      <c r="LI45" s="692"/>
      <c r="LJ45" s="692"/>
      <c r="LK45" s="692"/>
      <c r="LL45" s="692"/>
      <c r="LM45" s="692"/>
      <c r="LN45" s="692"/>
      <c r="LO45" s="692"/>
      <c r="LP45" s="692"/>
      <c r="LQ45" s="692"/>
      <c r="LR45" s="692"/>
      <c r="LS45" s="692"/>
      <c r="LT45" s="692"/>
      <c r="LU45" s="692"/>
      <c r="LV45" s="692"/>
      <c r="LW45" s="692"/>
      <c r="LX45" s="692"/>
      <c r="LY45" s="692"/>
      <c r="LZ45" s="692"/>
      <c r="MA45" s="692"/>
      <c r="MB45" s="692"/>
      <c r="MC45" s="692"/>
      <c r="MD45" s="692"/>
      <c r="ME45" s="692"/>
      <c r="MF45" s="692"/>
      <c r="MG45" s="692"/>
      <c r="MH45" s="692"/>
      <c r="MI45" s="692"/>
      <c r="MJ45" s="692"/>
      <c r="MK45" s="692"/>
      <c r="ML45" s="692"/>
      <c r="MM45" s="692"/>
      <c r="MN45" s="692"/>
      <c r="MO45" s="692"/>
      <c r="MP45" s="692"/>
      <c r="MQ45" s="692"/>
      <c r="MR45" s="692"/>
      <c r="MS45" s="692"/>
      <c r="MT45" s="692"/>
      <c r="MU45" s="692"/>
      <c r="MV45" s="692"/>
      <c r="MW45" s="692"/>
      <c r="MX45" s="692"/>
      <c r="MY45" s="692"/>
      <c r="MZ45" s="692"/>
      <c r="NA45" s="692"/>
      <c r="NB45" s="692"/>
      <c r="NC45" s="692"/>
      <c r="ND45" s="692"/>
      <c r="NE45" s="692"/>
      <c r="NF45" s="692"/>
      <c r="NG45" s="692"/>
      <c r="NH45" s="692"/>
      <c r="NI45" s="692"/>
      <c r="NJ45" s="692"/>
      <c r="NK45" s="692"/>
      <c r="NL45" s="692"/>
      <c r="NM45" s="692"/>
      <c r="NN45" s="692"/>
      <c r="NO45" s="692"/>
      <c r="NP45" s="692"/>
      <c r="NQ45" s="692"/>
      <c r="NR45" s="692"/>
      <c r="NS45" s="692"/>
      <c r="NT45" s="692"/>
      <c r="NU45" s="692"/>
      <c r="NV45" s="692"/>
      <c r="NW45" s="692"/>
      <c r="NX45" s="692"/>
      <c r="NY45" s="692"/>
      <c r="NZ45" s="692"/>
      <c r="OA45" s="692"/>
      <c r="OB45" s="692"/>
      <c r="OC45" s="692"/>
      <c r="OD45" s="692"/>
      <c r="OE45" s="692"/>
      <c r="OF45" s="692"/>
      <c r="OG45" s="692"/>
      <c r="OH45" s="692"/>
      <c r="OI45" s="692"/>
      <c r="OJ45" s="692"/>
      <c r="OK45" s="692"/>
      <c r="OL45" s="692"/>
      <c r="OM45" s="692"/>
      <c r="ON45" s="692"/>
      <c r="OO45" s="692"/>
      <c r="OP45" s="692"/>
      <c r="OQ45" s="692"/>
      <c r="OR45" s="692"/>
      <c r="OS45" s="692"/>
      <c r="OT45" s="692"/>
      <c r="OU45" s="692"/>
      <c r="OV45" s="692"/>
      <c r="OW45" s="692"/>
      <c r="OX45" s="692"/>
      <c r="OY45" s="692"/>
      <c r="OZ45" s="692"/>
      <c r="PA45" s="692"/>
      <c r="PB45" s="692"/>
      <c r="PC45" s="692"/>
      <c r="PD45" s="692"/>
      <c r="PE45" s="692"/>
      <c r="PF45" s="692"/>
      <c r="PG45" s="692"/>
      <c r="PH45" s="692"/>
      <c r="PI45" s="692"/>
      <c r="PJ45" s="692"/>
      <c r="PK45" s="692"/>
      <c r="PL45" s="692"/>
      <c r="PM45" s="692"/>
      <c r="PN45" s="692"/>
      <c r="PO45" s="692"/>
      <c r="PP45" s="692"/>
      <c r="PQ45" s="692"/>
      <c r="PR45" s="692"/>
      <c r="PS45" s="692"/>
      <c r="PT45" s="692"/>
      <c r="PU45" s="692"/>
      <c r="PV45" s="692"/>
      <c r="PW45" s="692"/>
      <c r="PX45" s="692"/>
      <c r="PY45" s="692"/>
      <c r="PZ45" s="692"/>
      <c r="QA45" s="692"/>
      <c r="QB45" s="692"/>
      <c r="QC45" s="692"/>
      <c r="QD45" s="692"/>
      <c r="QE45" s="692"/>
      <c r="QF45" s="692"/>
      <c r="QG45" s="692"/>
      <c r="QH45" s="692"/>
      <c r="QI45" s="692"/>
      <c r="QJ45" s="692"/>
      <c r="QK45" s="692"/>
      <c r="QL45" s="692"/>
      <c r="QM45" s="692"/>
      <c r="QN45" s="692"/>
      <c r="QO45" s="692"/>
      <c r="QP45" s="692"/>
      <c r="QQ45" s="692"/>
      <c r="QR45" s="692"/>
      <c r="QS45" s="692"/>
      <c r="QT45" s="692"/>
      <c r="QU45" s="692"/>
      <c r="QV45" s="692"/>
      <c r="QW45" s="692"/>
      <c r="QX45" s="692"/>
      <c r="QY45" s="692"/>
      <c r="QZ45" s="692"/>
      <c r="RA45" s="692"/>
      <c r="RB45" s="692"/>
      <c r="RC45" s="692"/>
      <c r="RD45" s="692"/>
      <c r="RE45" s="692"/>
      <c r="RF45" s="692"/>
      <c r="RG45" s="692"/>
      <c r="RH45" s="692"/>
      <c r="RI45" s="692"/>
      <c r="RJ45" s="692"/>
      <c r="RK45" s="692"/>
      <c r="RL45" s="692"/>
      <c r="RM45" s="692"/>
      <c r="RN45" s="692"/>
      <c r="RO45" s="692"/>
      <c r="RP45" s="692"/>
      <c r="RQ45" s="692"/>
      <c r="RR45" s="692"/>
      <c r="RS45" s="692"/>
      <c r="RT45" s="692"/>
      <c r="RU45" s="692"/>
      <c r="RV45" s="692"/>
      <c r="RW45" s="692"/>
      <c r="RX45" s="692"/>
      <c r="RY45" s="692"/>
      <c r="RZ45" s="692"/>
      <c r="SA45" s="692"/>
      <c r="SB45" s="692"/>
      <c r="SC45" s="692"/>
      <c r="SD45" s="692"/>
      <c r="SE45" s="692"/>
      <c r="SF45" s="692"/>
      <c r="SG45" s="692"/>
      <c r="SH45" s="692"/>
      <c r="SI45" s="692"/>
      <c r="SJ45" s="692"/>
      <c r="SK45" s="692"/>
      <c r="SL45" s="692"/>
      <c r="SM45" s="692"/>
      <c r="SN45" s="692"/>
      <c r="SO45" s="692"/>
      <c r="SP45" s="692"/>
      <c r="SQ45" s="692"/>
      <c r="SR45" s="692"/>
      <c r="SS45" s="692"/>
      <c r="ST45" s="692"/>
      <c r="SU45" s="692"/>
      <c r="SV45" s="692"/>
      <c r="SW45" s="692"/>
      <c r="SX45" s="692"/>
      <c r="SY45" s="692"/>
      <c r="SZ45" s="692"/>
      <c r="TA45" s="692"/>
      <c r="TB45" s="692"/>
      <c r="TC45" s="692"/>
      <c r="TD45" s="692"/>
      <c r="TE45" s="692"/>
      <c r="TF45" s="692"/>
      <c r="TG45" s="692"/>
      <c r="TH45" s="692"/>
      <c r="TI45" s="692"/>
      <c r="TJ45" s="692"/>
      <c r="TK45" s="692"/>
      <c r="TL45" s="692"/>
      <c r="TM45" s="692"/>
      <c r="TN45" s="692"/>
      <c r="TO45" s="692"/>
      <c r="TP45" s="692"/>
      <c r="TQ45" s="692"/>
      <c r="TR45" s="692"/>
      <c r="TS45" s="692"/>
      <c r="TT45" s="692"/>
      <c r="TU45" s="692"/>
      <c r="TV45" s="692"/>
      <c r="TW45" s="692"/>
      <c r="TX45" s="692"/>
      <c r="TY45" s="692"/>
      <c r="TZ45" s="692"/>
      <c r="UA45" s="692"/>
      <c r="UB45" s="692"/>
      <c r="UC45" s="692"/>
      <c r="UD45" s="692"/>
      <c r="UE45" s="692"/>
      <c r="UF45" s="692"/>
      <c r="UG45" s="692"/>
      <c r="UH45" s="692"/>
      <c r="UI45" s="692"/>
      <c r="UJ45" s="692"/>
      <c r="UK45" s="692"/>
      <c r="UL45" s="692"/>
      <c r="UM45" s="692"/>
      <c r="UN45" s="692"/>
      <c r="UO45" s="692"/>
      <c r="UP45" s="692"/>
      <c r="UQ45" s="692"/>
      <c r="UR45" s="692"/>
      <c r="US45" s="692"/>
      <c r="UT45" s="692"/>
      <c r="UU45" s="692"/>
      <c r="UV45" s="692"/>
      <c r="UW45" s="692"/>
      <c r="UX45" s="692"/>
      <c r="UY45" s="692"/>
      <c r="UZ45" s="692"/>
      <c r="VA45" s="692"/>
      <c r="VB45" s="692"/>
      <c r="VC45" s="692"/>
      <c r="VD45" s="692"/>
      <c r="VE45" s="692"/>
      <c r="VF45" s="692"/>
      <c r="VG45" s="692"/>
      <c r="VH45" s="692"/>
      <c r="VI45" s="692"/>
      <c r="VJ45" s="692"/>
      <c r="VK45" s="692"/>
      <c r="VL45" s="692"/>
      <c r="VM45" s="692"/>
      <c r="VN45" s="692"/>
      <c r="VO45" s="692"/>
      <c r="VP45" s="692"/>
      <c r="VQ45" s="692"/>
      <c r="VR45" s="692"/>
      <c r="VS45" s="692"/>
      <c r="VT45" s="692"/>
      <c r="VU45" s="692"/>
      <c r="VV45" s="692"/>
      <c r="VW45" s="692"/>
      <c r="VX45" s="692"/>
      <c r="VY45" s="692"/>
      <c r="VZ45" s="692"/>
      <c r="WA45" s="692"/>
      <c r="WB45" s="692"/>
      <c r="WC45" s="692"/>
      <c r="WD45" s="692"/>
      <c r="WE45" s="692"/>
      <c r="WF45" s="692"/>
      <c r="WG45" s="692"/>
      <c r="WH45" s="692"/>
      <c r="WI45" s="692"/>
      <c r="WJ45" s="692"/>
      <c r="WK45" s="692"/>
      <c r="WL45" s="692"/>
      <c r="WM45" s="692"/>
      <c r="WN45" s="692"/>
      <c r="WO45" s="692"/>
      <c r="WP45" s="692"/>
      <c r="WQ45" s="692"/>
      <c r="WR45" s="692"/>
      <c r="WS45" s="692"/>
      <c r="WT45" s="692"/>
      <c r="WU45" s="692"/>
      <c r="WV45" s="692"/>
      <c r="WW45" s="692"/>
      <c r="WX45" s="692"/>
      <c r="WY45" s="692"/>
      <c r="WZ45" s="692"/>
      <c r="XA45" s="692"/>
      <c r="XB45" s="692"/>
      <c r="XC45" s="692"/>
      <c r="XD45" s="692"/>
      <c r="XE45" s="692"/>
      <c r="XF45" s="692"/>
      <c r="XG45" s="692"/>
      <c r="XH45" s="692"/>
      <c r="XI45" s="692"/>
      <c r="XJ45" s="692"/>
      <c r="XK45" s="692"/>
      <c r="XL45" s="692"/>
      <c r="XM45" s="692"/>
      <c r="XN45" s="692"/>
      <c r="XO45" s="692"/>
      <c r="XP45" s="692"/>
      <c r="XQ45" s="692"/>
      <c r="XR45" s="692"/>
      <c r="XS45" s="692"/>
      <c r="XT45" s="692"/>
      <c r="XU45" s="692"/>
      <c r="XV45" s="692"/>
      <c r="XW45" s="692"/>
      <c r="XX45" s="692"/>
      <c r="XY45" s="692"/>
      <c r="XZ45" s="692"/>
      <c r="YA45" s="692"/>
      <c r="YB45" s="692"/>
      <c r="YC45" s="692"/>
      <c r="YD45" s="692"/>
      <c r="YE45" s="692"/>
      <c r="YF45" s="692"/>
      <c r="YG45" s="692"/>
      <c r="YH45" s="692"/>
      <c r="YI45" s="692"/>
      <c r="YJ45" s="692"/>
      <c r="YK45" s="692"/>
      <c r="YL45" s="692"/>
      <c r="YM45" s="692"/>
      <c r="YN45" s="692"/>
      <c r="YO45" s="692"/>
      <c r="YP45" s="692"/>
      <c r="YQ45" s="692"/>
      <c r="YR45" s="692"/>
      <c r="YS45" s="692"/>
      <c r="YT45" s="692"/>
      <c r="YU45" s="692"/>
      <c r="YV45" s="692"/>
      <c r="YW45" s="692"/>
      <c r="YX45" s="692"/>
      <c r="YY45" s="692"/>
      <c r="YZ45" s="692"/>
      <c r="ZA45" s="692"/>
      <c r="ZB45" s="692"/>
      <c r="ZC45" s="692"/>
      <c r="ZD45" s="692"/>
      <c r="ZE45" s="692"/>
      <c r="ZF45" s="692"/>
      <c r="ZG45" s="692"/>
      <c r="ZH45" s="692"/>
      <c r="ZI45" s="692"/>
      <c r="ZJ45" s="692"/>
      <c r="ZK45" s="692"/>
      <c r="ZL45" s="692"/>
      <c r="ZM45" s="692"/>
      <c r="ZN45" s="692"/>
      <c r="ZO45" s="692"/>
      <c r="ZP45" s="692"/>
      <c r="ZQ45" s="692"/>
      <c r="ZR45" s="692"/>
      <c r="ZS45" s="692"/>
      <c r="ZT45" s="692"/>
      <c r="ZU45" s="692"/>
      <c r="ZV45" s="692"/>
      <c r="ZW45" s="692"/>
      <c r="ZX45" s="692"/>
      <c r="ZY45" s="692"/>
      <c r="ZZ45" s="692"/>
      <c r="AAA45" s="692"/>
      <c r="AAB45" s="692"/>
      <c r="AAC45" s="692"/>
      <c r="AAD45" s="692"/>
      <c r="AAE45" s="692"/>
      <c r="AAF45" s="692"/>
      <c r="AAG45" s="692"/>
      <c r="AAH45" s="692"/>
      <c r="AAI45" s="692"/>
      <c r="AAJ45" s="692"/>
      <c r="AAK45" s="692"/>
      <c r="AAL45" s="692"/>
      <c r="AAM45" s="692"/>
      <c r="AAN45" s="692"/>
      <c r="AAO45" s="692"/>
      <c r="AAP45" s="692"/>
      <c r="AAQ45" s="692"/>
      <c r="AAR45" s="692"/>
      <c r="AAS45" s="692"/>
      <c r="AAT45" s="692"/>
      <c r="AAU45" s="692"/>
      <c r="AAV45" s="692"/>
      <c r="AAW45" s="692"/>
      <c r="AAX45" s="692"/>
      <c r="AAY45" s="692"/>
      <c r="AAZ45" s="692"/>
      <c r="ABA45" s="692"/>
      <c r="ABB45" s="692"/>
      <c r="ABC45" s="692"/>
      <c r="ABD45" s="692"/>
      <c r="ABE45" s="692"/>
      <c r="ABF45" s="692"/>
      <c r="ABG45" s="692"/>
      <c r="ABH45" s="692"/>
      <c r="ABI45" s="692"/>
      <c r="ABJ45" s="692"/>
      <c r="ABK45" s="692"/>
      <c r="ABL45" s="692"/>
      <c r="ABM45" s="692"/>
      <c r="ABN45" s="692"/>
      <c r="ABO45" s="692"/>
      <c r="ABP45" s="692"/>
      <c r="ABQ45" s="692"/>
      <c r="ABR45" s="692"/>
      <c r="ABS45" s="692"/>
      <c r="ABT45" s="692"/>
      <c r="ABU45" s="692"/>
      <c r="ABV45" s="692"/>
      <c r="ABW45" s="692"/>
      <c r="ABX45" s="692"/>
      <c r="ABY45" s="692"/>
      <c r="ABZ45" s="692"/>
      <c r="ACA45" s="692"/>
      <c r="ACB45" s="692"/>
      <c r="ACC45" s="692"/>
      <c r="ACD45" s="692"/>
      <c r="ACE45" s="692"/>
      <c r="ACF45" s="692"/>
      <c r="ACG45" s="692"/>
      <c r="ACH45" s="692"/>
      <c r="ACI45" s="692"/>
      <c r="ACJ45" s="692"/>
      <c r="ACK45" s="692"/>
      <c r="ACL45" s="692"/>
      <c r="ACM45" s="692"/>
      <c r="ACN45" s="692"/>
      <c r="ACO45" s="692"/>
      <c r="ACP45" s="692"/>
      <c r="ACQ45" s="692"/>
      <c r="ACR45" s="692"/>
      <c r="ACS45" s="692"/>
      <c r="ACT45" s="692"/>
      <c r="ACU45" s="692"/>
      <c r="ACV45" s="692"/>
      <c r="ACW45" s="692"/>
      <c r="ACX45" s="692"/>
      <c r="ACY45" s="692"/>
      <c r="ACZ45" s="692"/>
      <c r="ADA45" s="692"/>
      <c r="ADB45" s="692"/>
      <c r="ADC45" s="692"/>
      <c r="ADD45" s="692"/>
      <c r="ADE45" s="692"/>
      <c r="ADF45" s="692"/>
      <c r="ADG45" s="692"/>
      <c r="ADH45" s="692"/>
      <c r="ADI45" s="692"/>
      <c r="ADJ45" s="692"/>
      <c r="ADK45" s="692"/>
      <c r="ADL45" s="692"/>
      <c r="ADM45" s="692"/>
      <c r="ADN45" s="692"/>
      <c r="ADO45" s="692"/>
      <c r="ADP45" s="692"/>
      <c r="ADQ45" s="692"/>
      <c r="ADR45" s="692"/>
      <c r="ADS45" s="692"/>
      <c r="ADT45" s="692"/>
      <c r="ADU45" s="692"/>
      <c r="ADV45" s="692"/>
      <c r="ADW45" s="692"/>
      <c r="ADX45" s="692"/>
      <c r="ADY45" s="692"/>
      <c r="ADZ45" s="692"/>
      <c r="AEA45" s="692"/>
      <c r="AEB45" s="692"/>
      <c r="AEC45" s="692"/>
      <c r="AED45" s="692"/>
      <c r="AEE45" s="692"/>
      <c r="AEF45" s="692"/>
      <c r="AEG45" s="692"/>
      <c r="AEH45" s="692"/>
      <c r="AEI45" s="692"/>
      <c r="AEJ45" s="692"/>
      <c r="AEK45" s="692"/>
      <c r="AEL45" s="692"/>
      <c r="AEM45" s="692"/>
      <c r="AEN45" s="692"/>
      <c r="AEO45" s="692"/>
      <c r="AEP45" s="692"/>
      <c r="AEQ45" s="692"/>
      <c r="AER45" s="692"/>
      <c r="AES45" s="692"/>
      <c r="AET45" s="692"/>
      <c r="AEU45" s="692"/>
      <c r="AEV45" s="692"/>
      <c r="AEW45" s="692"/>
      <c r="AEX45" s="692"/>
      <c r="AEY45" s="692"/>
      <c r="AEZ45" s="692"/>
      <c r="AFA45" s="692"/>
      <c r="AFB45" s="692"/>
      <c r="AFC45" s="692"/>
      <c r="AFD45" s="692"/>
      <c r="AFE45" s="692"/>
      <c r="AFF45" s="692"/>
      <c r="AFG45" s="692"/>
      <c r="AFH45" s="692"/>
      <c r="AFI45" s="692"/>
      <c r="AFJ45" s="692"/>
      <c r="AFK45" s="692"/>
      <c r="AFL45" s="692"/>
      <c r="AFM45" s="692"/>
      <c r="AFN45" s="692"/>
      <c r="AFO45" s="692"/>
      <c r="AFP45" s="692"/>
      <c r="AFQ45" s="692"/>
      <c r="AFR45" s="692"/>
      <c r="AFS45" s="692"/>
      <c r="AFT45" s="692"/>
      <c r="AFU45" s="692"/>
      <c r="AFV45" s="692"/>
      <c r="AFW45" s="692"/>
      <c r="AFX45" s="692"/>
      <c r="AFY45" s="692"/>
      <c r="AFZ45" s="692"/>
      <c r="AGA45" s="692"/>
      <c r="AGB45" s="692"/>
      <c r="AGC45" s="692"/>
      <c r="AGD45" s="692"/>
      <c r="AGE45" s="692"/>
      <c r="AGF45" s="692"/>
      <c r="AGG45" s="692"/>
      <c r="AGH45" s="692"/>
      <c r="AGI45" s="692"/>
      <c r="AGJ45" s="692"/>
      <c r="AGK45" s="692"/>
      <c r="AGL45" s="692"/>
      <c r="AGM45" s="692"/>
      <c r="AGN45" s="692"/>
      <c r="AGO45" s="692"/>
      <c r="AGP45" s="692"/>
      <c r="AGQ45" s="692"/>
      <c r="AGR45" s="692"/>
      <c r="AGS45" s="692"/>
      <c r="AGT45" s="692"/>
      <c r="AGU45" s="692"/>
      <c r="AGV45" s="692"/>
      <c r="AGW45" s="692"/>
      <c r="AGX45" s="692"/>
      <c r="AGY45" s="692"/>
      <c r="AGZ45" s="692"/>
      <c r="AHA45" s="692"/>
      <c r="AHB45" s="692"/>
      <c r="AHC45" s="692"/>
      <c r="AHD45" s="692"/>
      <c r="AHE45" s="692"/>
      <c r="AHF45" s="692"/>
      <c r="AHG45" s="692"/>
      <c r="AHH45" s="692"/>
      <c r="AHI45" s="692"/>
      <c r="AHJ45" s="692"/>
      <c r="AHK45" s="692"/>
      <c r="AHL45" s="692"/>
      <c r="AHM45" s="692"/>
      <c r="AHN45" s="692"/>
      <c r="AHO45" s="692"/>
      <c r="AHP45" s="692"/>
      <c r="AHQ45" s="692"/>
      <c r="AHR45" s="692"/>
      <c r="AHS45" s="692"/>
      <c r="AHT45" s="692"/>
      <c r="AHU45" s="692"/>
      <c r="AHV45" s="692"/>
      <c r="AHW45" s="692"/>
      <c r="AHX45" s="692"/>
      <c r="AHY45" s="692"/>
      <c r="AHZ45" s="692"/>
      <c r="AIA45" s="692"/>
      <c r="AIB45" s="692"/>
      <c r="AIC45" s="692"/>
      <c r="AID45" s="692"/>
      <c r="AIE45" s="692"/>
      <c r="AIF45" s="692"/>
      <c r="AIG45" s="692"/>
      <c r="AIH45" s="692"/>
      <c r="AII45" s="692"/>
      <c r="AIJ45" s="692"/>
      <c r="AIK45" s="692"/>
      <c r="AIL45" s="692"/>
      <c r="AIM45" s="692"/>
      <c r="AIN45" s="692"/>
      <c r="AIO45" s="692"/>
      <c r="AIP45" s="692"/>
      <c r="AIQ45" s="692"/>
      <c r="AIR45" s="692"/>
      <c r="AIS45" s="692"/>
      <c r="AIT45" s="692"/>
      <c r="AIU45" s="692"/>
      <c r="AIV45" s="692"/>
      <c r="AIW45" s="692"/>
      <c r="AIX45" s="692"/>
      <c r="AIY45" s="692"/>
      <c r="AIZ45" s="692"/>
      <c r="AJA45" s="692"/>
      <c r="AJB45" s="692"/>
      <c r="AJC45" s="692"/>
      <c r="AJD45" s="692"/>
      <c r="AJE45" s="692"/>
      <c r="AJF45" s="692"/>
      <c r="AJG45" s="692"/>
      <c r="AJH45" s="692"/>
      <c r="AJI45" s="692"/>
      <c r="AJJ45" s="692"/>
      <c r="AJK45" s="692"/>
      <c r="AJL45" s="692"/>
      <c r="AJM45" s="692"/>
      <c r="AJN45" s="692"/>
      <c r="AJO45" s="692"/>
      <c r="AJP45" s="692"/>
      <c r="AJQ45" s="692"/>
      <c r="AJR45" s="692"/>
      <c r="AJS45" s="692"/>
      <c r="AJT45" s="692"/>
      <c r="AJU45" s="692"/>
      <c r="AJV45" s="692"/>
      <c r="AJW45" s="692"/>
      <c r="AJX45" s="692"/>
      <c r="AJY45" s="692"/>
      <c r="AJZ45" s="692"/>
      <c r="AKA45" s="692"/>
      <c r="AKB45" s="692"/>
      <c r="AKC45" s="692"/>
      <c r="AKD45" s="692"/>
      <c r="AKE45" s="692"/>
      <c r="AKF45" s="692"/>
      <c r="AKG45" s="692"/>
      <c r="AKH45" s="692"/>
      <c r="AKI45" s="692"/>
      <c r="AKJ45" s="692"/>
      <c r="AKK45" s="692"/>
      <c r="AKL45" s="692"/>
      <c r="AKM45" s="692"/>
      <c r="AKN45" s="692"/>
      <c r="AKO45" s="692"/>
      <c r="AKP45" s="692"/>
      <c r="AKQ45" s="692"/>
      <c r="AKR45" s="692"/>
      <c r="AKS45" s="692"/>
      <c r="AKT45" s="692"/>
      <c r="AKU45" s="692"/>
      <c r="AKV45" s="692"/>
      <c r="AKW45" s="692"/>
      <c r="AKX45" s="692"/>
      <c r="AKY45" s="692"/>
      <c r="AKZ45" s="692"/>
      <c r="ALA45" s="692"/>
      <c r="ALB45" s="692"/>
      <c r="ALC45" s="692"/>
      <c r="ALD45" s="692"/>
      <c r="ALE45" s="692"/>
      <c r="ALF45" s="692"/>
      <c r="ALG45" s="692"/>
      <c r="ALH45" s="692"/>
      <c r="ALI45" s="692"/>
      <c r="ALJ45" s="692"/>
      <c r="ALK45" s="692"/>
      <c r="ALL45" s="692"/>
      <c r="ALM45" s="692"/>
      <c r="ALN45" s="692"/>
      <c r="ALO45" s="692"/>
      <c r="ALP45" s="692"/>
      <c r="ALQ45" s="692"/>
      <c r="ALR45" s="692"/>
      <c r="ALS45" s="692"/>
      <c r="ALT45" s="692"/>
      <c r="ALU45" s="692"/>
      <c r="ALV45" s="692"/>
      <c r="ALW45" s="692"/>
      <c r="ALX45" s="692"/>
      <c r="ALY45" s="692"/>
      <c r="ALZ45" s="692"/>
      <c r="AMA45" s="692"/>
      <c r="AMB45" s="692"/>
      <c r="AMC45" s="692"/>
      <c r="AMD45" s="692"/>
      <c r="AME45" s="692"/>
      <c r="AMF45" s="692"/>
      <c r="AMG45" s="692"/>
      <c r="AMH45" s="692"/>
      <c r="AMI45" s="692"/>
    </row>
    <row r="46" spans="1:1023" s="260" customFormat="1" ht="18.75" hidden="1" customHeight="1" x14ac:dyDescent="0.35">
      <c r="A46" s="693"/>
      <c r="B46" s="693"/>
      <c r="C46" s="693"/>
      <c r="D46" s="693"/>
      <c r="E46" s="693"/>
      <c r="F46" s="693"/>
      <c r="G46" s="693"/>
      <c r="H46" s="693"/>
      <c r="I46" s="693"/>
      <c r="J46" s="693"/>
      <c r="K46" s="693"/>
      <c r="L46" s="693"/>
      <c r="M46" s="693"/>
      <c r="N46" s="693"/>
      <c r="O46" s="693"/>
      <c r="P46" s="693"/>
      <c r="Q46" s="693"/>
      <c r="R46" s="693"/>
      <c r="S46" s="693"/>
      <c r="T46" s="693"/>
      <c r="U46" s="693"/>
      <c r="V46" s="693"/>
      <c r="W46" s="693"/>
      <c r="X46" s="693"/>
      <c r="Y46" s="693"/>
      <c r="Z46" s="693"/>
      <c r="AA46" s="693"/>
      <c r="AB46" s="693"/>
      <c r="AC46" s="693"/>
      <c r="AD46" s="693"/>
      <c r="AE46" s="693"/>
      <c r="AF46" s="693"/>
      <c r="AG46" s="693"/>
      <c r="AH46" s="693"/>
      <c r="AI46" s="693"/>
      <c r="AJ46" s="693"/>
      <c r="AK46" s="693"/>
      <c r="AL46" s="693"/>
      <c r="AM46" s="693"/>
      <c r="AN46" s="693"/>
      <c r="AO46" s="693"/>
      <c r="AP46" s="693"/>
      <c r="AQ46" s="693"/>
      <c r="AR46" s="693"/>
      <c r="AS46" s="693"/>
      <c r="AT46" s="693"/>
      <c r="AU46" s="693"/>
      <c r="AV46" s="693"/>
      <c r="AW46" s="693"/>
      <c r="AX46" s="693"/>
      <c r="AY46" s="693"/>
      <c r="AZ46" s="693"/>
      <c r="BA46" s="693"/>
      <c r="BB46" s="693"/>
      <c r="BC46" s="693"/>
      <c r="BD46" s="693"/>
      <c r="BE46" s="693"/>
      <c r="BF46" s="693"/>
      <c r="BG46" s="693"/>
      <c r="BH46" s="693"/>
      <c r="BI46" s="693"/>
      <c r="BJ46" s="693"/>
      <c r="BK46" s="693"/>
      <c r="BL46" s="693"/>
      <c r="BM46" s="693"/>
      <c r="BN46" s="693"/>
      <c r="BO46" s="693"/>
      <c r="BP46" s="693"/>
      <c r="BQ46" s="693"/>
      <c r="BR46" s="693"/>
      <c r="BS46" s="693"/>
      <c r="BT46" s="693"/>
      <c r="BU46" s="693"/>
      <c r="BV46" s="693"/>
      <c r="BW46" s="693"/>
      <c r="BX46" s="693"/>
      <c r="BY46" s="693"/>
      <c r="BZ46" s="693"/>
      <c r="CA46" s="693"/>
      <c r="CB46" s="693"/>
      <c r="CC46" s="693"/>
      <c r="CD46" s="693"/>
      <c r="CE46" s="693"/>
      <c r="CF46" s="693"/>
      <c r="CG46" s="693"/>
      <c r="CH46" s="693"/>
      <c r="CI46" s="693"/>
      <c r="CJ46" s="693"/>
      <c r="CK46" s="693"/>
      <c r="CL46" s="693"/>
      <c r="CM46" s="693"/>
      <c r="CN46" s="693"/>
      <c r="CO46" s="693"/>
      <c r="CP46" s="693"/>
      <c r="CQ46" s="693"/>
      <c r="CR46" s="693"/>
      <c r="CS46" s="693"/>
      <c r="CT46" s="693"/>
      <c r="CU46" s="693"/>
      <c r="CV46" s="693"/>
      <c r="CW46" s="693"/>
      <c r="CX46" s="693"/>
      <c r="CY46" s="693"/>
      <c r="CZ46" s="693"/>
      <c r="DA46" s="693"/>
      <c r="DB46" s="693"/>
      <c r="DC46" s="693"/>
      <c r="DD46" s="693"/>
      <c r="DE46" s="693"/>
      <c r="DF46" s="693"/>
      <c r="DG46" s="693"/>
      <c r="DH46" s="693"/>
      <c r="DI46" s="693"/>
      <c r="DJ46" s="693"/>
      <c r="DK46" s="693"/>
      <c r="DL46" s="693"/>
      <c r="DM46" s="693"/>
      <c r="DN46" s="693"/>
      <c r="DO46" s="693"/>
      <c r="DP46" s="693"/>
      <c r="DQ46" s="693"/>
      <c r="DR46" s="693"/>
      <c r="DS46" s="693"/>
      <c r="DT46" s="693"/>
      <c r="DU46" s="693"/>
      <c r="DV46" s="693"/>
      <c r="DW46" s="693"/>
      <c r="DX46" s="693"/>
      <c r="DY46" s="693"/>
      <c r="DZ46" s="693"/>
      <c r="EA46" s="693"/>
      <c r="EB46" s="693"/>
      <c r="EC46" s="693"/>
      <c r="ED46" s="693"/>
      <c r="EE46" s="693"/>
      <c r="EF46" s="693"/>
      <c r="EG46" s="693"/>
      <c r="EH46" s="693"/>
      <c r="EI46" s="693"/>
      <c r="EJ46" s="693"/>
      <c r="EK46" s="693"/>
      <c r="EL46" s="693"/>
      <c r="EM46" s="693"/>
      <c r="EN46" s="693"/>
      <c r="EO46" s="693"/>
      <c r="EP46" s="693"/>
      <c r="EQ46" s="693"/>
      <c r="ER46" s="693"/>
      <c r="ES46" s="693"/>
      <c r="ET46" s="693"/>
      <c r="EU46" s="693"/>
      <c r="EV46" s="693"/>
      <c r="EW46" s="693"/>
      <c r="EX46" s="693"/>
      <c r="EY46" s="693"/>
      <c r="EZ46" s="693"/>
      <c r="FA46" s="693"/>
      <c r="FB46" s="693"/>
      <c r="FC46" s="693"/>
      <c r="FD46" s="693"/>
      <c r="FE46" s="693"/>
      <c r="FF46" s="693"/>
      <c r="FG46" s="693"/>
      <c r="FH46" s="693"/>
      <c r="FI46" s="693"/>
      <c r="FJ46" s="693"/>
      <c r="FK46" s="693"/>
      <c r="FL46" s="693"/>
      <c r="FM46" s="693"/>
      <c r="FN46" s="693"/>
      <c r="FO46" s="693"/>
      <c r="FP46" s="693"/>
      <c r="FQ46" s="693"/>
      <c r="FR46" s="693"/>
      <c r="FS46" s="693"/>
      <c r="FT46" s="693"/>
      <c r="FU46" s="693"/>
      <c r="FV46" s="693"/>
      <c r="FW46" s="693"/>
      <c r="FX46" s="693"/>
      <c r="FY46" s="693"/>
      <c r="FZ46" s="693"/>
      <c r="GA46" s="693"/>
      <c r="GB46" s="693"/>
      <c r="GC46" s="693"/>
      <c r="GD46" s="693"/>
      <c r="GE46" s="693"/>
      <c r="GF46" s="693"/>
      <c r="GG46" s="693"/>
      <c r="GH46" s="693"/>
      <c r="GI46" s="693"/>
      <c r="GJ46" s="693"/>
      <c r="GK46" s="693"/>
      <c r="GL46" s="693"/>
      <c r="GM46" s="693"/>
      <c r="GN46" s="693"/>
      <c r="GO46" s="693"/>
      <c r="GP46" s="693"/>
      <c r="GQ46" s="693"/>
      <c r="GR46" s="693"/>
      <c r="GS46" s="693"/>
      <c r="GT46" s="693"/>
      <c r="GU46" s="693"/>
      <c r="GV46" s="693"/>
      <c r="GW46" s="693"/>
      <c r="GX46" s="693"/>
      <c r="GY46" s="693"/>
      <c r="GZ46" s="693"/>
      <c r="HA46" s="693"/>
      <c r="HB46" s="693"/>
      <c r="HC46" s="693"/>
      <c r="HD46" s="693"/>
      <c r="HE46" s="693"/>
      <c r="HF46" s="693"/>
      <c r="HG46" s="693"/>
      <c r="HH46" s="693"/>
      <c r="HI46" s="693"/>
      <c r="HJ46" s="693"/>
      <c r="HK46" s="693"/>
      <c r="HL46" s="693"/>
      <c r="HM46" s="693"/>
      <c r="HN46" s="693"/>
      <c r="HO46" s="693"/>
      <c r="HP46" s="693"/>
      <c r="HQ46" s="693"/>
      <c r="HR46" s="693"/>
      <c r="HS46" s="693"/>
      <c r="HT46" s="693"/>
      <c r="HU46" s="693"/>
      <c r="HV46" s="693"/>
      <c r="HW46" s="693"/>
      <c r="HX46" s="693"/>
      <c r="HY46" s="693"/>
      <c r="HZ46" s="693"/>
      <c r="IA46" s="693"/>
      <c r="IB46" s="693"/>
      <c r="IC46" s="693"/>
      <c r="ID46" s="693"/>
      <c r="IE46" s="693"/>
      <c r="IF46" s="693"/>
      <c r="IG46" s="693"/>
      <c r="IH46" s="693"/>
      <c r="II46" s="693"/>
      <c r="IJ46" s="693"/>
      <c r="IK46" s="693"/>
      <c r="IL46" s="693"/>
      <c r="IM46" s="693"/>
      <c r="IN46" s="693"/>
      <c r="IO46" s="693"/>
      <c r="IP46" s="693"/>
      <c r="IQ46" s="693"/>
      <c r="IR46" s="693"/>
      <c r="IS46" s="693"/>
      <c r="IT46" s="693"/>
      <c r="IU46" s="693"/>
      <c r="IV46" s="693"/>
      <c r="IW46" s="693"/>
      <c r="IX46" s="693"/>
      <c r="IY46" s="693"/>
      <c r="IZ46" s="693"/>
      <c r="JA46" s="693"/>
      <c r="JB46" s="693"/>
      <c r="JC46" s="693"/>
      <c r="JD46" s="693"/>
      <c r="JE46" s="693"/>
      <c r="JF46" s="693"/>
      <c r="JG46" s="693"/>
      <c r="JH46" s="693"/>
      <c r="JI46" s="693"/>
      <c r="JJ46" s="693"/>
      <c r="JK46" s="693"/>
      <c r="JL46" s="693"/>
      <c r="JM46" s="693"/>
      <c r="JN46" s="693"/>
      <c r="JO46" s="693"/>
      <c r="JP46" s="693"/>
      <c r="JQ46" s="693"/>
      <c r="JR46" s="693"/>
      <c r="JS46" s="693"/>
      <c r="JT46" s="693"/>
      <c r="JU46" s="693"/>
      <c r="JV46" s="693"/>
      <c r="JW46" s="693"/>
      <c r="JX46" s="693"/>
      <c r="JY46" s="693"/>
      <c r="JZ46" s="693"/>
      <c r="KA46" s="693"/>
      <c r="KB46" s="693"/>
      <c r="KC46" s="693"/>
      <c r="KD46" s="693"/>
      <c r="KE46" s="693"/>
      <c r="KF46" s="693"/>
      <c r="KG46" s="693"/>
      <c r="KH46" s="693"/>
      <c r="KI46" s="693"/>
      <c r="KJ46" s="693"/>
      <c r="KK46" s="693"/>
      <c r="KL46" s="693"/>
      <c r="KM46" s="693"/>
      <c r="KN46" s="693"/>
      <c r="KO46" s="693"/>
      <c r="KP46" s="693"/>
      <c r="KQ46" s="693"/>
      <c r="KR46" s="693"/>
      <c r="KS46" s="693"/>
      <c r="KT46" s="693"/>
      <c r="KU46" s="693"/>
      <c r="KV46" s="693"/>
      <c r="KW46" s="693"/>
      <c r="KX46" s="693"/>
      <c r="KY46" s="693"/>
      <c r="KZ46" s="693"/>
      <c r="LA46" s="693"/>
      <c r="LB46" s="693"/>
      <c r="LC46" s="693"/>
      <c r="LD46" s="693"/>
      <c r="LE46" s="693"/>
      <c r="LF46" s="693"/>
      <c r="LG46" s="693"/>
      <c r="LH46" s="693"/>
      <c r="LI46" s="693"/>
      <c r="LJ46" s="693"/>
      <c r="LK46" s="693"/>
      <c r="LL46" s="693"/>
      <c r="LM46" s="693"/>
      <c r="LN46" s="693"/>
      <c r="LO46" s="693"/>
      <c r="LP46" s="693"/>
      <c r="LQ46" s="693"/>
      <c r="LR46" s="693"/>
      <c r="LS46" s="693"/>
      <c r="LT46" s="693"/>
      <c r="LU46" s="693"/>
      <c r="LV46" s="693"/>
      <c r="LW46" s="693"/>
      <c r="LX46" s="693"/>
      <c r="LY46" s="693"/>
      <c r="LZ46" s="693"/>
      <c r="MA46" s="693"/>
      <c r="MB46" s="693"/>
      <c r="MC46" s="693"/>
      <c r="MD46" s="693"/>
      <c r="ME46" s="693"/>
      <c r="MF46" s="693"/>
      <c r="MG46" s="693"/>
      <c r="MH46" s="693"/>
      <c r="MI46" s="693"/>
      <c r="MJ46" s="693"/>
      <c r="MK46" s="693"/>
      <c r="ML46" s="693"/>
      <c r="MM46" s="693"/>
      <c r="MN46" s="693"/>
      <c r="MO46" s="693"/>
      <c r="MP46" s="693"/>
      <c r="MQ46" s="693"/>
      <c r="MR46" s="693"/>
      <c r="MS46" s="693"/>
      <c r="MT46" s="693"/>
      <c r="MU46" s="693"/>
      <c r="MV46" s="693"/>
      <c r="MW46" s="693"/>
      <c r="MX46" s="693"/>
      <c r="MY46" s="693"/>
      <c r="MZ46" s="693"/>
      <c r="NA46" s="693"/>
      <c r="NB46" s="693"/>
      <c r="NC46" s="693"/>
      <c r="ND46" s="693"/>
      <c r="NE46" s="693"/>
      <c r="NF46" s="693"/>
      <c r="NG46" s="693"/>
      <c r="NH46" s="693"/>
      <c r="NI46" s="693"/>
      <c r="NJ46" s="693"/>
      <c r="NK46" s="693"/>
      <c r="NL46" s="693"/>
      <c r="NM46" s="693"/>
      <c r="NN46" s="693"/>
      <c r="NO46" s="693"/>
      <c r="NP46" s="693"/>
      <c r="NQ46" s="693"/>
      <c r="NR46" s="693"/>
      <c r="NS46" s="693"/>
      <c r="NT46" s="693"/>
      <c r="NU46" s="693"/>
      <c r="NV46" s="693"/>
      <c r="NW46" s="693"/>
      <c r="NX46" s="693"/>
      <c r="NY46" s="693"/>
      <c r="NZ46" s="693"/>
      <c r="OA46" s="693"/>
      <c r="OB46" s="693"/>
      <c r="OC46" s="693"/>
      <c r="OD46" s="693"/>
      <c r="OE46" s="693"/>
      <c r="OF46" s="693"/>
      <c r="OG46" s="693"/>
      <c r="OH46" s="693"/>
      <c r="OI46" s="693"/>
      <c r="OJ46" s="693"/>
      <c r="OK46" s="693"/>
      <c r="OL46" s="693"/>
      <c r="OM46" s="693"/>
      <c r="ON46" s="693"/>
      <c r="OO46" s="693"/>
      <c r="OP46" s="693"/>
      <c r="OQ46" s="693"/>
      <c r="OR46" s="693"/>
      <c r="OS46" s="693"/>
      <c r="OT46" s="693"/>
      <c r="OU46" s="693"/>
      <c r="OV46" s="693"/>
      <c r="OW46" s="693"/>
      <c r="OX46" s="693"/>
      <c r="OY46" s="693"/>
      <c r="OZ46" s="693"/>
      <c r="PA46" s="693"/>
      <c r="PB46" s="693"/>
      <c r="PC46" s="693"/>
      <c r="PD46" s="693"/>
      <c r="PE46" s="693"/>
      <c r="PF46" s="693"/>
      <c r="PG46" s="693"/>
      <c r="PH46" s="693"/>
      <c r="PI46" s="693"/>
      <c r="PJ46" s="693"/>
      <c r="PK46" s="693"/>
      <c r="PL46" s="693"/>
      <c r="PM46" s="693"/>
      <c r="PN46" s="693"/>
      <c r="PO46" s="693"/>
      <c r="PP46" s="693"/>
      <c r="PQ46" s="693"/>
      <c r="PR46" s="693"/>
      <c r="PS46" s="693"/>
      <c r="PT46" s="693"/>
      <c r="PU46" s="693"/>
      <c r="PV46" s="693"/>
      <c r="PW46" s="693"/>
      <c r="PX46" s="693"/>
      <c r="PY46" s="693"/>
      <c r="PZ46" s="693"/>
      <c r="QA46" s="693"/>
      <c r="QB46" s="693"/>
      <c r="QC46" s="693"/>
      <c r="QD46" s="693"/>
      <c r="QE46" s="693"/>
      <c r="QF46" s="693"/>
      <c r="QG46" s="693"/>
      <c r="QH46" s="693"/>
      <c r="QI46" s="693"/>
      <c r="QJ46" s="693"/>
      <c r="QK46" s="693"/>
      <c r="QL46" s="693"/>
      <c r="QM46" s="693"/>
      <c r="QN46" s="693"/>
      <c r="QO46" s="693"/>
      <c r="QP46" s="693"/>
      <c r="QQ46" s="693"/>
      <c r="QR46" s="693"/>
      <c r="QS46" s="693"/>
      <c r="QT46" s="693"/>
      <c r="QU46" s="693"/>
      <c r="QV46" s="693"/>
      <c r="QW46" s="693"/>
      <c r="QX46" s="693"/>
      <c r="QY46" s="693"/>
      <c r="QZ46" s="693"/>
      <c r="RA46" s="693"/>
      <c r="RB46" s="693"/>
      <c r="RC46" s="693"/>
      <c r="RD46" s="693"/>
      <c r="RE46" s="693"/>
      <c r="RF46" s="693"/>
      <c r="RG46" s="693"/>
      <c r="RH46" s="693"/>
      <c r="RI46" s="693"/>
      <c r="RJ46" s="693"/>
      <c r="RK46" s="693"/>
      <c r="RL46" s="693"/>
      <c r="RM46" s="693"/>
      <c r="RN46" s="693"/>
      <c r="RO46" s="693"/>
      <c r="RP46" s="693"/>
      <c r="RQ46" s="693"/>
      <c r="RR46" s="693"/>
      <c r="RS46" s="693"/>
      <c r="RT46" s="693"/>
      <c r="RU46" s="693"/>
      <c r="RV46" s="693"/>
      <c r="RW46" s="693"/>
      <c r="RX46" s="693"/>
      <c r="RY46" s="693"/>
      <c r="RZ46" s="693"/>
      <c r="SA46" s="693"/>
      <c r="SB46" s="693"/>
      <c r="SC46" s="693"/>
      <c r="SD46" s="693"/>
      <c r="SE46" s="693"/>
      <c r="SF46" s="693"/>
      <c r="SG46" s="693"/>
      <c r="SH46" s="693"/>
      <c r="SI46" s="693"/>
      <c r="SJ46" s="693"/>
      <c r="SK46" s="693"/>
      <c r="SL46" s="693"/>
      <c r="SM46" s="693"/>
      <c r="SN46" s="693"/>
      <c r="SO46" s="693"/>
      <c r="SP46" s="693"/>
      <c r="SQ46" s="693"/>
      <c r="SR46" s="693"/>
      <c r="SS46" s="693"/>
      <c r="ST46" s="693"/>
      <c r="SU46" s="693"/>
      <c r="SV46" s="693"/>
      <c r="SW46" s="693"/>
      <c r="SX46" s="693"/>
      <c r="SY46" s="693"/>
      <c r="SZ46" s="693"/>
      <c r="TA46" s="693"/>
      <c r="TB46" s="693"/>
      <c r="TC46" s="693"/>
      <c r="TD46" s="693"/>
      <c r="TE46" s="693"/>
      <c r="TF46" s="693"/>
      <c r="TG46" s="693"/>
      <c r="TH46" s="693"/>
      <c r="TI46" s="693"/>
      <c r="TJ46" s="693"/>
      <c r="TK46" s="693"/>
      <c r="TL46" s="693"/>
      <c r="TM46" s="693"/>
      <c r="TN46" s="693"/>
      <c r="TO46" s="693"/>
      <c r="TP46" s="693"/>
      <c r="TQ46" s="693"/>
      <c r="TR46" s="693"/>
      <c r="TS46" s="693"/>
      <c r="TT46" s="693"/>
      <c r="TU46" s="693"/>
      <c r="TV46" s="693"/>
      <c r="TW46" s="693"/>
      <c r="TX46" s="693"/>
      <c r="TY46" s="693"/>
      <c r="TZ46" s="693"/>
      <c r="UA46" s="693"/>
      <c r="UB46" s="693"/>
      <c r="UC46" s="693"/>
      <c r="UD46" s="693"/>
      <c r="UE46" s="693"/>
      <c r="UF46" s="693"/>
      <c r="UG46" s="693"/>
      <c r="UH46" s="693"/>
      <c r="UI46" s="693"/>
      <c r="UJ46" s="693"/>
      <c r="UK46" s="693"/>
      <c r="UL46" s="693"/>
      <c r="UM46" s="693"/>
      <c r="UN46" s="693"/>
      <c r="UO46" s="693"/>
      <c r="UP46" s="693"/>
      <c r="UQ46" s="693"/>
      <c r="UR46" s="693"/>
      <c r="US46" s="693"/>
      <c r="UT46" s="693"/>
      <c r="UU46" s="693"/>
      <c r="UV46" s="693"/>
      <c r="UW46" s="693"/>
      <c r="UX46" s="693"/>
      <c r="UY46" s="693"/>
      <c r="UZ46" s="693"/>
      <c r="VA46" s="693"/>
      <c r="VB46" s="693"/>
      <c r="VC46" s="693"/>
      <c r="VD46" s="693"/>
      <c r="VE46" s="693"/>
      <c r="VF46" s="693"/>
      <c r="VG46" s="693"/>
      <c r="VH46" s="693"/>
      <c r="VI46" s="693"/>
      <c r="VJ46" s="693"/>
      <c r="VK46" s="693"/>
      <c r="VL46" s="693"/>
      <c r="VM46" s="693"/>
      <c r="VN46" s="693"/>
      <c r="VO46" s="693"/>
      <c r="VP46" s="693"/>
      <c r="VQ46" s="693"/>
      <c r="VR46" s="693"/>
      <c r="VS46" s="693"/>
      <c r="VT46" s="693"/>
      <c r="VU46" s="693"/>
      <c r="VV46" s="693"/>
      <c r="VW46" s="693"/>
      <c r="VX46" s="693"/>
      <c r="VY46" s="693"/>
      <c r="VZ46" s="693"/>
      <c r="WA46" s="693"/>
      <c r="WB46" s="693"/>
      <c r="WC46" s="693"/>
      <c r="WD46" s="693"/>
      <c r="WE46" s="693"/>
      <c r="WF46" s="693"/>
      <c r="WG46" s="693"/>
      <c r="WH46" s="693"/>
      <c r="WI46" s="693"/>
      <c r="WJ46" s="693"/>
      <c r="WK46" s="693"/>
      <c r="WL46" s="693"/>
      <c r="WM46" s="693"/>
      <c r="WN46" s="693"/>
      <c r="WO46" s="693"/>
      <c r="WP46" s="693"/>
      <c r="WQ46" s="693"/>
      <c r="WR46" s="693"/>
      <c r="WS46" s="693"/>
      <c r="WT46" s="693"/>
      <c r="WU46" s="693"/>
      <c r="WV46" s="693"/>
      <c r="WW46" s="693"/>
      <c r="WX46" s="693"/>
      <c r="WY46" s="693"/>
      <c r="WZ46" s="693"/>
      <c r="XA46" s="693"/>
      <c r="XB46" s="693"/>
      <c r="XC46" s="693"/>
      <c r="XD46" s="693"/>
      <c r="XE46" s="693"/>
      <c r="XF46" s="693"/>
      <c r="XG46" s="693"/>
      <c r="XH46" s="693"/>
      <c r="XI46" s="693"/>
      <c r="XJ46" s="693"/>
      <c r="XK46" s="693"/>
      <c r="XL46" s="693"/>
      <c r="XM46" s="693"/>
      <c r="XN46" s="693"/>
      <c r="XO46" s="693"/>
      <c r="XP46" s="693"/>
      <c r="XQ46" s="693"/>
      <c r="XR46" s="693"/>
      <c r="XS46" s="693"/>
      <c r="XT46" s="693"/>
      <c r="XU46" s="693"/>
      <c r="XV46" s="693"/>
      <c r="XW46" s="693"/>
      <c r="XX46" s="693"/>
      <c r="XY46" s="693"/>
      <c r="XZ46" s="693"/>
      <c r="YA46" s="693"/>
      <c r="YB46" s="693"/>
      <c r="YC46" s="693"/>
      <c r="YD46" s="693"/>
      <c r="YE46" s="693"/>
      <c r="YF46" s="693"/>
      <c r="YG46" s="693"/>
      <c r="YH46" s="693"/>
      <c r="YI46" s="693"/>
      <c r="YJ46" s="693"/>
      <c r="YK46" s="693"/>
      <c r="YL46" s="693"/>
      <c r="YM46" s="693"/>
      <c r="YN46" s="693"/>
      <c r="YO46" s="693"/>
      <c r="YP46" s="693"/>
      <c r="YQ46" s="693"/>
      <c r="YR46" s="693"/>
      <c r="YS46" s="693"/>
      <c r="YT46" s="693"/>
      <c r="YU46" s="693"/>
      <c r="YV46" s="693"/>
      <c r="YW46" s="693"/>
      <c r="YX46" s="693"/>
      <c r="YY46" s="693"/>
      <c r="YZ46" s="693"/>
      <c r="ZA46" s="693"/>
      <c r="ZB46" s="693"/>
      <c r="ZC46" s="693"/>
      <c r="ZD46" s="693"/>
      <c r="ZE46" s="693"/>
      <c r="ZF46" s="693"/>
      <c r="ZG46" s="693"/>
      <c r="ZH46" s="693"/>
      <c r="ZI46" s="693"/>
      <c r="ZJ46" s="693"/>
      <c r="ZK46" s="693"/>
      <c r="ZL46" s="693"/>
      <c r="ZM46" s="693"/>
      <c r="ZN46" s="693"/>
      <c r="ZO46" s="693"/>
      <c r="ZP46" s="693"/>
      <c r="ZQ46" s="693"/>
      <c r="ZR46" s="693"/>
      <c r="ZS46" s="693"/>
      <c r="ZT46" s="693"/>
      <c r="ZU46" s="693"/>
      <c r="ZV46" s="693"/>
      <c r="ZW46" s="693"/>
      <c r="ZX46" s="693"/>
      <c r="ZY46" s="693"/>
      <c r="ZZ46" s="693"/>
      <c r="AAA46" s="693"/>
      <c r="AAB46" s="693"/>
      <c r="AAC46" s="693"/>
      <c r="AAD46" s="693"/>
      <c r="AAE46" s="693"/>
      <c r="AAF46" s="693"/>
      <c r="AAG46" s="693"/>
      <c r="AAH46" s="693"/>
      <c r="AAI46" s="693"/>
      <c r="AAJ46" s="693"/>
      <c r="AAK46" s="693"/>
      <c r="AAL46" s="693"/>
      <c r="AAM46" s="693"/>
      <c r="AAN46" s="693"/>
      <c r="AAO46" s="693"/>
      <c r="AAP46" s="693"/>
      <c r="AAQ46" s="693"/>
      <c r="AAR46" s="693"/>
      <c r="AAS46" s="693"/>
      <c r="AAT46" s="693"/>
      <c r="AAU46" s="693"/>
      <c r="AAV46" s="693"/>
      <c r="AAW46" s="693"/>
      <c r="AAX46" s="693"/>
      <c r="AAY46" s="693"/>
      <c r="AAZ46" s="693"/>
      <c r="ABA46" s="693"/>
      <c r="ABB46" s="693"/>
      <c r="ABC46" s="693"/>
      <c r="ABD46" s="693"/>
      <c r="ABE46" s="693"/>
      <c r="ABF46" s="693"/>
      <c r="ABG46" s="693"/>
      <c r="ABH46" s="693"/>
      <c r="ABI46" s="693"/>
      <c r="ABJ46" s="693"/>
      <c r="ABK46" s="693"/>
      <c r="ABL46" s="693"/>
      <c r="ABM46" s="693"/>
      <c r="ABN46" s="693"/>
      <c r="ABO46" s="693"/>
      <c r="ABP46" s="693"/>
      <c r="ABQ46" s="693"/>
      <c r="ABR46" s="693"/>
      <c r="ABS46" s="693"/>
      <c r="ABT46" s="693"/>
      <c r="ABU46" s="693"/>
      <c r="ABV46" s="693"/>
      <c r="ABW46" s="693"/>
      <c r="ABX46" s="693"/>
      <c r="ABY46" s="693"/>
      <c r="ABZ46" s="693"/>
      <c r="ACA46" s="693"/>
      <c r="ACB46" s="693"/>
      <c r="ACC46" s="693"/>
      <c r="ACD46" s="693"/>
      <c r="ACE46" s="693"/>
      <c r="ACF46" s="693"/>
      <c r="ACG46" s="693"/>
      <c r="ACH46" s="693"/>
      <c r="ACI46" s="693"/>
      <c r="ACJ46" s="693"/>
      <c r="ACK46" s="693"/>
      <c r="ACL46" s="693"/>
      <c r="ACM46" s="693"/>
      <c r="ACN46" s="693"/>
      <c r="ACO46" s="693"/>
      <c r="ACP46" s="693"/>
      <c r="ACQ46" s="693"/>
      <c r="ACR46" s="693"/>
      <c r="ACS46" s="693"/>
      <c r="ACT46" s="693"/>
      <c r="ACU46" s="693"/>
      <c r="ACV46" s="693"/>
      <c r="ACW46" s="693"/>
      <c r="ACX46" s="693"/>
      <c r="ACY46" s="693"/>
      <c r="ACZ46" s="693"/>
      <c r="ADA46" s="693"/>
      <c r="ADB46" s="693"/>
      <c r="ADC46" s="693"/>
      <c r="ADD46" s="693"/>
      <c r="ADE46" s="693"/>
      <c r="ADF46" s="693"/>
      <c r="ADG46" s="693"/>
      <c r="ADH46" s="693"/>
      <c r="ADI46" s="693"/>
      <c r="ADJ46" s="693"/>
      <c r="ADK46" s="693"/>
      <c r="ADL46" s="693"/>
      <c r="ADM46" s="693"/>
      <c r="ADN46" s="693"/>
      <c r="ADO46" s="693"/>
      <c r="ADP46" s="693"/>
      <c r="ADQ46" s="693"/>
      <c r="ADR46" s="693"/>
      <c r="ADS46" s="693"/>
      <c r="ADT46" s="693"/>
      <c r="ADU46" s="693"/>
      <c r="ADV46" s="693"/>
      <c r="ADW46" s="693"/>
      <c r="ADX46" s="693"/>
      <c r="ADY46" s="693"/>
      <c r="ADZ46" s="693"/>
      <c r="AEA46" s="693"/>
      <c r="AEB46" s="693"/>
      <c r="AEC46" s="693"/>
      <c r="AED46" s="693"/>
      <c r="AEE46" s="693"/>
      <c r="AEF46" s="693"/>
      <c r="AEG46" s="693"/>
      <c r="AEH46" s="693"/>
      <c r="AEI46" s="693"/>
      <c r="AEJ46" s="693"/>
      <c r="AEK46" s="693"/>
      <c r="AEL46" s="693"/>
      <c r="AEM46" s="693"/>
      <c r="AEN46" s="693"/>
      <c r="AEO46" s="693"/>
      <c r="AEP46" s="693"/>
      <c r="AEQ46" s="693"/>
      <c r="AER46" s="693"/>
      <c r="AES46" s="693"/>
      <c r="AET46" s="693"/>
      <c r="AEU46" s="693"/>
      <c r="AEV46" s="693"/>
      <c r="AEW46" s="693"/>
      <c r="AEX46" s="693"/>
      <c r="AEY46" s="693"/>
      <c r="AEZ46" s="693"/>
      <c r="AFA46" s="693"/>
      <c r="AFB46" s="693"/>
      <c r="AFC46" s="693"/>
      <c r="AFD46" s="693"/>
      <c r="AFE46" s="693"/>
      <c r="AFF46" s="693"/>
      <c r="AFG46" s="693"/>
      <c r="AFH46" s="693"/>
      <c r="AFI46" s="693"/>
      <c r="AFJ46" s="693"/>
      <c r="AFK46" s="693"/>
      <c r="AFL46" s="693"/>
      <c r="AFM46" s="693"/>
      <c r="AFN46" s="693"/>
      <c r="AFO46" s="693"/>
      <c r="AFP46" s="693"/>
      <c r="AFQ46" s="693"/>
      <c r="AFR46" s="693"/>
      <c r="AFS46" s="693"/>
      <c r="AFT46" s="693"/>
      <c r="AFU46" s="693"/>
      <c r="AFV46" s="693"/>
      <c r="AFW46" s="693"/>
      <c r="AFX46" s="693"/>
      <c r="AFY46" s="693"/>
      <c r="AFZ46" s="693"/>
      <c r="AGA46" s="693"/>
      <c r="AGB46" s="693"/>
      <c r="AGC46" s="693"/>
      <c r="AGD46" s="693"/>
      <c r="AGE46" s="693"/>
      <c r="AGF46" s="693"/>
      <c r="AGG46" s="693"/>
      <c r="AGH46" s="693"/>
      <c r="AGI46" s="693"/>
      <c r="AGJ46" s="693"/>
      <c r="AGK46" s="693"/>
      <c r="AGL46" s="693"/>
      <c r="AGM46" s="693"/>
      <c r="AGN46" s="693"/>
      <c r="AGO46" s="693"/>
      <c r="AGP46" s="693"/>
      <c r="AGQ46" s="693"/>
      <c r="AGR46" s="693"/>
      <c r="AGS46" s="693"/>
      <c r="AGT46" s="693"/>
      <c r="AGU46" s="693"/>
      <c r="AGV46" s="693"/>
      <c r="AGW46" s="693"/>
      <c r="AGX46" s="693"/>
      <c r="AGY46" s="693"/>
      <c r="AGZ46" s="693"/>
      <c r="AHA46" s="693"/>
      <c r="AHB46" s="693"/>
      <c r="AHC46" s="693"/>
      <c r="AHD46" s="693"/>
      <c r="AHE46" s="693"/>
      <c r="AHF46" s="693"/>
      <c r="AHG46" s="693"/>
      <c r="AHH46" s="693"/>
      <c r="AHI46" s="693"/>
      <c r="AHJ46" s="693"/>
      <c r="AHK46" s="693"/>
      <c r="AHL46" s="693"/>
      <c r="AHM46" s="693"/>
      <c r="AHN46" s="693"/>
      <c r="AHO46" s="693"/>
      <c r="AHP46" s="693"/>
      <c r="AHQ46" s="693"/>
      <c r="AHR46" s="693"/>
      <c r="AHS46" s="693"/>
      <c r="AHT46" s="693"/>
      <c r="AHU46" s="693"/>
      <c r="AHV46" s="693"/>
      <c r="AHW46" s="693"/>
      <c r="AHX46" s="693"/>
      <c r="AHY46" s="693"/>
      <c r="AHZ46" s="693"/>
      <c r="AIA46" s="693"/>
      <c r="AIB46" s="693"/>
      <c r="AIC46" s="693"/>
      <c r="AID46" s="693"/>
      <c r="AIE46" s="693"/>
      <c r="AIF46" s="693"/>
      <c r="AIG46" s="693"/>
      <c r="AIH46" s="693"/>
      <c r="AII46" s="693"/>
      <c r="AIJ46" s="693"/>
      <c r="AIK46" s="693"/>
      <c r="AIL46" s="693"/>
      <c r="AIM46" s="693"/>
      <c r="AIN46" s="693"/>
      <c r="AIO46" s="693"/>
      <c r="AIP46" s="693"/>
      <c r="AIQ46" s="693"/>
      <c r="AIR46" s="693"/>
      <c r="AIS46" s="693"/>
      <c r="AIT46" s="693"/>
      <c r="AIU46" s="693"/>
      <c r="AIV46" s="693"/>
      <c r="AIW46" s="693"/>
      <c r="AIX46" s="693"/>
      <c r="AIY46" s="693"/>
      <c r="AIZ46" s="693"/>
      <c r="AJA46" s="693"/>
      <c r="AJB46" s="693"/>
      <c r="AJC46" s="693"/>
      <c r="AJD46" s="693"/>
      <c r="AJE46" s="693"/>
      <c r="AJF46" s="693"/>
      <c r="AJG46" s="693"/>
      <c r="AJH46" s="693"/>
      <c r="AJI46" s="693"/>
      <c r="AJJ46" s="693"/>
      <c r="AJK46" s="693"/>
      <c r="AJL46" s="693"/>
      <c r="AJM46" s="693"/>
      <c r="AJN46" s="693"/>
      <c r="AJO46" s="693"/>
      <c r="AJP46" s="693"/>
      <c r="AJQ46" s="693"/>
      <c r="AJR46" s="693"/>
      <c r="AJS46" s="693"/>
      <c r="AJT46" s="693"/>
      <c r="AJU46" s="693"/>
      <c r="AJV46" s="693"/>
      <c r="AJW46" s="693"/>
      <c r="AJX46" s="693"/>
      <c r="AJY46" s="693"/>
      <c r="AJZ46" s="693"/>
      <c r="AKA46" s="693"/>
      <c r="AKB46" s="693"/>
      <c r="AKC46" s="693"/>
      <c r="AKD46" s="693"/>
      <c r="AKE46" s="693"/>
      <c r="AKF46" s="693"/>
      <c r="AKG46" s="693"/>
      <c r="AKH46" s="693"/>
      <c r="AKI46" s="693"/>
      <c r="AKJ46" s="693"/>
      <c r="AKK46" s="693"/>
      <c r="AKL46" s="693"/>
      <c r="AKM46" s="693"/>
      <c r="AKN46" s="693"/>
      <c r="AKO46" s="693"/>
      <c r="AKP46" s="693"/>
      <c r="AKQ46" s="693"/>
      <c r="AKR46" s="693"/>
      <c r="AKS46" s="693"/>
      <c r="AKT46" s="693"/>
      <c r="AKU46" s="693"/>
      <c r="AKV46" s="693"/>
      <c r="AKW46" s="693"/>
      <c r="AKX46" s="693"/>
      <c r="AKY46" s="693"/>
      <c r="AKZ46" s="693"/>
      <c r="ALA46" s="693"/>
      <c r="ALB46" s="693"/>
      <c r="ALC46" s="693"/>
      <c r="ALD46" s="693"/>
      <c r="ALE46" s="693"/>
      <c r="ALF46" s="693"/>
      <c r="ALG46" s="693"/>
      <c r="ALH46" s="693"/>
      <c r="ALI46" s="693"/>
      <c r="ALJ46" s="693"/>
      <c r="ALK46" s="693"/>
      <c r="ALL46" s="693"/>
      <c r="ALM46" s="693"/>
      <c r="ALN46" s="693"/>
      <c r="ALO46" s="693"/>
      <c r="ALP46" s="693"/>
      <c r="ALQ46" s="693"/>
      <c r="ALR46" s="693"/>
      <c r="ALS46" s="693"/>
      <c r="ALT46" s="693"/>
      <c r="ALU46" s="693"/>
      <c r="ALV46" s="693"/>
      <c r="ALW46" s="693"/>
      <c r="ALX46" s="693"/>
      <c r="ALY46" s="693"/>
      <c r="ALZ46" s="693"/>
      <c r="AMA46" s="693"/>
      <c r="AMB46" s="693"/>
      <c r="AMC46" s="693"/>
      <c r="AMD46" s="693"/>
      <c r="AME46" s="693"/>
      <c r="AMF46" s="693"/>
      <c r="AMG46" s="693"/>
      <c r="AMH46" s="693"/>
      <c r="AMI46" s="693"/>
    </row>
    <row r="47" spans="1:1023" s="260" customFormat="1" ht="21.75" customHeight="1" x14ac:dyDescent="0.35">
      <c r="A47" s="694"/>
      <c r="B47" s="694"/>
      <c r="C47" s="694"/>
      <c r="D47" s="694"/>
      <c r="E47" s="694"/>
      <c r="F47" s="694"/>
      <c r="G47" s="694"/>
      <c r="H47" s="694"/>
      <c r="I47" s="694"/>
      <c r="J47" s="694"/>
      <c r="K47" s="694"/>
      <c r="L47" s="694"/>
      <c r="M47" s="694"/>
      <c r="N47" s="694"/>
      <c r="O47" s="694"/>
      <c r="P47" s="694"/>
      <c r="Q47" s="694"/>
      <c r="R47" s="694"/>
      <c r="S47" s="694"/>
      <c r="T47" s="694"/>
      <c r="U47" s="694"/>
      <c r="V47" s="694"/>
      <c r="W47" s="694"/>
      <c r="X47" s="694"/>
      <c r="Y47" s="694"/>
      <c r="Z47" s="694"/>
      <c r="AA47" s="694"/>
      <c r="AB47" s="694"/>
      <c r="AC47" s="694"/>
      <c r="AD47" s="694"/>
      <c r="AE47" s="694"/>
      <c r="AF47" s="694"/>
      <c r="AG47" s="694"/>
      <c r="AH47" s="694"/>
      <c r="AI47" s="694"/>
      <c r="AJ47" s="694"/>
      <c r="AK47" s="694"/>
      <c r="AL47" s="694"/>
      <c r="AM47" s="694"/>
      <c r="AN47" s="694"/>
      <c r="AO47" s="694"/>
      <c r="AP47" s="694"/>
      <c r="AQ47" s="694"/>
      <c r="AR47" s="694"/>
      <c r="AS47" s="694"/>
      <c r="AT47" s="694"/>
      <c r="AU47" s="694"/>
      <c r="AV47" s="694"/>
      <c r="AW47" s="694"/>
      <c r="AX47" s="694"/>
      <c r="AY47" s="694"/>
      <c r="AZ47" s="694"/>
      <c r="BA47" s="694"/>
      <c r="BB47" s="694"/>
      <c r="BC47" s="694"/>
      <c r="BD47" s="694"/>
      <c r="BE47" s="694"/>
      <c r="BF47" s="694"/>
      <c r="BG47" s="694"/>
      <c r="BH47" s="694"/>
      <c r="BI47" s="694"/>
      <c r="BJ47" s="694"/>
      <c r="BK47" s="694"/>
      <c r="BL47" s="694"/>
      <c r="BM47" s="694"/>
      <c r="BN47" s="694"/>
      <c r="BO47" s="694"/>
      <c r="BP47" s="694"/>
      <c r="BQ47" s="694"/>
      <c r="BR47" s="694"/>
      <c r="BS47" s="694"/>
      <c r="BT47" s="694"/>
      <c r="BU47" s="694"/>
      <c r="BV47" s="694"/>
      <c r="BW47" s="694"/>
      <c r="BX47" s="694"/>
      <c r="BY47" s="694"/>
      <c r="BZ47" s="694"/>
      <c r="CA47" s="694"/>
      <c r="CB47" s="694"/>
      <c r="CC47" s="694"/>
      <c r="CD47" s="694"/>
      <c r="CE47" s="694"/>
      <c r="CF47" s="694"/>
      <c r="CG47" s="694"/>
      <c r="CH47" s="694"/>
      <c r="CI47" s="694"/>
      <c r="CJ47" s="694"/>
      <c r="CK47" s="694"/>
      <c r="CL47" s="694"/>
      <c r="CM47" s="694"/>
      <c r="CN47" s="694"/>
      <c r="CO47" s="694"/>
      <c r="CP47" s="694"/>
      <c r="CQ47" s="694"/>
      <c r="CR47" s="694"/>
      <c r="CS47" s="694"/>
      <c r="CT47" s="694"/>
      <c r="CU47" s="694"/>
      <c r="CV47" s="694"/>
      <c r="CW47" s="694"/>
      <c r="CX47" s="694"/>
      <c r="CY47" s="694"/>
      <c r="CZ47" s="694"/>
      <c r="DA47" s="694"/>
      <c r="DB47" s="694"/>
      <c r="DC47" s="694"/>
      <c r="DD47" s="694"/>
      <c r="DE47" s="694"/>
      <c r="DF47" s="694"/>
      <c r="DG47" s="694"/>
      <c r="DH47" s="694"/>
      <c r="DI47" s="694"/>
      <c r="DJ47" s="694"/>
      <c r="DK47" s="694"/>
      <c r="DL47" s="694"/>
      <c r="DM47" s="694"/>
      <c r="DN47" s="694"/>
      <c r="DO47" s="694"/>
      <c r="DP47" s="694"/>
      <c r="DQ47" s="694"/>
      <c r="DR47" s="694"/>
      <c r="DS47" s="694"/>
      <c r="DT47" s="694"/>
      <c r="DU47" s="694"/>
      <c r="DV47" s="694"/>
      <c r="DW47" s="694"/>
      <c r="DX47" s="694"/>
      <c r="DY47" s="694"/>
      <c r="DZ47" s="694"/>
      <c r="EA47" s="694"/>
      <c r="EB47" s="694"/>
      <c r="EC47" s="694"/>
      <c r="ED47" s="694"/>
      <c r="EE47" s="694"/>
      <c r="EF47" s="694"/>
      <c r="EG47" s="694"/>
      <c r="EH47" s="694"/>
      <c r="EI47" s="694"/>
      <c r="EJ47" s="694"/>
      <c r="EK47" s="694"/>
      <c r="EL47" s="694"/>
      <c r="EM47" s="694"/>
      <c r="EN47" s="694"/>
      <c r="EO47" s="694"/>
      <c r="EP47" s="694"/>
      <c r="EQ47" s="694"/>
      <c r="ER47" s="694"/>
      <c r="ES47" s="694"/>
      <c r="ET47" s="694"/>
      <c r="EU47" s="694"/>
      <c r="EV47" s="694"/>
      <c r="EW47" s="694"/>
      <c r="EX47" s="694"/>
      <c r="EY47" s="694"/>
      <c r="EZ47" s="694"/>
      <c r="FA47" s="694"/>
      <c r="FB47" s="694"/>
      <c r="FC47" s="694"/>
      <c r="FD47" s="694"/>
      <c r="FE47" s="694"/>
      <c r="FF47" s="694"/>
      <c r="FG47" s="694"/>
      <c r="FH47" s="694"/>
      <c r="FI47" s="694"/>
      <c r="FJ47" s="694"/>
      <c r="FK47" s="694"/>
      <c r="FL47" s="694"/>
      <c r="FM47" s="694"/>
      <c r="FN47" s="694"/>
      <c r="FO47" s="694"/>
      <c r="FP47" s="694"/>
      <c r="FQ47" s="694"/>
      <c r="FR47" s="694"/>
      <c r="FS47" s="694"/>
      <c r="FT47" s="694"/>
      <c r="FU47" s="694"/>
      <c r="FV47" s="694"/>
      <c r="FW47" s="694"/>
      <c r="FX47" s="694"/>
      <c r="FY47" s="694"/>
      <c r="FZ47" s="694"/>
      <c r="GA47" s="694"/>
      <c r="GB47" s="694"/>
      <c r="GC47" s="694"/>
      <c r="GD47" s="694"/>
      <c r="GE47" s="694"/>
      <c r="GF47" s="694"/>
      <c r="GG47" s="694"/>
      <c r="GH47" s="694"/>
      <c r="GI47" s="694"/>
      <c r="GJ47" s="694"/>
      <c r="GK47" s="694"/>
      <c r="GL47" s="694"/>
      <c r="GM47" s="694"/>
      <c r="GN47" s="694"/>
      <c r="GO47" s="694"/>
      <c r="GP47" s="694"/>
      <c r="GQ47" s="694"/>
      <c r="GR47" s="694"/>
      <c r="GS47" s="694"/>
      <c r="GT47" s="694"/>
      <c r="GU47" s="694"/>
      <c r="GV47" s="694"/>
      <c r="GW47" s="694"/>
      <c r="GX47" s="694"/>
      <c r="GY47" s="694"/>
      <c r="GZ47" s="694"/>
      <c r="HA47" s="694"/>
      <c r="HB47" s="694"/>
      <c r="HC47" s="694"/>
      <c r="HD47" s="694"/>
      <c r="HE47" s="694"/>
      <c r="HF47" s="694"/>
      <c r="HG47" s="694"/>
      <c r="HH47" s="694"/>
      <c r="HI47" s="694"/>
      <c r="HJ47" s="694"/>
      <c r="HK47" s="694"/>
      <c r="HL47" s="694"/>
      <c r="HM47" s="694"/>
      <c r="HN47" s="694"/>
      <c r="HO47" s="694"/>
      <c r="HP47" s="694"/>
      <c r="HQ47" s="694"/>
      <c r="HR47" s="694"/>
      <c r="HS47" s="694"/>
      <c r="HT47" s="694"/>
      <c r="HU47" s="694"/>
      <c r="HV47" s="694"/>
      <c r="HW47" s="694"/>
      <c r="HX47" s="694"/>
      <c r="HY47" s="694"/>
      <c r="HZ47" s="694"/>
      <c r="IA47" s="694"/>
      <c r="IB47" s="694"/>
      <c r="IC47" s="694"/>
      <c r="ID47" s="694"/>
      <c r="IE47" s="694"/>
      <c r="IF47" s="694"/>
      <c r="IG47" s="694"/>
      <c r="IH47" s="694"/>
      <c r="II47" s="694"/>
      <c r="IJ47" s="694"/>
      <c r="IK47" s="694"/>
      <c r="IL47" s="694"/>
      <c r="IM47" s="694"/>
      <c r="IN47" s="694"/>
      <c r="IO47" s="694"/>
      <c r="IP47" s="694"/>
      <c r="IQ47" s="694"/>
      <c r="IR47" s="694"/>
      <c r="IS47" s="694"/>
      <c r="IT47" s="694"/>
      <c r="IU47" s="694"/>
      <c r="IV47" s="694"/>
      <c r="IW47" s="694"/>
      <c r="IX47" s="694"/>
      <c r="IY47" s="694"/>
      <c r="IZ47" s="694"/>
      <c r="JA47" s="694"/>
      <c r="JB47" s="694"/>
      <c r="JC47" s="694"/>
      <c r="JD47" s="694"/>
      <c r="JE47" s="694"/>
      <c r="JF47" s="694"/>
      <c r="JG47" s="694"/>
      <c r="JH47" s="694"/>
      <c r="JI47" s="694"/>
      <c r="JJ47" s="694"/>
      <c r="JK47" s="694"/>
      <c r="JL47" s="694"/>
      <c r="JM47" s="694"/>
      <c r="JN47" s="694"/>
      <c r="JO47" s="694"/>
      <c r="JP47" s="694"/>
      <c r="JQ47" s="694"/>
      <c r="JR47" s="694"/>
      <c r="JS47" s="694"/>
      <c r="JT47" s="694"/>
      <c r="JU47" s="694"/>
      <c r="JV47" s="694"/>
      <c r="JW47" s="694"/>
      <c r="JX47" s="694"/>
      <c r="JY47" s="694"/>
      <c r="JZ47" s="694"/>
      <c r="KA47" s="694"/>
      <c r="KB47" s="694"/>
      <c r="KC47" s="694"/>
      <c r="KD47" s="694"/>
      <c r="KE47" s="694"/>
      <c r="KF47" s="694"/>
      <c r="KG47" s="694"/>
      <c r="KH47" s="694"/>
      <c r="KI47" s="694"/>
      <c r="KJ47" s="694"/>
      <c r="KK47" s="694"/>
      <c r="KL47" s="694"/>
      <c r="KM47" s="694"/>
      <c r="KN47" s="694"/>
      <c r="KO47" s="694"/>
      <c r="KP47" s="694"/>
      <c r="KQ47" s="694"/>
      <c r="KR47" s="694"/>
      <c r="KS47" s="694"/>
      <c r="KT47" s="694"/>
      <c r="KU47" s="694"/>
      <c r="KV47" s="694"/>
      <c r="KW47" s="694"/>
      <c r="KX47" s="694"/>
      <c r="KY47" s="694"/>
      <c r="KZ47" s="694"/>
      <c r="LA47" s="694"/>
      <c r="LB47" s="694"/>
      <c r="LC47" s="694"/>
      <c r="LD47" s="694"/>
      <c r="LE47" s="694"/>
      <c r="LF47" s="694"/>
      <c r="LG47" s="694"/>
      <c r="LH47" s="694"/>
      <c r="LI47" s="694"/>
      <c r="LJ47" s="694"/>
      <c r="LK47" s="694"/>
      <c r="LL47" s="694"/>
      <c r="LM47" s="694"/>
      <c r="LN47" s="694"/>
      <c r="LO47" s="694"/>
      <c r="LP47" s="694"/>
      <c r="LQ47" s="694"/>
      <c r="LR47" s="694"/>
      <c r="LS47" s="694"/>
      <c r="LT47" s="694"/>
      <c r="LU47" s="694"/>
      <c r="LV47" s="694"/>
      <c r="LW47" s="694"/>
      <c r="LX47" s="694"/>
      <c r="LY47" s="694"/>
      <c r="LZ47" s="694"/>
      <c r="MA47" s="694"/>
      <c r="MB47" s="694"/>
      <c r="MC47" s="694"/>
      <c r="MD47" s="694"/>
      <c r="ME47" s="694"/>
      <c r="MF47" s="694"/>
      <c r="MG47" s="694"/>
      <c r="MH47" s="694"/>
      <c r="MI47" s="694"/>
      <c r="MJ47" s="694"/>
      <c r="MK47" s="694"/>
      <c r="ML47" s="694"/>
      <c r="MM47" s="694"/>
      <c r="MN47" s="694"/>
      <c r="MO47" s="694"/>
      <c r="MP47" s="694"/>
      <c r="MQ47" s="694"/>
      <c r="MR47" s="694"/>
      <c r="MS47" s="694"/>
      <c r="MT47" s="694"/>
      <c r="MU47" s="694"/>
      <c r="MV47" s="694"/>
      <c r="MW47" s="694"/>
      <c r="MX47" s="694"/>
      <c r="MY47" s="694"/>
      <c r="MZ47" s="694"/>
      <c r="NA47" s="694"/>
      <c r="NB47" s="694"/>
      <c r="NC47" s="694"/>
      <c r="ND47" s="694"/>
      <c r="NE47" s="694"/>
      <c r="NF47" s="694"/>
      <c r="NG47" s="694"/>
      <c r="NH47" s="694"/>
      <c r="NI47" s="694"/>
      <c r="NJ47" s="694"/>
      <c r="NK47" s="694"/>
      <c r="NL47" s="694"/>
      <c r="NM47" s="694"/>
      <c r="NN47" s="694"/>
      <c r="NO47" s="694"/>
      <c r="NP47" s="694"/>
      <c r="NQ47" s="694"/>
      <c r="NR47" s="694"/>
      <c r="NS47" s="694"/>
      <c r="NT47" s="694"/>
      <c r="NU47" s="694"/>
      <c r="NV47" s="694"/>
      <c r="NW47" s="694"/>
      <c r="NX47" s="694"/>
      <c r="NY47" s="694"/>
      <c r="NZ47" s="694"/>
      <c r="OA47" s="694"/>
      <c r="OB47" s="694"/>
      <c r="OC47" s="694"/>
      <c r="OD47" s="694"/>
      <c r="OE47" s="694"/>
      <c r="OF47" s="694"/>
      <c r="OG47" s="694"/>
      <c r="OH47" s="694"/>
      <c r="OI47" s="694"/>
      <c r="OJ47" s="694"/>
      <c r="OK47" s="694"/>
      <c r="OL47" s="694"/>
      <c r="OM47" s="694"/>
      <c r="ON47" s="694"/>
      <c r="OO47" s="694"/>
      <c r="OP47" s="694"/>
      <c r="OQ47" s="694"/>
      <c r="OR47" s="694"/>
      <c r="OS47" s="694"/>
      <c r="OT47" s="694"/>
      <c r="OU47" s="694"/>
      <c r="OV47" s="694"/>
      <c r="OW47" s="694"/>
      <c r="OX47" s="694"/>
      <c r="OY47" s="694"/>
      <c r="OZ47" s="694"/>
      <c r="PA47" s="694"/>
      <c r="PB47" s="694"/>
      <c r="PC47" s="694"/>
      <c r="PD47" s="694"/>
      <c r="PE47" s="694"/>
      <c r="PF47" s="694"/>
      <c r="PG47" s="694"/>
      <c r="PH47" s="694"/>
      <c r="PI47" s="694"/>
      <c r="PJ47" s="694"/>
      <c r="PK47" s="694"/>
      <c r="PL47" s="694"/>
      <c r="PM47" s="694"/>
      <c r="PN47" s="694"/>
      <c r="PO47" s="694"/>
      <c r="PP47" s="694"/>
      <c r="PQ47" s="694"/>
      <c r="PR47" s="694"/>
      <c r="PS47" s="694"/>
      <c r="PT47" s="694"/>
      <c r="PU47" s="694"/>
      <c r="PV47" s="694"/>
      <c r="PW47" s="694"/>
      <c r="PX47" s="694"/>
      <c r="PY47" s="694"/>
      <c r="PZ47" s="694"/>
      <c r="QA47" s="694"/>
      <c r="QB47" s="694"/>
      <c r="QC47" s="694"/>
      <c r="QD47" s="694"/>
      <c r="QE47" s="694"/>
      <c r="QF47" s="694"/>
      <c r="QG47" s="694"/>
      <c r="QH47" s="694"/>
      <c r="QI47" s="694"/>
      <c r="QJ47" s="694"/>
      <c r="QK47" s="694"/>
      <c r="QL47" s="694"/>
      <c r="QM47" s="694"/>
      <c r="QN47" s="694"/>
      <c r="QO47" s="694"/>
      <c r="QP47" s="694"/>
      <c r="QQ47" s="694"/>
      <c r="QR47" s="694"/>
      <c r="QS47" s="694"/>
      <c r="QT47" s="694"/>
      <c r="QU47" s="694"/>
      <c r="QV47" s="694"/>
      <c r="QW47" s="694"/>
      <c r="QX47" s="694"/>
      <c r="QY47" s="694"/>
      <c r="QZ47" s="694"/>
      <c r="RA47" s="694"/>
      <c r="RB47" s="694"/>
      <c r="RC47" s="694"/>
      <c r="RD47" s="694"/>
      <c r="RE47" s="694"/>
      <c r="RF47" s="694"/>
      <c r="RG47" s="694"/>
      <c r="RH47" s="694"/>
      <c r="RI47" s="694"/>
      <c r="RJ47" s="694"/>
      <c r="RK47" s="694"/>
      <c r="RL47" s="694"/>
      <c r="RM47" s="694"/>
      <c r="RN47" s="694"/>
      <c r="RO47" s="694"/>
      <c r="RP47" s="694"/>
      <c r="RQ47" s="694"/>
      <c r="RR47" s="694"/>
      <c r="RS47" s="694"/>
      <c r="RT47" s="694"/>
      <c r="RU47" s="694"/>
      <c r="RV47" s="694"/>
      <c r="RW47" s="694"/>
      <c r="RX47" s="694"/>
      <c r="RY47" s="694"/>
      <c r="RZ47" s="694"/>
      <c r="SA47" s="694"/>
      <c r="SB47" s="694"/>
      <c r="SC47" s="694"/>
      <c r="SD47" s="694"/>
      <c r="SE47" s="694"/>
      <c r="SF47" s="694"/>
      <c r="SG47" s="694"/>
      <c r="SH47" s="694"/>
      <c r="SI47" s="694"/>
      <c r="SJ47" s="694"/>
      <c r="SK47" s="694"/>
      <c r="SL47" s="694"/>
      <c r="SM47" s="694"/>
      <c r="SN47" s="694"/>
      <c r="SO47" s="694"/>
      <c r="SP47" s="694"/>
      <c r="SQ47" s="694"/>
      <c r="SR47" s="694"/>
      <c r="SS47" s="694"/>
      <c r="ST47" s="694"/>
      <c r="SU47" s="694"/>
      <c r="SV47" s="694"/>
      <c r="SW47" s="694"/>
      <c r="SX47" s="694"/>
      <c r="SY47" s="694"/>
      <c r="SZ47" s="694"/>
      <c r="TA47" s="694"/>
      <c r="TB47" s="694"/>
      <c r="TC47" s="694"/>
      <c r="TD47" s="694"/>
      <c r="TE47" s="694"/>
      <c r="TF47" s="694"/>
      <c r="TG47" s="694"/>
      <c r="TH47" s="694"/>
      <c r="TI47" s="694"/>
      <c r="TJ47" s="694"/>
      <c r="TK47" s="694"/>
      <c r="TL47" s="694"/>
      <c r="TM47" s="694"/>
      <c r="TN47" s="694"/>
      <c r="TO47" s="694"/>
      <c r="TP47" s="694"/>
      <c r="TQ47" s="694"/>
      <c r="TR47" s="694"/>
      <c r="TS47" s="694"/>
      <c r="TT47" s="694"/>
      <c r="TU47" s="694"/>
      <c r="TV47" s="694"/>
      <c r="TW47" s="694"/>
      <c r="TX47" s="694"/>
      <c r="TY47" s="694"/>
      <c r="TZ47" s="694"/>
      <c r="UA47" s="694"/>
      <c r="UB47" s="694"/>
      <c r="UC47" s="694"/>
      <c r="UD47" s="694"/>
      <c r="UE47" s="694"/>
      <c r="UF47" s="694"/>
      <c r="UG47" s="694"/>
      <c r="UH47" s="694"/>
      <c r="UI47" s="694"/>
      <c r="UJ47" s="694"/>
      <c r="UK47" s="694"/>
      <c r="UL47" s="694"/>
      <c r="UM47" s="694"/>
      <c r="UN47" s="694"/>
      <c r="UO47" s="694"/>
      <c r="UP47" s="694"/>
      <c r="UQ47" s="694"/>
      <c r="UR47" s="694"/>
      <c r="US47" s="694"/>
      <c r="UT47" s="694"/>
      <c r="UU47" s="694"/>
      <c r="UV47" s="694"/>
      <c r="UW47" s="694"/>
      <c r="UX47" s="694"/>
      <c r="UY47" s="694"/>
      <c r="UZ47" s="694"/>
      <c r="VA47" s="694"/>
      <c r="VB47" s="694"/>
      <c r="VC47" s="694"/>
      <c r="VD47" s="694"/>
      <c r="VE47" s="694"/>
      <c r="VF47" s="694"/>
      <c r="VG47" s="694"/>
      <c r="VH47" s="694"/>
      <c r="VI47" s="694"/>
      <c r="VJ47" s="694"/>
      <c r="VK47" s="694"/>
      <c r="VL47" s="694"/>
      <c r="VM47" s="694"/>
      <c r="VN47" s="694"/>
      <c r="VO47" s="694"/>
      <c r="VP47" s="694"/>
      <c r="VQ47" s="694"/>
      <c r="VR47" s="694"/>
      <c r="VS47" s="694"/>
      <c r="VT47" s="694"/>
      <c r="VU47" s="694"/>
      <c r="VV47" s="694"/>
      <c r="VW47" s="694"/>
      <c r="VX47" s="694"/>
      <c r="VY47" s="694"/>
      <c r="VZ47" s="694"/>
      <c r="WA47" s="694"/>
      <c r="WB47" s="694"/>
      <c r="WC47" s="694"/>
      <c r="WD47" s="694"/>
      <c r="WE47" s="694"/>
      <c r="WF47" s="694"/>
      <c r="WG47" s="694"/>
      <c r="WH47" s="694"/>
      <c r="WI47" s="694"/>
      <c r="WJ47" s="694"/>
      <c r="WK47" s="694"/>
      <c r="WL47" s="694"/>
      <c r="WM47" s="694"/>
      <c r="WN47" s="694"/>
      <c r="WO47" s="694"/>
      <c r="WP47" s="694"/>
      <c r="WQ47" s="694"/>
      <c r="WR47" s="694"/>
      <c r="WS47" s="694"/>
      <c r="WT47" s="694"/>
      <c r="WU47" s="694"/>
      <c r="WV47" s="694"/>
      <c r="WW47" s="694"/>
      <c r="WX47" s="694"/>
      <c r="WY47" s="694"/>
      <c r="WZ47" s="694"/>
      <c r="XA47" s="694"/>
      <c r="XB47" s="694"/>
      <c r="XC47" s="694"/>
      <c r="XD47" s="694"/>
      <c r="XE47" s="694"/>
      <c r="XF47" s="694"/>
      <c r="XG47" s="694"/>
      <c r="XH47" s="694"/>
      <c r="XI47" s="694"/>
      <c r="XJ47" s="694"/>
      <c r="XK47" s="694"/>
      <c r="XL47" s="694"/>
      <c r="XM47" s="694"/>
      <c r="XN47" s="694"/>
      <c r="XO47" s="694"/>
      <c r="XP47" s="694"/>
      <c r="XQ47" s="694"/>
      <c r="XR47" s="694"/>
      <c r="XS47" s="694"/>
      <c r="XT47" s="694"/>
      <c r="XU47" s="694"/>
      <c r="XV47" s="694"/>
      <c r="XW47" s="694"/>
      <c r="XX47" s="694"/>
      <c r="XY47" s="694"/>
      <c r="XZ47" s="694"/>
      <c r="YA47" s="694"/>
      <c r="YB47" s="694"/>
      <c r="YC47" s="694"/>
      <c r="YD47" s="694"/>
      <c r="YE47" s="694"/>
      <c r="YF47" s="694"/>
      <c r="YG47" s="694"/>
      <c r="YH47" s="694"/>
      <c r="YI47" s="694"/>
      <c r="YJ47" s="694"/>
      <c r="YK47" s="694"/>
      <c r="YL47" s="694"/>
      <c r="YM47" s="694"/>
      <c r="YN47" s="694"/>
      <c r="YO47" s="694"/>
      <c r="YP47" s="694"/>
      <c r="YQ47" s="694"/>
      <c r="YR47" s="694"/>
      <c r="YS47" s="694"/>
      <c r="YT47" s="694"/>
      <c r="YU47" s="694"/>
      <c r="YV47" s="694"/>
      <c r="YW47" s="694"/>
      <c r="YX47" s="694"/>
      <c r="YY47" s="694"/>
      <c r="YZ47" s="694"/>
      <c r="ZA47" s="694"/>
      <c r="ZB47" s="694"/>
      <c r="ZC47" s="694"/>
      <c r="ZD47" s="694"/>
      <c r="ZE47" s="694"/>
      <c r="ZF47" s="694"/>
      <c r="ZG47" s="694"/>
      <c r="ZH47" s="694"/>
      <c r="ZI47" s="694"/>
      <c r="ZJ47" s="694"/>
      <c r="ZK47" s="694"/>
      <c r="ZL47" s="694"/>
      <c r="ZM47" s="694"/>
      <c r="ZN47" s="694"/>
      <c r="ZO47" s="694"/>
      <c r="ZP47" s="694"/>
      <c r="ZQ47" s="694"/>
      <c r="ZR47" s="694"/>
      <c r="ZS47" s="694"/>
      <c r="ZT47" s="694"/>
      <c r="ZU47" s="694"/>
      <c r="ZV47" s="694"/>
      <c r="ZW47" s="694"/>
      <c r="ZX47" s="694"/>
      <c r="ZY47" s="694"/>
      <c r="ZZ47" s="694"/>
      <c r="AAA47" s="694"/>
      <c r="AAB47" s="694"/>
      <c r="AAC47" s="694"/>
      <c r="AAD47" s="694"/>
      <c r="AAE47" s="694"/>
      <c r="AAF47" s="694"/>
      <c r="AAG47" s="694"/>
      <c r="AAH47" s="694"/>
      <c r="AAI47" s="694"/>
      <c r="AAJ47" s="694"/>
      <c r="AAK47" s="694"/>
      <c r="AAL47" s="694"/>
      <c r="AAM47" s="694"/>
      <c r="AAN47" s="694"/>
      <c r="AAO47" s="694"/>
      <c r="AAP47" s="694"/>
      <c r="AAQ47" s="694"/>
      <c r="AAR47" s="694"/>
      <c r="AAS47" s="694"/>
      <c r="AAT47" s="694"/>
      <c r="AAU47" s="694"/>
      <c r="AAV47" s="694"/>
      <c r="AAW47" s="694"/>
      <c r="AAX47" s="694"/>
      <c r="AAY47" s="694"/>
      <c r="AAZ47" s="694"/>
      <c r="ABA47" s="694"/>
      <c r="ABB47" s="694"/>
      <c r="ABC47" s="694"/>
      <c r="ABD47" s="694"/>
      <c r="ABE47" s="694"/>
      <c r="ABF47" s="694"/>
      <c r="ABG47" s="694"/>
      <c r="ABH47" s="694"/>
      <c r="ABI47" s="694"/>
      <c r="ABJ47" s="694"/>
      <c r="ABK47" s="694"/>
      <c r="ABL47" s="694"/>
      <c r="ABM47" s="694"/>
      <c r="ABN47" s="694"/>
      <c r="ABO47" s="694"/>
      <c r="ABP47" s="694"/>
      <c r="ABQ47" s="694"/>
      <c r="ABR47" s="694"/>
      <c r="ABS47" s="694"/>
      <c r="ABT47" s="694"/>
      <c r="ABU47" s="694"/>
      <c r="ABV47" s="694"/>
      <c r="ABW47" s="694"/>
      <c r="ABX47" s="694"/>
      <c r="ABY47" s="694"/>
      <c r="ABZ47" s="694"/>
      <c r="ACA47" s="694"/>
      <c r="ACB47" s="694"/>
      <c r="ACC47" s="694"/>
      <c r="ACD47" s="694"/>
      <c r="ACE47" s="694"/>
      <c r="ACF47" s="694"/>
      <c r="ACG47" s="694"/>
      <c r="ACH47" s="694"/>
      <c r="ACI47" s="694"/>
      <c r="ACJ47" s="694"/>
      <c r="ACK47" s="694"/>
      <c r="ACL47" s="694"/>
      <c r="ACM47" s="694"/>
      <c r="ACN47" s="694"/>
      <c r="ACO47" s="694"/>
      <c r="ACP47" s="694"/>
      <c r="ACQ47" s="694"/>
      <c r="ACR47" s="694"/>
      <c r="ACS47" s="694"/>
      <c r="ACT47" s="694"/>
      <c r="ACU47" s="694"/>
      <c r="ACV47" s="694"/>
      <c r="ACW47" s="694"/>
      <c r="ACX47" s="694"/>
      <c r="ACY47" s="694"/>
      <c r="ACZ47" s="694"/>
      <c r="ADA47" s="694"/>
      <c r="ADB47" s="694"/>
      <c r="ADC47" s="694"/>
      <c r="ADD47" s="694"/>
      <c r="ADE47" s="694"/>
      <c r="ADF47" s="694"/>
      <c r="ADG47" s="694"/>
      <c r="ADH47" s="694"/>
      <c r="ADI47" s="694"/>
      <c r="ADJ47" s="694"/>
      <c r="ADK47" s="694"/>
      <c r="ADL47" s="694"/>
      <c r="ADM47" s="694"/>
      <c r="ADN47" s="694"/>
      <c r="ADO47" s="694"/>
      <c r="ADP47" s="694"/>
      <c r="ADQ47" s="694"/>
      <c r="ADR47" s="694"/>
      <c r="ADS47" s="694"/>
      <c r="ADT47" s="694"/>
      <c r="ADU47" s="694"/>
      <c r="ADV47" s="694"/>
      <c r="ADW47" s="694"/>
      <c r="ADX47" s="694"/>
      <c r="ADY47" s="694"/>
      <c r="ADZ47" s="694"/>
      <c r="AEA47" s="694"/>
      <c r="AEB47" s="694"/>
      <c r="AEC47" s="694"/>
      <c r="AED47" s="694"/>
      <c r="AEE47" s="694"/>
      <c r="AEF47" s="694"/>
      <c r="AEG47" s="694"/>
      <c r="AEH47" s="694"/>
      <c r="AEI47" s="694"/>
      <c r="AEJ47" s="694"/>
      <c r="AEK47" s="694"/>
      <c r="AEL47" s="694"/>
      <c r="AEM47" s="694"/>
      <c r="AEN47" s="694"/>
      <c r="AEO47" s="694"/>
      <c r="AEP47" s="694"/>
      <c r="AEQ47" s="694"/>
      <c r="AER47" s="694"/>
      <c r="AES47" s="694"/>
      <c r="AET47" s="694"/>
      <c r="AEU47" s="694"/>
      <c r="AEV47" s="694"/>
      <c r="AEW47" s="694"/>
      <c r="AEX47" s="694"/>
      <c r="AEY47" s="694"/>
      <c r="AEZ47" s="694"/>
      <c r="AFA47" s="694"/>
      <c r="AFB47" s="694"/>
      <c r="AFC47" s="694"/>
      <c r="AFD47" s="694"/>
      <c r="AFE47" s="694"/>
      <c r="AFF47" s="694"/>
      <c r="AFG47" s="694"/>
      <c r="AFH47" s="694"/>
      <c r="AFI47" s="694"/>
      <c r="AFJ47" s="694"/>
      <c r="AFK47" s="694"/>
      <c r="AFL47" s="694"/>
      <c r="AFM47" s="694"/>
      <c r="AFN47" s="694"/>
      <c r="AFO47" s="694"/>
      <c r="AFP47" s="694"/>
      <c r="AFQ47" s="694"/>
      <c r="AFR47" s="694"/>
      <c r="AFS47" s="694"/>
      <c r="AFT47" s="694"/>
      <c r="AFU47" s="694"/>
      <c r="AFV47" s="694"/>
      <c r="AFW47" s="694"/>
      <c r="AFX47" s="694"/>
      <c r="AFY47" s="694"/>
      <c r="AFZ47" s="694"/>
      <c r="AGA47" s="694"/>
      <c r="AGB47" s="694"/>
      <c r="AGC47" s="694"/>
      <c r="AGD47" s="694"/>
      <c r="AGE47" s="694"/>
      <c r="AGF47" s="694"/>
      <c r="AGG47" s="694"/>
      <c r="AGH47" s="694"/>
      <c r="AGI47" s="694"/>
      <c r="AGJ47" s="694"/>
      <c r="AGK47" s="694"/>
      <c r="AGL47" s="694"/>
      <c r="AGM47" s="694"/>
      <c r="AGN47" s="694"/>
      <c r="AGO47" s="694"/>
      <c r="AGP47" s="694"/>
      <c r="AGQ47" s="694"/>
      <c r="AGR47" s="694"/>
      <c r="AGS47" s="694"/>
      <c r="AGT47" s="694"/>
      <c r="AGU47" s="694"/>
      <c r="AGV47" s="694"/>
      <c r="AGW47" s="694"/>
      <c r="AGX47" s="694"/>
      <c r="AGY47" s="694"/>
      <c r="AGZ47" s="694"/>
      <c r="AHA47" s="694"/>
      <c r="AHB47" s="694"/>
      <c r="AHC47" s="694"/>
      <c r="AHD47" s="694"/>
      <c r="AHE47" s="694"/>
      <c r="AHF47" s="694"/>
      <c r="AHG47" s="694"/>
      <c r="AHH47" s="694"/>
      <c r="AHI47" s="694"/>
      <c r="AHJ47" s="694"/>
      <c r="AHK47" s="694"/>
      <c r="AHL47" s="694"/>
      <c r="AHM47" s="694"/>
      <c r="AHN47" s="694"/>
      <c r="AHO47" s="694"/>
      <c r="AHP47" s="694"/>
      <c r="AHQ47" s="694"/>
      <c r="AHR47" s="694"/>
      <c r="AHS47" s="694"/>
      <c r="AHT47" s="694"/>
      <c r="AHU47" s="694"/>
      <c r="AHV47" s="694"/>
      <c r="AHW47" s="694"/>
      <c r="AHX47" s="694"/>
      <c r="AHY47" s="694"/>
      <c r="AHZ47" s="694"/>
      <c r="AIA47" s="694"/>
      <c r="AIB47" s="694"/>
      <c r="AIC47" s="694"/>
      <c r="AID47" s="694"/>
      <c r="AIE47" s="694"/>
      <c r="AIF47" s="694"/>
      <c r="AIG47" s="694"/>
      <c r="AIH47" s="694"/>
      <c r="AII47" s="694"/>
      <c r="AIJ47" s="694"/>
      <c r="AIK47" s="694"/>
      <c r="AIL47" s="694"/>
      <c r="AIM47" s="694"/>
      <c r="AIN47" s="694"/>
      <c r="AIO47" s="694"/>
      <c r="AIP47" s="694"/>
      <c r="AIQ47" s="694"/>
      <c r="AIR47" s="694"/>
      <c r="AIS47" s="694"/>
      <c r="AIT47" s="694"/>
      <c r="AIU47" s="694"/>
      <c r="AIV47" s="694"/>
      <c r="AIW47" s="694"/>
      <c r="AIX47" s="694"/>
      <c r="AIY47" s="694"/>
      <c r="AIZ47" s="694"/>
      <c r="AJA47" s="694"/>
      <c r="AJB47" s="694"/>
      <c r="AJC47" s="694"/>
      <c r="AJD47" s="694"/>
      <c r="AJE47" s="694"/>
      <c r="AJF47" s="694"/>
      <c r="AJG47" s="694"/>
      <c r="AJH47" s="694"/>
      <c r="AJI47" s="694"/>
      <c r="AJJ47" s="694"/>
      <c r="AJK47" s="694"/>
      <c r="AJL47" s="694"/>
      <c r="AJM47" s="694"/>
      <c r="AJN47" s="694"/>
      <c r="AJO47" s="694"/>
      <c r="AJP47" s="694"/>
      <c r="AJQ47" s="694"/>
      <c r="AJR47" s="694"/>
      <c r="AJS47" s="694"/>
      <c r="AJT47" s="694"/>
      <c r="AJU47" s="694"/>
      <c r="AJV47" s="694"/>
      <c r="AJW47" s="694"/>
      <c r="AJX47" s="694"/>
      <c r="AJY47" s="694"/>
      <c r="AJZ47" s="694"/>
      <c r="AKA47" s="694"/>
      <c r="AKB47" s="694"/>
      <c r="AKC47" s="694"/>
      <c r="AKD47" s="694"/>
      <c r="AKE47" s="694"/>
      <c r="AKF47" s="694"/>
      <c r="AKG47" s="694"/>
      <c r="AKH47" s="694"/>
      <c r="AKI47" s="694"/>
      <c r="AKJ47" s="694"/>
      <c r="AKK47" s="694"/>
      <c r="AKL47" s="694"/>
      <c r="AKM47" s="694"/>
      <c r="AKN47" s="694"/>
      <c r="AKO47" s="694"/>
      <c r="AKP47" s="694"/>
      <c r="AKQ47" s="694"/>
      <c r="AKR47" s="694"/>
      <c r="AKS47" s="694"/>
      <c r="AKT47" s="694"/>
      <c r="AKU47" s="694"/>
      <c r="AKV47" s="694"/>
      <c r="AKW47" s="694"/>
      <c r="AKX47" s="694"/>
      <c r="AKY47" s="694"/>
      <c r="AKZ47" s="694"/>
      <c r="ALA47" s="694"/>
      <c r="ALB47" s="694"/>
      <c r="ALC47" s="694"/>
      <c r="ALD47" s="694"/>
      <c r="ALE47" s="694"/>
      <c r="ALF47" s="694"/>
      <c r="ALG47" s="694"/>
      <c r="ALH47" s="694"/>
      <c r="ALI47" s="694"/>
      <c r="ALJ47" s="694"/>
      <c r="ALK47" s="694"/>
      <c r="ALL47" s="694"/>
      <c r="ALM47" s="694"/>
      <c r="ALN47" s="694"/>
      <c r="ALO47" s="694"/>
      <c r="ALP47" s="694"/>
      <c r="ALQ47" s="694"/>
      <c r="ALR47" s="694"/>
      <c r="ALS47" s="694"/>
      <c r="ALT47" s="694"/>
      <c r="ALU47" s="694"/>
      <c r="ALV47" s="694"/>
      <c r="ALW47" s="694"/>
      <c r="ALX47" s="694"/>
      <c r="ALY47" s="694"/>
      <c r="ALZ47" s="694"/>
      <c r="AMA47" s="694"/>
      <c r="AMB47" s="694"/>
      <c r="AMC47" s="694"/>
      <c r="AMD47" s="694"/>
      <c r="AME47" s="694"/>
      <c r="AMF47" s="694"/>
      <c r="AMG47" s="694"/>
      <c r="AMH47" s="694"/>
      <c r="AMI47" s="694"/>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defaultColWidth="8.7265625" defaultRowHeight="14.5" x14ac:dyDescent="0.35"/>
  <sheetData>
    <row r="1" spans="1:13" x14ac:dyDescent="0.35">
      <c r="A1" s="127" t="s">
        <v>398</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378</v>
      </c>
      <c r="F11" s="127"/>
      <c r="G11" s="127" t="s">
        <v>379</v>
      </c>
      <c r="H11" s="127"/>
      <c r="I11" s="127" t="s">
        <v>380</v>
      </c>
      <c r="J11" s="127"/>
      <c r="K11" s="127" t="s">
        <v>381</v>
      </c>
      <c r="L11" s="127"/>
      <c r="M11" s="127" t="s">
        <v>382</v>
      </c>
    </row>
    <row r="12" spans="1:13" x14ac:dyDescent="0.35">
      <c r="A12" s="127"/>
      <c r="B12" s="127"/>
      <c r="C12" s="127" t="s">
        <v>383</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384</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311</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324</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385</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8.7265625" defaultRowHeight="14.5" x14ac:dyDescent="0.35"/>
  <sheetData>
    <row r="1" spans="1:13" x14ac:dyDescent="0.35">
      <c r="A1" s="127" t="s">
        <v>398</v>
      </c>
      <c r="B1" s="127"/>
      <c r="C1" s="127"/>
      <c r="D1" s="127"/>
      <c r="E1" s="127"/>
      <c r="F1" s="127"/>
      <c r="G1" s="127"/>
      <c r="H1" s="127"/>
      <c r="I1" s="127"/>
      <c r="J1" s="127"/>
      <c r="K1" s="127"/>
      <c r="L1" s="127"/>
      <c r="M1" s="127"/>
    </row>
    <row r="11" spans="1:13" x14ac:dyDescent="0.35">
      <c r="A11" s="127"/>
      <c r="B11" s="127"/>
      <c r="C11" s="127"/>
      <c r="D11" s="127"/>
      <c r="E11" s="127" t="s">
        <v>378</v>
      </c>
      <c r="F11" s="127"/>
      <c r="G11" s="127" t="s">
        <v>379</v>
      </c>
      <c r="H11" s="127"/>
      <c r="I11" s="127" t="s">
        <v>380</v>
      </c>
      <c r="J11" s="127"/>
      <c r="K11" s="127" t="s">
        <v>381</v>
      </c>
      <c r="L11" s="127"/>
      <c r="M11" s="127" t="s">
        <v>382</v>
      </c>
    </row>
    <row r="12" spans="1:13" x14ac:dyDescent="0.35">
      <c r="C12" s="127" t="s">
        <v>383</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384</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311</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35">
      <c r="C18" s="127" t="s">
        <v>324</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385</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115" zoomScaleNormal="115" workbookViewId="0">
      <selection activeCell="C31" sqref="C31"/>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05" t="s">
        <v>399</v>
      </c>
      <c r="B1" s="706"/>
      <c r="C1" s="706"/>
      <c r="D1" s="706"/>
      <c r="E1" s="706"/>
      <c r="F1" s="706"/>
      <c r="G1" s="706"/>
      <c r="H1" s="706"/>
      <c r="I1" s="706"/>
      <c r="J1" s="706"/>
      <c r="K1" s="706"/>
      <c r="L1" s="706"/>
      <c r="M1" s="706"/>
      <c r="N1" s="706"/>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400</v>
      </c>
      <c r="D3" s="187"/>
      <c r="E3" s="708">
        <v>43769</v>
      </c>
      <c r="F3" s="709"/>
      <c r="G3" s="709"/>
      <c r="H3" s="709"/>
      <c r="I3" s="709"/>
      <c r="J3" s="709"/>
      <c r="K3" s="709"/>
      <c r="L3" s="710"/>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401</v>
      </c>
      <c r="D5" s="187"/>
      <c r="E5" s="711" t="s">
        <v>199</v>
      </c>
      <c r="F5" s="709"/>
      <c r="G5" s="709"/>
      <c r="H5" s="709"/>
      <c r="I5" s="709"/>
      <c r="J5" s="709"/>
      <c r="K5" s="709"/>
      <c r="L5" s="710"/>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203</v>
      </c>
      <c r="D7" s="192"/>
      <c r="E7" s="711" t="s">
        <v>197</v>
      </c>
      <c r="F7" s="709"/>
      <c r="G7" s="709"/>
      <c r="H7" s="709"/>
      <c r="I7" s="709"/>
      <c r="J7" s="709"/>
      <c r="K7" s="709"/>
      <c r="L7" s="710"/>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204</v>
      </c>
      <c r="D9" s="187"/>
      <c r="E9" s="711"/>
      <c r="F9" s="709"/>
      <c r="G9" s="709"/>
      <c r="H9" s="709"/>
      <c r="I9" s="709"/>
      <c r="J9" s="709"/>
      <c r="K9" s="709"/>
      <c r="L9" s="710"/>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378</v>
      </c>
      <c r="F12" s="199"/>
      <c r="G12" s="198" t="s">
        <v>402</v>
      </c>
      <c r="H12" s="199"/>
      <c r="I12" s="199" t="s">
        <v>380</v>
      </c>
      <c r="J12" s="199"/>
      <c r="K12" s="199" t="s">
        <v>381</v>
      </c>
      <c r="L12" s="200"/>
      <c r="M12" s="198" t="s">
        <v>403</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404</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10" customHeight="1" x14ac:dyDescent="0.35">
      <c r="A16" s="201"/>
      <c r="B16" s="184"/>
      <c r="C16" s="210"/>
      <c r="D16" s="184"/>
      <c r="E16" s="513"/>
      <c r="F16" s="512"/>
      <c r="G16" s="513"/>
      <c r="H16" s="184"/>
      <c r="I16" s="210"/>
      <c r="J16" s="184"/>
      <c r="K16" s="210"/>
      <c r="L16" s="184"/>
      <c r="M16" s="210"/>
      <c r="N16" s="185"/>
    </row>
    <row r="17" spans="1:16" ht="33" customHeight="1" thickBot="1" x14ac:dyDescent="0.4">
      <c r="A17" s="201"/>
      <c r="B17" s="184"/>
      <c r="C17" s="212" t="s">
        <v>405</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35">
      <c r="A18" s="201"/>
      <c r="B18" s="202"/>
      <c r="C18" s="203"/>
      <c r="D18" s="202"/>
      <c r="E18" s="515"/>
      <c r="F18" s="516"/>
      <c r="G18" s="515"/>
      <c r="H18" s="202"/>
      <c r="I18" s="204"/>
      <c r="J18" s="202"/>
      <c r="K18" s="204"/>
      <c r="L18" s="202"/>
      <c r="M18" s="204"/>
      <c r="N18" s="195"/>
    </row>
    <row r="19" spans="1:16" ht="15" thickBot="1" x14ac:dyDescent="0.4">
      <c r="A19" s="205"/>
      <c r="B19" s="196"/>
      <c r="C19" s="206"/>
      <c r="D19" s="196"/>
      <c r="E19" s="517"/>
      <c r="F19" s="517"/>
      <c r="G19" s="517"/>
      <c r="H19" s="196"/>
      <c r="I19" s="196"/>
      <c r="J19" s="196"/>
      <c r="K19" s="196"/>
      <c r="L19" s="196"/>
      <c r="M19" s="196"/>
      <c r="N19" s="197"/>
    </row>
    <row r="20" spans="1:16" ht="30" customHeight="1" thickBot="1" x14ac:dyDescent="0.4">
      <c r="A20" s="201"/>
      <c r="B20" s="184"/>
      <c r="C20" s="216" t="s">
        <v>406</v>
      </c>
      <c r="D20" s="184"/>
      <c r="E20" s="511">
        <f>IF(G20&gt;0,(COUNTIF(Assessment_EIF!G24:G40,"✓"))/((COUNTIF(Assessment_EIF!G24:G40,"X"))+(COUNTIF(Assessment_EIF!G24:G40,"✓"))),0)</f>
        <v>1</v>
      </c>
      <c r="F20" s="512"/>
      <c r="G20" s="511">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10" customHeight="1" thickBot="1" x14ac:dyDescent="0.4">
      <c r="A21" s="201"/>
      <c r="B21" s="184"/>
      <c r="C21" s="217"/>
      <c r="D21" s="184"/>
      <c r="E21" s="512"/>
      <c r="F21" s="512"/>
      <c r="G21" s="512"/>
      <c r="H21" s="184"/>
      <c r="I21" s="184"/>
      <c r="J21" s="184"/>
      <c r="K21" s="184"/>
      <c r="L21" s="184"/>
      <c r="M21" s="184"/>
      <c r="N21" s="185"/>
    </row>
    <row r="22" spans="1:16" ht="30" customHeight="1" thickBot="1" x14ac:dyDescent="0.4">
      <c r="A22" s="201"/>
      <c r="B22" s="184"/>
      <c r="C22" s="216" t="s">
        <v>407</v>
      </c>
      <c r="D22" s="184"/>
      <c r="E22" s="511">
        <f>IF(G22&gt;0,(COUNTIF(Assessment_EIF!G44:G46,"✓"))/((COUNTIF(Assessment_EIF!G44:G46,"X"))+(COUNTIF(Assessment_EIF!G44:G46,"✓"))),0)</f>
        <v>1</v>
      </c>
      <c r="F22" s="512"/>
      <c r="G22" s="511">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10" customHeight="1" thickBot="1" x14ac:dyDescent="0.4">
      <c r="A23" s="201"/>
      <c r="B23" s="184"/>
      <c r="C23" s="217"/>
      <c r="D23" s="184"/>
      <c r="E23" s="512"/>
      <c r="F23" s="512"/>
      <c r="G23" s="512"/>
      <c r="H23" s="184"/>
      <c r="I23" s="184"/>
      <c r="J23" s="184"/>
      <c r="K23" s="184"/>
      <c r="L23" s="184"/>
      <c r="M23" s="184"/>
      <c r="N23" s="185"/>
    </row>
    <row r="24" spans="1:16" ht="30" customHeight="1" thickBot="1" x14ac:dyDescent="0.4">
      <c r="A24" s="201"/>
      <c r="B24" s="184"/>
      <c r="C24" s="216" t="s">
        <v>408</v>
      </c>
      <c r="D24" s="184"/>
      <c r="E24" s="511">
        <f>IF(G24&gt;0,(COUNTIF(Assessment_EIF!G50:G52,"✓"))/((COUNTIF(Assessment_EIF!G50:G52,"X"))+(COUNTIF(Assessment_EIF!G50:G52,"✓"))),0)</f>
        <v>1</v>
      </c>
      <c r="F24" s="512"/>
      <c r="G24" s="511">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10" customHeight="1" thickBot="1" x14ac:dyDescent="0.4">
      <c r="A25" s="201"/>
      <c r="B25" s="184"/>
      <c r="C25" s="217"/>
      <c r="D25" s="184"/>
      <c r="E25" s="512"/>
      <c r="F25" s="512"/>
      <c r="G25" s="512"/>
      <c r="H25" s="184"/>
      <c r="I25" s="184"/>
      <c r="J25" s="184"/>
      <c r="K25" s="184"/>
      <c r="L25" s="184"/>
      <c r="M25" s="184"/>
      <c r="N25" s="185"/>
    </row>
    <row r="26" spans="1:16" ht="30" customHeight="1" thickBot="1" x14ac:dyDescent="0.4">
      <c r="A26" s="201"/>
      <c r="B26" s="184"/>
      <c r="C26" s="216" t="s">
        <v>409</v>
      </c>
      <c r="D26" s="184"/>
      <c r="E26" s="511">
        <f>IF(G26&gt;0,(COUNTIF(Assessment_EIF!G56:G60,"✓"))/((COUNTIF(Assessment_EIF!G56:G60,"X"))+(COUNTIF(Assessment_EIF!G56:G60,"✓"))),0)</f>
        <v>1</v>
      </c>
      <c r="F26" s="512"/>
      <c r="G26" s="511">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10" customHeight="1" x14ac:dyDescent="0.35">
      <c r="A27" s="201"/>
      <c r="B27" s="184"/>
      <c r="C27" s="210"/>
      <c r="D27" s="184"/>
      <c r="E27" s="513"/>
      <c r="F27" s="512"/>
      <c r="G27" s="513"/>
      <c r="H27" s="184"/>
      <c r="I27" s="210"/>
      <c r="J27" s="184"/>
      <c r="K27" s="210"/>
      <c r="L27" s="184"/>
      <c r="M27" s="210"/>
      <c r="N27" s="185"/>
    </row>
    <row r="28" spans="1:16" ht="33" customHeight="1" thickBot="1" x14ac:dyDescent="0.4">
      <c r="A28" s="201"/>
      <c r="B28" s="184"/>
      <c r="C28" s="218" t="s">
        <v>410</v>
      </c>
      <c r="D28" s="184"/>
      <c r="E28" s="510">
        <f>IF(G28&gt;0,(COUNTIF(Assessment_EIF!G24:G60,"✓"))/((COUNTIF(Assessment_EIF!G24:G60,"X"))+(COUNTIF(Assessment_EIF!G24:G60,"✓"))),0)</f>
        <v>1</v>
      </c>
      <c r="F28" s="514"/>
      <c r="G28" s="510">
        <f>(COUNTIF(Assessment_EIF!G24:G60,"✓")+COUNTIF(Assessment_EIF!G24:G60,"X"))/16</f>
        <v>1</v>
      </c>
      <c r="H28" s="214"/>
      <c r="I28" s="215">
        <f>SUM(I20,I22,I24,I26)</f>
        <v>16</v>
      </c>
      <c r="J28" s="214"/>
      <c r="K28" s="215">
        <f>SUM(K20,K22,K24,K26)</f>
        <v>0</v>
      </c>
      <c r="L28" s="214"/>
      <c r="M28" s="215">
        <f>SUM(M20,M22,M24,M26)</f>
        <v>0</v>
      </c>
      <c r="N28" s="185"/>
    </row>
    <row r="29" spans="1:16" x14ac:dyDescent="0.35">
      <c r="A29" s="201"/>
      <c r="B29" s="202"/>
      <c r="C29" s="203"/>
      <c r="D29" s="202"/>
      <c r="E29" s="515"/>
      <c r="F29" s="516"/>
      <c r="G29" s="515"/>
      <c r="H29" s="202"/>
      <c r="I29" s="204"/>
      <c r="J29" s="202"/>
      <c r="K29" s="204"/>
      <c r="L29" s="202"/>
      <c r="M29" s="204"/>
      <c r="N29" s="195"/>
      <c r="O29" s="146"/>
      <c r="P29" s="146"/>
    </row>
    <row r="30" spans="1:16" x14ac:dyDescent="0.35">
      <c r="A30" s="205"/>
      <c r="B30" s="196"/>
      <c r="C30" s="206"/>
      <c r="D30" s="196"/>
      <c r="E30" s="517"/>
      <c r="F30" s="517"/>
      <c r="G30" s="517"/>
      <c r="H30" s="196"/>
      <c r="I30" s="196"/>
      <c r="J30" s="196"/>
      <c r="K30" s="196"/>
      <c r="L30" s="196"/>
      <c r="M30" s="196"/>
      <c r="N30" s="197"/>
      <c r="O30" s="169"/>
      <c r="P30" s="169"/>
    </row>
    <row r="31" spans="1:16" ht="30" customHeight="1" x14ac:dyDescent="0.35">
      <c r="A31" s="201"/>
      <c r="B31" s="184"/>
      <c r="C31" s="219" t="s">
        <v>411</v>
      </c>
      <c r="D31" s="213"/>
      <c r="E31" s="511">
        <f>IF(G31&gt;0,(COUNTIF(Assessment_EIF!G66,"✓"))/((COUNTIF(Assessment_EIF!G66,"X"))+(COUNTIF(Assessment_EIF!G66,"✓"))),0)</f>
        <v>1</v>
      </c>
      <c r="F31" s="512"/>
      <c r="G31" s="511">
        <f>(COUNTIF(Assessment_EIF!G66,"✓")+COUNTIF(Assessment_EIF!G66,"X"))/1</f>
        <v>1</v>
      </c>
      <c r="H31" s="184"/>
      <c r="I31" s="209">
        <f>COUNTIF(Assessment_EIF!G66,"✓")</f>
        <v>1</v>
      </c>
      <c r="J31" s="184"/>
      <c r="K31" s="209">
        <f>COUNTIF(Assessment_EIF!G66,"X")</f>
        <v>0</v>
      </c>
      <c r="L31" s="181"/>
      <c r="M31" s="209">
        <f>COUNTIF(Assessment_EIF!G66,"N/A")</f>
        <v>0</v>
      </c>
      <c r="N31" s="185"/>
    </row>
    <row r="32" spans="1:16" ht="10" customHeight="1" x14ac:dyDescent="0.35">
      <c r="A32" s="201"/>
      <c r="B32" s="184"/>
      <c r="C32" s="217"/>
      <c r="D32" s="184"/>
      <c r="E32" s="512"/>
      <c r="F32" s="512"/>
      <c r="G32" s="512"/>
      <c r="H32" s="184"/>
      <c r="I32" s="184"/>
      <c r="J32" s="184"/>
      <c r="K32" s="184"/>
      <c r="L32" s="184"/>
      <c r="M32" s="184"/>
      <c r="N32" s="185"/>
    </row>
    <row r="33" spans="1:16" ht="30" customHeight="1" x14ac:dyDescent="0.35">
      <c r="A33" s="201"/>
      <c r="B33" s="184"/>
      <c r="C33" s="219" t="s">
        <v>412</v>
      </c>
      <c r="D33" s="184"/>
      <c r="E33" s="511">
        <f>IF(G33&gt;0,(COUNTIF(Assessment_EIF!G70,"✓"))/((COUNTIF(Assessment_EIF!G70,"X"))+(COUNTIF(Assessment_EIF!G70,"✓"))),0)</f>
        <v>0</v>
      </c>
      <c r="F33" s="512"/>
      <c r="G33" s="511">
        <f>(COUNTIF(Assessment_EIF!G70,"✓")+COUNTIF(Assessment_EIF!G70,"X"))/1</f>
        <v>0</v>
      </c>
      <c r="H33" s="184"/>
      <c r="I33" s="209">
        <f>COUNTIF(Assessment_EIF!G70,"✓")</f>
        <v>0</v>
      </c>
      <c r="J33" s="184"/>
      <c r="K33" s="209">
        <f>COUNTIF(Assessment_EIF!G70,"X")</f>
        <v>0</v>
      </c>
      <c r="L33" s="181"/>
      <c r="M33" s="209">
        <f>COUNTIF(Assessment_EIF!G70,"N/A")</f>
        <v>1</v>
      </c>
      <c r="N33" s="185"/>
    </row>
    <row r="34" spans="1:16" ht="10" customHeight="1" x14ac:dyDescent="0.35">
      <c r="A34" s="201"/>
      <c r="B34" s="184"/>
      <c r="C34" s="217"/>
      <c r="D34" s="184"/>
      <c r="E34" s="512"/>
      <c r="F34" s="512"/>
      <c r="G34" s="512"/>
      <c r="H34" s="184"/>
      <c r="I34" s="184"/>
      <c r="J34" s="184"/>
      <c r="K34" s="184"/>
      <c r="L34" s="184"/>
      <c r="M34" s="184"/>
      <c r="N34" s="185"/>
    </row>
    <row r="35" spans="1:16" ht="30" customHeight="1" x14ac:dyDescent="0.35">
      <c r="A35" s="201"/>
      <c r="B35" s="184"/>
      <c r="C35" s="219" t="s">
        <v>413</v>
      </c>
      <c r="D35" s="184"/>
      <c r="E35" s="511">
        <f>IF(G35&gt;0,(COUNTIF(Assessment_EIF!G74,"✓"))/((COUNTIF(Assessment_EIF!G74,"X"))+(COUNTIF(Assessment_EIF!G74,"✓"))),0)</f>
        <v>1</v>
      </c>
      <c r="F35" s="512"/>
      <c r="G35" s="511">
        <f>(COUNTIF(Assessment_EIF!G74,"✓")+COUNTIF(Assessment_EIF!G74,"X"))/1</f>
        <v>1</v>
      </c>
      <c r="H35" s="184"/>
      <c r="I35" s="209">
        <f>COUNTIF(Assessment_EIF!G74,"✓")</f>
        <v>1</v>
      </c>
      <c r="J35" s="184"/>
      <c r="K35" s="209">
        <f>COUNTIF(Assessment_EIF!G74,"X")</f>
        <v>0</v>
      </c>
      <c r="L35" s="181"/>
      <c r="M35" s="209">
        <f>COUNTIF(Assessment_EIF!G74,"N/A")</f>
        <v>0</v>
      </c>
      <c r="N35" s="185"/>
    </row>
    <row r="36" spans="1:16" ht="10" customHeight="1" x14ac:dyDescent="0.35">
      <c r="A36" s="201"/>
      <c r="B36" s="184"/>
      <c r="C36" s="220"/>
      <c r="D36" s="184"/>
      <c r="E36" s="512"/>
      <c r="F36" s="512"/>
      <c r="G36" s="512"/>
      <c r="H36" s="184"/>
      <c r="I36" s="184"/>
      <c r="J36" s="184"/>
      <c r="K36" s="184"/>
      <c r="L36" s="184"/>
      <c r="M36" s="184"/>
      <c r="N36" s="185"/>
    </row>
    <row r="37" spans="1:16" ht="30" customHeight="1" x14ac:dyDescent="0.35">
      <c r="A37" s="201"/>
      <c r="B37" s="184"/>
      <c r="C37" s="219" t="s">
        <v>414</v>
      </c>
      <c r="D37" s="184"/>
      <c r="E37" s="511">
        <f>IF(G37&gt;0,(COUNTIF(Assessment_EIF!G78,"✓"))/((COUNTIF(Assessment_EIF!G78,"X"))+(COUNTIF(Assessment_EIF!G78,"✓"))),0)</f>
        <v>0</v>
      </c>
      <c r="F37" s="512"/>
      <c r="G37" s="511">
        <f>(COUNTIF(Assessment_EIF!G78,"✓")+COUNTIF(Assessment_EIF!G78,"X"))/1</f>
        <v>0</v>
      </c>
      <c r="H37" s="184"/>
      <c r="I37" s="209">
        <f>COUNTIF(Assessment_EIF!G78,"✓")</f>
        <v>0</v>
      </c>
      <c r="J37" s="184"/>
      <c r="K37" s="209">
        <f>COUNTIF(Assessment_EIF!G78,"X")</f>
        <v>0</v>
      </c>
      <c r="L37" s="181"/>
      <c r="M37" s="209">
        <f>COUNTIF(Assessment_EIF!G78,"N/A")</f>
        <v>1</v>
      </c>
      <c r="N37" s="185"/>
    </row>
    <row r="38" spans="1:16" ht="10" customHeight="1" x14ac:dyDescent="0.35">
      <c r="A38" s="201"/>
      <c r="B38" s="184"/>
      <c r="C38" s="221"/>
      <c r="D38" s="184"/>
      <c r="E38" s="513"/>
      <c r="F38" s="512"/>
      <c r="G38" s="513"/>
      <c r="H38" s="184"/>
      <c r="I38" s="211"/>
      <c r="J38" s="184"/>
      <c r="K38" s="211"/>
      <c r="L38" s="181"/>
      <c r="M38" s="211"/>
      <c r="N38" s="185"/>
    </row>
    <row r="39" spans="1:16" ht="33" customHeight="1" thickBot="1" x14ac:dyDescent="0.4">
      <c r="A39" s="201"/>
      <c r="B39" s="184"/>
      <c r="C39" s="222" t="s">
        <v>233</v>
      </c>
      <c r="D39" s="213"/>
      <c r="E39" s="510">
        <f>IF(G39&gt;0,(COUNTIF(Assessment_EIF!G66:G78,"✓"))/((COUNTIF(Assessment_EIF!G66:G78,"X"))+(COUNTIF(Assessment_EIF!G66:G78,"✓"))),0)</f>
        <v>1</v>
      </c>
      <c r="F39" s="514"/>
      <c r="G39" s="510">
        <f>(COUNTIF(Assessment_EIF!G66:G78,"✓")+COUNTIF(Assessment_EIF!G66:G78,"X"))/4</f>
        <v>0.5</v>
      </c>
      <c r="H39" s="214"/>
      <c r="I39" s="215">
        <f>SUM(I31:I37)</f>
        <v>2</v>
      </c>
      <c r="J39" s="214"/>
      <c r="K39" s="215">
        <f>SUM(K31:K37)</f>
        <v>0</v>
      </c>
      <c r="L39" s="214"/>
      <c r="M39" s="215">
        <f>SUM(M31:M37)</f>
        <v>2</v>
      </c>
      <c r="N39" s="185"/>
      <c r="P39" s="128">
        <v>1</v>
      </c>
    </row>
    <row r="40" spans="1:16" x14ac:dyDescent="0.35">
      <c r="A40" s="201"/>
      <c r="B40" s="184"/>
      <c r="C40" s="223"/>
      <c r="D40" s="184"/>
      <c r="E40" s="512"/>
      <c r="F40" s="512"/>
      <c r="G40" s="512"/>
      <c r="H40" s="184"/>
      <c r="I40" s="184"/>
      <c r="J40" s="184"/>
      <c r="K40" s="184"/>
      <c r="L40" s="184"/>
      <c r="M40" s="184"/>
      <c r="N40" s="185"/>
    </row>
    <row r="41" spans="1:16" ht="15" thickBot="1" x14ac:dyDescent="0.4">
      <c r="A41" s="205"/>
      <c r="B41" s="224"/>
      <c r="C41" s="225"/>
      <c r="D41" s="224"/>
      <c r="E41" s="518"/>
      <c r="F41" s="518"/>
      <c r="G41" s="518"/>
      <c r="H41" s="224"/>
      <c r="I41" s="224"/>
      <c r="J41" s="224"/>
      <c r="K41" s="224"/>
      <c r="L41" s="224"/>
      <c r="M41" s="224"/>
      <c r="N41" s="226"/>
    </row>
    <row r="42" spans="1:16" ht="30" customHeight="1" thickBot="1" x14ac:dyDescent="0.4">
      <c r="A42" s="201"/>
      <c r="B42" s="184"/>
      <c r="C42" s="227" t="s">
        <v>415</v>
      </c>
      <c r="D42" s="228"/>
      <c r="E42" s="511">
        <f>IF(G42&gt;0,(COUNTIF(Assessment_EIF!G84,"✓"))/((COUNTIF(Assessment_EIF!G84,"X"))+(COUNTIF(Assessment_EIF!G84,"✓"))),0)</f>
        <v>1</v>
      </c>
      <c r="F42" s="512"/>
      <c r="G42" s="511">
        <f>(COUNTIF(Assessment_EIF!G84,"✓")+COUNTIF(Assessment_EIF!G84,"X"))/1</f>
        <v>1</v>
      </c>
      <c r="H42" s="184"/>
      <c r="I42" s="209">
        <f>COUNTIF(Assessment_EIF!G84,"✓")</f>
        <v>1</v>
      </c>
      <c r="J42" s="184"/>
      <c r="K42" s="209">
        <f>COUNTIF(Assessment_EIF!G84,"X")</f>
        <v>0</v>
      </c>
      <c r="L42" s="181"/>
      <c r="M42" s="209">
        <f>COUNTIF(Assessment_EIF!G84,"N/A")</f>
        <v>0</v>
      </c>
      <c r="N42" s="185"/>
    </row>
    <row r="43" spans="1:16" ht="10" customHeight="1" thickBot="1" x14ac:dyDescent="0.4">
      <c r="A43" s="201"/>
      <c r="B43" s="184"/>
      <c r="C43" s="217"/>
      <c r="D43" s="184"/>
      <c r="E43" s="512"/>
      <c r="F43" s="512"/>
      <c r="G43" s="512"/>
      <c r="H43" s="184"/>
      <c r="I43" s="184"/>
      <c r="J43" s="184"/>
      <c r="K43" s="184"/>
      <c r="L43" s="184"/>
      <c r="M43" s="184"/>
      <c r="N43" s="185"/>
    </row>
    <row r="44" spans="1:16" ht="30" customHeight="1" thickBot="1" x14ac:dyDescent="0.4">
      <c r="A44" s="201"/>
      <c r="B44" s="184"/>
      <c r="C44" s="227" t="s">
        <v>416</v>
      </c>
      <c r="D44" s="184"/>
      <c r="E44" s="511">
        <f>IF(G44&gt;0,(COUNTIF(Assessment_EIF!G88,"✓"))/((COUNTIF(Assessment_EIF!G88,"X"))+(COUNTIF(Assessment_EIF!G88,"✓"))),0)</f>
        <v>0</v>
      </c>
      <c r="F44" s="512"/>
      <c r="G44" s="511">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35">
      <c r="A45" s="201"/>
      <c r="B45" s="184"/>
      <c r="C45" s="229"/>
      <c r="D45" s="184"/>
      <c r="E45" s="513"/>
      <c r="F45" s="512"/>
      <c r="G45" s="513"/>
      <c r="H45" s="184"/>
      <c r="I45" s="211"/>
      <c r="J45" s="184"/>
      <c r="K45" s="211"/>
      <c r="L45" s="181"/>
      <c r="M45" s="211"/>
      <c r="N45" s="185"/>
    </row>
    <row r="46" spans="1:16" ht="30" customHeight="1" x14ac:dyDescent="0.35">
      <c r="A46" s="201"/>
      <c r="B46" s="184"/>
      <c r="C46" s="230" t="s">
        <v>417</v>
      </c>
      <c r="D46" s="184"/>
      <c r="E46" s="511">
        <f>IF(G46&gt;0,(COUNTIF(Assessment_EIF!G92,"✓"))/((COUNTIF(Assessment_EIF!G92,"X"))+(COUNTIF(Assessment_EIF!G92,"✓"))),0)</f>
        <v>0</v>
      </c>
      <c r="F46" s="512"/>
      <c r="G46" s="511">
        <f>(COUNTIF(Assessment_EIF!G92,"✓")+COUNTIF(Assessment_EIF!G92,"X"))/1</f>
        <v>1</v>
      </c>
      <c r="H46" s="184"/>
      <c r="I46" s="209">
        <f>COUNTIF(Assessment_EIF!G92,"✓")</f>
        <v>0</v>
      </c>
      <c r="J46" s="184"/>
      <c r="K46" s="209">
        <f>COUNTIF(Assessment_EIF!G92,"X")</f>
        <v>1</v>
      </c>
      <c r="L46" s="181"/>
      <c r="M46" s="209">
        <f>COUNTIF(Assessment_EIF!G92,"N/A")</f>
        <v>0</v>
      </c>
      <c r="N46" s="185"/>
    </row>
    <row r="47" spans="1:16" ht="10" customHeight="1" x14ac:dyDescent="0.35">
      <c r="A47" s="201"/>
      <c r="B47" s="184"/>
      <c r="C47" s="231"/>
      <c r="D47" s="184"/>
      <c r="E47" s="513"/>
      <c r="F47" s="512"/>
      <c r="G47" s="513"/>
      <c r="H47" s="184"/>
      <c r="I47" s="211"/>
      <c r="J47" s="184"/>
      <c r="K47" s="211"/>
      <c r="L47" s="181"/>
      <c r="M47" s="211"/>
      <c r="N47" s="185"/>
    </row>
    <row r="48" spans="1:16" ht="33" customHeight="1" thickBot="1" x14ac:dyDescent="0.4">
      <c r="A48" s="201"/>
      <c r="B48" s="184"/>
      <c r="C48" s="232" t="s">
        <v>418</v>
      </c>
      <c r="D48" s="184"/>
      <c r="E48" s="510">
        <f>IF(G48&gt;0,(COUNTIF(Assessment_EIF!G84:G92,"✓"))/((COUNTIF(Assessment_EIF!G84:G92,"X"))+(COUNTIF(Assessment_EIF!G84:G92,"✓"))),0)</f>
        <v>0.5</v>
      </c>
      <c r="F48" s="514"/>
      <c r="G48" s="510">
        <f>(COUNTIF(Assessment_EIF!G84:G92,"✓")+COUNTIF(Assessment_EIF!G84:G92,"X"))/3</f>
        <v>0.66666666666666663</v>
      </c>
      <c r="H48" s="214"/>
      <c r="I48" s="215">
        <f>SUM(I42:I46)</f>
        <v>1</v>
      </c>
      <c r="J48" s="214"/>
      <c r="K48" s="215">
        <f>SUM(K42:K46)</f>
        <v>1</v>
      </c>
      <c r="L48" s="214"/>
      <c r="M48" s="215">
        <f>SUM(M42:M46)</f>
        <v>1</v>
      </c>
      <c r="N48" s="185"/>
      <c r="P48" s="128">
        <v>1</v>
      </c>
    </row>
    <row r="49" spans="1:16" x14ac:dyDescent="0.35">
      <c r="A49" s="233"/>
      <c r="B49" s="234"/>
      <c r="C49" s="235"/>
      <c r="D49" s="234"/>
      <c r="E49" s="519"/>
      <c r="F49" s="520"/>
      <c r="G49" s="521"/>
      <c r="H49" s="234"/>
      <c r="I49" s="234"/>
      <c r="J49" s="234"/>
      <c r="K49" s="234"/>
      <c r="L49" s="234"/>
      <c r="M49" s="234"/>
      <c r="N49" s="237"/>
      <c r="O49" s="141"/>
      <c r="P49" s="141"/>
    </row>
    <row r="50" spans="1:16" x14ac:dyDescent="0.35">
      <c r="A50" s="238"/>
      <c r="B50" s="239"/>
      <c r="C50" s="240"/>
      <c r="D50" s="241"/>
      <c r="E50" s="522"/>
      <c r="F50" s="522"/>
      <c r="G50" s="522"/>
      <c r="H50" s="240"/>
      <c r="I50" s="240"/>
      <c r="J50" s="240"/>
      <c r="K50" s="240"/>
      <c r="L50" s="240"/>
      <c r="M50" s="240"/>
      <c r="N50" s="242"/>
      <c r="O50" s="141"/>
      <c r="P50" s="141"/>
    </row>
    <row r="51" spans="1:16" ht="30" customHeight="1" thickBot="1" x14ac:dyDescent="0.4">
      <c r="A51" s="201"/>
      <c r="B51" s="184"/>
      <c r="C51" s="243" t="s">
        <v>419</v>
      </c>
      <c r="D51" s="244"/>
      <c r="E51" s="511">
        <f>IF(G51&gt;0,(COUNTIF(Assessment_EIF!G98:G108,"✓"))/((COUNTIF(Assessment_EIF!G98:G108,"X"))+(COUNTIF(Assessment_EIF!G98:G108,"✓"))),0)</f>
        <v>1</v>
      </c>
      <c r="F51" s="512"/>
      <c r="G51" s="511">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12"/>
      <c r="F52" s="512"/>
      <c r="G52" s="512"/>
      <c r="H52" s="184"/>
      <c r="I52" s="184"/>
      <c r="J52" s="184"/>
      <c r="K52" s="184"/>
      <c r="L52" s="184"/>
      <c r="M52" s="184"/>
      <c r="N52" s="246"/>
      <c r="O52" s="141"/>
      <c r="P52" s="141"/>
    </row>
    <row r="53" spans="1:16" ht="30" customHeight="1" thickBot="1" x14ac:dyDescent="0.4">
      <c r="A53" s="201"/>
      <c r="B53" s="184"/>
      <c r="C53" s="243" t="s">
        <v>272</v>
      </c>
      <c r="D53" s="244"/>
      <c r="E53" s="511">
        <f>IF(G53&gt;0,(COUNTIF(Assessment_EIF!G112,"✓"))/((COUNTIF(Assessment_EIF!G112,"X"))+(COUNTIF(Assessment_EIF!G112,"✓"))),0)</f>
        <v>1</v>
      </c>
      <c r="F53" s="512"/>
      <c r="G53" s="511">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35">
      <c r="A54" s="201"/>
      <c r="B54" s="184"/>
      <c r="C54" s="245"/>
      <c r="D54" s="184"/>
      <c r="E54" s="513"/>
      <c r="F54" s="512"/>
      <c r="G54" s="513"/>
      <c r="H54" s="184"/>
      <c r="I54" s="210"/>
      <c r="J54" s="184"/>
      <c r="K54" s="210"/>
      <c r="L54" s="181"/>
      <c r="M54" s="210"/>
      <c r="N54" s="185"/>
    </row>
    <row r="55" spans="1:16" ht="30" customHeight="1" x14ac:dyDescent="0.35">
      <c r="A55" s="201"/>
      <c r="B55" s="184"/>
      <c r="C55" s="498" t="s">
        <v>420</v>
      </c>
      <c r="D55" s="184"/>
      <c r="E55" s="511">
        <f>IF(G55&gt;0,(COUNTIF(Assessment_EIF!G116,"✓"))/((COUNTIF(Assessment_EIF!G116,"X"))+(COUNTIF(Assessment_EIF!G116,"✓"))),0)</f>
        <v>1</v>
      </c>
      <c r="F55" s="512"/>
      <c r="G55" s="511">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35">
      <c r="A56" s="201"/>
      <c r="B56" s="184"/>
      <c r="C56" s="245"/>
      <c r="D56" s="184"/>
      <c r="E56" s="513"/>
      <c r="F56" s="512"/>
      <c r="G56" s="513"/>
      <c r="H56" s="184"/>
      <c r="I56" s="210"/>
      <c r="J56" s="184"/>
      <c r="K56" s="210"/>
      <c r="L56" s="181"/>
      <c r="M56" s="210"/>
      <c r="N56" s="185"/>
    </row>
    <row r="57" spans="1:16" ht="30" customHeight="1" x14ac:dyDescent="0.35">
      <c r="A57" s="201"/>
      <c r="B57" s="184"/>
      <c r="C57" s="498" t="s">
        <v>421</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35">
      <c r="A58" s="201"/>
      <c r="B58" s="184"/>
      <c r="C58" s="245"/>
      <c r="D58" s="184"/>
      <c r="E58" s="513"/>
      <c r="F58" s="512"/>
      <c r="G58" s="513"/>
      <c r="H58" s="184"/>
      <c r="I58" s="210"/>
      <c r="J58" s="184"/>
      <c r="K58" s="210"/>
      <c r="L58" s="181"/>
      <c r="M58" s="210"/>
      <c r="N58" s="185"/>
    </row>
    <row r="59" spans="1:16" ht="30" customHeight="1" x14ac:dyDescent="0.35">
      <c r="A59" s="201"/>
      <c r="B59" s="184"/>
      <c r="C59" s="498" t="s">
        <v>422</v>
      </c>
      <c r="D59" s="184"/>
      <c r="E59" s="511">
        <f>IF(G59&gt;0,(COUNTIF(Assessment_EIF!G129:G133,"✓"))/((COUNTIF(Assessment_EIF!G129:G133,"X"))+(COUNTIF(Assessment_EIF!G129:G133,"✓"))),0)</f>
        <v>1</v>
      </c>
      <c r="F59" s="512"/>
      <c r="G59" s="511">
        <f>(COUNTIF(Assessment_EIF!G129:G133,"✓")+COUNTIF(Assessment_EIF!G129:G133,"X"))/3</f>
        <v>1</v>
      </c>
      <c r="H59" s="184"/>
      <c r="I59" s="209">
        <f>COUNTIF(Assessment_EIF!G129:G133,"✓")</f>
        <v>3</v>
      </c>
      <c r="J59" s="184"/>
      <c r="K59" s="209">
        <f>COUNTIF(Assessment_EIF!G129:G133,"X")</f>
        <v>0</v>
      </c>
      <c r="L59" s="181"/>
      <c r="M59" s="209">
        <f>COUNTIF(Assessment_EIF!G129:G133,"N/A")</f>
        <v>0</v>
      </c>
      <c r="N59" s="185"/>
    </row>
    <row r="60" spans="1:16" ht="7.5" customHeight="1" x14ac:dyDescent="0.35">
      <c r="A60" s="201"/>
      <c r="B60" s="184"/>
      <c r="C60" s="245"/>
      <c r="D60" s="184"/>
      <c r="E60" s="513"/>
      <c r="F60" s="512"/>
      <c r="G60" s="513"/>
      <c r="H60" s="184"/>
      <c r="I60" s="210"/>
      <c r="J60" s="184"/>
      <c r="K60" s="210"/>
      <c r="L60" s="181"/>
      <c r="M60" s="210"/>
      <c r="N60" s="185"/>
    </row>
    <row r="61" spans="1:16" ht="30" customHeight="1" thickBot="1" x14ac:dyDescent="0.4">
      <c r="A61" s="201"/>
      <c r="B61" s="184"/>
      <c r="C61" s="243" t="s">
        <v>423</v>
      </c>
      <c r="D61" s="184"/>
      <c r="E61" s="511">
        <f>IF(G61&gt;0,(COUNTIF(Assessment_EIF!G24:G40,"✓"))/((COUNTIF(Assessment_EIF!G24:G40,"X"))+(COUNTIF(Assessment_EIF!G24:G40,"✓"))),0)</f>
        <v>1</v>
      </c>
      <c r="F61" s="512"/>
      <c r="G61" s="511">
        <f>(COUNTIF(Assessment_EIF!G24:G40,"✓")+COUNTIF(Assessment_EIF!G24:G40,"X"))/9</f>
        <v>1</v>
      </c>
      <c r="H61" s="507"/>
      <c r="I61" s="509"/>
      <c r="J61" s="508"/>
      <c r="K61" s="509"/>
      <c r="L61" s="508"/>
      <c r="M61" s="509"/>
      <c r="N61" s="185"/>
    </row>
    <row r="62" spans="1:16" ht="10" customHeight="1" x14ac:dyDescent="0.35">
      <c r="A62" s="201"/>
      <c r="B62" s="184"/>
      <c r="C62" s="247"/>
      <c r="D62" s="184"/>
      <c r="E62" s="513"/>
      <c r="F62" s="512"/>
      <c r="G62" s="513"/>
      <c r="H62" s="184"/>
      <c r="I62" s="501"/>
      <c r="J62" s="184"/>
      <c r="K62" s="211"/>
      <c r="L62" s="181"/>
      <c r="M62" s="211"/>
      <c r="N62" s="185"/>
    </row>
    <row r="63" spans="1:16" ht="33" customHeight="1" thickBot="1" x14ac:dyDescent="0.4">
      <c r="A63" s="201"/>
      <c r="B63" s="184"/>
      <c r="C63" s="248" t="s">
        <v>258</v>
      </c>
      <c r="D63" s="249"/>
      <c r="E63" s="510">
        <f>IF(G63&gt;0,((COUNTIF(Assessment_EIF!G98:G133,"✓"))+(COUNTIF(Assessment_EIF!G24:G40,"✓")))/(((COUNTIF(Assessment_EIF!G98:G133,"X"))+(COUNTIF(Assessment_EIF!G98:G133,"✓")))+((COUNTIF(Assessment_EIF!G24:G40,"X"))+(COUNTIF(Assessment_EIF!G24:G40,"✓")))),0)</f>
        <v>1</v>
      </c>
      <c r="F63" s="514"/>
      <c r="G63" s="510">
        <f>(((COUNTIF(Assessment_EIF!G98:G133,"X"))+(COUNTIF(Assessment_EIF!G98:G133,"✓")))+((COUNTIF(Assessment_EIF!G24:G40,"X"))+(COUNTIF(Assessment_EIF!G24:G40,"✓"))))/22</f>
        <v>0.90909090909090906</v>
      </c>
      <c r="H63" s="249"/>
      <c r="I63" s="215">
        <f>SUM(I51:I59,I20)</f>
        <v>20</v>
      </c>
      <c r="J63" s="249"/>
      <c r="K63" s="215">
        <f>SUM(K51:K59,K20)</f>
        <v>0</v>
      </c>
      <c r="L63" s="249"/>
      <c r="M63" s="215">
        <f>SUM(M51:M59,M20)</f>
        <v>2</v>
      </c>
      <c r="N63" s="185"/>
      <c r="P63" s="128">
        <v>1</v>
      </c>
    </row>
    <row r="64" spans="1:16" ht="11.25" customHeight="1" x14ac:dyDescent="0.35">
      <c r="A64" s="201"/>
      <c r="B64" s="184"/>
      <c r="C64" s="504"/>
      <c r="D64" s="249"/>
      <c r="E64" s="505"/>
      <c r="F64" s="214"/>
      <c r="G64" s="505"/>
      <c r="H64" s="249"/>
      <c r="I64" s="502"/>
      <c r="J64" s="249"/>
      <c r="K64" s="502"/>
      <c r="L64" s="249"/>
      <c r="M64" s="502"/>
      <c r="N64" s="185"/>
      <c r="P64" s="506"/>
    </row>
    <row r="65" spans="1:18" x14ac:dyDescent="0.35">
      <c r="A65" s="201"/>
      <c r="B65" s="184"/>
      <c r="C65" s="704" t="s">
        <v>424</v>
      </c>
      <c r="D65" s="704"/>
      <c r="E65" s="704"/>
      <c r="F65" s="704"/>
      <c r="G65" s="704"/>
      <c r="H65" s="704"/>
      <c r="I65" s="704"/>
      <c r="J65" s="704"/>
      <c r="K65" s="704"/>
      <c r="L65" s="704"/>
      <c r="M65" s="704"/>
      <c r="N65" s="185"/>
      <c r="P65" s="506"/>
    </row>
    <row r="66" spans="1:18" ht="15" thickBot="1" x14ac:dyDescent="0.4">
      <c r="A66" s="238"/>
      <c r="B66" s="239"/>
      <c r="C66" s="503"/>
      <c r="D66" s="241"/>
      <c r="E66" s="240"/>
      <c r="F66" s="240"/>
      <c r="G66" s="240"/>
      <c r="H66" s="240"/>
      <c r="I66" s="240"/>
      <c r="J66" s="240"/>
      <c r="K66" s="240"/>
      <c r="L66" s="240"/>
      <c r="M66" s="240"/>
      <c r="N66" s="242"/>
    </row>
    <row r="67" spans="1:18" ht="16.5" customHeight="1" x14ac:dyDescent="0.35">
      <c r="A67" s="201"/>
      <c r="B67" s="184"/>
      <c r="C67" s="712" t="s">
        <v>385</v>
      </c>
      <c r="D67" s="184"/>
      <c r="E67" s="714">
        <f>IF(G67&gt;0,(COUNTIF(Assessment_EIF!G18:G133,"✓"))/((COUNTIF(Assessment_EIF!G18:G133,"X"))+(COUNTIF(Assessment_EIF!G18:G133,"✓"))),0)</f>
        <v>0.96875</v>
      </c>
      <c r="F67" s="184"/>
      <c r="G67" s="714">
        <f>(COUNTIF(Assessment_EIF!G18:G133,"✓")+COUNTIF(Assessment_EIF!G18:G133,"X"))/37</f>
        <v>0.86486486486486491</v>
      </c>
      <c r="H67" s="184"/>
      <c r="I67" s="716">
        <f>COUNTIF(Assessment_EIF!G18:G133,"✓")</f>
        <v>31</v>
      </c>
      <c r="J67" s="184"/>
      <c r="K67" s="716">
        <f>COUNTIF(Assessment_EIF!G18:G133,"X")</f>
        <v>1</v>
      </c>
      <c r="L67" s="184"/>
      <c r="M67" s="716">
        <f>COUNTIF(Assessment_EIF!G18:G133,"N/A")</f>
        <v>5</v>
      </c>
      <c r="N67" s="185"/>
      <c r="P67" s="702">
        <v>1</v>
      </c>
      <c r="R67" s="702"/>
    </row>
    <row r="68" spans="1:18" ht="15" thickBot="1" x14ac:dyDescent="0.4">
      <c r="A68" s="201"/>
      <c r="B68" s="184"/>
      <c r="C68" s="713"/>
      <c r="D68" s="184"/>
      <c r="E68" s="715"/>
      <c r="F68" s="214"/>
      <c r="G68" s="715"/>
      <c r="H68" s="249"/>
      <c r="I68" s="717"/>
      <c r="J68" s="249"/>
      <c r="K68" s="717"/>
      <c r="L68" s="249"/>
      <c r="M68" s="717"/>
      <c r="N68" s="185"/>
      <c r="P68" s="703"/>
      <c r="R68" s="703"/>
    </row>
    <row r="69" spans="1:18" x14ac:dyDescent="0.35">
      <c r="A69" s="250"/>
      <c r="B69" s="194"/>
      <c r="C69" s="500"/>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07" t="s">
        <v>425</v>
      </c>
      <c r="D102" s="707"/>
      <c r="E102" s="707"/>
      <c r="F102" s="707"/>
      <c r="G102" s="707"/>
      <c r="H102" s="707"/>
      <c r="I102" s="707"/>
      <c r="J102" s="707"/>
      <c r="K102" s="707"/>
      <c r="L102" s="707"/>
      <c r="M102" s="707"/>
      <c r="N102" s="170"/>
    </row>
    <row r="103" spans="1:14" hidden="1" x14ac:dyDescent="0.35"/>
    <row r="104" spans="1:14" hidden="1" x14ac:dyDescent="0.35"/>
  </sheetData>
  <sheetProtection algorithmName="SHA-512" hashValue="y1yVrS3R/Q5tBocrfy1hPJ6t+leuXa69wZI+uRC5wZ+xKasCJKReUYgtAYOC8xfBTeV5t5tXnOQyPRXgmVQqlQ==" saltValue="UogUJ5s7D25csUn5/ce1E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8.7265625"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D88219-0A7F-444E-8FFF-63D445F28A23}"/>
</file>

<file path=customXml/itemProps2.xml><?xml version="1.0" encoding="utf-8"?>
<ds:datastoreItem xmlns:ds="http://schemas.openxmlformats.org/officeDocument/2006/customXml" ds:itemID="{7CAE4CF5-2834-4907-9192-DF8FD4A1A5D8}">
  <ds:schemaRefs>
    <ds:schemaRef ds:uri="http://purl.org/dc/terms/"/>
    <ds:schemaRef ds:uri="8253af2a-fd0f-40a4-8001-231cdeab6c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6b2d526b-f179-4f8c-9fce-7a2c6e455f6f"/>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2019-11-08T09:39:44Z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
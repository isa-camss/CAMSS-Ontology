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0 WSDL\Final\"/>
    </mc:Choice>
  </mc:AlternateContent>
  <workbookProtection workbookAlgorithmName="SHA-512" workbookHashValue="K9rsQII8qJyQH9wTFk06CBx+WMqIpG04RtJc6C4y6JHGr+zwKN3YgbWmSjp/MmR9TsrkSB8/DGazkC1QZ4+dAA==" workbookSaltValue="MgbxiqNivrSQRKL13jVkpA==" workbookSpinCount="100000" lockStructure="1"/>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39" i="15" l="1"/>
  <c r="M39" i="15"/>
  <c r="I39" i="15"/>
  <c r="I48" i="15"/>
  <c r="K48" i="15"/>
  <c r="M48" i="15"/>
  <c r="M28" i="15"/>
  <c r="I28" i="15"/>
  <c r="K28" i="15"/>
  <c r="I63" i="15"/>
  <c r="M63" i="15"/>
  <c r="K63" i="15"/>
  <c r="E21" i="12"/>
  <c r="G21" i="12"/>
</calcChain>
</file>

<file path=xl/sharedStrings.xml><?xml version="1.0" encoding="utf-8"?>
<sst xmlns="http://schemas.openxmlformats.org/spreadsheetml/2006/main" count="877" uniqueCount="463">
  <si>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</si>
  <si>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</si>
  <si>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</si>
  <si>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</si>
  <si>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</si>
  <si>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</si>
  <si>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</si>
  <si>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</si>
  <si>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</si>
  <si>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</si>
  <si>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</si>
  <si>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</si>
  <si>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</si>
  <si>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</si>
  <si>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</si>
  <si>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</si>
  <si>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</si>
  <si>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</si>
  <si>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</si>
  <si>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</si>
  <si>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</si>
  <si>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</si>
  <si>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</si>
  <si>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</si>
  <si>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</si>
  <si>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</si>
  <si>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</si>
  <si>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</si>
  <si>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</si>
  <si>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</si>
  <si>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</si>
  <si>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</si>
  <si>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</si>
  <si>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</si>
  <si>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</si>
  <si>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</si>
  <si>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</si>
  <si>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</si>
  <si>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</si>
  <si>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</si>
  <si>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</si>
  <si>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</si>
  <si>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</si>
  <si>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</si>
  <si>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</si>
  <si>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</si>
  <si>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</si>
  <si>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</si>
  <si>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</si>
  <si>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</si>
  <si>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</si>
  <si>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</si>
  <si>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</si>
  <si>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</si>
  <si>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</si>
  <si>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</si>
  <si>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</si>
  <si>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</si>
  <si>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</si>
  <si>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</si>
  <si>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</si>
  <si>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</si>
  <si>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</si>
  <si>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</si>
  <si>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</si>
  <si>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</si>
  <si>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</si>
  <si>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</si>
  <si>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</si>
  <si>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</si>
  <si>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</si>
  <si>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</si>
  <si>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</si>
  <si>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</si>
  <si>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</si>
  <si>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</si>
  <si>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</si>
  <si>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</si>
  <si>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</si>
  <si>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</si>
  <si>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</si>
  <si>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</si>
  <si>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</si>
  <si>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</si>
  <si>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</si>
  <si>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</si>
  <si>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</si>
  <si>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</si>
  <si>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</si>
  <si>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</si>
  <si>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</si>
  <si>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</si>
  <si>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</si>
  <si>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</si>
  <si>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</si>
  <si>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</si>
  <si>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</si>
  <si>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</si>
  <si>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</si>
  <si>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</si>
  <si>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</si>
  <si>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</si>
  <si>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</si>
  <si>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</si>
  <si>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</si>
  <si>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</si>
  <si>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</si>
  <si>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</si>
  <si>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</si>
  <si>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</si>
  <si>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</si>
  <si>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</si>
  <si>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</si>
  <si>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</si>
  <si>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</si>
  <si>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</si>
  <si>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</si>
  <si>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</si>
  <si>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</si>
  <si>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</si>
  <si>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</si>
  <si>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</si>
  <si>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</si>
  <si>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</si>
  <si>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</si>
  <si>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</si>
  <si>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</si>
  <si>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</si>
  <si>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</si>
  <si>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</si>
  <si>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</si>
  <si>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</si>
  <si>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</si>
  <si>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</si>
  <si>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</si>
  <si>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</si>
  <si>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</si>
  <si>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</si>
  <si>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</si>
  <si>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</si>
  <si>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</si>
  <si>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</si>
  <si>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</si>
  <si>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</si>
  <si>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</si>
  <si>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</si>
  <si>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</si>
  <si>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</si>
  <si>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</si>
  <si>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</si>
  <si>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</si>
  <si>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</si>
  <si>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</si>
  <si>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</si>
  <si>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</si>
  <si>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</si>
  <si>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</si>
  <si>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</si>
  <si>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</si>
  <si>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</si>
  <si>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</si>
  <si>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</si>
  <si>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</si>
  <si>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</si>
  <si>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</si>
  <si>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</si>
  <si>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</si>
  <si>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</si>
  <si>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</si>
  <si>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</si>
  <si>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</si>
  <si>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</si>
  <si>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</si>
  <si>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</si>
  <si>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</si>
  <si>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</si>
  <si>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</si>
  <si>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</si>
  <si>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</si>
  <si>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</si>
  <si>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</si>
  <si>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</si>
  <si>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</si>
  <si>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</si>
  <si>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</si>
  <si>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</si>
  <si>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</si>
  <si>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</si>
  <si>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</si>
  <si>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</si>
  <si>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</si>
  <si>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</si>
  <si>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</si>
  <si>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</si>
  <si>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</si>
  <si>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</si>
  <si>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</si>
  <si>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</si>
  <si>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</si>
  <si>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</si>
  <si>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</si>
  <si>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</si>
  <si>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</si>
  <si>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</si>
  <si>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</si>
  <si>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</si>
  <si>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</si>
  <si>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</si>
  <si>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</si>
  <si>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</si>
  <si>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</si>
  <si>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</si>
  <si>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</si>
  <si>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</si>
  <si>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</si>
  <si>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</si>
  <si>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</si>
  <si>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</si>
  <si>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</si>
  <si>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</si>
  <si>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</si>
  <si>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</si>
  <si>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</si>
  <si>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</si>
  <si>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</si>
  <si>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</si>
  <si>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</si>
  <si>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</si>
  <si>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</si>
  <si>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</si>
  <si>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</si>
  <si>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</si>
  <si>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</si>
  <si>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</si>
  <si>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</si>
  <si>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</si>
  <si>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</si>
  <si>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</si>
  <si>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</si>
  <si>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</si>
  <si>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</si>
  <si>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</si>
  <si>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</si>
  <si>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</si>
  <si>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</si>
  <si>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</si>
  <si>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</si>
  <si>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</si>
  <si>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</si>
  <si>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</si>
  <si>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</si>
  <si>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</si>
  <si>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</si>
  <si>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</si>
  <si>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</si>
  <si>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</si>
  <si>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</si>
  <si>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</si>
  <si>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</si>
  <si>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</si>
  <si>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</si>
  <si>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</si>
  <si>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</si>
  <si>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</si>
  <si>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</si>
  <si>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</si>
  <si>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</si>
  <si>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</si>
  <si>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</si>
  <si>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</si>
  <si>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</si>
  <si>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</si>
  <si>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</si>
  <si>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</si>
  <si>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</si>
  <si>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</si>
  <si>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</si>
  <si>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</si>
  <si>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</si>
  <si>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</si>
  <si>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</si>
  <si>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</si>
  <si>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</si>
  <si>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</si>
  <si>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</si>
  <si>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</si>
  <si>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</si>
  <si>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</si>
  <si>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</si>
  <si>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</si>
  <si>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</si>
  <si>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</si>
  <si>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</si>
  <si>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</si>
  <si>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</si>
  <si>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</si>
  <si>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</si>
  <si>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</si>
  <si>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</si>
  <si>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</si>
  <si>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</si>
  <si>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</si>
  <si>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</si>
  <si>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</si>
  <si>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</si>
  <si>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</si>
  <si>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</si>
  <si>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</si>
  <si>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</si>
  <si>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</si>
  <si>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</si>
  <si>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</si>
  <si>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</si>
  <si>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</si>
  <si>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</si>
  <si>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</si>
  <si>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</si>
  <si>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</si>
  <si>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</si>
  <si>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</si>
  <si>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</si>
  <si>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</si>
  <si>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</si>
  <si>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</si>
  <si>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</si>
  <si>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</si>
  <si>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</si>
  <si>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</si>
  <si>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</si>
  <si>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</si>
  <si>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</si>
  <si>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</si>
  <si>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</si>
  <si>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</si>
  <si>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</si>
  <si>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</si>
  <si>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</si>
  <si>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</si>
  <si>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</si>
  <si>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</si>
  <si>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</si>
  <si>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</si>
  <si>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</si>
  <si>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</si>
  <si>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</si>
  <si>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</si>
  <si>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</si>
  <si>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</si>
  <si>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</si>
  <si>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</si>
  <si>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</si>
  <si>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</si>
  <si>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</si>
  <si>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</si>
  <si>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</si>
  <si>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</si>
  <si>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</si>
  <si>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</si>
  <si>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</si>
  <si>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</si>
  <si>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</si>
  <si>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</si>
  <si>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</si>
  <si>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</si>
  <si>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</si>
  <si>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</si>
  <si>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</si>
  <si>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</si>
  <si>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</si>
  <si>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</si>
  <si>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</si>
  <si>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</si>
  <si>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</si>
  <si>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</si>
  <si>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</si>
  <si>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</si>
  <si>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</si>
  <si>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</si>
  <si>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</si>
  <si>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</si>
  <si>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</si>
  <si>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</si>
  <si>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</si>
  <si>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</si>
  <si>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</si>
  <si>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</si>
  <si>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</si>
  <si>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</si>
  <si>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</si>
  <si>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</si>
  <si>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</si>
  <si>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</si>
  <si>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</si>
  <si>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</si>
  <si>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</si>
  <si>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</si>
  <si>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</si>
  <si>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</si>
  <si>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</si>
  <si>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</si>
  <si>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</si>
  <si>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</si>
  <si>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</si>
  <si>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</si>
  <si>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</si>
  <si>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</si>
  <si>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</si>
  <si>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</si>
  <si>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</si>
  <si>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</si>
  <si>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</si>
  <si>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</si>
  <si>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</si>
  <si>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</si>
  <si>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</si>
  <si>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</si>
  <si>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</si>
  <si>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</si>
  <si>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</si>
  <si>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</si>
  <si>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</si>
  <si>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</si>
  <si>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</si>
  <si>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Web Services Description Language (WSDL)</t>
  </si>
  <si>
    <t>https://www.w3.org/TR/wsdl20/</t>
  </si>
  <si>
    <t>W3C (http://www.w3.org)</t>
  </si>
  <si>
    <t>12/31/2019</t>
  </si>
  <si>
    <t xml:space="preserve">The W3C Royalty-Free IPR licenses granted under the W3C Patent Policy apply to all W3C specifications, including WSDL.
See:
https://www.w3.org/TR/patent-practice#ref-AC </t>
  </si>
  <si>
    <t>WSDL is publicly available for implementation and study for free on W3C's webpage. 
See:
https://www.w3.org/TR/wsdl20/</t>
  </si>
  <si>
    <t>The specification is available for free at the European Collaborative platform Joinup. 
See:
https://joinup.ec.europa.eu/solution/web-services-description-language-wsdl-version-20-part-0-primer</t>
  </si>
  <si>
    <t>The specification is included in 9 Member States' catalogues of recommended specifications. Some examples of Member States including JSON on their catalogues are the Netherlands, Spain or Belgium.
See: 
https://joinup.ec.europa.eu/collection/common-assessment-method-standards-and-specifications-camss/camss-list-standards</t>
  </si>
  <si>
    <t>9 Member States are recommending JSON in their ICT National Catalogues. 
See: 
https://joinup.ec.europa.eu/collection/common-assessment-method-standards-and-specifications-camss/camss-list-standards</t>
  </si>
  <si>
    <t>The purpose of WSDL is not related to organisational interoperability. Therefore, this criterion is not applicable to the specification.</t>
  </si>
  <si>
    <t>The purpose of WSDL is not related to the long-term preservation of electronic records and other kinds of information. Therefore, this criterion is not applicable to the specification.</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</si>
  <si>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
  </si>
  <si>
    <t xml:space="preserve">W3C has a defined and publicly available Process for the Development and approval process of the specification as a recommended standard, including a public review.
W3C Process document:
https://www.w3.org/2018/Process-20180201/#Policies </t>
  </si>
  <si>
    <t>The purpose of WSDL is not related to e-accessibility. Therefore, this criterion is not applicable to the specification.</t>
  </si>
  <si>
    <t>WSDL is available for free at W3C's webpage and administrations and organisations are free to use or implement. 
See:
https://www.w3.org/TR/wsdl20/</t>
  </si>
  <si>
    <t>The purpose of WSDL is not related to the modelling of business processes. Therefore, this criterion is not applicable to the specification.</t>
  </si>
  <si>
    <t>WSDL is maintained by W3C which is an international community developing open standards. 
See:
https://www.w3.org/Consortium/
https://www.w3.org/TR/wsdl20/</t>
  </si>
  <si>
    <t xml:space="preserve">WSDL is a business agnostic specification that can be implemented in any domain requiring web services description and access. </t>
  </si>
  <si>
    <t>WSDL has adopted the "+xml" convention that is described in the IETF RFC 3023 defining XML data types and its security considerations. As an XML document, every implementation can have different security requirements. Even though, taking into account the considerations WSDL allows the secure and trustworthy data exchange between the stakeholders involved. 
See: 
https://www.w3.org/TR/wsdl20/
https://www.ietf.org/rfc/rfc3023.txt</t>
  </si>
  <si>
    <t>After checking the assessments performed by CAMSS and the list of specifications identified by the MSP Multi-stakeholder-platform, no assessment verifying the compliance of the specification with the European standardisation regulation has been found.</t>
  </si>
  <si>
    <t>No evidence has been found of the specification being included in an interoperability agreement between organisations involved in the European public services provision.</t>
  </si>
  <si>
    <t>WSDL helps to make administrations and stakeholders' web services available, with information related to them and endpoints that ease the consumption. This fact supports the reuse of data and web services avoiding administration and stakeholders to carry out unnecessary steps or transactions.</t>
  </si>
  <si>
    <t>WSDL has been selected within several cross-border initiatives with the purpose of confirming the description of the services provided in order to enhance the retrieval and support the reuse of the web service by any interested part. 
An example of a project involving WSDL is the SELIS project. This initiative is focused on eInvocing and its smooth integration within existing accounting software. Moreover, it is included within the framework of the European Digital Single Market and the OOP initiative. 
See: 
https://joinup.ec.europa.eu/collection/eprocurement/document/secure-electronic-invoicing-service-selis</t>
  </si>
  <si>
    <t>The purpose of WSDL is not related to the delivery of multilingual services. Therefore this criterion is not applicable to this specification.</t>
  </si>
  <si>
    <t>Generic Specification</t>
  </si>
  <si>
    <t>WSDL as a part of the stack of specifications that perform in order to make available and discoverable the web services, helps to the implementation of the once-only principle. 
As an example of implementation is the SELIS project, which aims to make available a web services regarding the eInvoicing. This topic is included within the Once-only Principle and Digital Single Market frameworks. 
See: 
https://joinup.ec.europa.eu/collection/eprocurement/document/secure-electronic-invoicing-service-selis</t>
  </si>
  <si>
    <t>By describing web services in terms of functionalities and accessibility to them, WSDL fosters the visibility of administration web services for the reusing of existing applications by other administrations and stakeholders.</t>
  </si>
  <si>
    <t>WSDL was developed by IBM, Microsoft, and Ariba initially in 2000. The following version was at their charge as well, introducing minor changes. The last version became a W3C recommendation in 2007. Nowadays, the international organisation is maintaining and developing WSDL. Moreover, it continues having support from companies with a wide market share. Therefore, it is demonstrated that WSDL has enough market acceptance and maturity for its use in the development of products and services.</t>
  </si>
  <si>
    <t xml:space="preserve">The specification defines an XML based data model for describing web services. This data-model can be reused as a cross-sector data model on how to proceed with a web service description and all elements that it should contain. </t>
  </si>
  <si>
    <t>WSDL is included in 3 national catalogues of recommended specifications. They belong to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https://joinup.ec.europa.eu/collection/national-interoperability-framework-observatory-nifo/nifo-factsheets</t>
  </si>
  <si>
    <t>Nowadays, at the moment of performing the assessment WSDL is wide used specification involved in the implementation of the Service-Oriented Architectures (SOAs). SOAP along with REST are the main ways to build web services, the first one uses WSDL to describe services and guaranteeing access to them. Therefore, WSDL is involved in the development of solutions, including innovative ones.</t>
  </si>
  <si>
    <t>There are already existing documents and studies assessing WSDL performance and its features. The main topic are effectiveness while discovering, automatically classify web services or the poor query results. 
See: 
https://core.ac.uk/download/pdf/82569095.pdf 
https://thesai.org/Downloads/Volume10No5/Paper_25-Toward_Effective_Service_Discovery.pdf</t>
  </si>
  <si>
    <t xml:space="preserve">WSDL is a markup language based on XML and uses some conventions, features, and constraints coming from it. Despite this, XML is widely adopted and well known and this fact allows to not hamper the interoperability. 
However, WSDL is involved in the SOAs implementation, along with UDDI and SOAP. In this performance, WSDL relies on SOAP to invoke services. </t>
  </si>
  <si>
    <t>WSDL can be extended according to constraints defined in section 6 of the specification. This fact allows users to implement changes without hampering the interoperability and scalability of systems.  
See:
https://www.w3.org/TR/wsdl/#language-extensibility</t>
  </si>
  <si>
    <t xml:space="preserve">WSDL is not included in any supra-national catalogue of standards. </t>
  </si>
  <si>
    <t xml:space="preserve">As a specification that enhances the discoverability and access to different web services, it can help to ensure access by providing SOAP endpoints where the services and internal information are located. </t>
  </si>
  <si>
    <t>WSDL helps to describe and make available administration’s web services, which contain public data and information to be reused. The data is structured as WSDL is an XML based language. Taking into account these facts, WSDL is supporting several maturity levels from Tim Berners Lee’s 5 stars schema for Open Data.  
Additionally, there are existing W3C recommendation and notes regarding the semantics on WSDL.  Known as Semantic Annotations Web Services Description Language (SAWSDL). As well, a technical report from the Web Services Description Working Group that maps the representation of the WSDL model in RDF. 
See: 
https://5stardata.info/en/ 
https://www.w3.org/TR/wsdl20-rdf/
https://www.w3.org/TR/sawsdl/</t>
  </si>
  <si>
    <t xml:space="preserve">By providing information and access to web services across borders, WSDL eases the reuse of data and resources between administrations and stakeholders. </t>
  </si>
  <si>
    <t>WSDL is already associated with EIRA ABBs in the European Library Of Specifications (ELIS). Specifically, WSDL can define the interoperability aspects of the "Machine to machine interface" ABB of the EIRA Technical View.
See: 
https://joinup.ec.europa.eu/solution/elis/distribution/eliscataloguev100betaxls</t>
  </si>
  <si>
    <r>
      <t>W3C provides a test suit for WSDL 2.0 implementations. Moreover, the specification document contains a reference to verify the conformity of a WSDL document. It can be found in section 1.3 of the specification.
See:
https://dev.w3.org/2002/ws/desc/test-suite/index.html
https://www.w3.org/TR/wsdl/#markup</t>
    </r>
    <r>
      <rPr>
        <sz val="11"/>
        <color rgb="FF9C6500"/>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</si>
</sst>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1"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sz val="11"/>
      <color rgb="FF9C65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100"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hidden="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100"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7819216"/>
        <c:axId val="2010377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7819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01037720"/>
        <c:crosses val="autoZero"/>
        <c:auto val="1"/>
        <c:lblAlgn val="ctr"/>
        <c:lblOffset val="100"/>
        <c:tickMarkSkip val="1"/>
        <c:noMultiLvlLbl val="1"/>
      </c:catAx>
      <c:valAx>
        <c:axId val="201037720"/>
        <c:scaling>
          <c:orientation val="minMax"/>
          <c:max val="1"/>
          <c:min val="0"/>
        </c:scaling>
        <c:delete val="1"/>
        <c:axPos val="l"/>
        <c:numFmt formatCode="0%" sourceLinked="0"/>
        <c:majorTickMark val="none"/>
        <c:minorTickMark val="none"/>
        <c:tickLblPos val="nextTo"/>
        <c:crossAx val="19781921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0.9375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99089920"/>
        <c:axId val="19880275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9908992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98802752"/>
        <c:crosses val="autoZero"/>
        <c:auto val="1"/>
        <c:lblAlgn val="ctr"/>
        <c:lblOffset val="100"/>
        <c:noMultiLvlLbl val="0"/>
      </c:catAx>
      <c:valAx>
        <c:axId val="19880275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908992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54348752"/>
        <c:axId val="439871240"/>
        <c:extLst xmlns:c16r2="http://schemas.microsoft.com/office/drawing/2015/06/chart"/>
      </c:radarChart>
      <c:catAx>
        <c:axId val="1543487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9871240"/>
        <c:crosses val="autoZero"/>
        <c:auto val="1"/>
        <c:lblAlgn val="ctr"/>
        <c:lblOffset val="100"/>
        <c:noMultiLvlLbl val="0"/>
      </c:catAx>
      <c:valAx>
        <c:axId val="43987124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543487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w3.org/TR/wsdl20/"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7"/>
      <c r="B7" s="547"/>
      <c r="C7" s="547"/>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9" t="s">
        <v>1</v>
      </c>
      <c r="B12" s="549"/>
      <c r="C12" s="549"/>
      <c r="D12" s="549"/>
      <c r="E12" s="549"/>
      <c r="F12" s="549"/>
      <c r="G12" s="549"/>
      <c r="H12" s="549"/>
      <c r="I12" s="549"/>
      <c r="J12" s="549"/>
      <c r="K12" s="549"/>
      <c r="L12" s="550"/>
      <c r="M12" s="318"/>
    </row>
    <row r="13" spans="1:13" ht="17.25" customHeight="1" x14ac:dyDescent="0.3">
      <c r="A13" s="551" t="s">
        <v>2</v>
      </c>
      <c r="B13" s="551"/>
      <c r="C13" s="551"/>
      <c r="D13" s="551"/>
      <c r="E13" s="551"/>
      <c r="F13" s="551"/>
      <c r="G13" s="551"/>
      <c r="H13" s="551"/>
      <c r="I13" s="551"/>
      <c r="J13" s="551"/>
      <c r="K13" s="551"/>
      <c r="L13" s="552"/>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5" t="s">
        <v>3</v>
      </c>
      <c r="F15" s="575"/>
      <c r="G15" s="575"/>
      <c r="H15" s="575"/>
      <c r="I15" s="575"/>
      <c r="J15" s="323"/>
      <c r="K15" s="323"/>
      <c r="L15" s="324"/>
      <c r="M15" s="318"/>
    </row>
    <row r="16" spans="1:13" ht="16.5" customHeight="1" x14ac:dyDescent="0.3">
      <c r="A16" s="325"/>
      <c r="B16" s="325"/>
      <c r="C16" s="325"/>
      <c r="D16" s="325"/>
      <c r="E16" s="582" t="s">
        <v>4</v>
      </c>
      <c r="F16" s="582"/>
      <c r="G16" s="582"/>
      <c r="H16" s="582"/>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3" t="s">
        <v>5</v>
      </c>
      <c r="F19" s="553"/>
      <c r="G19" s="553"/>
      <c r="H19" s="553"/>
      <c r="I19" s="172"/>
      <c r="J19" s="172"/>
      <c r="K19" s="172"/>
      <c r="L19" s="330"/>
      <c r="M19" s="318"/>
    </row>
    <row r="20" spans="1:13" ht="22.5" customHeight="1" x14ac:dyDescent="0.3">
      <c r="A20" s="174"/>
      <c r="B20" s="172"/>
      <c r="C20" s="174"/>
      <c r="D20" s="174"/>
      <c r="E20" s="554" t="s">
        <v>13</v>
      </c>
      <c r="F20" s="555"/>
      <c r="G20" s="555"/>
      <c r="H20" s="556"/>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6" t="s">
        <v>7</v>
      </c>
      <c r="C23" s="577"/>
      <c r="D23" s="577"/>
      <c r="E23" s="577"/>
      <c r="F23" s="577"/>
      <c r="G23" s="577"/>
      <c r="H23" s="577"/>
      <c r="I23" s="577"/>
      <c r="J23" s="577"/>
      <c r="K23" s="578"/>
      <c r="L23" s="173"/>
      <c r="M23" s="318"/>
    </row>
    <row r="24" spans="1:13" ht="26.25" hidden="1" customHeight="1" x14ac:dyDescent="0.3">
      <c r="A24" s="174"/>
      <c r="B24" s="579"/>
      <c r="C24" s="580"/>
      <c r="D24" s="580"/>
      <c r="E24" s="580"/>
      <c r="F24" s="580"/>
      <c r="G24" s="580"/>
      <c r="H24" s="580"/>
      <c r="I24" s="580"/>
      <c r="J24" s="580"/>
      <c r="K24" s="581"/>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6" t="s">
        <v>8</v>
      </c>
      <c r="C26" s="567"/>
      <c r="D26" s="567"/>
      <c r="E26" s="567"/>
      <c r="F26" s="567"/>
      <c r="G26" s="567"/>
      <c r="H26" s="567"/>
      <c r="I26" s="567"/>
      <c r="J26" s="567"/>
      <c r="K26" s="568"/>
      <c r="L26" s="173"/>
      <c r="M26" s="318"/>
    </row>
    <row r="27" spans="1:13" ht="12.75" hidden="1" customHeight="1" x14ac:dyDescent="0.3">
      <c r="A27" s="174"/>
      <c r="B27" s="569"/>
      <c r="C27" s="570"/>
      <c r="D27" s="570"/>
      <c r="E27" s="570"/>
      <c r="F27" s="570"/>
      <c r="G27" s="570"/>
      <c r="H27" s="570"/>
      <c r="I27" s="570"/>
      <c r="J27" s="570"/>
      <c r="K27" s="571"/>
      <c r="L27" s="173"/>
      <c r="M27" s="318"/>
    </row>
    <row r="28" spans="1:13" ht="24.75" hidden="1" x14ac:dyDescent="0.3">
      <c r="A28" s="174"/>
      <c r="B28" s="572"/>
      <c r="C28" s="573"/>
      <c r="D28" s="573"/>
      <c r="E28" s="573"/>
      <c r="F28" s="573"/>
      <c r="G28" s="573"/>
      <c r="H28" s="573"/>
      <c r="I28" s="573"/>
      <c r="J28" s="573"/>
      <c r="K28" s="574"/>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6" t="s">
        <v>9</v>
      </c>
      <c r="C30" s="567"/>
      <c r="D30" s="567"/>
      <c r="E30" s="567"/>
      <c r="F30" s="567"/>
      <c r="G30" s="567"/>
      <c r="H30" s="567"/>
      <c r="I30" s="567"/>
      <c r="J30" s="567"/>
      <c r="K30" s="568"/>
      <c r="L30" s="501"/>
      <c r="M30" s="502"/>
    </row>
    <row r="31" spans="1:13" s="503" customFormat="1" ht="24.75" x14ac:dyDescent="0.3">
      <c r="A31" s="500"/>
      <c r="B31" s="569"/>
      <c r="C31" s="570"/>
      <c r="D31" s="570"/>
      <c r="E31" s="570"/>
      <c r="F31" s="570"/>
      <c r="G31" s="570"/>
      <c r="H31" s="570"/>
      <c r="I31" s="570"/>
      <c r="J31" s="570"/>
      <c r="K31" s="571"/>
      <c r="L31" s="501"/>
      <c r="M31" s="502"/>
    </row>
    <row r="32" spans="1:13" s="503" customFormat="1" ht="31.5" customHeight="1" x14ac:dyDescent="0.3">
      <c r="A32" s="500"/>
      <c r="B32" s="569"/>
      <c r="C32" s="570"/>
      <c r="D32" s="570"/>
      <c r="E32" s="570"/>
      <c r="F32" s="570"/>
      <c r="G32" s="570"/>
      <c r="H32" s="570"/>
      <c r="I32" s="570"/>
      <c r="J32" s="570"/>
      <c r="K32" s="571"/>
      <c r="L32" s="501"/>
      <c r="M32" s="502"/>
    </row>
    <row r="33" spans="1:13" s="503" customFormat="1" ht="18.75" customHeight="1" x14ac:dyDescent="0.3">
      <c r="A33" s="500"/>
      <c r="B33" s="572"/>
      <c r="C33" s="573"/>
      <c r="D33" s="573"/>
      <c r="E33" s="573"/>
      <c r="F33" s="573"/>
      <c r="G33" s="573"/>
      <c r="H33" s="573"/>
      <c r="I33" s="573"/>
      <c r="J33" s="573"/>
      <c r="K33" s="574"/>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7" t="s">
        <v>10</v>
      </c>
      <c r="C37" s="558"/>
      <c r="D37" s="558"/>
      <c r="E37" s="558"/>
      <c r="F37" s="558"/>
      <c r="G37" s="558"/>
      <c r="H37" s="558"/>
      <c r="I37" s="558"/>
      <c r="J37" s="558"/>
      <c r="K37" s="559"/>
      <c r="L37" s="501"/>
      <c r="M37" s="502"/>
    </row>
    <row r="38" spans="1:13" s="503" customFormat="1" ht="24.75" hidden="1" x14ac:dyDescent="0.3">
      <c r="A38" s="500"/>
      <c r="B38" s="560"/>
      <c r="C38" s="561"/>
      <c r="D38" s="561"/>
      <c r="E38" s="561"/>
      <c r="F38" s="561"/>
      <c r="G38" s="561"/>
      <c r="H38" s="561"/>
      <c r="I38" s="561"/>
      <c r="J38" s="561"/>
      <c r="K38" s="562"/>
      <c r="L38" s="501"/>
      <c r="M38" s="502"/>
    </row>
    <row r="39" spans="1:13" s="503" customFormat="1" ht="24.75" hidden="1" x14ac:dyDescent="0.3">
      <c r="A39" s="500"/>
      <c r="B39" s="560"/>
      <c r="C39" s="561"/>
      <c r="D39" s="561"/>
      <c r="E39" s="561"/>
      <c r="F39" s="561"/>
      <c r="G39" s="561"/>
      <c r="H39" s="561"/>
      <c r="I39" s="561"/>
      <c r="J39" s="561"/>
      <c r="K39" s="562"/>
      <c r="L39" s="501"/>
      <c r="M39" s="502"/>
    </row>
    <row r="40" spans="1:13" s="503" customFormat="1" ht="24.75" hidden="1" x14ac:dyDescent="0.3">
      <c r="A40" s="500"/>
      <c r="B40" s="563"/>
      <c r="C40" s="564"/>
      <c r="D40" s="564"/>
      <c r="E40" s="564"/>
      <c r="F40" s="564"/>
      <c r="G40" s="564"/>
      <c r="H40" s="564"/>
      <c r="I40" s="564"/>
      <c r="J40" s="564"/>
      <c r="K40" s="565"/>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8" t="s">
        <v>11</v>
      </c>
      <c r="C42" s="548"/>
      <c r="D42" s="548"/>
      <c r="E42" s="548"/>
      <c r="F42" s="548"/>
      <c r="G42" s="548"/>
      <c r="H42" s="548"/>
      <c r="I42" s="548"/>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SwdSq4idw8QYuMfmwPj+e91BEWBx87iss6WhjsHu97ljDgEuk7vxpoFC8rXNnSaT+bswFuID0f+27YgQb4ooMg==" saltValue="vjNvYGhCD4rg8HCd9Oy3B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5" t="s">
        <v>14</v>
      </c>
      <c r="B3" s="606" t="s">
        <v>15</v>
      </c>
      <c r="C3" s="606" t="s">
        <v>15</v>
      </c>
      <c r="D3" s="606" t="s">
        <v>15</v>
      </c>
      <c r="E3" s="606" t="s">
        <v>15</v>
      </c>
      <c r="F3" s="606" t="s">
        <v>15</v>
      </c>
      <c r="G3" s="606" t="s">
        <v>15</v>
      </c>
      <c r="H3" s="606" t="s">
        <v>15</v>
      </c>
      <c r="I3" s="606" t="s">
        <v>15</v>
      </c>
      <c r="J3" s="606" t="s">
        <v>15</v>
      </c>
      <c r="K3" s="606" t="s">
        <v>15</v>
      </c>
      <c r="L3" s="606" t="s">
        <v>15</v>
      </c>
      <c r="M3" s="606" t="s">
        <v>15</v>
      </c>
      <c r="N3" s="606"/>
      <c r="O3" s="606"/>
      <c r="P3" s="606"/>
      <c r="Q3" s="606"/>
      <c r="R3" s="606"/>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9" t="s">
        <v>18</v>
      </c>
      <c r="E7" s="600"/>
      <c r="F7" s="601"/>
      <c r="G7" s="75"/>
      <c r="H7" s="593"/>
      <c r="I7" s="594"/>
      <c r="J7" s="594"/>
      <c r="K7" s="594"/>
      <c r="L7" s="594"/>
      <c r="M7" s="594"/>
      <c r="N7" s="594"/>
      <c r="O7" s="594"/>
      <c r="P7" s="594"/>
      <c r="Q7" s="595"/>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9" t="s">
        <v>20</v>
      </c>
      <c r="E9" s="600"/>
      <c r="F9" s="601"/>
      <c r="G9" s="75"/>
      <c r="H9" s="593"/>
      <c r="I9" s="594"/>
      <c r="J9" s="594"/>
      <c r="K9" s="594"/>
      <c r="L9" s="594"/>
      <c r="M9" s="594"/>
      <c r="N9" s="594"/>
      <c r="O9" s="594"/>
      <c r="P9" s="594"/>
      <c r="Q9" s="595"/>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9" t="s">
        <v>22</v>
      </c>
      <c r="E11" s="600"/>
      <c r="F11" s="601"/>
      <c r="G11" s="75"/>
      <c r="H11" s="593"/>
      <c r="I11" s="594"/>
      <c r="J11" s="594"/>
      <c r="K11" s="594"/>
      <c r="L11" s="594"/>
      <c r="M11" s="594"/>
      <c r="N11" s="594"/>
      <c r="O11" s="594"/>
      <c r="P11" s="594"/>
      <c r="Q11" s="595"/>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9" t="s">
        <v>24</v>
      </c>
      <c r="E13" s="600"/>
      <c r="F13" s="601"/>
      <c r="G13" s="75"/>
      <c r="H13" s="593"/>
      <c r="I13" s="594"/>
      <c r="J13" s="594"/>
      <c r="K13" s="594"/>
      <c r="L13" s="594"/>
      <c r="M13" s="594"/>
      <c r="N13" s="594"/>
      <c r="O13" s="594"/>
      <c r="P13" s="594"/>
      <c r="Q13" s="595"/>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9" t="s">
        <v>26</v>
      </c>
      <c r="E15" s="600"/>
      <c r="F15" s="601"/>
      <c r="G15" s="75"/>
      <c r="H15" s="593"/>
      <c r="I15" s="594"/>
      <c r="J15" s="594"/>
      <c r="K15" s="594"/>
      <c r="L15" s="594"/>
      <c r="M15" s="594"/>
      <c r="N15" s="594"/>
      <c r="O15" s="594"/>
      <c r="P15" s="594"/>
      <c r="Q15" s="595"/>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9" t="s">
        <v>28</v>
      </c>
      <c r="E17" s="600"/>
      <c r="F17" s="601"/>
      <c r="G17" s="75"/>
      <c r="H17" s="593"/>
      <c r="I17" s="594"/>
      <c r="J17" s="594"/>
      <c r="K17" s="594"/>
      <c r="L17" s="594"/>
      <c r="M17" s="594"/>
      <c r="N17" s="594"/>
      <c r="O17" s="594"/>
      <c r="P17" s="594"/>
      <c r="Q17" s="595"/>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9" t="s">
        <v>30</v>
      </c>
      <c r="E19" s="600"/>
      <c r="F19" s="601"/>
      <c r="G19" s="158" t="s">
        <v>31</v>
      </c>
      <c r="H19" s="602"/>
      <c r="I19" s="603"/>
      <c r="J19" s="603"/>
      <c r="K19" s="603"/>
      <c r="L19" s="603"/>
      <c r="M19" s="603"/>
      <c r="N19" s="603"/>
      <c r="O19" s="603"/>
      <c r="P19" s="603"/>
      <c r="Q19" s="604"/>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9" t="s">
        <v>34</v>
      </c>
      <c r="E23" s="600"/>
      <c r="F23" s="601"/>
      <c r="G23" s="158" t="s">
        <v>31</v>
      </c>
      <c r="H23" s="596"/>
      <c r="I23" s="594"/>
      <c r="J23" s="594"/>
      <c r="K23" s="594"/>
      <c r="L23" s="594"/>
      <c r="M23" s="594"/>
      <c r="N23" s="594"/>
      <c r="O23" s="594"/>
      <c r="P23" s="594"/>
      <c r="Q23" s="595"/>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0" t="s">
        <v>36</v>
      </c>
      <c r="E25" s="591"/>
      <c r="F25" s="592"/>
      <c r="G25" s="75"/>
      <c r="H25" s="593"/>
      <c r="I25" s="594"/>
      <c r="J25" s="594"/>
      <c r="K25" s="594"/>
      <c r="L25" s="594"/>
      <c r="M25" s="594"/>
      <c r="N25" s="594"/>
      <c r="O25" s="594"/>
      <c r="P25" s="594"/>
      <c r="Q25" s="595"/>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0" t="s">
        <v>39</v>
      </c>
      <c r="E27" s="591"/>
      <c r="F27" s="592"/>
      <c r="G27" s="159" t="s">
        <v>31</v>
      </c>
      <c r="H27" s="593"/>
      <c r="I27" s="594"/>
      <c r="J27" s="594"/>
      <c r="K27" s="594"/>
      <c r="L27" s="594"/>
      <c r="M27" s="594"/>
      <c r="N27" s="594"/>
      <c r="O27" s="594"/>
      <c r="P27" s="594"/>
      <c r="Q27" s="595"/>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0" t="s">
        <v>41</v>
      </c>
      <c r="E29" s="591"/>
      <c r="F29" s="592"/>
      <c r="G29" s="75"/>
      <c r="H29" s="593"/>
      <c r="I29" s="594"/>
      <c r="J29" s="594"/>
      <c r="K29" s="594"/>
      <c r="L29" s="594"/>
      <c r="M29" s="594"/>
      <c r="N29" s="594"/>
      <c r="O29" s="594"/>
      <c r="P29" s="594"/>
      <c r="Q29" s="595"/>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0" t="s">
        <v>43</v>
      </c>
      <c r="E31" s="591"/>
      <c r="F31" s="592"/>
      <c r="G31" s="75"/>
      <c r="H31" s="598"/>
      <c r="I31" s="594"/>
      <c r="J31" s="594"/>
      <c r="K31" s="594"/>
      <c r="L31" s="594"/>
      <c r="M31" s="594"/>
      <c r="N31" s="594"/>
      <c r="O31" s="594"/>
      <c r="P31" s="594"/>
      <c r="Q31" s="595"/>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0" t="s">
        <v>45</v>
      </c>
      <c r="E33" s="591"/>
      <c r="F33" s="592"/>
      <c r="G33" s="75"/>
      <c r="H33" s="598"/>
      <c r="I33" s="594"/>
      <c r="J33" s="594"/>
      <c r="K33" s="594"/>
      <c r="L33" s="594"/>
      <c r="M33" s="594"/>
      <c r="N33" s="594"/>
      <c r="O33" s="594"/>
      <c r="P33" s="594"/>
      <c r="Q33" s="595"/>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0" t="s">
        <v>47</v>
      </c>
      <c r="E35" s="591"/>
      <c r="F35" s="592"/>
      <c r="G35" s="75"/>
      <c r="H35" s="593"/>
      <c r="I35" s="594"/>
      <c r="J35" s="594"/>
      <c r="K35" s="594"/>
      <c r="L35" s="594"/>
      <c r="M35" s="594"/>
      <c r="N35" s="594"/>
      <c r="O35" s="594"/>
      <c r="P35" s="594"/>
      <c r="Q35" s="595"/>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0" t="s">
        <v>49</v>
      </c>
      <c r="E37" s="591"/>
      <c r="F37" s="592"/>
      <c r="G37" s="75"/>
      <c r="H37" s="593"/>
      <c r="I37" s="594"/>
      <c r="J37" s="594"/>
      <c r="K37" s="594"/>
      <c r="L37" s="594"/>
      <c r="M37" s="594"/>
      <c r="N37" s="594"/>
      <c r="O37" s="594"/>
      <c r="P37" s="594"/>
      <c r="Q37" s="595"/>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0" t="s">
        <v>51</v>
      </c>
      <c r="E39" s="591"/>
      <c r="F39" s="592"/>
      <c r="G39" s="75"/>
      <c r="H39" s="593"/>
      <c r="I39" s="594"/>
      <c r="J39" s="594"/>
      <c r="K39" s="594"/>
      <c r="L39" s="594"/>
      <c r="M39" s="594"/>
      <c r="N39" s="594"/>
      <c r="O39" s="594"/>
      <c r="P39" s="594"/>
      <c r="Q39" s="595"/>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0" t="s">
        <v>53</v>
      </c>
      <c r="E41" s="591"/>
      <c r="F41" s="592"/>
      <c r="G41" s="75"/>
      <c r="H41" s="596"/>
      <c r="I41" s="594"/>
      <c r="J41" s="594"/>
      <c r="K41" s="594"/>
      <c r="L41" s="594"/>
      <c r="M41" s="594"/>
      <c r="N41" s="594"/>
      <c r="O41" s="594"/>
      <c r="P41" s="594"/>
      <c r="Q41" s="595"/>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7"/>
      <c r="O44" s="597"/>
      <c r="P44" s="597"/>
      <c r="Q44" s="597"/>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3" t="s">
        <v>57</v>
      </c>
      <c r="E47" s="584"/>
      <c r="F47" s="584"/>
      <c r="G47" s="584"/>
      <c r="H47" s="584"/>
      <c r="I47" s="584"/>
      <c r="J47" s="585"/>
      <c r="K47" s="74"/>
      <c r="L47" s="87"/>
      <c r="M47" s="74"/>
      <c r="N47" s="586"/>
      <c r="O47" s="587"/>
      <c r="P47" s="587"/>
      <c r="Q47" s="587"/>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3" t="s">
        <v>59</v>
      </c>
      <c r="E49" s="584"/>
      <c r="F49" s="584"/>
      <c r="G49" s="584"/>
      <c r="H49" s="584"/>
      <c r="I49" s="584"/>
      <c r="J49" s="585"/>
      <c r="K49" s="74"/>
      <c r="L49" s="87"/>
      <c r="M49" s="74"/>
      <c r="N49" s="586"/>
      <c r="O49" s="587"/>
      <c r="P49" s="587"/>
      <c r="Q49" s="587"/>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3" t="s">
        <v>62</v>
      </c>
      <c r="E53" s="584"/>
      <c r="F53" s="584"/>
      <c r="G53" s="584"/>
      <c r="H53" s="584"/>
      <c r="I53" s="584"/>
      <c r="J53" s="585"/>
      <c r="K53" s="74"/>
      <c r="L53" s="87"/>
      <c r="M53" s="74"/>
      <c r="N53" s="586"/>
      <c r="O53" s="587"/>
      <c r="P53" s="587"/>
      <c r="Q53" s="587"/>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3" t="s">
        <v>64</v>
      </c>
      <c r="E55" s="584"/>
      <c r="F55" s="584"/>
      <c r="G55" s="584"/>
      <c r="H55" s="584"/>
      <c r="I55" s="584"/>
      <c r="J55" s="585"/>
      <c r="K55" s="74"/>
      <c r="L55" s="87"/>
      <c r="M55" s="74"/>
      <c r="N55" s="586"/>
      <c r="O55" s="587"/>
      <c r="P55" s="587"/>
      <c r="Q55" s="587"/>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3" t="s">
        <v>67</v>
      </c>
      <c r="E59" s="584"/>
      <c r="F59" s="584"/>
      <c r="G59" s="584"/>
      <c r="H59" s="584"/>
      <c r="I59" s="584"/>
      <c r="J59" s="585"/>
      <c r="K59" s="74"/>
      <c r="L59" s="87"/>
      <c r="M59" s="74"/>
      <c r="N59" s="586"/>
      <c r="O59" s="587"/>
      <c r="P59" s="587"/>
      <c r="Q59" s="587"/>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8" t="s">
        <v>68</v>
      </c>
      <c r="B61" s="589"/>
      <c r="C61" s="589"/>
      <c r="D61" s="589"/>
      <c r="E61" s="589"/>
      <c r="F61" s="589"/>
      <c r="G61" s="589"/>
      <c r="H61" s="589"/>
      <c r="I61" s="589"/>
      <c r="J61" s="589"/>
      <c r="K61" s="589"/>
      <c r="L61" s="589"/>
      <c r="M61" s="589"/>
      <c r="N61" s="589"/>
      <c r="O61" s="589"/>
      <c r="P61" s="589"/>
      <c r="Q61" s="58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7" t="s">
        <v>69</v>
      </c>
      <c r="E1" s="607"/>
      <c r="F1" s="607"/>
      <c r="G1" s="607"/>
      <c r="H1" s="607"/>
      <c r="I1" s="607"/>
      <c r="J1" s="607"/>
      <c r="K1" s="607"/>
      <c r="L1" s="607"/>
      <c r="M1" s="607"/>
      <c r="N1" s="607"/>
      <c r="O1" s="607"/>
      <c r="P1" s="607"/>
      <c r="Q1" s="607"/>
    </row>
    <row r="2" spans="1:18" s="141" customFormat="1" x14ac:dyDescent="0.25">
      <c r="A2"/>
      <c r="B2" s="143"/>
      <c r="C2" s="3"/>
      <c r="D2" s="607"/>
      <c r="E2" s="607"/>
      <c r="F2" s="607"/>
      <c r="G2" s="607"/>
      <c r="H2" s="607"/>
      <c r="I2" s="607"/>
      <c r="J2" s="607"/>
      <c r="K2" s="607"/>
      <c r="L2" s="607"/>
      <c r="M2" s="607"/>
      <c r="N2" s="607"/>
      <c r="O2" s="607"/>
      <c r="P2" s="607"/>
      <c r="Q2" s="607"/>
      <c r="R2" s="3"/>
    </row>
    <row r="3" spans="1:18" s="146" customFormat="1" ht="7.5" customHeight="1" x14ac:dyDescent="0.25">
      <c r="A3"/>
      <c r="B3" s="144"/>
      <c r="C3" s="145"/>
      <c r="D3" s="608"/>
      <c r="E3" s="608"/>
      <c r="F3" s="608"/>
      <c r="G3" s="608"/>
      <c r="H3" s="608"/>
      <c r="I3" s="608"/>
      <c r="J3" s="608"/>
      <c r="K3" s="608"/>
      <c r="L3" s="608"/>
      <c r="M3" s="608"/>
      <c r="N3" s="608"/>
      <c r="O3" s="608"/>
      <c r="P3" s="608"/>
      <c r="Q3" s="60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21" t="s">
        <v>70</v>
      </c>
      <c r="E7" s="622"/>
      <c r="F7" s="623"/>
      <c r="G7" s="5"/>
      <c r="H7" s="615"/>
      <c r="I7" s="616"/>
      <c r="J7" s="616"/>
      <c r="K7" s="616"/>
      <c r="L7" s="616"/>
      <c r="M7" s="616"/>
      <c r="N7" s="616"/>
      <c r="O7" s="616"/>
      <c r="P7" s="616"/>
      <c r="Q7" s="617"/>
      <c r="R7" s="3"/>
    </row>
    <row r="8" spans="1:18" x14ac:dyDescent="0.25">
      <c r="B8" s="5"/>
      <c r="C8" s="6"/>
      <c r="D8" s="8"/>
      <c r="E8" s="147"/>
      <c r="F8" s="7"/>
      <c r="G8" s="5"/>
      <c r="H8" s="7"/>
      <c r="I8" s="7"/>
      <c r="J8" s="7"/>
      <c r="K8" s="7"/>
      <c r="L8" s="7"/>
      <c r="M8" s="7"/>
      <c r="N8" s="7"/>
      <c r="O8" s="9"/>
      <c r="P8" s="9"/>
      <c r="Q8" s="9"/>
      <c r="R8" s="3"/>
    </row>
    <row r="9" spans="1:18" x14ac:dyDescent="0.25">
      <c r="B9" s="5"/>
      <c r="C9" s="6" t="s">
        <v>19</v>
      </c>
      <c r="D9" s="621" t="s">
        <v>20</v>
      </c>
      <c r="E9" s="622"/>
      <c r="F9" s="623"/>
      <c r="G9" s="5"/>
      <c r="H9" s="615"/>
      <c r="I9" s="616"/>
      <c r="J9" s="616"/>
      <c r="K9" s="616"/>
      <c r="L9" s="616"/>
      <c r="M9" s="616"/>
      <c r="N9" s="616"/>
      <c r="O9" s="616"/>
      <c r="P9" s="616"/>
      <c r="Q9" s="617"/>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21" t="s">
        <v>71</v>
      </c>
      <c r="E11" s="622"/>
      <c r="F11" s="623"/>
      <c r="G11" s="5"/>
      <c r="H11" s="615"/>
      <c r="I11" s="616"/>
      <c r="J11" s="616"/>
      <c r="K11" s="616"/>
      <c r="L11" s="616"/>
      <c r="M11" s="616"/>
      <c r="N11" s="616"/>
      <c r="O11" s="616"/>
      <c r="P11" s="616"/>
      <c r="Q11" s="617"/>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21" t="s">
        <v>24</v>
      </c>
      <c r="E13" s="622"/>
      <c r="F13" s="623"/>
      <c r="G13" s="5"/>
      <c r="H13" s="615"/>
      <c r="I13" s="616"/>
      <c r="J13" s="616"/>
      <c r="K13" s="616"/>
      <c r="L13" s="616"/>
      <c r="M13" s="616"/>
      <c r="N13" s="616"/>
      <c r="O13" s="616"/>
      <c r="P13" s="616"/>
      <c r="Q13" s="617"/>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21" t="s">
        <v>26</v>
      </c>
      <c r="E15" s="622"/>
      <c r="F15" s="623"/>
      <c r="G15" s="5"/>
      <c r="H15" s="615"/>
      <c r="I15" s="616"/>
      <c r="J15" s="616"/>
      <c r="K15" s="616"/>
      <c r="L15" s="616"/>
      <c r="M15" s="616"/>
      <c r="N15" s="616"/>
      <c r="O15" s="616"/>
      <c r="P15" s="616"/>
      <c r="Q15" s="617"/>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21" t="s">
        <v>28</v>
      </c>
      <c r="E17" s="622"/>
      <c r="F17" s="623"/>
      <c r="G17" s="5"/>
      <c r="H17" s="615"/>
      <c r="I17" s="616"/>
      <c r="J17" s="616"/>
      <c r="K17" s="616"/>
      <c r="L17" s="616"/>
      <c r="M17" s="616"/>
      <c r="N17" s="616"/>
      <c r="O17" s="616"/>
      <c r="P17" s="616"/>
      <c r="Q17" s="61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21" t="s">
        <v>30</v>
      </c>
      <c r="E19" s="622"/>
      <c r="F19" s="623"/>
      <c r="G19" s="130" t="s">
        <v>31</v>
      </c>
      <c r="H19" s="630"/>
      <c r="I19" s="631"/>
      <c r="J19" s="631"/>
      <c r="K19" s="631"/>
      <c r="L19" s="631"/>
      <c r="M19" s="631"/>
      <c r="N19" s="631"/>
      <c r="O19" s="631"/>
      <c r="P19" s="631"/>
      <c r="Q19" s="63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21" t="s">
        <v>73</v>
      </c>
      <c r="E21" s="622"/>
      <c r="F21" s="623"/>
      <c r="G21" s="131" t="s">
        <v>31</v>
      </c>
      <c r="H21" s="633" t="s">
        <v>74</v>
      </c>
      <c r="I21" s="634"/>
      <c r="J21" s="634"/>
      <c r="K21" s="634"/>
      <c r="L21" s="634"/>
      <c r="M21" s="634"/>
      <c r="N21" s="634"/>
      <c r="O21" s="634"/>
      <c r="P21" s="634"/>
      <c r="Q21" s="635"/>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21" t="s">
        <v>76</v>
      </c>
      <c r="E23" s="622"/>
      <c r="F23" s="623"/>
      <c r="G23" s="5"/>
      <c r="H23" s="615"/>
      <c r="I23" s="616"/>
      <c r="J23" s="616"/>
      <c r="K23" s="616"/>
      <c r="L23" s="616"/>
      <c r="M23" s="616"/>
      <c r="N23" s="616"/>
      <c r="O23" s="616"/>
      <c r="P23" s="616"/>
      <c r="Q23" s="617"/>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21" t="s">
        <v>78</v>
      </c>
      <c r="E25" s="622"/>
      <c r="F25" s="623"/>
      <c r="G25" s="5"/>
      <c r="H25" s="615"/>
      <c r="I25" s="616"/>
      <c r="J25" s="616"/>
      <c r="K25" s="616"/>
      <c r="L25" s="616"/>
      <c r="M25" s="616"/>
      <c r="N25" s="616"/>
      <c r="O25" s="616"/>
      <c r="P25" s="616"/>
      <c r="Q25" s="61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21" t="s">
        <v>80</v>
      </c>
      <c r="E27" s="622"/>
      <c r="F27" s="623"/>
      <c r="G27" s="5"/>
      <c r="H27" s="615"/>
      <c r="I27" s="616"/>
      <c r="J27" s="616"/>
      <c r="K27" s="616"/>
      <c r="L27" s="616"/>
      <c r="M27" s="616"/>
      <c r="N27" s="616"/>
      <c r="O27" s="616"/>
      <c r="P27" s="616"/>
      <c r="Q27" s="61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7" t="s">
        <v>82</v>
      </c>
      <c r="E29" s="628"/>
      <c r="F29" s="629"/>
      <c r="G29" s="5"/>
      <c r="H29" s="615"/>
      <c r="I29" s="616"/>
      <c r="J29" s="616"/>
      <c r="K29" s="616"/>
      <c r="L29" s="616"/>
      <c r="M29" s="616"/>
      <c r="N29" s="616"/>
      <c r="O29" s="616"/>
      <c r="P29" s="616"/>
      <c r="Q29" s="61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7" t="s">
        <v>84</v>
      </c>
      <c r="E31" s="628"/>
      <c r="F31" s="629"/>
      <c r="G31" s="5"/>
      <c r="H31" s="615"/>
      <c r="I31" s="616"/>
      <c r="J31" s="616"/>
      <c r="K31" s="616"/>
      <c r="L31" s="616"/>
      <c r="M31" s="616"/>
      <c r="N31" s="616"/>
      <c r="O31" s="616"/>
      <c r="P31" s="616"/>
      <c r="Q31" s="61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7" t="s">
        <v>86</v>
      </c>
      <c r="E33" s="628"/>
      <c r="F33" s="629"/>
      <c r="G33" s="5"/>
      <c r="H33" s="615"/>
      <c r="I33" s="616"/>
      <c r="J33" s="616"/>
      <c r="K33" s="616"/>
      <c r="L33" s="616"/>
      <c r="M33" s="616"/>
      <c r="N33" s="616"/>
      <c r="O33" s="616"/>
      <c r="P33" s="616"/>
      <c r="Q33" s="61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2" t="s">
        <v>34</v>
      </c>
      <c r="E37" s="613"/>
      <c r="F37" s="614"/>
      <c r="G37" s="131" t="s">
        <v>31</v>
      </c>
      <c r="H37" s="615"/>
      <c r="I37" s="616"/>
      <c r="J37" s="616"/>
      <c r="K37" s="616"/>
      <c r="L37" s="616"/>
      <c r="M37" s="616"/>
      <c r="N37" s="616"/>
      <c r="O37" s="616"/>
      <c r="P37" s="616"/>
      <c r="Q37" s="61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8" t="s">
        <v>36</v>
      </c>
      <c r="E39" s="619"/>
      <c r="F39" s="620"/>
      <c r="G39" s="5"/>
      <c r="H39" s="615"/>
      <c r="I39" s="616"/>
      <c r="J39" s="616"/>
      <c r="K39" s="616"/>
      <c r="L39" s="616"/>
      <c r="M39" s="616"/>
      <c r="N39" s="616"/>
      <c r="O39" s="616"/>
      <c r="P39" s="616"/>
      <c r="Q39" s="61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8" t="s">
        <v>87</v>
      </c>
      <c r="E41" s="619"/>
      <c r="F41" s="620"/>
      <c r="G41" s="132" t="s">
        <v>31</v>
      </c>
      <c r="H41" s="615"/>
      <c r="I41" s="616"/>
      <c r="J41" s="616"/>
      <c r="K41" s="616"/>
      <c r="L41" s="616"/>
      <c r="M41" s="616"/>
      <c r="N41" s="616"/>
      <c r="O41" s="616"/>
      <c r="P41" s="616"/>
      <c r="Q41" s="61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8" t="s">
        <v>41</v>
      </c>
      <c r="E43" s="619"/>
      <c r="F43" s="620"/>
      <c r="G43" s="5"/>
      <c r="H43" s="615"/>
      <c r="I43" s="616"/>
      <c r="J43" s="616"/>
      <c r="K43" s="616"/>
      <c r="L43" s="616"/>
      <c r="M43" s="616"/>
      <c r="N43" s="616"/>
      <c r="O43" s="616"/>
      <c r="P43" s="616"/>
      <c r="Q43" s="61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8" t="s">
        <v>43</v>
      </c>
      <c r="E45" s="619"/>
      <c r="F45" s="620"/>
      <c r="G45" s="5"/>
      <c r="H45" s="615"/>
      <c r="I45" s="616"/>
      <c r="J45" s="616"/>
      <c r="K45" s="616"/>
      <c r="L45" s="616"/>
      <c r="M45" s="616"/>
      <c r="N45" s="616"/>
      <c r="O45" s="616"/>
      <c r="P45" s="616"/>
      <c r="Q45" s="61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8" t="s">
        <v>45</v>
      </c>
      <c r="E47" s="619"/>
      <c r="F47" s="620"/>
      <c r="G47" s="5"/>
      <c r="H47" s="615"/>
      <c r="I47" s="616"/>
      <c r="J47" s="616"/>
      <c r="K47" s="616"/>
      <c r="L47" s="616"/>
      <c r="M47" s="616"/>
      <c r="N47" s="616"/>
      <c r="O47" s="616"/>
      <c r="P47" s="616"/>
      <c r="Q47" s="61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8" t="s">
        <v>47</v>
      </c>
      <c r="E49" s="619"/>
      <c r="F49" s="620"/>
      <c r="G49" s="5"/>
      <c r="H49" s="615"/>
      <c r="I49" s="616"/>
      <c r="J49" s="616"/>
      <c r="K49" s="616"/>
      <c r="L49" s="616"/>
      <c r="M49" s="616"/>
      <c r="N49" s="616"/>
      <c r="O49" s="616"/>
      <c r="P49" s="616"/>
      <c r="Q49" s="61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8" t="s">
        <v>49</v>
      </c>
      <c r="E51" s="619"/>
      <c r="F51" s="620"/>
      <c r="G51" s="5"/>
      <c r="H51" s="615"/>
      <c r="I51" s="616"/>
      <c r="J51" s="616"/>
      <c r="K51" s="616"/>
      <c r="L51" s="616"/>
      <c r="M51" s="616"/>
      <c r="N51" s="616"/>
      <c r="O51" s="616"/>
      <c r="P51" s="616"/>
      <c r="Q51" s="61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8" t="s">
        <v>51</v>
      </c>
      <c r="E53" s="619"/>
      <c r="F53" s="620"/>
      <c r="G53" s="5"/>
      <c r="H53" s="615"/>
      <c r="I53" s="616"/>
      <c r="J53" s="616"/>
      <c r="K53" s="616"/>
      <c r="L53" s="616"/>
      <c r="M53" s="616"/>
      <c r="N53" s="616"/>
      <c r="O53" s="616"/>
      <c r="P53" s="616"/>
      <c r="Q53" s="61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8" t="s">
        <v>88</v>
      </c>
      <c r="E55" s="619"/>
      <c r="F55" s="620"/>
      <c r="G55" s="5"/>
      <c r="H55" s="615"/>
      <c r="I55" s="616"/>
      <c r="J55" s="616"/>
      <c r="K55" s="616"/>
      <c r="L55" s="616"/>
      <c r="M55" s="616"/>
      <c r="N55" s="616"/>
      <c r="O55" s="616"/>
      <c r="P55" s="616"/>
      <c r="Q55" s="61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2" t="s">
        <v>90</v>
      </c>
      <c r="E57" s="613"/>
      <c r="F57" s="614"/>
      <c r="G57" s="5"/>
      <c r="H57" s="615"/>
      <c r="I57" s="616"/>
      <c r="J57" s="616"/>
      <c r="K57" s="616"/>
      <c r="L57" s="616"/>
      <c r="M57" s="616"/>
      <c r="N57" s="616"/>
      <c r="O57" s="616"/>
      <c r="P57" s="616"/>
      <c r="Q57" s="61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2" t="s">
        <v>92</v>
      </c>
      <c r="E59" s="613"/>
      <c r="F59" s="614"/>
      <c r="G59" s="5"/>
      <c r="H59" s="615"/>
      <c r="I59" s="616"/>
      <c r="J59" s="616"/>
      <c r="K59" s="616"/>
      <c r="L59" s="616"/>
      <c r="M59" s="616"/>
      <c r="N59" s="616"/>
      <c r="O59" s="616"/>
      <c r="P59" s="616"/>
      <c r="Q59" s="61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2" t="s">
        <v>94</v>
      </c>
      <c r="E61" s="613"/>
      <c r="F61" s="614"/>
      <c r="G61" s="5"/>
      <c r="H61" s="615"/>
      <c r="I61" s="616"/>
      <c r="J61" s="616"/>
      <c r="K61" s="616"/>
      <c r="L61" s="616"/>
      <c r="M61" s="616"/>
      <c r="N61" s="616"/>
      <c r="O61" s="616"/>
      <c r="P61" s="616"/>
      <c r="Q61" s="61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2" t="s">
        <v>96</v>
      </c>
      <c r="E63" s="613"/>
      <c r="F63" s="614"/>
      <c r="G63" s="5"/>
      <c r="H63" s="615"/>
      <c r="I63" s="616"/>
      <c r="J63" s="616"/>
      <c r="K63" s="616"/>
      <c r="L63" s="616"/>
      <c r="M63" s="616"/>
      <c r="N63" s="616"/>
      <c r="O63" s="616"/>
      <c r="P63" s="616"/>
      <c r="Q63" s="61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2" t="s">
        <v>98</v>
      </c>
      <c r="E65" s="613"/>
      <c r="F65" s="614"/>
      <c r="G65" s="5"/>
      <c r="H65" s="615"/>
      <c r="I65" s="616"/>
      <c r="J65" s="616"/>
      <c r="K65" s="616"/>
      <c r="L65" s="616"/>
      <c r="M65" s="616"/>
      <c r="N65" s="616"/>
      <c r="O65" s="616"/>
      <c r="P65" s="616"/>
      <c r="Q65" s="61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2" t="s">
        <v>100</v>
      </c>
      <c r="E67" s="613"/>
      <c r="F67" s="614"/>
      <c r="G67" s="5"/>
      <c r="H67" s="615"/>
      <c r="I67" s="616"/>
      <c r="J67" s="616"/>
      <c r="K67" s="616"/>
      <c r="L67" s="616"/>
      <c r="M67" s="616"/>
      <c r="N67" s="616"/>
      <c r="O67" s="616"/>
      <c r="P67" s="616"/>
      <c r="Q67" s="61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2" t="s">
        <v>102</v>
      </c>
      <c r="E69" s="613"/>
      <c r="F69" s="614"/>
      <c r="G69" s="5"/>
      <c r="H69" s="615"/>
      <c r="I69" s="616"/>
      <c r="J69" s="616"/>
      <c r="K69" s="616"/>
      <c r="L69" s="616"/>
      <c r="M69" s="616"/>
      <c r="N69" s="616"/>
      <c r="O69" s="616"/>
      <c r="P69" s="616"/>
      <c r="Q69" s="61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2" t="s">
        <v>104</v>
      </c>
      <c r="E71" s="613"/>
      <c r="F71" s="614"/>
      <c r="G71" s="5"/>
      <c r="H71" s="615"/>
      <c r="I71" s="616"/>
      <c r="J71" s="616"/>
      <c r="K71" s="616"/>
      <c r="L71" s="616"/>
      <c r="M71" s="616"/>
      <c r="N71" s="616"/>
      <c r="O71" s="616"/>
      <c r="P71" s="616"/>
      <c r="Q71" s="61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2" t="s">
        <v>106</v>
      </c>
      <c r="E73" s="613"/>
      <c r="F73" s="614"/>
      <c r="G73" s="5"/>
      <c r="H73" s="615"/>
      <c r="I73" s="616"/>
      <c r="J73" s="616"/>
      <c r="K73" s="616"/>
      <c r="L73" s="616"/>
      <c r="M73" s="616"/>
      <c r="N73" s="616"/>
      <c r="O73" s="616"/>
      <c r="P73" s="616"/>
      <c r="Q73" s="61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2" t="s">
        <v>108</v>
      </c>
      <c r="E75" s="613"/>
      <c r="F75" s="614"/>
      <c r="G75" s="5"/>
      <c r="H75" s="615"/>
      <c r="I75" s="616"/>
      <c r="J75" s="616"/>
      <c r="K75" s="616"/>
      <c r="L75" s="616"/>
      <c r="M75" s="616"/>
      <c r="N75" s="616"/>
      <c r="O75" s="616"/>
      <c r="P75" s="616"/>
      <c r="Q75" s="61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2" t="s">
        <v>110</v>
      </c>
      <c r="E77" s="613"/>
      <c r="F77" s="614"/>
      <c r="G77" s="5"/>
      <c r="H77" s="615"/>
      <c r="I77" s="616"/>
      <c r="J77" s="616"/>
      <c r="K77" s="616"/>
      <c r="L77" s="616"/>
      <c r="M77" s="616"/>
      <c r="N77" s="616"/>
      <c r="O77" s="616"/>
      <c r="P77" s="616"/>
      <c r="Q77" s="61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2" t="s">
        <v>112</v>
      </c>
      <c r="E79" s="613"/>
      <c r="F79" s="614"/>
      <c r="G79" s="5"/>
      <c r="H79" s="615"/>
      <c r="I79" s="616"/>
      <c r="J79" s="616"/>
      <c r="K79" s="616"/>
      <c r="L79" s="616"/>
      <c r="M79" s="616"/>
      <c r="N79" s="616"/>
      <c r="O79" s="616"/>
      <c r="P79" s="616"/>
      <c r="Q79" s="61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2" t="s">
        <v>114</v>
      </c>
      <c r="E81" s="613"/>
      <c r="F81" s="614"/>
      <c r="G81" s="5"/>
      <c r="H81" s="615"/>
      <c r="I81" s="616"/>
      <c r="J81" s="616"/>
      <c r="K81" s="616"/>
      <c r="L81" s="616"/>
      <c r="M81" s="616"/>
      <c r="N81" s="616"/>
      <c r="O81" s="616"/>
      <c r="P81" s="616"/>
      <c r="Q81" s="61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2" t="s">
        <v>116</v>
      </c>
      <c r="E83" s="613"/>
      <c r="F83" s="614"/>
      <c r="G83" s="5"/>
      <c r="H83" s="615"/>
      <c r="I83" s="616"/>
      <c r="J83" s="616"/>
      <c r="K83" s="616"/>
      <c r="L83" s="616"/>
      <c r="M83" s="616"/>
      <c r="N83" s="616"/>
      <c r="O83" s="616"/>
      <c r="P83" s="616"/>
      <c r="Q83" s="61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2" t="s">
        <v>118</v>
      </c>
      <c r="E85" s="613"/>
      <c r="F85" s="614"/>
      <c r="G85" s="5"/>
      <c r="H85" s="615"/>
      <c r="I85" s="616"/>
      <c r="J85" s="616"/>
      <c r="K85" s="616"/>
      <c r="L85" s="616"/>
      <c r="M85" s="616"/>
      <c r="N85" s="616"/>
      <c r="O85" s="616"/>
      <c r="P85" s="616"/>
      <c r="Q85" s="61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2" t="s">
        <v>120</v>
      </c>
      <c r="E87" s="613"/>
      <c r="F87" s="614"/>
      <c r="G87" s="5"/>
      <c r="H87" s="615"/>
      <c r="I87" s="616"/>
      <c r="J87" s="616"/>
      <c r="K87" s="616"/>
      <c r="L87" s="616"/>
      <c r="M87" s="616"/>
      <c r="N87" s="616"/>
      <c r="O87" s="616"/>
      <c r="P87" s="616"/>
      <c r="Q87" s="61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2" t="s">
        <v>122</v>
      </c>
      <c r="E89" s="613"/>
      <c r="F89" s="614"/>
      <c r="G89" s="5"/>
      <c r="H89" s="615"/>
      <c r="I89" s="616"/>
      <c r="J89" s="616"/>
      <c r="K89" s="616"/>
      <c r="L89" s="616"/>
      <c r="M89" s="616"/>
      <c r="N89" s="616"/>
      <c r="O89" s="616"/>
      <c r="P89" s="616"/>
      <c r="Q89" s="61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9" t="s">
        <v>57</v>
      </c>
      <c r="E95" s="610"/>
      <c r="F95" s="610"/>
      <c r="G95" s="610"/>
      <c r="H95" s="610"/>
      <c r="I95" s="610"/>
      <c r="J95" s="61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9" t="s">
        <v>59</v>
      </c>
      <c r="E97" s="610"/>
      <c r="F97" s="610"/>
      <c r="G97" s="610"/>
      <c r="H97" s="610"/>
      <c r="I97" s="610"/>
      <c r="J97" s="61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9" t="s">
        <v>127</v>
      </c>
      <c r="E99" s="610"/>
      <c r="F99" s="610"/>
      <c r="G99" s="610"/>
      <c r="H99" s="610"/>
      <c r="I99" s="610"/>
      <c r="J99" s="61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9" t="s">
        <v>129</v>
      </c>
      <c r="E103" s="610"/>
      <c r="F103" s="610"/>
      <c r="G103" s="610"/>
      <c r="H103" s="610"/>
      <c r="I103" s="610"/>
      <c r="J103" s="61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9" t="s">
        <v>67</v>
      </c>
      <c r="E105" s="610"/>
      <c r="F105" s="610"/>
      <c r="G105" s="610"/>
      <c r="H105" s="610"/>
      <c r="I105" s="610"/>
      <c r="J105" s="61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4" t="s">
        <v>130</v>
      </c>
      <c r="C107" s="625"/>
      <c r="D107" s="625"/>
      <c r="E107" s="625"/>
      <c r="F107" s="625"/>
      <c r="G107" s="625"/>
      <c r="H107" s="625"/>
      <c r="I107" s="625"/>
      <c r="J107" s="625"/>
      <c r="K107" s="625"/>
      <c r="L107" s="625"/>
      <c r="M107" s="625"/>
      <c r="N107" s="625"/>
      <c r="O107" s="625"/>
      <c r="P107" s="625"/>
      <c r="Q107" s="625"/>
      <c r="R107" s="62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7"/>
      <c r="J2" s="637"/>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7"/>
      <c r="J4" s="637"/>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7"/>
      <c r="J8" s="637"/>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7"/>
      <c r="J10" s="637"/>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8"/>
      <c r="D12" s="638"/>
      <c r="E12" s="638"/>
      <c r="F12" s="638"/>
      <c r="G12" s="638"/>
      <c r="H12" s="638"/>
      <c r="I12" s="638"/>
      <c r="J12" s="638"/>
      <c r="K12" s="638"/>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6" t="s">
        <v>137</v>
      </c>
      <c r="F16" s="636"/>
      <c r="G16" s="636"/>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6" t="s">
        <v>139</v>
      </c>
      <c r="F18" s="636"/>
      <c r="G18" s="636"/>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6" t="s">
        <v>141</v>
      </c>
      <c r="F20" s="636"/>
      <c r="G20" s="636"/>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6" t="s">
        <v>144</v>
      </c>
      <c r="F24" s="636"/>
      <c r="G24" s="636"/>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6" t="s">
        <v>147</v>
      </c>
      <c r="F26" s="636"/>
      <c r="G26" s="636"/>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6" t="s">
        <v>149</v>
      </c>
      <c r="F28" s="636"/>
      <c r="G28" s="636"/>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6" t="s">
        <v>151</v>
      </c>
      <c r="F30" s="636"/>
      <c r="G30" s="636"/>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6" t="s">
        <v>154</v>
      </c>
      <c r="F34" s="636"/>
      <c r="G34" s="636"/>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6" t="s">
        <v>157</v>
      </c>
      <c r="F38" s="636"/>
      <c r="G38" s="636"/>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6" t="s">
        <v>162</v>
      </c>
      <c r="F42" s="636"/>
      <c r="G42" s="636"/>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6" t="s">
        <v>166</v>
      </c>
      <c r="F46" s="636"/>
      <c r="G46" s="636"/>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6" t="s">
        <v>168</v>
      </c>
      <c r="F48" s="636"/>
      <c r="G48" s="636"/>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6" t="s">
        <v>170</v>
      </c>
      <c r="F50" s="636"/>
      <c r="G50" s="636"/>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6" t="s">
        <v>175</v>
      </c>
      <c r="F56" s="636"/>
      <c r="G56" s="636"/>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6" t="s">
        <v>178</v>
      </c>
      <c r="F60" s="636"/>
      <c r="G60" s="636"/>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6" t="s">
        <v>181</v>
      </c>
      <c r="F64" s="636"/>
      <c r="G64" s="636"/>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6" t="s">
        <v>182</v>
      </c>
      <c r="F66" s="636"/>
      <c r="G66" s="636"/>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6" t="s">
        <v>185</v>
      </c>
      <c r="F70" s="636"/>
      <c r="G70" s="636"/>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6" t="s">
        <v>186</v>
      </c>
      <c r="F72" s="636"/>
      <c r="G72" s="636"/>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6" t="s">
        <v>189</v>
      </c>
      <c r="F76" s="636"/>
      <c r="G76" s="636"/>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6" t="s">
        <v>190</v>
      </c>
      <c r="F78" s="636"/>
      <c r="G78" s="636"/>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6" t="s">
        <v>193</v>
      </c>
      <c r="F82" s="636"/>
      <c r="G82" s="636"/>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8" t="s">
        <v>194</v>
      </c>
      <c r="B84" s="589"/>
      <c r="C84" s="589"/>
      <c r="D84" s="589"/>
      <c r="E84" s="589"/>
      <c r="F84" s="589"/>
      <c r="G84" s="589"/>
      <c r="H84" s="589"/>
      <c r="I84" s="589"/>
      <c r="J84" s="589"/>
      <c r="K84" s="589"/>
      <c r="L84" s="639"/>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RowColHeaders="0" tabSelected="1" topLeftCell="B1"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9" t="s">
        <v>69</v>
      </c>
      <c r="D1" s="659"/>
      <c r="E1" s="659"/>
      <c r="F1" s="659"/>
      <c r="G1" s="659"/>
      <c r="H1" s="659"/>
      <c r="I1" s="659"/>
      <c r="J1" s="659"/>
      <c r="K1" s="659"/>
      <c r="L1" s="659"/>
      <c r="M1" s="659"/>
      <c r="N1" s="659"/>
      <c r="O1" s="659"/>
      <c r="P1" s="659"/>
      <c r="Q1" s="659"/>
    </row>
    <row r="2" spans="1:18" s="236" customFormat="1" x14ac:dyDescent="0.25">
      <c r="A2" s="336"/>
      <c r="B2" s="338"/>
      <c r="C2" s="659"/>
      <c r="D2" s="659"/>
      <c r="E2" s="659"/>
      <c r="F2" s="659"/>
      <c r="G2" s="659"/>
      <c r="H2" s="659"/>
      <c r="I2" s="659"/>
      <c r="J2" s="659"/>
      <c r="K2" s="659"/>
      <c r="L2" s="659"/>
      <c r="M2" s="659"/>
      <c r="N2" s="659"/>
      <c r="O2" s="659"/>
      <c r="P2" s="659"/>
      <c r="Q2" s="659"/>
      <c r="R2" s="337"/>
    </row>
    <row r="3" spans="1:18" s="341" customFormat="1" ht="9.75" customHeight="1" x14ac:dyDescent="0.25">
      <c r="A3" s="336"/>
      <c r="B3" s="339"/>
      <c r="C3" s="660"/>
      <c r="D3" s="660"/>
      <c r="E3" s="660"/>
      <c r="F3" s="660"/>
      <c r="G3" s="660"/>
      <c r="H3" s="660"/>
      <c r="I3" s="660"/>
      <c r="J3" s="660"/>
      <c r="K3" s="660"/>
      <c r="L3" s="660"/>
      <c r="M3" s="660"/>
      <c r="N3" s="660"/>
      <c r="O3" s="660"/>
      <c r="P3" s="660"/>
      <c r="Q3" s="660"/>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6" t="s">
        <v>18</v>
      </c>
      <c r="E7" s="657"/>
      <c r="F7" s="658"/>
      <c r="G7" s="343"/>
      <c r="H7" s="615" t="s">
        <v>420</v>
      </c>
      <c r="I7" s="616"/>
      <c r="J7" s="616"/>
      <c r="K7" s="616"/>
      <c r="L7" s="616"/>
      <c r="M7" s="616"/>
      <c r="N7" s="616"/>
      <c r="O7" s="616"/>
      <c r="P7" s="616"/>
      <c r="Q7" s="617"/>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6" t="s">
        <v>20</v>
      </c>
      <c r="E9" s="657"/>
      <c r="F9" s="658"/>
      <c r="G9" s="343"/>
      <c r="H9" s="615" t="s">
        <v>421</v>
      </c>
      <c r="I9" s="616"/>
      <c r="J9" s="616"/>
      <c r="K9" s="616"/>
      <c r="L9" s="616"/>
      <c r="M9" s="616"/>
      <c r="N9" s="616"/>
      <c r="O9" s="616"/>
      <c r="P9" s="616"/>
      <c r="Q9" s="617"/>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6" t="s">
        <v>71</v>
      </c>
      <c r="E11" s="657"/>
      <c r="F11" s="658"/>
      <c r="G11" s="343"/>
      <c r="H11" s="615"/>
      <c r="I11" s="616"/>
      <c r="J11" s="616"/>
      <c r="K11" s="616"/>
      <c r="L11" s="616"/>
      <c r="M11" s="616"/>
      <c r="N11" s="616"/>
      <c r="O11" s="616"/>
      <c r="P11" s="616"/>
      <c r="Q11" s="617"/>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6" t="s">
        <v>24</v>
      </c>
      <c r="E13" s="657"/>
      <c r="F13" s="658"/>
      <c r="G13" s="343"/>
      <c r="H13" s="615"/>
      <c r="I13" s="616"/>
      <c r="J13" s="616"/>
      <c r="K13" s="616"/>
      <c r="L13" s="616"/>
      <c r="M13" s="616"/>
      <c r="N13" s="616"/>
      <c r="O13" s="616"/>
      <c r="P13" s="616"/>
      <c r="Q13" s="617"/>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6" t="s">
        <v>26</v>
      </c>
      <c r="E15" s="657"/>
      <c r="F15" s="658"/>
      <c r="G15" s="343"/>
      <c r="H15" s="615"/>
      <c r="I15" s="616"/>
      <c r="J15" s="616"/>
      <c r="K15" s="616"/>
      <c r="L15" s="616"/>
      <c r="M15" s="616"/>
      <c r="N15" s="616"/>
      <c r="O15" s="616"/>
      <c r="P15" s="616"/>
      <c r="Q15" s="617"/>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6" t="s">
        <v>28</v>
      </c>
      <c r="E17" s="657"/>
      <c r="F17" s="658"/>
      <c r="G17" s="343"/>
      <c r="H17" s="652" t="s">
        <v>422</v>
      </c>
      <c r="I17" s="616"/>
      <c r="J17" s="616"/>
      <c r="K17" s="616"/>
      <c r="L17" s="616"/>
      <c r="M17" s="616"/>
      <c r="N17" s="616"/>
      <c r="O17" s="616"/>
      <c r="P17" s="616"/>
      <c r="Q17" s="617"/>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6" t="s">
        <v>30</v>
      </c>
      <c r="E19" s="657"/>
      <c r="F19" s="658"/>
      <c r="G19" s="357" t="s">
        <v>31</v>
      </c>
      <c r="H19" s="630">
        <v>43830</v>
      </c>
      <c r="I19" s="631"/>
      <c r="J19" s="631"/>
      <c r="K19" s="631"/>
      <c r="L19" s="631"/>
      <c r="M19" s="631"/>
      <c r="N19" s="631"/>
      <c r="O19" s="631"/>
      <c r="P19" s="631"/>
      <c r="Q19" s="632"/>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6" t="s">
        <v>73</v>
      </c>
      <c r="E21" s="657"/>
      <c r="F21" s="658"/>
      <c r="G21" s="359" t="s">
        <v>31</v>
      </c>
      <c r="H21" s="633" t="s">
        <v>195</v>
      </c>
      <c r="I21" s="634"/>
      <c r="J21" s="634"/>
      <c r="K21" s="634"/>
      <c r="L21" s="634"/>
      <c r="M21" s="634"/>
      <c r="N21" s="634"/>
      <c r="O21" s="634"/>
      <c r="P21" s="634"/>
      <c r="Q21" s="635"/>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6" t="s">
        <v>76</v>
      </c>
      <c r="E23" s="657"/>
      <c r="F23" s="658"/>
      <c r="G23" s="343"/>
      <c r="H23" s="615"/>
      <c r="I23" s="616"/>
      <c r="J23" s="616"/>
      <c r="K23" s="616"/>
      <c r="L23" s="616"/>
      <c r="M23" s="616"/>
      <c r="N23" s="616"/>
      <c r="O23" s="616"/>
      <c r="P23" s="616"/>
      <c r="Q23" s="617"/>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6" t="s">
        <v>78</v>
      </c>
      <c r="E25" s="657"/>
      <c r="F25" s="658"/>
      <c r="G25" s="343"/>
      <c r="H25" s="615"/>
      <c r="I25" s="616"/>
      <c r="J25" s="616"/>
      <c r="K25" s="616"/>
      <c r="L25" s="616"/>
      <c r="M25" s="616"/>
      <c r="N25" s="616"/>
      <c r="O25" s="616"/>
      <c r="P25" s="616"/>
      <c r="Q25" s="617"/>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6" t="s">
        <v>80</v>
      </c>
      <c r="E27" s="657"/>
      <c r="F27" s="658"/>
      <c r="G27" s="343"/>
      <c r="H27" s="615"/>
      <c r="I27" s="616"/>
      <c r="J27" s="616"/>
      <c r="K27" s="616"/>
      <c r="L27" s="616"/>
      <c r="M27" s="616"/>
      <c r="N27" s="616"/>
      <c r="O27" s="616"/>
      <c r="P27" s="616"/>
      <c r="Q27" s="617"/>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3" t="s">
        <v>82</v>
      </c>
      <c r="E29" s="654"/>
      <c r="F29" s="655"/>
      <c r="G29" s="343"/>
      <c r="H29" s="615"/>
      <c r="I29" s="616"/>
      <c r="J29" s="616"/>
      <c r="K29" s="616"/>
      <c r="L29" s="616"/>
      <c r="M29" s="616"/>
      <c r="N29" s="616"/>
      <c r="O29" s="616"/>
      <c r="P29" s="616"/>
      <c r="Q29" s="617"/>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3" t="s">
        <v>84</v>
      </c>
      <c r="E31" s="654"/>
      <c r="F31" s="655"/>
      <c r="G31" s="343"/>
      <c r="H31" s="615"/>
      <c r="I31" s="616"/>
      <c r="J31" s="616"/>
      <c r="K31" s="616"/>
      <c r="L31" s="616"/>
      <c r="M31" s="616"/>
      <c r="N31" s="616"/>
      <c r="O31" s="616"/>
      <c r="P31" s="616"/>
      <c r="Q31" s="617"/>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3" t="s">
        <v>86</v>
      </c>
      <c r="E33" s="654"/>
      <c r="F33" s="655"/>
      <c r="G33" s="343"/>
      <c r="H33" s="615"/>
      <c r="I33" s="616"/>
      <c r="J33" s="616"/>
      <c r="K33" s="616"/>
      <c r="L33" s="616"/>
      <c r="M33" s="616"/>
      <c r="N33" s="616"/>
      <c r="O33" s="616"/>
      <c r="P33" s="616"/>
      <c r="Q33" s="617"/>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6" t="s">
        <v>34</v>
      </c>
      <c r="E37" s="647"/>
      <c r="F37" s="648"/>
      <c r="G37" s="359" t="s">
        <v>31</v>
      </c>
      <c r="H37" s="615" t="s">
        <v>423</v>
      </c>
      <c r="I37" s="616"/>
      <c r="J37" s="616"/>
      <c r="K37" s="616"/>
      <c r="L37" s="616"/>
      <c r="M37" s="616"/>
      <c r="N37" s="616"/>
      <c r="O37" s="616"/>
      <c r="P37" s="616"/>
      <c r="Q37" s="617"/>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52" t="s">
        <v>424</v>
      </c>
      <c r="I39" s="616"/>
      <c r="J39" s="616"/>
      <c r="K39" s="616"/>
      <c r="L39" s="616"/>
      <c r="M39" s="616"/>
      <c r="N39" s="616"/>
      <c r="O39" s="616"/>
      <c r="P39" s="616"/>
      <c r="Q39" s="617"/>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5" t="s">
        <v>425</v>
      </c>
      <c r="I41" s="616"/>
      <c r="J41" s="616"/>
      <c r="K41" s="616"/>
      <c r="L41" s="616"/>
      <c r="M41" s="616"/>
      <c r="N41" s="616"/>
      <c r="O41" s="616"/>
      <c r="P41" s="616"/>
      <c r="Q41" s="617"/>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5"/>
      <c r="I43" s="616"/>
      <c r="J43" s="616"/>
      <c r="K43" s="616"/>
      <c r="L43" s="616"/>
      <c r="M43" s="616"/>
      <c r="N43" s="616"/>
      <c r="O43" s="616"/>
      <c r="P43" s="616"/>
      <c r="Q43" s="617"/>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5"/>
      <c r="I45" s="616"/>
      <c r="J45" s="616"/>
      <c r="K45" s="616"/>
      <c r="L45" s="616"/>
      <c r="M45" s="616"/>
      <c r="N45" s="616"/>
      <c r="O45" s="616"/>
      <c r="P45" s="616"/>
      <c r="Q45" s="617"/>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5"/>
      <c r="I47" s="616"/>
      <c r="J47" s="616"/>
      <c r="K47" s="616"/>
      <c r="L47" s="616"/>
      <c r="M47" s="616"/>
      <c r="N47" s="616"/>
      <c r="O47" s="616"/>
      <c r="P47" s="616"/>
      <c r="Q47" s="617"/>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5"/>
      <c r="I49" s="616"/>
      <c r="J49" s="616"/>
      <c r="K49" s="616"/>
      <c r="L49" s="616"/>
      <c r="M49" s="616"/>
      <c r="N49" s="616"/>
      <c r="O49" s="616"/>
      <c r="P49" s="616"/>
      <c r="Q49" s="617"/>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5"/>
      <c r="I51" s="616"/>
      <c r="J51" s="616"/>
      <c r="K51" s="616"/>
      <c r="L51" s="616"/>
      <c r="M51" s="616"/>
      <c r="N51" s="616"/>
      <c r="O51" s="616"/>
      <c r="P51" s="616"/>
      <c r="Q51" s="617"/>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5"/>
      <c r="I53" s="616"/>
      <c r="J53" s="616"/>
      <c r="K53" s="616"/>
      <c r="L53" s="616"/>
      <c r="M53" s="616"/>
      <c r="N53" s="616"/>
      <c r="O53" s="616"/>
      <c r="P53" s="616"/>
      <c r="Q53" s="617"/>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5"/>
      <c r="I55" s="616"/>
      <c r="J55" s="616"/>
      <c r="K55" s="616"/>
      <c r="L55" s="616"/>
      <c r="M55" s="616"/>
      <c r="N55" s="616"/>
      <c r="O55" s="616"/>
      <c r="P55" s="616"/>
      <c r="Q55" s="617"/>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6" t="s">
        <v>90</v>
      </c>
      <c r="E57" s="647"/>
      <c r="F57" s="648"/>
      <c r="G57" s="343"/>
      <c r="H57" s="615"/>
      <c r="I57" s="616"/>
      <c r="J57" s="616"/>
      <c r="K57" s="616"/>
      <c r="L57" s="616"/>
      <c r="M57" s="616"/>
      <c r="N57" s="616"/>
      <c r="O57" s="616"/>
      <c r="P57" s="616"/>
      <c r="Q57" s="617"/>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6" t="s">
        <v>92</v>
      </c>
      <c r="E59" s="647"/>
      <c r="F59" s="648"/>
      <c r="G59" s="343"/>
      <c r="H59" s="615"/>
      <c r="I59" s="616"/>
      <c r="J59" s="616"/>
      <c r="K59" s="616"/>
      <c r="L59" s="616"/>
      <c r="M59" s="616"/>
      <c r="N59" s="616"/>
      <c r="O59" s="616"/>
      <c r="P59" s="616"/>
      <c r="Q59" s="617"/>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6" t="s">
        <v>94</v>
      </c>
      <c r="E61" s="647"/>
      <c r="F61" s="648"/>
      <c r="G61" s="343"/>
      <c r="H61" s="615"/>
      <c r="I61" s="616"/>
      <c r="J61" s="616"/>
      <c r="K61" s="616"/>
      <c r="L61" s="616"/>
      <c r="M61" s="616"/>
      <c r="N61" s="616"/>
      <c r="O61" s="616"/>
      <c r="P61" s="616"/>
      <c r="Q61" s="617"/>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6" t="s">
        <v>96</v>
      </c>
      <c r="E63" s="647"/>
      <c r="F63" s="648"/>
      <c r="G63" s="343"/>
      <c r="H63" s="615"/>
      <c r="I63" s="616"/>
      <c r="J63" s="616"/>
      <c r="K63" s="616"/>
      <c r="L63" s="616"/>
      <c r="M63" s="616"/>
      <c r="N63" s="616"/>
      <c r="O63" s="616"/>
      <c r="P63" s="616"/>
      <c r="Q63" s="617"/>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6" t="s">
        <v>197</v>
      </c>
      <c r="E65" s="647"/>
      <c r="F65" s="648"/>
      <c r="G65" s="343"/>
      <c r="H65" s="615"/>
      <c r="I65" s="616"/>
      <c r="J65" s="616"/>
      <c r="K65" s="616"/>
      <c r="L65" s="616"/>
      <c r="M65" s="616"/>
      <c r="N65" s="616"/>
      <c r="O65" s="616"/>
      <c r="P65" s="616"/>
      <c r="Q65" s="617"/>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6" t="s">
        <v>100</v>
      </c>
      <c r="E67" s="647"/>
      <c r="F67" s="648"/>
      <c r="G67" s="343"/>
      <c r="H67" s="615"/>
      <c r="I67" s="616"/>
      <c r="J67" s="616"/>
      <c r="K67" s="616"/>
      <c r="L67" s="616"/>
      <c r="M67" s="616"/>
      <c r="N67" s="616"/>
      <c r="O67" s="616"/>
      <c r="P67" s="616"/>
      <c r="Q67" s="617"/>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6" t="s">
        <v>102</v>
      </c>
      <c r="E69" s="647"/>
      <c r="F69" s="648"/>
      <c r="G69" s="343"/>
      <c r="H69" s="615"/>
      <c r="I69" s="616"/>
      <c r="J69" s="616"/>
      <c r="K69" s="616"/>
      <c r="L69" s="616"/>
      <c r="M69" s="616"/>
      <c r="N69" s="616"/>
      <c r="O69" s="616"/>
      <c r="P69" s="616"/>
      <c r="Q69" s="617"/>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6" t="s">
        <v>104</v>
      </c>
      <c r="E71" s="647"/>
      <c r="F71" s="648"/>
      <c r="G71" s="343"/>
      <c r="H71" s="615"/>
      <c r="I71" s="616"/>
      <c r="J71" s="616"/>
      <c r="K71" s="616"/>
      <c r="L71" s="616"/>
      <c r="M71" s="616"/>
      <c r="N71" s="616"/>
      <c r="O71" s="616"/>
      <c r="P71" s="616"/>
      <c r="Q71" s="617"/>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6" t="s">
        <v>106</v>
      </c>
      <c r="E73" s="647"/>
      <c r="F73" s="648"/>
      <c r="G73" s="343"/>
      <c r="H73" s="615"/>
      <c r="I73" s="616"/>
      <c r="J73" s="616"/>
      <c r="K73" s="616"/>
      <c r="L73" s="616"/>
      <c r="M73" s="616"/>
      <c r="N73" s="616"/>
      <c r="O73" s="616"/>
      <c r="P73" s="616"/>
      <c r="Q73" s="617"/>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6" t="s">
        <v>108</v>
      </c>
      <c r="E75" s="647"/>
      <c r="F75" s="648"/>
      <c r="G75" s="343"/>
      <c r="H75" s="615"/>
      <c r="I75" s="616"/>
      <c r="J75" s="616"/>
      <c r="K75" s="616"/>
      <c r="L75" s="616"/>
      <c r="M75" s="616"/>
      <c r="N75" s="616"/>
      <c r="O75" s="616"/>
      <c r="P75" s="616"/>
      <c r="Q75" s="617"/>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6" t="s">
        <v>110</v>
      </c>
      <c r="E77" s="647"/>
      <c r="F77" s="648"/>
      <c r="G77" s="343"/>
      <c r="H77" s="615"/>
      <c r="I77" s="616"/>
      <c r="J77" s="616"/>
      <c r="K77" s="616"/>
      <c r="L77" s="616"/>
      <c r="M77" s="616"/>
      <c r="N77" s="616"/>
      <c r="O77" s="616"/>
      <c r="P77" s="616"/>
      <c r="Q77" s="617"/>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6" t="s">
        <v>112</v>
      </c>
      <c r="E79" s="647"/>
      <c r="F79" s="648"/>
      <c r="G79" s="343"/>
      <c r="H79" s="615"/>
      <c r="I79" s="616"/>
      <c r="J79" s="616"/>
      <c r="K79" s="616"/>
      <c r="L79" s="616"/>
      <c r="M79" s="616"/>
      <c r="N79" s="616"/>
      <c r="O79" s="616"/>
      <c r="P79" s="616"/>
      <c r="Q79" s="617"/>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6" t="s">
        <v>114</v>
      </c>
      <c r="E81" s="647"/>
      <c r="F81" s="648"/>
      <c r="G81" s="343"/>
      <c r="H81" s="615"/>
      <c r="I81" s="616"/>
      <c r="J81" s="616"/>
      <c r="K81" s="616"/>
      <c r="L81" s="616"/>
      <c r="M81" s="616"/>
      <c r="N81" s="616"/>
      <c r="O81" s="616"/>
      <c r="P81" s="616"/>
      <c r="Q81" s="617"/>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6" t="s">
        <v>116</v>
      </c>
      <c r="E83" s="647"/>
      <c r="F83" s="648"/>
      <c r="G83" s="343"/>
      <c r="H83" s="615"/>
      <c r="I83" s="616"/>
      <c r="J83" s="616"/>
      <c r="K83" s="616"/>
      <c r="L83" s="616"/>
      <c r="M83" s="616"/>
      <c r="N83" s="616"/>
      <c r="O83" s="616"/>
      <c r="P83" s="616"/>
      <c r="Q83" s="617"/>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6" t="s">
        <v>118</v>
      </c>
      <c r="E85" s="647"/>
      <c r="F85" s="648"/>
      <c r="G85" s="343"/>
      <c r="H85" s="615"/>
      <c r="I85" s="616"/>
      <c r="J85" s="616"/>
      <c r="K85" s="616"/>
      <c r="L85" s="616"/>
      <c r="M85" s="616"/>
      <c r="N85" s="616"/>
      <c r="O85" s="616"/>
      <c r="P85" s="616"/>
      <c r="Q85" s="617"/>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6" t="s">
        <v>120</v>
      </c>
      <c r="E87" s="647"/>
      <c r="F87" s="648"/>
      <c r="G87" s="343"/>
      <c r="H87" s="615"/>
      <c r="I87" s="616"/>
      <c r="J87" s="616"/>
      <c r="K87" s="616"/>
      <c r="L87" s="616"/>
      <c r="M87" s="616"/>
      <c r="N87" s="616"/>
      <c r="O87" s="616"/>
      <c r="P87" s="616"/>
      <c r="Q87" s="617"/>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6" t="s">
        <v>122</v>
      </c>
      <c r="E89" s="647"/>
      <c r="F89" s="648"/>
      <c r="G89" s="343"/>
      <c r="H89" s="615"/>
      <c r="I89" s="616"/>
      <c r="J89" s="616"/>
      <c r="K89" s="616"/>
      <c r="L89" s="616"/>
      <c r="M89" s="616"/>
      <c r="N89" s="616"/>
      <c r="O89" s="616"/>
      <c r="P89" s="616"/>
      <c r="Q89" s="617"/>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40" t="s">
        <v>57</v>
      </c>
      <c r="E95" s="641"/>
      <c r="F95" s="641"/>
      <c r="G95" s="641"/>
      <c r="H95" s="641"/>
      <c r="I95" s="641"/>
      <c r="J95" s="642"/>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40" t="s">
        <v>59</v>
      </c>
      <c r="E97" s="641"/>
      <c r="F97" s="641"/>
      <c r="G97" s="641"/>
      <c r="H97" s="641"/>
      <c r="I97" s="641"/>
      <c r="J97" s="642"/>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40" t="s">
        <v>198</v>
      </c>
      <c r="E99" s="641"/>
      <c r="F99" s="641"/>
      <c r="G99" s="641"/>
      <c r="H99" s="641"/>
      <c r="I99" s="641"/>
      <c r="J99" s="642"/>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3" t="s">
        <v>199</v>
      </c>
      <c r="C102" s="644"/>
      <c r="D102" s="644"/>
      <c r="E102" s="644"/>
      <c r="F102" s="644"/>
      <c r="G102" s="644"/>
      <c r="H102" s="644"/>
      <c r="I102" s="644"/>
      <c r="J102" s="644"/>
      <c r="K102" s="644"/>
      <c r="L102" s="644"/>
      <c r="M102" s="644"/>
      <c r="N102" s="644"/>
      <c r="O102" s="644"/>
      <c r="P102" s="644"/>
      <c r="Q102" s="644"/>
      <c r="R102" s="645"/>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80" zoomScaleNormal="8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4" t="s">
        <v>426</v>
      </c>
      <c r="F2" s="665"/>
      <c r="G2" s="665"/>
      <c r="H2" s="666"/>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7" t="s">
        <v>425</v>
      </c>
      <c r="F4" s="668"/>
      <c r="G4" s="668"/>
      <c r="H4" s="669"/>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0"/>
      <c r="F6" s="671"/>
      <c r="G6" s="671"/>
      <c r="H6" s="672"/>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4" t="s">
        <v>423</v>
      </c>
      <c r="F8" s="665"/>
      <c r="G8" s="665"/>
      <c r="H8" s="666"/>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3" t="s">
        <v>447</v>
      </c>
      <c r="F10" s="674"/>
      <c r="G10" s="674"/>
      <c r="H10" s="675"/>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6" t="s">
        <v>202</v>
      </c>
      <c r="D14" s="676"/>
      <c r="E14" s="676"/>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35" x14ac:dyDescent="0.45">
      <c r="A18" s="397"/>
      <c r="B18" s="406" t="s">
        <v>136</v>
      </c>
      <c r="C18" s="661" t="s">
        <v>204</v>
      </c>
      <c r="D18" s="662"/>
      <c r="E18" s="663"/>
      <c r="F18" s="389"/>
      <c r="G18" s="544" t="s">
        <v>270</v>
      </c>
      <c r="H18" s="389"/>
      <c r="I18" s="545" t="s">
        <v>452</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240" x14ac:dyDescent="0.25">
      <c r="A24" s="389"/>
      <c r="B24" s="406" t="s">
        <v>138</v>
      </c>
      <c r="C24" s="661" t="s">
        <v>207</v>
      </c>
      <c r="D24" s="662"/>
      <c r="E24" s="663"/>
      <c r="F24" s="389"/>
      <c r="G24" s="544" t="s">
        <v>270</v>
      </c>
      <c r="H24" s="389"/>
      <c r="I24" s="543" t="s">
        <v>459</v>
      </c>
      <c r="J24" s="413"/>
    </row>
    <row r="25" spans="1:12" x14ac:dyDescent="0.25">
      <c r="A25" s="389"/>
      <c r="B25" s="406"/>
      <c r="C25" s="408"/>
      <c r="D25" s="408"/>
      <c r="E25" s="408"/>
      <c r="F25" s="389"/>
      <c r="G25" s="390"/>
      <c r="H25" s="389"/>
      <c r="I25" s="411"/>
      <c r="J25" s="413"/>
    </row>
    <row r="26" spans="1:12" ht="105" x14ac:dyDescent="0.45">
      <c r="A26" s="389"/>
      <c r="B26" s="406" t="s">
        <v>140</v>
      </c>
      <c r="C26" s="661" t="s">
        <v>208</v>
      </c>
      <c r="D26" s="662"/>
      <c r="E26" s="663"/>
      <c r="F26" s="389"/>
      <c r="G26" s="544" t="s">
        <v>270</v>
      </c>
      <c r="H26" s="389"/>
      <c r="I26" s="543" t="s">
        <v>434</v>
      </c>
      <c r="J26" s="413"/>
      <c r="L26" s="407" t="s">
        <v>37</v>
      </c>
    </row>
    <row r="27" spans="1:12" x14ac:dyDescent="0.25">
      <c r="A27" s="389"/>
      <c r="B27" s="406"/>
      <c r="C27" s="414"/>
      <c r="D27" s="388"/>
      <c r="E27" s="388"/>
      <c r="F27" s="389"/>
      <c r="G27" s="390"/>
      <c r="H27" s="389"/>
      <c r="I27" s="411"/>
      <c r="J27" s="413"/>
    </row>
    <row r="28" spans="1:12" ht="90" x14ac:dyDescent="0.25">
      <c r="A28" s="389"/>
      <c r="B28" s="406" t="s">
        <v>143</v>
      </c>
      <c r="C28" s="661" t="s">
        <v>209</v>
      </c>
      <c r="D28" s="662"/>
      <c r="E28" s="663"/>
      <c r="F28" s="389"/>
      <c r="G28" s="544" t="s">
        <v>270</v>
      </c>
      <c r="H28" s="389"/>
      <c r="I28" s="543" t="s">
        <v>435</v>
      </c>
      <c r="J28" s="413"/>
    </row>
    <row r="29" spans="1:12" x14ac:dyDescent="0.25">
      <c r="A29" s="389"/>
      <c r="B29" s="406"/>
      <c r="C29" s="414"/>
      <c r="D29" s="388"/>
      <c r="E29" s="388"/>
      <c r="F29" s="389"/>
      <c r="G29" s="390"/>
      <c r="H29" s="389"/>
      <c r="I29" s="411"/>
      <c r="J29" s="413"/>
    </row>
    <row r="30" spans="1:12" ht="75" x14ac:dyDescent="0.25">
      <c r="A30" s="389"/>
      <c r="B30" s="406" t="s">
        <v>145</v>
      </c>
      <c r="C30" s="661" t="s">
        <v>210</v>
      </c>
      <c r="D30" s="662"/>
      <c r="E30" s="663"/>
      <c r="F30" s="389"/>
      <c r="G30" s="544" t="s">
        <v>270</v>
      </c>
      <c r="H30" s="389"/>
      <c r="I30" s="543" t="s">
        <v>428</v>
      </c>
      <c r="J30" s="413"/>
    </row>
    <row r="31" spans="1:12" x14ac:dyDescent="0.25">
      <c r="A31" s="389"/>
      <c r="B31" s="406"/>
      <c r="C31" s="414"/>
      <c r="D31" s="388"/>
      <c r="E31" s="388"/>
      <c r="F31" s="389"/>
      <c r="G31" s="390"/>
      <c r="H31" s="389"/>
      <c r="I31" s="411"/>
      <c r="J31" s="413"/>
    </row>
    <row r="32" spans="1:12" ht="75" x14ac:dyDescent="0.25">
      <c r="A32" s="389"/>
      <c r="B32" s="406" t="s">
        <v>153</v>
      </c>
      <c r="C32" s="661" t="s">
        <v>211</v>
      </c>
      <c r="D32" s="662"/>
      <c r="E32" s="663"/>
      <c r="F32" s="389"/>
      <c r="G32" s="544" t="s">
        <v>270</v>
      </c>
      <c r="H32" s="389"/>
      <c r="I32" s="543" t="s">
        <v>427</v>
      </c>
      <c r="J32" s="413"/>
    </row>
    <row r="33" spans="1:12" x14ac:dyDescent="0.25">
      <c r="A33" s="389"/>
      <c r="B33" s="415"/>
      <c r="C33" s="414"/>
      <c r="D33" s="388"/>
      <c r="E33" s="388"/>
      <c r="F33" s="389"/>
      <c r="G33" s="390"/>
      <c r="H33" s="389"/>
      <c r="I33" s="411"/>
      <c r="J33" s="413"/>
    </row>
    <row r="34" spans="1:12" ht="75" x14ac:dyDescent="0.25">
      <c r="A34" s="389"/>
      <c r="B34" s="406" t="s">
        <v>156</v>
      </c>
      <c r="C34" s="661" t="s">
        <v>212</v>
      </c>
      <c r="D34" s="662"/>
      <c r="E34" s="663"/>
      <c r="F34" s="389"/>
      <c r="G34" s="544" t="s">
        <v>270</v>
      </c>
      <c r="H34" s="389"/>
      <c r="I34" s="543" t="s">
        <v>427</v>
      </c>
      <c r="J34" s="413"/>
    </row>
    <row r="35" spans="1:12" x14ac:dyDescent="0.25">
      <c r="A35" s="389"/>
      <c r="B35" s="389"/>
      <c r="C35" s="414"/>
      <c r="D35" s="388"/>
      <c r="E35" s="388"/>
      <c r="F35" s="389"/>
      <c r="G35" s="390"/>
      <c r="H35" s="389"/>
      <c r="I35" s="411"/>
      <c r="J35" s="413"/>
    </row>
    <row r="36" spans="1:12" ht="120" x14ac:dyDescent="0.45">
      <c r="A36" s="389"/>
      <c r="B36" s="390" t="s">
        <v>161</v>
      </c>
      <c r="C36" s="661" t="s">
        <v>213</v>
      </c>
      <c r="D36" s="662"/>
      <c r="E36" s="663"/>
      <c r="F36" s="389"/>
      <c r="G36" s="544" t="s">
        <v>270</v>
      </c>
      <c r="H36" s="389"/>
      <c r="I36" s="543" t="s">
        <v>450</v>
      </c>
      <c r="J36" s="413"/>
      <c r="L36" s="407" t="s">
        <v>37</v>
      </c>
    </row>
    <row r="37" spans="1:12" x14ac:dyDescent="0.25">
      <c r="A37" s="389"/>
      <c r="B37" s="390"/>
      <c r="C37" s="414"/>
      <c r="D37" s="388"/>
      <c r="E37" s="388"/>
      <c r="F37" s="389"/>
      <c r="G37" s="390"/>
      <c r="H37" s="389"/>
      <c r="I37" s="411"/>
      <c r="J37" s="413"/>
    </row>
    <row r="38" spans="1:12" ht="90" x14ac:dyDescent="0.25">
      <c r="A38" s="389"/>
      <c r="B38" s="390" t="s">
        <v>165</v>
      </c>
      <c r="C38" s="661" t="s">
        <v>214</v>
      </c>
      <c r="D38" s="662"/>
      <c r="E38" s="663"/>
      <c r="F38" s="389"/>
      <c r="G38" s="544" t="s">
        <v>270</v>
      </c>
      <c r="H38" s="389"/>
      <c r="I38" s="543" t="s">
        <v>453</v>
      </c>
      <c r="J38" s="413"/>
    </row>
    <row r="39" spans="1:12" x14ac:dyDescent="0.25">
      <c r="A39" s="389"/>
      <c r="B39" s="390"/>
      <c r="C39" s="414"/>
      <c r="D39" s="388"/>
      <c r="E39" s="388"/>
      <c r="F39" s="389"/>
      <c r="G39" s="390"/>
      <c r="H39" s="389"/>
      <c r="I39" s="411"/>
      <c r="J39" s="413"/>
    </row>
    <row r="40" spans="1:12" ht="90" x14ac:dyDescent="0.25">
      <c r="A40" s="389"/>
      <c r="B40" s="390" t="s">
        <v>167</v>
      </c>
      <c r="C40" s="661" t="s">
        <v>215</v>
      </c>
      <c r="D40" s="662"/>
      <c r="E40" s="663"/>
      <c r="F40" s="389"/>
      <c r="G40" s="544" t="s">
        <v>270</v>
      </c>
      <c r="H40" s="389"/>
      <c r="I40" s="543" t="s">
        <v>439</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60" x14ac:dyDescent="0.45">
      <c r="A44" s="389"/>
      <c r="B44" s="390" t="s">
        <v>169</v>
      </c>
      <c r="C44" s="661" t="s">
        <v>217</v>
      </c>
      <c r="D44" s="662"/>
      <c r="E44" s="663"/>
      <c r="F44" s="389"/>
      <c r="G44" s="544" t="s">
        <v>270</v>
      </c>
      <c r="H44" s="389"/>
      <c r="I44" s="543" t="s">
        <v>449</v>
      </c>
      <c r="J44" s="413"/>
      <c r="L44" s="407" t="s">
        <v>37</v>
      </c>
    </row>
    <row r="45" spans="1:12" x14ac:dyDescent="0.25">
      <c r="A45" s="389"/>
      <c r="B45" s="418"/>
      <c r="C45" s="419"/>
      <c r="D45" s="419"/>
      <c r="E45" s="419"/>
      <c r="F45" s="420"/>
      <c r="G45" s="390"/>
      <c r="H45" s="420"/>
      <c r="I45" s="411"/>
      <c r="J45" s="413"/>
    </row>
    <row r="46" spans="1:12" ht="45" x14ac:dyDescent="0.45">
      <c r="A46" s="389"/>
      <c r="B46" s="390" t="s">
        <v>174</v>
      </c>
      <c r="C46" s="661" t="s">
        <v>218</v>
      </c>
      <c r="D46" s="662"/>
      <c r="E46" s="663"/>
      <c r="F46" s="389"/>
      <c r="G46" s="544" t="s">
        <v>270</v>
      </c>
      <c r="H46" s="389"/>
      <c r="I46" s="543" t="s">
        <v>458</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34.5" x14ac:dyDescent="0.45">
      <c r="A50" s="389"/>
      <c r="B50" s="390" t="s">
        <v>177</v>
      </c>
      <c r="C50" s="661" t="s">
        <v>220</v>
      </c>
      <c r="D50" s="662"/>
      <c r="E50" s="663"/>
      <c r="F50" s="389"/>
      <c r="G50" s="544" t="s">
        <v>270</v>
      </c>
      <c r="H50" s="389"/>
      <c r="I50" s="545" t="s">
        <v>440</v>
      </c>
      <c r="J50" s="413"/>
      <c r="L50" s="407" t="s">
        <v>37</v>
      </c>
    </row>
    <row r="51" spans="1:12" x14ac:dyDescent="0.25">
      <c r="A51" s="389"/>
      <c r="B51" s="389"/>
      <c r="C51" s="408"/>
      <c r="D51" s="408"/>
      <c r="E51" s="408"/>
      <c r="F51" s="389"/>
      <c r="G51" s="390"/>
      <c r="H51" s="389"/>
      <c r="I51" s="411"/>
      <c r="J51" s="413"/>
    </row>
    <row r="52" spans="1:12" ht="60" x14ac:dyDescent="0.45">
      <c r="A52" s="389"/>
      <c r="B52" s="390" t="s">
        <v>221</v>
      </c>
      <c r="C52" s="661" t="s">
        <v>222</v>
      </c>
      <c r="D52" s="662"/>
      <c r="E52" s="663"/>
      <c r="F52" s="389"/>
      <c r="G52" s="544" t="s">
        <v>270</v>
      </c>
      <c r="H52" s="389"/>
      <c r="I52" s="545" t="s">
        <v>437</v>
      </c>
      <c r="J52" s="413"/>
      <c r="L52" s="407" t="s">
        <v>37</v>
      </c>
    </row>
    <row r="53" spans="1:12" x14ac:dyDescent="0.25">
      <c r="A53" s="389"/>
      <c r="B53" s="390"/>
      <c r="C53" s="419"/>
      <c r="D53" s="408"/>
      <c r="E53" s="408"/>
      <c r="F53" s="389"/>
      <c r="G53" s="390"/>
      <c r="H53" s="389"/>
      <c r="I53" s="411"/>
      <c r="J53" s="413"/>
    </row>
    <row r="54" spans="1:12" x14ac:dyDescent="0.25">
      <c r="A54" s="389"/>
      <c r="B54" s="416"/>
      <c r="C54" s="680" t="s">
        <v>223</v>
      </c>
      <c r="D54" s="680"/>
      <c r="E54" s="680"/>
      <c r="F54" s="416"/>
      <c r="G54" s="416"/>
      <c r="H54" s="416"/>
      <c r="I54" s="416"/>
      <c r="J54" s="413"/>
    </row>
    <row r="55" spans="1:12" x14ac:dyDescent="0.25">
      <c r="A55" s="389"/>
      <c r="B55" s="389"/>
      <c r="C55" s="408"/>
      <c r="D55" s="408"/>
      <c r="E55" s="408"/>
      <c r="F55" s="389"/>
      <c r="G55" s="390"/>
      <c r="H55" s="389"/>
      <c r="I55" s="411"/>
      <c r="J55" s="413"/>
    </row>
    <row r="56" spans="1:12" ht="105" x14ac:dyDescent="0.25">
      <c r="A56" s="389"/>
      <c r="B56" s="390" t="s">
        <v>180</v>
      </c>
      <c r="C56" s="661" t="s">
        <v>224</v>
      </c>
      <c r="D56" s="662"/>
      <c r="E56" s="663"/>
      <c r="F56" s="389"/>
      <c r="G56" s="544" t="s">
        <v>271</v>
      </c>
      <c r="H56" s="389"/>
      <c r="I56" s="545" t="s">
        <v>455</v>
      </c>
      <c r="J56" s="413"/>
    </row>
    <row r="57" spans="1:12" x14ac:dyDescent="0.25">
      <c r="A57" s="389"/>
      <c r="B57" s="390"/>
      <c r="C57" s="408"/>
      <c r="D57" s="408"/>
      <c r="E57" s="408"/>
      <c r="F57" s="389"/>
      <c r="G57" s="390"/>
      <c r="H57" s="389"/>
      <c r="I57" s="411"/>
      <c r="J57" s="413"/>
    </row>
    <row r="58" spans="1:12" ht="75" x14ac:dyDescent="0.45">
      <c r="A58" s="389"/>
      <c r="B58" s="390" t="s">
        <v>225</v>
      </c>
      <c r="C58" s="661" t="s">
        <v>226</v>
      </c>
      <c r="D58" s="662"/>
      <c r="E58" s="663"/>
      <c r="F58" s="389"/>
      <c r="G58" s="544" t="s">
        <v>270</v>
      </c>
      <c r="H58" s="389"/>
      <c r="I58" s="545" t="s">
        <v>456</v>
      </c>
      <c r="J58" s="413"/>
      <c r="L58" s="407" t="s">
        <v>37</v>
      </c>
    </row>
    <row r="59" spans="1:12" x14ac:dyDescent="0.25">
      <c r="A59" s="389"/>
      <c r="B59" s="390"/>
      <c r="C59" s="388"/>
      <c r="D59" s="388"/>
      <c r="E59" s="388"/>
      <c r="F59" s="389"/>
      <c r="G59" s="546"/>
      <c r="H59" s="389"/>
      <c r="I59" s="411"/>
      <c r="J59" s="413"/>
    </row>
    <row r="60" spans="1:12" ht="45" x14ac:dyDescent="0.45">
      <c r="A60" s="389"/>
      <c r="B60" s="390" t="s">
        <v>184</v>
      </c>
      <c r="C60" s="661" t="s">
        <v>227</v>
      </c>
      <c r="D60" s="662"/>
      <c r="E60" s="663"/>
      <c r="F60" s="389"/>
      <c r="G60" s="544" t="s">
        <v>270</v>
      </c>
      <c r="H60" s="389"/>
      <c r="I60" s="545" t="s">
        <v>460</v>
      </c>
      <c r="J60" s="413"/>
      <c r="L60" s="407" t="s">
        <v>37</v>
      </c>
    </row>
    <row r="61" spans="1:12" x14ac:dyDescent="0.25">
      <c r="A61" s="389"/>
      <c r="B61" s="390"/>
      <c r="C61" s="388"/>
      <c r="D61" s="388"/>
      <c r="E61" s="388"/>
      <c r="F61" s="389"/>
      <c r="G61" s="546"/>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546"/>
      <c r="H65" s="389"/>
      <c r="I65" s="411"/>
      <c r="J65" s="413"/>
    </row>
    <row r="66" spans="1:12" ht="180" x14ac:dyDescent="0.25">
      <c r="A66" s="389"/>
      <c r="B66" s="390" t="s">
        <v>188</v>
      </c>
      <c r="C66" s="661" t="s">
        <v>230</v>
      </c>
      <c r="D66" s="662"/>
      <c r="E66" s="663"/>
      <c r="F66" s="389"/>
      <c r="G66" s="544" t="s">
        <v>270</v>
      </c>
      <c r="H66" s="389"/>
      <c r="I66" s="543" t="s">
        <v>448</v>
      </c>
      <c r="J66" s="413"/>
    </row>
    <row r="67" spans="1:12" x14ac:dyDescent="0.25">
      <c r="A67" s="389"/>
      <c r="B67" s="390"/>
      <c r="C67" s="388"/>
      <c r="D67" s="388"/>
      <c r="E67" s="388"/>
      <c r="F67" s="389"/>
      <c r="G67" s="546"/>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546"/>
      <c r="H69" s="389"/>
      <c r="I69" s="411"/>
      <c r="J69" s="413"/>
    </row>
    <row r="70" spans="1:12" ht="30" x14ac:dyDescent="0.25">
      <c r="A70" s="389"/>
      <c r="B70" s="390" t="s">
        <v>192</v>
      </c>
      <c r="C70" s="661" t="s">
        <v>232</v>
      </c>
      <c r="D70" s="662"/>
      <c r="E70" s="663"/>
      <c r="F70" s="389"/>
      <c r="G70" s="544" t="s">
        <v>272</v>
      </c>
      <c r="H70" s="389"/>
      <c r="I70" s="543" t="s">
        <v>436</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150" x14ac:dyDescent="0.45">
      <c r="A74" s="389"/>
      <c r="B74" s="390" t="s">
        <v>234</v>
      </c>
      <c r="C74" s="661" t="s">
        <v>235</v>
      </c>
      <c r="D74" s="662"/>
      <c r="E74" s="663"/>
      <c r="F74" s="389"/>
      <c r="G74" s="544" t="s">
        <v>270</v>
      </c>
      <c r="H74" s="389"/>
      <c r="I74" s="543" t="s">
        <v>441</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30" x14ac:dyDescent="0.25">
      <c r="A78" s="389"/>
      <c r="B78" s="390" t="s">
        <v>237</v>
      </c>
      <c r="C78" s="661" t="s">
        <v>238</v>
      </c>
      <c r="D78" s="662"/>
      <c r="E78" s="663"/>
      <c r="F78" s="389"/>
      <c r="G78" s="544" t="s">
        <v>272</v>
      </c>
      <c r="H78" s="389"/>
      <c r="I78" s="543" t="s">
        <v>446</v>
      </c>
      <c r="J78" s="413"/>
    </row>
    <row r="79" spans="1:12" x14ac:dyDescent="0.25">
      <c r="A79" s="389"/>
      <c r="B79" s="390"/>
      <c r="C79" s="388"/>
      <c r="D79" s="388"/>
      <c r="E79" s="388"/>
      <c r="F79" s="389"/>
      <c r="G79" s="422"/>
      <c r="H79" s="389"/>
      <c r="I79" s="411"/>
      <c r="J79" s="413"/>
    </row>
    <row r="80" spans="1:12" x14ac:dyDescent="0.25">
      <c r="A80" s="429"/>
      <c r="B80" s="677" t="s">
        <v>239</v>
      </c>
      <c r="C80" s="677"/>
      <c r="D80" s="677"/>
      <c r="E80" s="677"/>
      <c r="F80" s="677"/>
      <c r="G80" s="677"/>
      <c r="H80" s="677"/>
      <c r="I80" s="677"/>
      <c r="J80" s="678"/>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75" x14ac:dyDescent="0.45">
      <c r="A84" s="389"/>
      <c r="B84" s="390" t="s">
        <v>241</v>
      </c>
      <c r="C84" s="661" t="s">
        <v>242</v>
      </c>
      <c r="D84" s="662"/>
      <c r="E84" s="663"/>
      <c r="F84" s="389"/>
      <c r="G84" s="544" t="s">
        <v>270</v>
      </c>
      <c r="H84" s="389"/>
      <c r="I84" s="543" t="s">
        <v>444</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61" t="s">
        <v>245</v>
      </c>
      <c r="D88" s="662"/>
      <c r="E88" s="663"/>
      <c r="F88" s="389"/>
      <c r="G88" s="544" t="s">
        <v>272</v>
      </c>
      <c r="H88" s="389"/>
      <c r="I88" s="543" t="s">
        <v>433</v>
      </c>
      <c r="J88" s="413"/>
      <c r="L88" s="407" t="s">
        <v>37</v>
      </c>
    </row>
    <row r="89" spans="1:12" x14ac:dyDescent="0.25">
      <c r="A89" s="389"/>
      <c r="B89" s="390"/>
      <c r="C89" s="421"/>
      <c r="D89" s="421"/>
      <c r="E89" s="421"/>
      <c r="F89" s="389"/>
      <c r="G89" s="422"/>
      <c r="H89" s="389"/>
      <c r="I89" s="411"/>
      <c r="J89" s="413"/>
    </row>
    <row r="90" spans="1:12" x14ac:dyDescent="0.25">
      <c r="A90" s="389"/>
      <c r="B90" s="430"/>
      <c r="C90" s="679" t="s">
        <v>246</v>
      </c>
      <c r="D90" s="679"/>
      <c r="E90" s="679"/>
      <c r="F90" s="430"/>
      <c r="G90" s="430"/>
      <c r="H90" s="430"/>
      <c r="I90" s="430"/>
      <c r="J90" s="413"/>
    </row>
    <row r="91" spans="1:12" x14ac:dyDescent="0.25">
      <c r="A91" s="389"/>
      <c r="B91" s="390"/>
      <c r="C91" s="421"/>
      <c r="D91" s="421"/>
      <c r="E91" s="421"/>
      <c r="F91" s="389"/>
      <c r="G91" s="422"/>
      <c r="H91" s="389"/>
      <c r="I91" s="411"/>
      <c r="J91" s="413"/>
    </row>
    <row r="92" spans="1:12" ht="120" x14ac:dyDescent="0.45">
      <c r="A92" s="389"/>
      <c r="B92" s="390" t="s">
        <v>247</v>
      </c>
      <c r="C92" s="661" t="s">
        <v>248</v>
      </c>
      <c r="D92" s="662"/>
      <c r="E92" s="663"/>
      <c r="F92" s="389"/>
      <c r="G92" s="544" t="s">
        <v>270</v>
      </c>
      <c r="H92" s="389"/>
      <c r="I92" s="543" t="s">
        <v>454</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05" x14ac:dyDescent="0.25">
      <c r="A98" s="408"/>
      <c r="B98" s="390" t="s">
        <v>251</v>
      </c>
      <c r="C98" s="661" t="s">
        <v>252</v>
      </c>
      <c r="D98" s="662"/>
      <c r="E98" s="663"/>
      <c r="F98" s="389"/>
      <c r="G98" s="544" t="s">
        <v>270</v>
      </c>
      <c r="H98" s="389"/>
      <c r="I98" s="545" t="s">
        <v>461</v>
      </c>
      <c r="J98" s="408"/>
    </row>
    <row r="99" spans="1:12" x14ac:dyDescent="0.25">
      <c r="A99" s="408"/>
      <c r="B99" s="408"/>
      <c r="C99" s="408"/>
      <c r="D99" s="408"/>
      <c r="E99" s="408"/>
      <c r="F99" s="408"/>
      <c r="G99" s="408"/>
      <c r="H99" s="408"/>
      <c r="I99" s="408"/>
      <c r="J99" s="408"/>
    </row>
    <row r="100" spans="1:12" ht="105" x14ac:dyDescent="0.45">
      <c r="A100" s="408"/>
      <c r="B100" s="390" t="s">
        <v>253</v>
      </c>
      <c r="C100" s="661" t="s">
        <v>254</v>
      </c>
      <c r="D100" s="662"/>
      <c r="E100" s="663"/>
      <c r="F100" s="389"/>
      <c r="G100" s="544" t="s">
        <v>270</v>
      </c>
      <c r="H100" s="389"/>
      <c r="I100" s="545" t="s">
        <v>462</v>
      </c>
      <c r="J100" s="408"/>
      <c r="L100" s="407" t="s">
        <v>37</v>
      </c>
    </row>
    <row r="101" spans="1:12" x14ac:dyDescent="0.25">
      <c r="A101" s="408"/>
      <c r="B101" s="408"/>
      <c r="C101" s="408"/>
      <c r="D101" s="408"/>
      <c r="E101" s="408"/>
      <c r="F101" s="408"/>
      <c r="G101" s="408"/>
      <c r="H101" s="408"/>
      <c r="I101" s="408"/>
      <c r="J101" s="408"/>
    </row>
    <row r="102" spans="1:12" ht="75" x14ac:dyDescent="0.25">
      <c r="A102" s="408"/>
      <c r="B102" s="390" t="s">
        <v>255</v>
      </c>
      <c r="C102" s="661" t="s">
        <v>256</v>
      </c>
      <c r="D102" s="662"/>
      <c r="E102" s="663"/>
      <c r="F102" s="389"/>
      <c r="G102" s="544" t="s">
        <v>270</v>
      </c>
      <c r="H102" s="389"/>
      <c r="I102" s="545" t="s">
        <v>431</v>
      </c>
      <c r="J102" s="408"/>
    </row>
    <row r="103" spans="1:12" x14ac:dyDescent="0.25">
      <c r="A103" s="408"/>
      <c r="B103" s="408"/>
      <c r="C103" s="408"/>
      <c r="D103" s="408"/>
      <c r="E103" s="408"/>
      <c r="F103" s="408"/>
      <c r="G103" s="408"/>
      <c r="H103" s="408"/>
      <c r="I103" s="408"/>
      <c r="J103" s="408"/>
    </row>
    <row r="104" spans="1:12" ht="195" x14ac:dyDescent="0.45">
      <c r="A104" s="408"/>
      <c r="B104" s="390" t="s">
        <v>257</v>
      </c>
      <c r="C104" s="661" t="s">
        <v>258</v>
      </c>
      <c r="D104" s="662"/>
      <c r="E104" s="663"/>
      <c r="F104" s="389"/>
      <c r="G104" s="544" t="s">
        <v>270</v>
      </c>
      <c r="H104" s="389"/>
      <c r="I104" s="545" t="s">
        <v>445</v>
      </c>
      <c r="J104" s="408"/>
      <c r="L104" s="407" t="s">
        <v>37</v>
      </c>
    </row>
    <row r="105" spans="1:12" x14ac:dyDescent="0.25">
      <c r="A105" s="408"/>
      <c r="B105" s="408"/>
      <c r="C105" s="408"/>
      <c r="D105" s="408"/>
      <c r="E105" s="408"/>
      <c r="F105" s="408"/>
      <c r="G105" s="408"/>
      <c r="H105" s="408"/>
      <c r="I105" s="408"/>
      <c r="J105" s="408"/>
    </row>
    <row r="106" spans="1:12" ht="105" x14ac:dyDescent="0.25">
      <c r="A106" s="408"/>
      <c r="B106" s="390" t="s">
        <v>259</v>
      </c>
      <c r="C106" s="661" t="s">
        <v>260</v>
      </c>
      <c r="D106" s="662"/>
      <c r="E106" s="663"/>
      <c r="F106" s="389"/>
      <c r="G106" s="544" t="s">
        <v>270</v>
      </c>
      <c r="H106" s="389"/>
      <c r="I106" s="545" t="s">
        <v>430</v>
      </c>
      <c r="J106" s="408"/>
    </row>
    <row r="107" spans="1:12" x14ac:dyDescent="0.25">
      <c r="A107" s="408"/>
      <c r="B107" s="408"/>
      <c r="C107" s="408"/>
      <c r="D107" s="408"/>
      <c r="E107" s="408"/>
      <c r="F107" s="408"/>
      <c r="G107" s="408"/>
      <c r="H107" s="408"/>
      <c r="I107" s="408"/>
      <c r="J107" s="408"/>
    </row>
    <row r="108" spans="1:12" x14ac:dyDescent="0.25">
      <c r="A108" s="408"/>
      <c r="B108" s="390" t="s">
        <v>261</v>
      </c>
      <c r="C108" s="661" t="s">
        <v>262</v>
      </c>
      <c r="D108" s="662"/>
      <c r="E108" s="663"/>
      <c r="F108" s="389"/>
      <c r="G108" s="544" t="s">
        <v>271</v>
      </c>
      <c r="H108" s="389"/>
      <c r="I108" s="545" t="s">
        <v>457</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45" x14ac:dyDescent="0.55000000000000004">
      <c r="A112" s="408"/>
      <c r="B112" s="390" t="s">
        <v>264</v>
      </c>
      <c r="C112" s="661" t="s">
        <v>265</v>
      </c>
      <c r="D112" s="662"/>
      <c r="E112" s="663"/>
      <c r="F112" s="389"/>
      <c r="G112" s="544" t="s">
        <v>271</v>
      </c>
      <c r="H112" s="389"/>
      <c r="I112" s="543" t="s">
        <v>443</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60" x14ac:dyDescent="0.45">
      <c r="A116" s="408"/>
      <c r="B116" s="390" t="s">
        <v>267</v>
      </c>
      <c r="C116" s="661" t="s">
        <v>268</v>
      </c>
      <c r="D116" s="662"/>
      <c r="E116" s="663"/>
      <c r="F116" s="389"/>
      <c r="G116" s="544" t="s">
        <v>271</v>
      </c>
      <c r="H116" s="389"/>
      <c r="I116" s="543" t="s">
        <v>442</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61" t="s">
        <v>274</v>
      </c>
      <c r="D123" s="662"/>
      <c r="E123" s="663"/>
      <c r="F123" s="389"/>
      <c r="G123" s="544" t="s">
        <v>272</v>
      </c>
      <c r="H123" s="389"/>
      <c r="I123" s="543" t="s">
        <v>438</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61" t="s">
        <v>276</v>
      </c>
      <c r="D125" s="662"/>
      <c r="E125" s="663"/>
      <c r="F125" s="389"/>
      <c r="G125" s="544" t="s">
        <v>272</v>
      </c>
      <c r="H125" s="389"/>
      <c r="I125" s="543" t="s">
        <v>432</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60" x14ac:dyDescent="0.25">
      <c r="A129" s="408"/>
      <c r="B129" s="390" t="s">
        <v>278</v>
      </c>
      <c r="C129" s="661" t="s">
        <v>279</v>
      </c>
      <c r="D129" s="662"/>
      <c r="E129" s="663"/>
      <c r="F129" s="389"/>
      <c r="G129" s="544" t="s">
        <v>270</v>
      </c>
      <c r="H129" s="389"/>
      <c r="I129" s="543" t="s">
        <v>451</v>
      </c>
      <c r="J129" s="408"/>
    </row>
    <row r="130" spans="1:11" x14ac:dyDescent="0.25">
      <c r="A130" s="408"/>
      <c r="B130" s="390"/>
      <c r="C130" s="421"/>
      <c r="D130" s="421"/>
      <c r="E130" s="421"/>
      <c r="F130" s="389"/>
      <c r="G130" s="408"/>
      <c r="H130" s="389"/>
      <c r="I130" s="411"/>
      <c r="J130" s="408"/>
    </row>
    <row r="131" spans="1:11" ht="240" x14ac:dyDescent="0.25">
      <c r="A131" s="408"/>
      <c r="B131" s="390" t="s">
        <v>280</v>
      </c>
      <c r="C131" s="661" t="s">
        <v>281</v>
      </c>
      <c r="D131" s="662"/>
      <c r="E131" s="663"/>
      <c r="F131" s="389"/>
      <c r="G131" s="544" t="s">
        <v>270</v>
      </c>
      <c r="H131" s="389"/>
      <c r="I131" s="543" t="s">
        <v>459</v>
      </c>
      <c r="J131" s="408"/>
    </row>
    <row r="132" spans="1:11" x14ac:dyDescent="0.25">
      <c r="A132" s="408"/>
      <c r="B132" s="390"/>
      <c r="C132" s="421"/>
      <c r="D132" s="421"/>
      <c r="E132" s="421"/>
      <c r="F132" s="389"/>
      <c r="G132" s="408"/>
      <c r="H132" s="389"/>
      <c r="I132" s="411"/>
      <c r="J132" s="408"/>
    </row>
    <row r="133" spans="1:11" ht="75" x14ac:dyDescent="0.25">
      <c r="A133" s="408"/>
      <c r="B133" s="390" t="s">
        <v>282</v>
      </c>
      <c r="C133" s="661" t="s">
        <v>283</v>
      </c>
      <c r="D133" s="662"/>
      <c r="E133" s="663"/>
      <c r="F133" s="389"/>
      <c r="G133" s="544" t="s">
        <v>270</v>
      </c>
      <c r="H133" s="389"/>
      <c r="I133" s="545" t="s">
        <v>429</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3" t="s">
        <v>285</v>
      </c>
      <c r="C137" s="684"/>
      <c r="D137" s="684"/>
      <c r="E137" s="684"/>
      <c r="F137" s="684"/>
      <c r="G137" s="684"/>
      <c r="H137" s="684"/>
      <c r="I137" s="685"/>
      <c r="J137" s="408"/>
    </row>
    <row r="138" spans="1:11" x14ac:dyDescent="0.25">
      <c r="A138" s="408"/>
      <c r="B138" s="390"/>
      <c r="C138" s="421"/>
      <c r="D138" s="421"/>
      <c r="E138" s="421"/>
      <c r="F138" s="389"/>
      <c r="G138" s="408"/>
      <c r="H138" s="389"/>
      <c r="I138" s="411"/>
      <c r="J138" s="408"/>
    </row>
    <row r="139" spans="1:11" ht="20.25" customHeight="1" x14ac:dyDescent="0.25">
      <c r="A139" s="681" t="s">
        <v>194</v>
      </c>
      <c r="B139" s="682"/>
      <c r="C139" s="682"/>
      <c r="D139" s="682"/>
      <c r="E139" s="682"/>
      <c r="F139" s="682"/>
      <c r="G139" s="682"/>
      <c r="H139" s="682"/>
      <c r="I139" s="682"/>
      <c r="J139" s="682"/>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6" t="s">
        <v>286</v>
      </c>
      <c r="G2" s="697"/>
      <c r="H2" s="697"/>
      <c r="I2" s="698"/>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99"/>
      <c r="G4" s="700"/>
      <c r="H4" s="700"/>
      <c r="I4" s="701"/>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2"/>
      <c r="G6" s="703"/>
      <c r="H6" s="703"/>
      <c r="I6" s="704"/>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6" t="s">
        <v>287</v>
      </c>
      <c r="G8" s="697"/>
      <c r="H8" s="697"/>
      <c r="I8" s="698"/>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6"/>
      <c r="G10" s="697"/>
      <c r="H10" s="697"/>
      <c r="I10" s="698"/>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5" t="s">
        <v>289</v>
      </c>
      <c r="E15" s="695"/>
      <c r="F15" s="695"/>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6" t="s">
        <v>290</v>
      </c>
      <c r="E17" s="636"/>
      <c r="F17" s="636"/>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4" t="s">
        <v>291</v>
      </c>
      <c r="E19" s="694"/>
      <c r="F19" s="694"/>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6" t="s">
        <v>292</v>
      </c>
      <c r="E21" s="636"/>
      <c r="F21" s="636"/>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6" t="s">
        <v>293</v>
      </c>
      <c r="E23" s="636"/>
      <c r="F23" s="636"/>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6" t="s">
        <v>294</v>
      </c>
      <c r="E25" s="636"/>
      <c r="F25" s="636"/>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6" t="s">
        <v>295</v>
      </c>
      <c r="E27" s="636"/>
      <c r="F27" s="63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1" t="s">
        <v>296</v>
      </c>
      <c r="E31" s="692"/>
      <c r="F31" s="693"/>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6" t="s">
        <v>298</v>
      </c>
      <c r="E33" s="636"/>
      <c r="F33" s="636"/>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6" t="s">
        <v>300</v>
      </c>
      <c r="E35" s="636"/>
      <c r="F35" s="636"/>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6" t="s">
        <v>301</v>
      </c>
      <c r="E37" s="636"/>
      <c r="F37" s="636"/>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6" t="s">
        <v>302</v>
      </c>
      <c r="E39" s="636"/>
      <c r="F39" s="636"/>
      <c r="G39" s="68"/>
      <c r="H39" s="126"/>
      <c r="I39" s="68"/>
      <c r="J39" s="34"/>
      <c r="K39" s="60"/>
    </row>
    <row r="40" spans="1:15" x14ac:dyDescent="0.25">
      <c r="A40" s="56"/>
      <c r="B40" s="30"/>
      <c r="C40" s="30"/>
      <c r="D40" s="690"/>
      <c r="E40" s="690"/>
      <c r="F40" s="690"/>
      <c r="G40" s="605"/>
      <c r="H40" s="83"/>
      <c r="I40" s="62"/>
      <c r="J40" s="35"/>
      <c r="K40" s="60"/>
    </row>
    <row r="41" spans="1:15" ht="33.75" x14ac:dyDescent="0.5">
      <c r="A41" s="56"/>
      <c r="B41" s="68"/>
      <c r="C41" s="83" t="s">
        <v>169</v>
      </c>
      <c r="D41" s="636" t="s">
        <v>303</v>
      </c>
      <c r="E41" s="636"/>
      <c r="F41" s="636"/>
      <c r="G41" s="605"/>
      <c r="H41" s="126"/>
      <c r="I41" s="68"/>
      <c r="J41" s="34"/>
      <c r="K41" s="60"/>
      <c r="M41" s="444" t="s">
        <v>37</v>
      </c>
    </row>
    <row r="42" spans="1:15" x14ac:dyDescent="0.25">
      <c r="A42" s="56"/>
      <c r="B42" s="68"/>
      <c r="C42" s="68"/>
      <c r="D42" s="94"/>
      <c r="E42" s="94"/>
      <c r="F42" s="94"/>
      <c r="G42" s="605"/>
      <c r="H42" s="83"/>
      <c r="I42" s="68"/>
      <c r="J42" s="35"/>
      <c r="K42" s="60"/>
    </row>
    <row r="43" spans="1:15" ht="33.75" x14ac:dyDescent="0.5">
      <c r="A43" s="56"/>
      <c r="B43" s="68"/>
      <c r="C43" s="83" t="s">
        <v>174</v>
      </c>
      <c r="D43" s="636" t="s">
        <v>304</v>
      </c>
      <c r="E43" s="636"/>
      <c r="F43" s="636"/>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6" t="s">
        <v>306</v>
      </c>
      <c r="E47" s="636"/>
      <c r="F47" s="63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6" t="s">
        <v>307</v>
      </c>
      <c r="E49" s="636"/>
      <c r="F49" s="636"/>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6" t="s">
        <v>308</v>
      </c>
      <c r="E53" s="636"/>
      <c r="F53" s="63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6" t="s">
        <v>309</v>
      </c>
      <c r="E55" s="636"/>
      <c r="F55" s="636"/>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6" t="s">
        <v>311</v>
      </c>
      <c r="E59" s="636"/>
      <c r="F59" s="63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6" t="s">
        <v>312</v>
      </c>
      <c r="E63" s="636"/>
      <c r="F63" s="636"/>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6" t="s">
        <v>313</v>
      </c>
      <c r="E65" s="636"/>
      <c r="F65" s="636"/>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6" t="s">
        <v>314</v>
      </c>
      <c r="E67" s="636"/>
      <c r="F67" s="63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6" t="s">
        <v>315</v>
      </c>
      <c r="E69" s="636"/>
      <c r="F69" s="63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6" t="s">
        <v>316</v>
      </c>
      <c r="E71" s="636"/>
      <c r="F71" s="63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6" t="s">
        <v>317</v>
      </c>
      <c r="E73" s="636"/>
      <c r="F73" s="63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6" t="s">
        <v>320</v>
      </c>
      <c r="E79" s="636"/>
      <c r="F79" s="63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6" t="s">
        <v>321</v>
      </c>
      <c r="E81" s="636"/>
      <c r="F81" s="63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6" t="s">
        <v>322</v>
      </c>
      <c r="E83" s="636"/>
      <c r="F83" s="636"/>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6" t="s">
        <v>323</v>
      </c>
      <c r="E85" s="636"/>
      <c r="F85" s="63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6" t="s">
        <v>325</v>
      </c>
      <c r="E89" s="636"/>
      <c r="F89" s="63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6" t="s">
        <v>328</v>
      </c>
      <c r="E93" s="636"/>
      <c r="F93" s="636"/>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6" t="s">
        <v>330</v>
      </c>
      <c r="E95" s="636"/>
      <c r="F95" s="63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6" t="s">
        <v>331</v>
      </c>
      <c r="E97" s="636"/>
      <c r="F97" s="636"/>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6" t="s">
        <v>334</v>
      </c>
      <c r="E101" s="636"/>
      <c r="F101" s="636"/>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6" t="s">
        <v>336</v>
      </c>
      <c r="E103" s="636"/>
      <c r="F103" s="636"/>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6" t="s">
        <v>337</v>
      </c>
      <c r="E105" s="636"/>
      <c r="F105" s="63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6" t="s">
        <v>338</v>
      </c>
      <c r="E107" s="636"/>
      <c r="F107" s="636"/>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6" t="s">
        <v>339</v>
      </c>
      <c r="E109" s="636"/>
      <c r="F109" s="636"/>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6" t="s">
        <v>340</v>
      </c>
      <c r="E111" s="636"/>
      <c r="F111" s="636"/>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6" t="s">
        <v>341</v>
      </c>
      <c r="E113" s="636"/>
      <c r="F113" s="636"/>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6" t="s">
        <v>342</v>
      </c>
      <c r="E115" s="636"/>
      <c r="F115" s="636"/>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6" t="s">
        <v>344</v>
      </c>
      <c r="E117" s="636"/>
      <c r="F117" s="636"/>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6" t="s">
        <v>346</v>
      </c>
      <c r="E119" s="636"/>
      <c r="F119" s="636"/>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6" t="s">
        <v>348</v>
      </c>
      <c r="E121" s="636"/>
      <c r="F121" s="63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6" t="s">
        <v>350</v>
      </c>
      <c r="E123" s="636"/>
      <c r="F123" s="63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6" t="s">
        <v>353</v>
      </c>
      <c r="E127" s="636"/>
      <c r="F127" s="63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6" t="s">
        <v>354</v>
      </c>
      <c r="E129" s="636"/>
      <c r="F129" s="63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6" t="s">
        <v>357</v>
      </c>
      <c r="E133" s="636"/>
      <c r="F133" s="636"/>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9" t="s">
        <v>359</v>
      </c>
      <c r="E135" s="689"/>
      <c r="F135" s="689"/>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6" t="s">
        <v>361</v>
      </c>
      <c r="E137" s="636"/>
      <c r="F137" s="636"/>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6" t="s">
        <v>363</v>
      </c>
      <c r="E139" s="636"/>
      <c r="F139" s="636"/>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6" t="s">
        <v>365</v>
      </c>
      <c r="E141" s="636"/>
      <c r="F141" s="63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6" t="s">
        <v>367</v>
      </c>
      <c r="E143" s="636"/>
      <c r="F143" s="63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6" t="s">
        <v>369</v>
      </c>
      <c r="E145" s="636"/>
      <c r="F145" s="636"/>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6" t="s">
        <v>194</v>
      </c>
      <c r="B147" s="687"/>
      <c r="C147" s="687"/>
      <c r="D147" s="687"/>
      <c r="E147" s="687"/>
      <c r="F147" s="687"/>
      <c r="G147" s="687"/>
      <c r="H147" s="687"/>
      <c r="I147" s="687"/>
      <c r="J147" s="687"/>
      <c r="K147" s="68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370</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132</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132</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379</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380</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390</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8" zoomScaleNormal="100" workbookViewId="0">
      <selection activeCell="C56" sqref="C56"/>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392</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7">
        <v>43830</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30" t="s">
        <v>425</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423</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447</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1</v>
      </c>
      <c r="F22" s="526"/>
      <c r="G22" s="525">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0.66666666666666663</v>
      </c>
      <c r="F26" s="526"/>
      <c r="G26" s="525">
        <f>(COUNTIF(Assessment_EIF!G56:G60,"✓")+COUNTIF(Assessment_EIF!G56:G60,"X"))/3</f>
        <v>1</v>
      </c>
      <c r="H26" s="184"/>
      <c r="I26" s="209">
        <f>COUNTIF(Assessment_EIF!G56:G60,"✓")</f>
        <v>2</v>
      </c>
      <c r="J26" s="184"/>
      <c r="K26" s="209">
        <f>COUNTIF(Assessment_EIF!G56:G60,"X")</f>
        <v>1</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0.9375</v>
      </c>
      <c r="F28" s="528"/>
      <c r="G28" s="524">
        <f>(COUNTIF(Assessment_EIF!G24:G60,"✓")+COUNTIF(Assessment_EIF!G24:G60,"X"))/16</f>
        <v>1</v>
      </c>
      <c r="H28" s="214"/>
      <c r="I28" s="215">
        <f>SUM(I20,I22,I24,I26)</f>
        <v>15</v>
      </c>
      <c r="J28" s="214"/>
      <c r="K28" s="215">
        <f>SUM(K20,K22,K24,K26)</f>
        <v>1</v>
      </c>
      <c r="L28" s="214"/>
      <c r="M28" s="215">
        <f>SUM(M20,M22,M24,M26)</f>
        <v>0</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1</v>
      </c>
      <c r="F48" s="528"/>
      <c r="G48" s="524">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0.83333333333333337</v>
      </c>
      <c r="F51" s="526"/>
      <c r="G51" s="525">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0</v>
      </c>
      <c r="F53" s="526"/>
      <c r="G53" s="525">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1</v>
      </c>
      <c r="F59" s="526"/>
      <c r="G59" s="525">
        <f>(COUNTIF(Assessment_EIF!G129:G133,"✓")+COUNTIF(Assessment_EIF!G129:G133,"X"))/3</f>
        <v>1</v>
      </c>
      <c r="H59" s="184"/>
      <c r="I59" s="209">
        <f>COUNTIF(Assessment_EIF!G129:G133,"✓")</f>
        <v>3</v>
      </c>
      <c r="J59" s="184"/>
      <c r="K59" s="209">
        <f>COUNTIF(Assessment_EIF!G129:G133,"X")</f>
        <v>0</v>
      </c>
      <c r="L59" s="181"/>
      <c r="M59" s="209">
        <f>COUNTIF(Assessment_EIF!G129:G133,"N/A")</f>
        <v>0</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1</v>
      </c>
      <c r="F61" s="526"/>
      <c r="G61" s="525">
        <f>(COUNTIF(Assessment_EIF!G24:G40,"✓")+COUNTIF(Assessment_EIF!G24:G40,"X"))/9</f>
        <v>1</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0.85</v>
      </c>
      <c r="F63" s="528"/>
      <c r="G63" s="524">
        <f>(((COUNTIF(Assessment_EIF!G98:G133,"X"))+(COUNTIF(Assessment_EIF!G98:G133,"✓")))+((COUNTIF(Assessment_EIF!G24:G40,"X"))+(COUNTIF(Assessment_EIF!G24:G40,"✓"))))/22</f>
        <v>0.90909090909090906</v>
      </c>
      <c r="H63" s="249"/>
      <c r="I63" s="215">
        <f>SUM(I51:I59,I20)</f>
        <v>17</v>
      </c>
      <c r="J63" s="249"/>
      <c r="K63" s="215">
        <f>SUM(K51:K59,K20)</f>
        <v>3</v>
      </c>
      <c r="L63" s="249"/>
      <c r="M63" s="215">
        <f>SUM(M51:M59,M20)</f>
        <v>2</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3" t="s">
        <v>419</v>
      </c>
      <c r="D65" s="723"/>
      <c r="E65" s="723"/>
      <c r="F65" s="723"/>
      <c r="G65" s="723"/>
      <c r="H65" s="723"/>
      <c r="I65" s="723"/>
      <c r="J65" s="723"/>
      <c r="K65" s="723"/>
      <c r="L65" s="723"/>
      <c r="M65" s="723"/>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31" t="s">
        <v>378</v>
      </c>
      <c r="D67" s="184"/>
      <c r="E67" s="733">
        <f>IF(G67&gt;0,(COUNTIF(Assessment_EIF!G18:G133,"✓"))/((COUNTIF(Assessment_EIF!G18:G133,"X"))+(COUNTIF(Assessment_EIF!G18:G133,"✓"))),0)</f>
        <v>0.875</v>
      </c>
      <c r="F67" s="184"/>
      <c r="G67" s="733">
        <f>(COUNTIF(Assessment_EIF!G18:G133,"✓")+COUNTIF(Assessment_EIF!G18:G133,"X"))/37</f>
        <v>0.86486486486486491</v>
      </c>
      <c r="H67" s="184"/>
      <c r="I67" s="735">
        <f>COUNTIF(Assessment_EIF!G18:G133,"✓")</f>
        <v>28</v>
      </c>
      <c r="J67" s="184"/>
      <c r="K67" s="735">
        <f>COUNTIF(Assessment_EIF!G18:G133,"X")</f>
        <v>4</v>
      </c>
      <c r="L67" s="184"/>
      <c r="M67" s="735">
        <f>COUNTIF(Assessment_EIF!G18:G133,"N/A")</f>
        <v>5</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416</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vuImxufTXGGek0DBnRlPQD8+PT5B+72GhO5u561A7mmW7K5KfginyMcWommD23Lc7FdgZZlOgjVB4XxCJzYZzw==" saltValue="2tFIrRliMdexX2dD0aKZ1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6b2d526b-f179-4f8c-9fce-7a2c6e455f6f"/>
    <ds:schemaRef ds:uri="http://purl.org/dc/elements/1.1/"/>
    <ds:schemaRef ds:uri="8253af2a-fd0f-40a4-8001-231cdeab6c87"/>
    <ds:schemaRef ds:uri="http://www.w3.org/XML/1998/namespace"/>
    <ds:schemaRef ds:uri="http://purl.org/dc/dcmitype/"/>
  </ds:schemaRefs>
</ds:datastoreItem>
</file>

<file path=customXml/itemProps2.xml><?xml version="1.0" encoding="utf-8"?>
<ds:datastoreItem xmlns:ds="http://schemas.openxmlformats.org/officeDocument/2006/customXml" ds:itemID="{D9A52735-75DA-40D8-8901-2DB9ABB786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2020-03-20T20:08:56Z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
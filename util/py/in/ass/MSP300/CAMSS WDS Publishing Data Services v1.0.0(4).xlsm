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RDA\Publishing Data Services\"/>
    </mc:Choice>
  </mc:AlternateContent>
  <bookViews>
    <workbookView xWindow="0" yWindow="0" windowWidth="20490" windowHeight="776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c r="M46" i="15"/>
  <c r="K46" i="15"/>
  <c r="I46" i="15"/>
  <c r="M44" i="15"/>
  <c r="K44" i="15"/>
  <c r="I44" i="15"/>
  <c r="M42" i="15"/>
  <c r="K42" i="15"/>
  <c r="I42" i="15"/>
  <c r="G46" i="15"/>
  <c r="E46" i="15"/>
  <c r="G44" i="15"/>
  <c r="E44" i="15"/>
  <c r="G42" i="15"/>
  <c r="E42" i="15"/>
  <c r="M37" i="15"/>
  <c r="K37" i="15"/>
  <c r="I37" i="15"/>
  <c r="M35" i="15"/>
  <c r="K35" i="15"/>
  <c r="I35" i="15"/>
  <c r="M31" i="15"/>
  <c r="K31" i="15"/>
  <c r="M33" i="15"/>
  <c r="K33" i="15"/>
  <c r="I33" i="15"/>
  <c r="I31" i="15"/>
  <c r="G39" i="15"/>
  <c r="E39" i="15"/>
  <c r="G33" i="15"/>
  <c r="E33" i="15"/>
  <c r="G35" i="15"/>
  <c r="E35" i="15"/>
  <c r="G31" i="15"/>
  <c r="E31" i="15"/>
  <c r="G28" i="15"/>
  <c r="E28" i="15" s="1"/>
  <c r="G26" i="15"/>
  <c r="E26" i="15"/>
  <c r="M26" i="15"/>
  <c r="K26" i="15"/>
  <c r="I26" i="15"/>
  <c r="I24" i="15"/>
  <c r="M24" i="15"/>
  <c r="K24" i="15"/>
  <c r="M22" i="15"/>
  <c r="K22" i="15"/>
  <c r="I22" i="15"/>
  <c r="M20" i="15"/>
  <c r="K20" i="15"/>
  <c r="K28" i="15" s="1"/>
  <c r="I20" i="15"/>
  <c r="M15" i="15"/>
  <c r="K17" i="15"/>
  <c r="I17" i="15"/>
  <c r="M17" i="15"/>
  <c r="K15" i="15"/>
  <c r="I15" i="15"/>
  <c r="G24" i="15"/>
  <c r="E24" i="15"/>
  <c r="G22" i="15"/>
  <c r="E22" i="15"/>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48" i="15"/>
  <c r="M28" i="15"/>
  <c r="M48" i="15"/>
  <c r="I39" i="15"/>
  <c r="M39" i="15"/>
  <c r="K39" i="15"/>
  <c r="I48" i="15"/>
  <c r="K21" i="11"/>
  <c r="I21" i="11"/>
  <c r="M21" i="11"/>
  <c r="I28" i="15"/>
  <c r="K21" i="12" l="1"/>
  <c r="I21" i="12"/>
  <c r="M21" i="12"/>
  <c r="I63" i="15"/>
  <c r="M63" i="15"/>
  <c r="K63" i="15"/>
  <c r="E21" i="12"/>
  <c r="G21" i="12"/>
</calcChain>
</file>

<file path=xl/sharedStrings.xml><?xml version="1.0" encoding="utf-8"?>
<sst xmlns="http://schemas.openxmlformats.org/spreadsheetml/2006/main" count="836" uniqueCount="443">
  <si>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</si>
  <si>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</si>
  <si>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</si>
  <si>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</si>
  <si>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</si>
  <si>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</si>
  <si>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</si>
  <si>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</si>
  <si>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</si>
  <si>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</si>
  <si>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</si>
  <si>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</si>
  <si>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</si>
  <si>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</si>
  <si>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</si>
  <si>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</si>
  <si>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</si>
  <si>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</si>
  <si>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</si>
  <si>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</si>
  <si>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</si>
  <si>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</si>
  <si>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</si>
  <si>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</si>
  <si>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</si>
  <si>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</si>
  <si>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</si>
  <si>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</si>
  <si>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</si>
  <si>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</si>
  <si>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</si>
  <si>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</si>
  <si>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</si>
  <si>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</si>
  <si>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</si>
  <si>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</si>
  <si>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</si>
  <si>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</si>
  <si>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</si>
  <si>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</si>
  <si>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</si>
  <si>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</si>
  <si>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</si>
  <si>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</si>
  <si>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</si>
  <si>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</si>
  <si>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</si>
  <si>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</si>
  <si>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</si>
  <si>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</si>
  <si>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</si>
  <si>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</si>
  <si>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</si>
  <si>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</si>
  <si>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</si>
  <si>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</si>
  <si>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</si>
  <si>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</si>
  <si>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</si>
  <si>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</si>
  <si>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</si>
  <si>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</si>
  <si>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</si>
  <si>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</si>
  <si>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</si>
  <si>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</si>
  <si>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</si>
  <si>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</si>
  <si>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</si>
  <si>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</si>
  <si>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</si>
  <si>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</si>
  <si>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</si>
  <si>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</si>
  <si>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</si>
  <si>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</si>
  <si>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</si>
  <si>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</si>
  <si>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</si>
  <si>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</si>
  <si>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</si>
  <si>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</si>
  <si>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</si>
  <si>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</si>
  <si>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</si>
  <si>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</si>
  <si>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</si>
  <si>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</si>
  <si>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</si>
  <si>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</si>
  <si>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</si>
  <si>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</si>
  <si>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</si>
  <si>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</si>
  <si>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</si>
  <si>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</si>
  <si>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</si>
  <si>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</si>
  <si>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</si>
  <si>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</si>
  <si>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</si>
  <si>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</si>
  <si>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</si>
  <si>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</si>
  <si>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</si>
  <si>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</si>
  <si>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</si>
  <si>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</si>
  <si>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</si>
  <si>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</si>
  <si>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</si>
  <si>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</si>
  <si>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</si>
  <si>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</si>
  <si>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</si>
  <si>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</si>
  <si>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</si>
  <si>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</si>
  <si>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</si>
  <si>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</si>
  <si>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</si>
  <si>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</si>
  <si>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</si>
  <si>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</si>
  <si>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</si>
  <si>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</si>
  <si>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</si>
  <si>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</si>
  <si>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</si>
  <si>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</si>
  <si>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</si>
  <si>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</si>
  <si>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</si>
  <si>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</si>
  <si>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</si>
  <si>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</si>
  <si>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</si>
  <si>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</si>
  <si>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</si>
  <si>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</si>
  <si>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</si>
  <si>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</si>
  <si>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</si>
  <si>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</si>
  <si>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</si>
  <si>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</si>
  <si>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</si>
  <si>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</si>
  <si>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</si>
  <si>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</si>
  <si>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</si>
  <si>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</si>
  <si>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</si>
  <si>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</si>
  <si>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</si>
  <si>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</si>
  <si>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</si>
  <si>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</si>
  <si>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</si>
  <si>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</si>
  <si>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</si>
  <si>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</si>
  <si>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</si>
  <si>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</si>
  <si>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</si>
  <si>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</si>
  <si>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</si>
  <si>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</si>
  <si>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</si>
  <si>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</si>
  <si>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</si>
  <si>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</si>
  <si>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</si>
  <si>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</si>
  <si>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</si>
  <si>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</si>
  <si>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</si>
  <si>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</si>
  <si>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</si>
  <si>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</si>
  <si>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</si>
  <si>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</si>
  <si>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</si>
  <si>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</si>
  <si>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</si>
  <si>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</si>
  <si>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</si>
  <si>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</si>
  <si>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</si>
  <si>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</si>
  <si>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</si>
  <si>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</si>
  <si>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</si>
  <si>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</si>
  <si>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</si>
  <si>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</si>
  <si>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</si>
  <si>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</si>
  <si>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</si>
  <si>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</si>
  <si>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</si>
  <si>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</si>
  <si>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</si>
  <si>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</si>
  <si>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</si>
  <si>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</si>
  <si>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</si>
  <si>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</si>
  <si>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</si>
  <si>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</si>
  <si>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</si>
  <si>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</si>
  <si>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</si>
  <si>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</si>
  <si>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</si>
  <si>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</si>
  <si>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</si>
  <si>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</si>
  <si>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</si>
  <si>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</si>
  <si>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</si>
  <si>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</si>
  <si>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</si>
  <si>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</si>
  <si>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</si>
  <si>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</si>
  <si>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</si>
  <si>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</si>
  <si>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</si>
  <si>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</si>
  <si>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</si>
  <si>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</si>
  <si>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</si>
  <si>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</si>
  <si>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</si>
  <si>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</si>
  <si>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</si>
  <si>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</si>
  <si>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</si>
  <si>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</si>
  <si>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</si>
  <si>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</si>
  <si>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</si>
  <si>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</si>
  <si>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</si>
  <si>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</si>
  <si>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</si>
  <si>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</si>
  <si>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</si>
  <si>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</si>
  <si>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</si>
  <si>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</si>
  <si>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</si>
  <si>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</si>
  <si>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</si>
  <si>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</si>
  <si>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</si>
  <si>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</si>
  <si>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</si>
  <si>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</si>
  <si>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</si>
  <si>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</si>
  <si>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</si>
  <si>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</si>
  <si>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</si>
  <si>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</si>
  <si>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</si>
  <si>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</si>
  <si>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</si>
  <si>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</si>
  <si>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</si>
  <si>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</si>
  <si>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</si>
  <si>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</si>
  <si>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</si>
  <si>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</si>
  <si>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</si>
  <si>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</si>
  <si>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</si>
  <si>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</si>
  <si>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</si>
  <si>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</si>
  <si>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</si>
  <si>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</si>
  <si>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</si>
  <si>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</si>
  <si>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</si>
  <si>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</si>
  <si>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</si>
  <si>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</si>
  <si>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</si>
  <si>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</si>
  <si>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</si>
  <si>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</si>
  <si>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</si>
  <si>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</si>
  <si>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</si>
  <si>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</si>
  <si>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</si>
  <si>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</si>
  <si>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</si>
  <si>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</si>
  <si>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</si>
  <si>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</si>
  <si>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</si>
  <si>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</si>
  <si>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</si>
  <si>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</si>
  <si>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</si>
  <si>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</si>
  <si>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</si>
  <si>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</si>
  <si>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</si>
  <si>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</si>
  <si>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</si>
  <si>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</si>
  <si>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</si>
  <si>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</si>
  <si>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</si>
  <si>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</si>
  <si>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</si>
  <si>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</si>
  <si>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</si>
  <si>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</si>
  <si>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</si>
  <si>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</si>
  <si>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</si>
  <si>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</si>
  <si>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</si>
  <si>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</si>
  <si>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</si>
  <si>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</si>
  <si>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</si>
  <si>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</si>
  <si>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</si>
  <si>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</si>
  <si>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</si>
  <si>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</si>
  <si>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</si>
  <si>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</si>
  <si>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</si>
  <si>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</si>
  <si>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</si>
  <si>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</si>
  <si>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</si>
  <si>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</si>
  <si>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</si>
  <si>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</si>
  <si>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</si>
  <si>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</si>
  <si>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</si>
  <si>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</si>
  <si>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</si>
  <si>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</si>
  <si>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</si>
  <si>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</si>
  <si>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</si>
  <si>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</si>
  <si>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</si>
  <si>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</si>
  <si>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</si>
  <si>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</si>
  <si>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</si>
  <si>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</si>
  <si>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</si>
  <si>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</si>
  <si>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</si>
  <si>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</si>
  <si>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</si>
  <si>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</si>
  <si>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</si>
  <si>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</si>
  <si>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</si>
  <si>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</si>
  <si>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</si>
  <si>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</si>
  <si>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</si>
  <si>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</si>
  <si>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</si>
  <si>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</si>
  <si>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</si>
  <si>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</si>
  <si>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</si>
  <si>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</si>
  <si>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</si>
  <si>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</si>
  <si>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</si>
  <si>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</si>
  <si>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</si>
  <si>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</si>
  <si>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</si>
  <si>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</si>
  <si>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</si>
  <si>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</si>
  <si>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</si>
  <si>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</si>
  <si>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</si>
  <si>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</si>
  <si>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</si>
  <si>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</si>
  <si>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</si>
  <si>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</si>
  <si>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</si>
  <si>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</si>
  <si>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</si>
  <si>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</si>
  <si>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</si>
  <si>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</si>
  <si>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</si>
  <si>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</si>
  <si>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</si>
  <si>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</si>
  <si>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</si>
  <si>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</si>
  <si>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</si>
  <si>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</si>
  <si>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</si>
  <si>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WDS Publishing Data Services</t>
  </si>
  <si>
    <t>https://www.rd-alliance.org/group/rdawds-publishing-data-services-wg/outcomes/rdawds-publishing-data-services-wg-recommendations</t>
  </si>
  <si>
    <t>Other SDO/SSO</t>
  </si>
  <si>
    <t>3/31/2020</t>
  </si>
  <si>
    <t>No</t>
  </si>
  <si>
    <t>The outputs / recommendations are aiming to achieve seamless interoperability, trust, and ultimately to provide growth and employment opportunities by facilitating data exchange across organisations, disciplines and geographical borders.</t>
  </si>
  <si>
    <t xml:space="preserve">• The prototype is openly available on-line at DLI Service http://dliservice.research-infrastructures.eu/#/
• Fifteen organisations (including representatives of publishers, data centres, registries, and global service providers) have contributed over 1.4 million data¬literature links into the system.
• The proposed long¬term approach to sharing information about the links between the literature and research data (the “SCHOLIX” model) is adopted by CrossRef , DataCite , and OpenAIRE .
• Europe PubMedCentral  has adopted the DLI metadata standards to describe article/data links in their system, such that the DLI can harvest these links and include them in the service. This paves the way for fuller interoperability between that system and the DLI.
• The RD¬switchboard, which was delivered by the RDA WG “Data Description Registry Interoperability (DDRI)”, is ingesting links from the DLI to combine with other content sources to obtain a more comprehensive network of connected scholarly entities.
• The WG received an ad¬hoc request to provide a listing of related data for a set of articles. This was delivered using the DLI’s OAI-PMH interface.
• In addition to this, a number of data repositories are currently exploring how to connect with the DLI system to offer a “related publications” kind of functionality to users of their web portals.
• Any party that is interested to explore the current corpus of links in the DLI system can freely connect with the system using any of the existing services (web portal, OAI¬PMH delivery, or API connections).
• More details on adoption  and the service are available on the Scholix public web site http://www.scholix.org/
</t>
  </si>
  <si>
    <t xml:space="preserve">All specifications are publicly and openly referenced on the RDA web platform. 
All specifications are deposited in official repositories and have DOIs
See:
at https://www.rd-alliance.org/recommendations-outputs/adoption-recommendations
</t>
  </si>
  <si>
    <t xml:space="preserve">Coherence of the technical specification is evidenced by the fact that there is no existing European standard or technical specifications being under consideration to become a European standard that has a similar area of application.  </t>
  </si>
  <si>
    <t xml:space="preserve">The Research Data Alliance (RDA) is a non-profit organisation
See: https://www.rd-alliance.org
</t>
  </si>
  <si>
    <t>Consensus is a foundation upon which the Alliance is built and all processes and procedures, particularly in connection to the focus, work plans, deliverables, milestones and tangible specifications / recommendations are consensus based.</t>
  </si>
  <si>
    <t xml:space="preserve">RDA specification and recommendation processes are open from inception. Individual membership to RDA is free and open to all, as long as individuals subscribe to the RDA Guiding Principles (https://rd-alliance.org/about/get-involved.html):
• Openness – Membership is open to all interested individuals who subscribe to the RDA’s Guiding Principles. RDA community meetings and processes are open, and the deliverables of RDA Working Groups will be publicly disseminated.
• Consensus – The RDA moves forward by achieving consensus among its membership. RDA processes and procedures include appropriate mechanisms to resolve conflicts.
• Balance – The RDA seeks to promote balanced representation of its membership and stakeholder communities.
• Harmonization – The RDA works to achieve harmonization across data standards, policies, technologies, infrastructure, and communities.
• Community-driven – The RDA is a public, community-driven body constituted of volunteer members and organizations, supported by the RDA Secretariat.
• Non-profit - RDA does not promote, endorse, or sell commercial products, technologies, or services.
Organisations may join RDA as members for an annual fee. Full details are provided at https://rd-alliance.org/organisation/rda-organisation-affiliate-members/rda-organisational-membership.html
RDA Specifications, upon delivery, are assessed by the RDA Technical Advisory Board (TAB) and feedback / comments are given. All outputs go through an open and transparent Request for Comments process of 1 month on the RDA web platform. Details on the process are available at - https://www.rd-alliance.org/groups/creating-and-managing-rda-groups/working-group-outputs.html
</t>
  </si>
  <si>
    <t>Every new version of the specification goes through a defined process with open and public consultations. Request for comments are not restricted to the RDA members but are open to all.</t>
  </si>
  <si>
    <t>Transparency of the development process is evidenced by a defined and publicly available documentation on the development and maintenance of the specification.</t>
  </si>
  <si>
    <t>Each of the specification approval phases (TAB, Council, Public RfCs / Consultation) allow for objections and appeals.
See: 
https://www.rd-alliance.org/groups/creating-and-managing-rda-groups/working-group-outputs.html</t>
  </si>
  <si>
    <t>All of the RDA specifications are openly available and free of charge.</t>
  </si>
  <si>
    <t>All Outputs packages have been published under the Creative Commons Attribution (CC-BY) licence. RDA’s IPR policy:
See: 
 http://dx.doi.org/10.15497/DA8C2CC2-A7AF-4E3A-A4D6-C100E5C27492</t>
  </si>
  <si>
    <t xml:space="preserve">The RDA specifications address and will facilitate interoperability between public administrations and repositories, public and private providers. The 4 specifications listed here as well as the others in the evaluation process are all components necessary and essential for data sharing, access, re-use, preservation, citation, etc. All of them contribute to data interoperability in the new digital economy irrespective of the organisation who implements / uses them.
</t>
  </si>
  <si>
    <t>The RDA website also collects expressions of interest from potential adopters via “Become an RDA Adopter” section  and encourages adopters to submit “Adoption Stories” . RDA has organised a series of webinars  focused on the adoption of the RDA Outputs &amp; Recommendations encouraging dialogue and interaction and facilitating uptake.</t>
  </si>
  <si>
    <t>The specification can be used independently from specific vendor products.</t>
  </si>
  <si>
    <t>The specification can be used independently from specific operating systems and hardware platforms.</t>
  </si>
  <si>
    <t xml:space="preserve">In some cases, the specification uses ambiguous and misleading terms such as “data-data” and “literature-data” which hampers the understanding of the recommendations. 
The specification has been adopted by different organisations and initiatives and it demonstrates that the specification has sufficient completeness and consistency for the use and development of products and services.
</t>
  </si>
  <si>
    <t xml:space="preserve">The Working Group in charge of developing the specification initially provides a light-weight maintenance plan however, it is not a complete maintenance and support process. </t>
  </si>
  <si>
    <t>CAMSS Team</t>
  </si>
  <si>
    <t>everis</t>
  </si>
  <si>
    <t>CAMSS@everis.com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</si>
</sst>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0.66666666666666663</c:v>
                </c:pt>
                <c:pt idx="1">
                  <c:v>1</c:v>
                </c:pt>
                <c:pt idx="2">
                  <c:v>1</c:v>
                </c:pt>
                <c:pt idx="3">
                  <c:v>0.88888888888888884</c:v>
                </c:pt>
                <c:pt idx="4">
                  <c:v>0.88888888888888884</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06512856"/>
        <c:axId val="20651520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06512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206515208"/>
        <c:crosses val="autoZero"/>
        <c:auto val="1"/>
        <c:lblAlgn val="ctr"/>
        <c:lblOffset val="100"/>
        <c:tickMarkSkip val="1"/>
        <c:noMultiLvlLbl val="1"/>
      </c:catAx>
      <c:valAx>
        <c:axId val="206515208"/>
        <c:scaling>
          <c:orientation val="minMax"/>
          <c:max val="1"/>
          <c:min val="0"/>
        </c:scaling>
        <c:delete val="1"/>
        <c:axPos val="l"/>
        <c:numFmt formatCode="0%" sourceLinked="0"/>
        <c:majorTickMark val="none"/>
        <c:minorTickMark val="none"/>
        <c:tickLblPos val="nextTo"/>
        <c:crossAx val="20651285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06518736"/>
        <c:axId val="20651834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065187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06518344"/>
        <c:crosses val="autoZero"/>
        <c:auto val="1"/>
        <c:lblAlgn val="ctr"/>
        <c:lblOffset val="100"/>
        <c:noMultiLvlLbl val="0"/>
      </c:catAx>
      <c:valAx>
        <c:axId val="2065183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065187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06519128"/>
        <c:axId val="206514816"/>
        <c:extLst xmlns:c16r2="http://schemas.microsoft.com/office/drawing/2015/06/chart"/>
      </c:radarChart>
      <c:catAx>
        <c:axId val="20651912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06514816"/>
        <c:crosses val="autoZero"/>
        <c:auto val="1"/>
        <c:lblAlgn val="ctr"/>
        <c:lblOffset val="100"/>
        <c:noMultiLvlLbl val="0"/>
      </c:catAx>
      <c:valAx>
        <c:axId val="20651481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0651912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MSS@everis.com" TargetMode="External"/><Relationship Id="rId1" Type="http://schemas.openxmlformats.org/officeDocument/2006/relationships/hyperlink" Target="https://www.rd-alliance.org/group/rdawds-publishing-data-services-wg/outcomes/rdawds-publishing-data-services-wg-recommendations"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8" zoomScaleNormal="100" workbookViewId="0">
      <selection activeCell="E20" sqref="E20:H20"/>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TfjuDhp89lUMbEXkBvNpm8q04NOlEhICklmpqd0Ip9pVvYuXlT7x5Mazpn5RWehR91L+RPQ3ZDiN3fPMkU+Tuw==" saltValue="SXNvo9dE5MqG6vKrRZPYF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18" workbookViewId="0">
      <selection activeCell="H15" sqref="H15:Q1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1" t="s">
        <v>18</v>
      </c>
      <c r="E7" s="582"/>
      <c r="F7" s="583"/>
      <c r="G7" s="75"/>
      <c r="H7" s="590" t="s">
        <v>440</v>
      </c>
      <c r="I7" s="585"/>
      <c r="J7" s="585"/>
      <c r="K7" s="585"/>
      <c r="L7" s="585"/>
      <c r="M7" s="585"/>
      <c r="N7" s="585"/>
      <c r="O7" s="585"/>
      <c r="P7" s="585"/>
      <c r="Q7" s="586"/>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1" t="s">
        <v>20</v>
      </c>
      <c r="E9" s="582"/>
      <c r="F9" s="583"/>
      <c r="G9" s="75"/>
      <c r="H9" s="590" t="s">
        <v>441</v>
      </c>
      <c r="I9" s="585"/>
      <c r="J9" s="585"/>
      <c r="K9" s="585"/>
      <c r="L9" s="585"/>
      <c r="M9" s="585"/>
      <c r="N9" s="585"/>
      <c r="O9" s="585"/>
      <c r="P9" s="585"/>
      <c r="Q9" s="586"/>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1" t="s">
        <v>22</v>
      </c>
      <c r="E11" s="582"/>
      <c r="F11" s="583"/>
      <c r="G11" s="75"/>
      <c r="H11" s="584"/>
      <c r="I11" s="585"/>
      <c r="J11" s="585"/>
      <c r="K11" s="585"/>
      <c r="L11" s="585"/>
      <c r="M11" s="585"/>
      <c r="N11" s="585"/>
      <c r="O11" s="585"/>
      <c r="P11" s="585"/>
      <c r="Q11" s="586"/>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1" t="s">
        <v>24</v>
      </c>
      <c r="E13" s="582"/>
      <c r="F13" s="583"/>
      <c r="G13" s="75"/>
      <c r="H13" s="584"/>
      <c r="I13" s="585"/>
      <c r="J13" s="585"/>
      <c r="K13" s="585"/>
      <c r="L13" s="585"/>
      <c r="M13" s="585"/>
      <c r="N13" s="585"/>
      <c r="O13" s="585"/>
      <c r="P13" s="585"/>
      <c r="Q13" s="586"/>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1" t="s">
        <v>26</v>
      </c>
      <c r="E15" s="582"/>
      <c r="F15" s="583"/>
      <c r="G15" s="75"/>
      <c r="H15" s="584"/>
      <c r="I15" s="585"/>
      <c r="J15" s="585"/>
      <c r="K15" s="585"/>
      <c r="L15" s="585"/>
      <c r="M15" s="585"/>
      <c r="N15" s="585"/>
      <c r="O15" s="585"/>
      <c r="P15" s="585"/>
      <c r="Q15" s="586"/>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1" t="s">
        <v>28</v>
      </c>
      <c r="E17" s="582"/>
      <c r="F17" s="583"/>
      <c r="G17" s="75"/>
      <c r="H17" s="732" t="s">
        <v>442</v>
      </c>
      <c r="I17" s="585"/>
      <c r="J17" s="585"/>
      <c r="K17" s="585"/>
      <c r="L17" s="585"/>
      <c r="M17" s="585"/>
      <c r="N17" s="585"/>
      <c r="O17" s="585"/>
      <c r="P17" s="585"/>
      <c r="Q17" s="586"/>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1" t="s">
        <v>30</v>
      </c>
      <c r="E19" s="582"/>
      <c r="F19" s="583"/>
      <c r="G19" s="158" t="s">
        <v>31</v>
      </c>
      <c r="H19" s="587">
        <v>43921</v>
      </c>
      <c r="I19" s="588"/>
      <c r="J19" s="588"/>
      <c r="K19" s="588"/>
      <c r="L19" s="588"/>
      <c r="M19" s="588"/>
      <c r="N19" s="588"/>
      <c r="O19" s="588"/>
      <c r="P19" s="588"/>
      <c r="Q19" s="589"/>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1" t="s">
        <v>34</v>
      </c>
      <c r="E23" s="582"/>
      <c r="F23" s="583"/>
      <c r="G23" s="158" t="s">
        <v>31</v>
      </c>
      <c r="H23" s="590" t="s">
        <v>417</v>
      </c>
      <c r="I23" s="585"/>
      <c r="J23" s="585"/>
      <c r="K23" s="585"/>
      <c r="L23" s="585"/>
      <c r="M23" s="585"/>
      <c r="N23" s="585"/>
      <c r="O23" s="585"/>
      <c r="P23" s="585"/>
      <c r="Q23" s="586"/>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91" t="s">
        <v>36</v>
      </c>
      <c r="E25" s="592"/>
      <c r="F25" s="593"/>
      <c r="G25" s="75"/>
      <c r="H25" s="732" t="s">
        <v>418</v>
      </c>
      <c r="I25" s="585"/>
      <c r="J25" s="585"/>
      <c r="K25" s="585"/>
      <c r="L25" s="585"/>
      <c r="M25" s="585"/>
      <c r="N25" s="585"/>
      <c r="O25" s="585"/>
      <c r="P25" s="585"/>
      <c r="Q25" s="586"/>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91" t="s">
        <v>39</v>
      </c>
      <c r="E27" s="592"/>
      <c r="F27" s="593"/>
      <c r="G27" s="159" t="s">
        <v>31</v>
      </c>
      <c r="H27" s="584" t="s">
        <v>419</v>
      </c>
      <c r="I27" s="585"/>
      <c r="J27" s="585"/>
      <c r="K27" s="585"/>
      <c r="L27" s="585"/>
      <c r="M27" s="585"/>
      <c r="N27" s="585"/>
      <c r="O27" s="585"/>
      <c r="P27" s="585"/>
      <c r="Q27" s="586"/>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602"/>
      <c r="O44" s="602"/>
      <c r="P44" s="602"/>
      <c r="Q44" s="602"/>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4" t="s">
        <v>57</v>
      </c>
      <c r="E47" s="595"/>
      <c r="F47" s="595"/>
      <c r="G47" s="595"/>
      <c r="H47" s="595"/>
      <c r="I47" s="595"/>
      <c r="J47" s="596"/>
      <c r="K47" s="74"/>
      <c r="L47" s="87"/>
      <c r="M47" s="74"/>
      <c r="N47" s="597"/>
      <c r="O47" s="598"/>
      <c r="P47" s="598"/>
      <c r="Q47" s="598"/>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4" t="s">
        <v>59</v>
      </c>
      <c r="E49" s="595"/>
      <c r="F49" s="595"/>
      <c r="G49" s="595"/>
      <c r="H49" s="595"/>
      <c r="I49" s="595"/>
      <c r="J49" s="596"/>
      <c r="K49" s="74"/>
      <c r="L49" s="87"/>
      <c r="M49" s="74"/>
      <c r="N49" s="597"/>
      <c r="O49" s="598"/>
      <c r="P49" s="598"/>
      <c r="Q49" s="598"/>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4" t="s">
        <v>64</v>
      </c>
      <c r="E55" s="595"/>
      <c r="F55" s="595"/>
      <c r="G55" s="595"/>
      <c r="H55" s="595"/>
      <c r="I55" s="595"/>
      <c r="J55" s="596"/>
      <c r="K55" s="74"/>
      <c r="L55" s="87"/>
      <c r="M55" s="74"/>
      <c r="N55" s="597"/>
      <c r="O55" s="598"/>
      <c r="P55" s="598"/>
      <c r="Q55" s="598"/>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600" t="s">
        <v>68</v>
      </c>
      <c r="B61" s="601"/>
      <c r="C61" s="601"/>
      <c r="D61" s="601"/>
      <c r="E61" s="601"/>
      <c r="F61" s="601"/>
      <c r="G61" s="601"/>
      <c r="H61" s="601"/>
      <c r="I61" s="601"/>
      <c r="J61" s="601"/>
      <c r="K61" s="601"/>
      <c r="L61" s="601"/>
      <c r="M61" s="601"/>
      <c r="N61" s="601"/>
      <c r="O61" s="601"/>
      <c r="P61" s="601"/>
      <c r="Q61" s="60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25" r:id="rId1"/>
    <hyperlink ref="H17"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7" t="s">
        <v>69</v>
      </c>
      <c r="E1" s="627"/>
      <c r="F1" s="627"/>
      <c r="G1" s="627"/>
      <c r="H1" s="627"/>
      <c r="I1" s="627"/>
      <c r="J1" s="627"/>
      <c r="K1" s="627"/>
      <c r="L1" s="627"/>
      <c r="M1" s="627"/>
      <c r="N1" s="627"/>
      <c r="O1" s="627"/>
      <c r="P1" s="627"/>
      <c r="Q1" s="627"/>
    </row>
    <row r="2" spans="1:18" s="141" customFormat="1" x14ac:dyDescent="0.35">
      <c r="A2"/>
      <c r="B2" s="143"/>
      <c r="C2" s="3"/>
      <c r="D2" s="627"/>
      <c r="E2" s="627"/>
      <c r="F2" s="627"/>
      <c r="G2" s="627"/>
      <c r="H2" s="627"/>
      <c r="I2" s="627"/>
      <c r="J2" s="627"/>
      <c r="K2" s="627"/>
      <c r="L2" s="627"/>
      <c r="M2" s="627"/>
      <c r="N2" s="627"/>
      <c r="O2" s="627"/>
      <c r="P2" s="627"/>
      <c r="Q2" s="627"/>
      <c r="R2" s="3"/>
    </row>
    <row r="3" spans="1:18" s="146" customFormat="1" ht="7.5" customHeight="1" x14ac:dyDescent="0.35">
      <c r="A3"/>
      <c r="B3" s="144"/>
      <c r="C3" s="145"/>
      <c r="D3" s="628"/>
      <c r="E3" s="628"/>
      <c r="F3" s="628"/>
      <c r="G3" s="628"/>
      <c r="H3" s="628"/>
      <c r="I3" s="628"/>
      <c r="J3" s="628"/>
      <c r="K3" s="628"/>
      <c r="L3" s="628"/>
      <c r="M3" s="628"/>
      <c r="N3" s="628"/>
      <c r="O3" s="628"/>
      <c r="P3" s="628"/>
      <c r="Q3" s="628"/>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3" t="s">
        <v>70</v>
      </c>
      <c r="E7" s="604"/>
      <c r="F7" s="605"/>
      <c r="G7" s="5"/>
      <c r="H7" s="612"/>
      <c r="I7" s="613"/>
      <c r="J7" s="613"/>
      <c r="K7" s="613"/>
      <c r="L7" s="613"/>
      <c r="M7" s="613"/>
      <c r="N7" s="613"/>
      <c r="O7" s="613"/>
      <c r="P7" s="613"/>
      <c r="Q7" s="614"/>
      <c r="R7" s="3"/>
    </row>
    <row r="8" spans="1:18" x14ac:dyDescent="0.35">
      <c r="B8" s="5"/>
      <c r="C8" s="6"/>
      <c r="D8" s="8"/>
      <c r="E8" s="147"/>
      <c r="F8" s="7"/>
      <c r="G8" s="5"/>
      <c r="H8" s="7"/>
      <c r="I8" s="7"/>
      <c r="J8" s="7"/>
      <c r="K8" s="7"/>
      <c r="L8" s="7"/>
      <c r="M8" s="7"/>
      <c r="N8" s="7"/>
      <c r="O8" s="9"/>
      <c r="P8" s="9"/>
      <c r="Q8" s="9"/>
      <c r="R8" s="3"/>
    </row>
    <row r="9" spans="1:18" x14ac:dyDescent="0.35">
      <c r="B9" s="5"/>
      <c r="C9" s="6" t="s">
        <v>19</v>
      </c>
      <c r="D9" s="603" t="s">
        <v>20</v>
      </c>
      <c r="E9" s="604"/>
      <c r="F9" s="605"/>
      <c r="G9" s="5"/>
      <c r="H9" s="612"/>
      <c r="I9" s="613"/>
      <c r="J9" s="613"/>
      <c r="K9" s="613"/>
      <c r="L9" s="613"/>
      <c r="M9" s="613"/>
      <c r="N9" s="613"/>
      <c r="O9" s="613"/>
      <c r="P9" s="613"/>
      <c r="Q9" s="614"/>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3" t="s">
        <v>71</v>
      </c>
      <c r="E11" s="604"/>
      <c r="F11" s="605"/>
      <c r="G11" s="5"/>
      <c r="H11" s="612"/>
      <c r="I11" s="613"/>
      <c r="J11" s="613"/>
      <c r="K11" s="613"/>
      <c r="L11" s="613"/>
      <c r="M11" s="613"/>
      <c r="N11" s="613"/>
      <c r="O11" s="613"/>
      <c r="P11" s="613"/>
      <c r="Q11" s="614"/>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3" t="s">
        <v>24</v>
      </c>
      <c r="E13" s="604"/>
      <c r="F13" s="605"/>
      <c r="G13" s="5"/>
      <c r="H13" s="612"/>
      <c r="I13" s="613"/>
      <c r="J13" s="613"/>
      <c r="K13" s="613"/>
      <c r="L13" s="613"/>
      <c r="M13" s="613"/>
      <c r="N13" s="613"/>
      <c r="O13" s="613"/>
      <c r="P13" s="613"/>
      <c r="Q13" s="614"/>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3" t="s">
        <v>26</v>
      </c>
      <c r="E15" s="604"/>
      <c r="F15" s="605"/>
      <c r="G15" s="5"/>
      <c r="H15" s="612"/>
      <c r="I15" s="613"/>
      <c r="J15" s="613"/>
      <c r="K15" s="613"/>
      <c r="L15" s="613"/>
      <c r="M15" s="613"/>
      <c r="N15" s="613"/>
      <c r="O15" s="613"/>
      <c r="P15" s="613"/>
      <c r="Q15" s="614"/>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3" t="s">
        <v>28</v>
      </c>
      <c r="E17" s="604"/>
      <c r="F17" s="605"/>
      <c r="G17" s="5"/>
      <c r="H17" s="612"/>
      <c r="I17" s="613"/>
      <c r="J17" s="613"/>
      <c r="K17" s="613"/>
      <c r="L17" s="613"/>
      <c r="M17" s="613"/>
      <c r="N17" s="613"/>
      <c r="O17" s="613"/>
      <c r="P17" s="613"/>
      <c r="Q17" s="61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3" t="s">
        <v>30</v>
      </c>
      <c r="E19" s="604"/>
      <c r="F19" s="605"/>
      <c r="G19" s="130" t="s">
        <v>31</v>
      </c>
      <c r="H19" s="606"/>
      <c r="I19" s="607"/>
      <c r="J19" s="607"/>
      <c r="K19" s="607"/>
      <c r="L19" s="607"/>
      <c r="M19" s="607"/>
      <c r="N19" s="607"/>
      <c r="O19" s="607"/>
      <c r="P19" s="607"/>
      <c r="Q19" s="60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3" t="s">
        <v>73</v>
      </c>
      <c r="E21" s="604"/>
      <c r="F21" s="605"/>
      <c r="G21" s="131" t="s">
        <v>31</v>
      </c>
      <c r="H21" s="609" t="s">
        <v>74</v>
      </c>
      <c r="I21" s="610"/>
      <c r="J21" s="610"/>
      <c r="K21" s="610"/>
      <c r="L21" s="610"/>
      <c r="M21" s="610"/>
      <c r="N21" s="610"/>
      <c r="O21" s="610"/>
      <c r="P21" s="610"/>
      <c r="Q21" s="61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3" t="s">
        <v>76</v>
      </c>
      <c r="E23" s="604"/>
      <c r="F23" s="605"/>
      <c r="G23" s="5"/>
      <c r="H23" s="612"/>
      <c r="I23" s="613"/>
      <c r="J23" s="613"/>
      <c r="K23" s="613"/>
      <c r="L23" s="613"/>
      <c r="M23" s="613"/>
      <c r="N23" s="613"/>
      <c r="O23" s="613"/>
      <c r="P23" s="613"/>
      <c r="Q23" s="614"/>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3" t="s">
        <v>78</v>
      </c>
      <c r="E25" s="604"/>
      <c r="F25" s="605"/>
      <c r="G25" s="5"/>
      <c r="H25" s="612"/>
      <c r="I25" s="613"/>
      <c r="J25" s="613"/>
      <c r="K25" s="613"/>
      <c r="L25" s="613"/>
      <c r="M25" s="613"/>
      <c r="N25" s="613"/>
      <c r="O25" s="613"/>
      <c r="P25" s="613"/>
      <c r="Q25" s="61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3" t="s">
        <v>80</v>
      </c>
      <c r="E27" s="604"/>
      <c r="F27" s="605"/>
      <c r="G27" s="5"/>
      <c r="H27" s="612"/>
      <c r="I27" s="613"/>
      <c r="J27" s="613"/>
      <c r="K27" s="613"/>
      <c r="L27" s="613"/>
      <c r="M27" s="613"/>
      <c r="N27" s="613"/>
      <c r="O27" s="613"/>
      <c r="P27" s="613"/>
      <c r="Q27" s="61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5" t="s">
        <v>82</v>
      </c>
      <c r="E29" s="616"/>
      <c r="F29" s="617"/>
      <c r="G29" s="5"/>
      <c r="H29" s="612"/>
      <c r="I29" s="613"/>
      <c r="J29" s="613"/>
      <c r="K29" s="613"/>
      <c r="L29" s="613"/>
      <c r="M29" s="613"/>
      <c r="N29" s="613"/>
      <c r="O29" s="613"/>
      <c r="P29" s="613"/>
      <c r="Q29" s="61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5" t="s">
        <v>84</v>
      </c>
      <c r="E31" s="616"/>
      <c r="F31" s="617"/>
      <c r="G31" s="5"/>
      <c r="H31" s="612"/>
      <c r="I31" s="613"/>
      <c r="J31" s="613"/>
      <c r="K31" s="613"/>
      <c r="L31" s="613"/>
      <c r="M31" s="613"/>
      <c r="N31" s="613"/>
      <c r="O31" s="613"/>
      <c r="P31" s="613"/>
      <c r="Q31" s="61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5" t="s">
        <v>86</v>
      </c>
      <c r="E33" s="616"/>
      <c r="F33" s="617"/>
      <c r="G33" s="5"/>
      <c r="H33" s="612"/>
      <c r="I33" s="613"/>
      <c r="J33" s="613"/>
      <c r="K33" s="613"/>
      <c r="L33" s="613"/>
      <c r="M33" s="613"/>
      <c r="N33" s="613"/>
      <c r="O33" s="613"/>
      <c r="P33" s="613"/>
      <c r="Q33" s="61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1" t="s">
        <v>34</v>
      </c>
      <c r="E37" s="622"/>
      <c r="F37" s="623"/>
      <c r="G37" s="131" t="s">
        <v>31</v>
      </c>
      <c r="H37" s="612"/>
      <c r="I37" s="613"/>
      <c r="J37" s="613"/>
      <c r="K37" s="613"/>
      <c r="L37" s="613"/>
      <c r="M37" s="613"/>
      <c r="N37" s="613"/>
      <c r="O37" s="613"/>
      <c r="P37" s="613"/>
      <c r="Q37" s="61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4" t="s">
        <v>36</v>
      </c>
      <c r="E39" s="625"/>
      <c r="F39" s="626"/>
      <c r="G39" s="5"/>
      <c r="H39" s="612"/>
      <c r="I39" s="613"/>
      <c r="J39" s="613"/>
      <c r="K39" s="613"/>
      <c r="L39" s="613"/>
      <c r="M39" s="613"/>
      <c r="N39" s="613"/>
      <c r="O39" s="613"/>
      <c r="P39" s="613"/>
      <c r="Q39" s="61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4" t="s">
        <v>87</v>
      </c>
      <c r="E41" s="625"/>
      <c r="F41" s="626"/>
      <c r="G41" s="132" t="s">
        <v>31</v>
      </c>
      <c r="H41" s="612"/>
      <c r="I41" s="613"/>
      <c r="J41" s="613"/>
      <c r="K41" s="613"/>
      <c r="L41" s="613"/>
      <c r="M41" s="613"/>
      <c r="N41" s="613"/>
      <c r="O41" s="613"/>
      <c r="P41" s="613"/>
      <c r="Q41" s="61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4" t="s">
        <v>41</v>
      </c>
      <c r="E43" s="625"/>
      <c r="F43" s="626"/>
      <c r="G43" s="5"/>
      <c r="H43" s="612"/>
      <c r="I43" s="613"/>
      <c r="J43" s="613"/>
      <c r="K43" s="613"/>
      <c r="L43" s="613"/>
      <c r="M43" s="613"/>
      <c r="N43" s="613"/>
      <c r="O43" s="613"/>
      <c r="P43" s="613"/>
      <c r="Q43" s="61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4" t="s">
        <v>43</v>
      </c>
      <c r="E45" s="625"/>
      <c r="F45" s="626"/>
      <c r="G45" s="5"/>
      <c r="H45" s="612"/>
      <c r="I45" s="613"/>
      <c r="J45" s="613"/>
      <c r="K45" s="613"/>
      <c r="L45" s="613"/>
      <c r="M45" s="613"/>
      <c r="N45" s="613"/>
      <c r="O45" s="613"/>
      <c r="P45" s="613"/>
      <c r="Q45" s="61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4" t="s">
        <v>45</v>
      </c>
      <c r="E47" s="625"/>
      <c r="F47" s="626"/>
      <c r="G47" s="5"/>
      <c r="H47" s="612"/>
      <c r="I47" s="613"/>
      <c r="J47" s="613"/>
      <c r="K47" s="613"/>
      <c r="L47" s="613"/>
      <c r="M47" s="613"/>
      <c r="N47" s="613"/>
      <c r="O47" s="613"/>
      <c r="P47" s="613"/>
      <c r="Q47" s="61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4" t="s">
        <v>47</v>
      </c>
      <c r="E49" s="625"/>
      <c r="F49" s="626"/>
      <c r="G49" s="5"/>
      <c r="H49" s="612"/>
      <c r="I49" s="613"/>
      <c r="J49" s="613"/>
      <c r="K49" s="613"/>
      <c r="L49" s="613"/>
      <c r="M49" s="613"/>
      <c r="N49" s="613"/>
      <c r="O49" s="613"/>
      <c r="P49" s="613"/>
      <c r="Q49" s="61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4" t="s">
        <v>49</v>
      </c>
      <c r="E51" s="625"/>
      <c r="F51" s="626"/>
      <c r="G51" s="5"/>
      <c r="H51" s="612"/>
      <c r="I51" s="613"/>
      <c r="J51" s="613"/>
      <c r="K51" s="613"/>
      <c r="L51" s="613"/>
      <c r="M51" s="613"/>
      <c r="N51" s="613"/>
      <c r="O51" s="613"/>
      <c r="P51" s="613"/>
      <c r="Q51" s="61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4" t="s">
        <v>51</v>
      </c>
      <c r="E53" s="625"/>
      <c r="F53" s="626"/>
      <c r="G53" s="5"/>
      <c r="H53" s="612"/>
      <c r="I53" s="613"/>
      <c r="J53" s="613"/>
      <c r="K53" s="613"/>
      <c r="L53" s="613"/>
      <c r="M53" s="613"/>
      <c r="N53" s="613"/>
      <c r="O53" s="613"/>
      <c r="P53" s="613"/>
      <c r="Q53" s="61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4" t="s">
        <v>88</v>
      </c>
      <c r="E55" s="625"/>
      <c r="F55" s="626"/>
      <c r="G55" s="5"/>
      <c r="H55" s="612"/>
      <c r="I55" s="613"/>
      <c r="J55" s="613"/>
      <c r="K55" s="613"/>
      <c r="L55" s="613"/>
      <c r="M55" s="613"/>
      <c r="N55" s="613"/>
      <c r="O55" s="613"/>
      <c r="P55" s="613"/>
      <c r="Q55" s="61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1" t="s">
        <v>90</v>
      </c>
      <c r="E57" s="622"/>
      <c r="F57" s="623"/>
      <c r="G57" s="5"/>
      <c r="H57" s="612"/>
      <c r="I57" s="613"/>
      <c r="J57" s="613"/>
      <c r="K57" s="613"/>
      <c r="L57" s="613"/>
      <c r="M57" s="613"/>
      <c r="N57" s="613"/>
      <c r="O57" s="613"/>
      <c r="P57" s="613"/>
      <c r="Q57" s="61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1" t="s">
        <v>92</v>
      </c>
      <c r="E59" s="622"/>
      <c r="F59" s="623"/>
      <c r="G59" s="5"/>
      <c r="H59" s="612"/>
      <c r="I59" s="613"/>
      <c r="J59" s="613"/>
      <c r="K59" s="613"/>
      <c r="L59" s="613"/>
      <c r="M59" s="613"/>
      <c r="N59" s="613"/>
      <c r="O59" s="613"/>
      <c r="P59" s="613"/>
      <c r="Q59" s="61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1" t="s">
        <v>94</v>
      </c>
      <c r="E61" s="622"/>
      <c r="F61" s="623"/>
      <c r="G61" s="5"/>
      <c r="H61" s="612"/>
      <c r="I61" s="613"/>
      <c r="J61" s="613"/>
      <c r="K61" s="613"/>
      <c r="L61" s="613"/>
      <c r="M61" s="613"/>
      <c r="N61" s="613"/>
      <c r="O61" s="613"/>
      <c r="P61" s="613"/>
      <c r="Q61" s="61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1" t="s">
        <v>96</v>
      </c>
      <c r="E63" s="622"/>
      <c r="F63" s="623"/>
      <c r="G63" s="5"/>
      <c r="H63" s="612"/>
      <c r="I63" s="613"/>
      <c r="J63" s="613"/>
      <c r="K63" s="613"/>
      <c r="L63" s="613"/>
      <c r="M63" s="613"/>
      <c r="N63" s="613"/>
      <c r="O63" s="613"/>
      <c r="P63" s="613"/>
      <c r="Q63" s="61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1" t="s">
        <v>98</v>
      </c>
      <c r="E65" s="622"/>
      <c r="F65" s="623"/>
      <c r="G65" s="5"/>
      <c r="H65" s="612"/>
      <c r="I65" s="613"/>
      <c r="J65" s="613"/>
      <c r="K65" s="613"/>
      <c r="L65" s="613"/>
      <c r="M65" s="613"/>
      <c r="N65" s="613"/>
      <c r="O65" s="613"/>
      <c r="P65" s="613"/>
      <c r="Q65" s="61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1" t="s">
        <v>100</v>
      </c>
      <c r="E67" s="622"/>
      <c r="F67" s="623"/>
      <c r="G67" s="5"/>
      <c r="H67" s="612"/>
      <c r="I67" s="613"/>
      <c r="J67" s="613"/>
      <c r="K67" s="613"/>
      <c r="L67" s="613"/>
      <c r="M67" s="613"/>
      <c r="N67" s="613"/>
      <c r="O67" s="613"/>
      <c r="P67" s="613"/>
      <c r="Q67" s="61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1" t="s">
        <v>102</v>
      </c>
      <c r="E69" s="622"/>
      <c r="F69" s="623"/>
      <c r="G69" s="5"/>
      <c r="H69" s="612"/>
      <c r="I69" s="613"/>
      <c r="J69" s="613"/>
      <c r="K69" s="613"/>
      <c r="L69" s="613"/>
      <c r="M69" s="613"/>
      <c r="N69" s="613"/>
      <c r="O69" s="613"/>
      <c r="P69" s="613"/>
      <c r="Q69" s="61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1" t="s">
        <v>104</v>
      </c>
      <c r="E71" s="622"/>
      <c r="F71" s="623"/>
      <c r="G71" s="5"/>
      <c r="H71" s="612"/>
      <c r="I71" s="613"/>
      <c r="J71" s="613"/>
      <c r="K71" s="613"/>
      <c r="L71" s="613"/>
      <c r="M71" s="613"/>
      <c r="N71" s="613"/>
      <c r="O71" s="613"/>
      <c r="P71" s="613"/>
      <c r="Q71" s="61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1" t="s">
        <v>106</v>
      </c>
      <c r="E73" s="622"/>
      <c r="F73" s="623"/>
      <c r="G73" s="5"/>
      <c r="H73" s="612"/>
      <c r="I73" s="613"/>
      <c r="J73" s="613"/>
      <c r="K73" s="613"/>
      <c r="L73" s="613"/>
      <c r="M73" s="613"/>
      <c r="N73" s="613"/>
      <c r="O73" s="613"/>
      <c r="P73" s="613"/>
      <c r="Q73" s="61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1" t="s">
        <v>108</v>
      </c>
      <c r="E75" s="622"/>
      <c r="F75" s="623"/>
      <c r="G75" s="5"/>
      <c r="H75" s="612"/>
      <c r="I75" s="613"/>
      <c r="J75" s="613"/>
      <c r="K75" s="613"/>
      <c r="L75" s="613"/>
      <c r="M75" s="613"/>
      <c r="N75" s="613"/>
      <c r="O75" s="613"/>
      <c r="P75" s="613"/>
      <c r="Q75" s="61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1" t="s">
        <v>110</v>
      </c>
      <c r="E77" s="622"/>
      <c r="F77" s="623"/>
      <c r="G77" s="5"/>
      <c r="H77" s="612"/>
      <c r="I77" s="613"/>
      <c r="J77" s="613"/>
      <c r="K77" s="613"/>
      <c r="L77" s="613"/>
      <c r="M77" s="613"/>
      <c r="N77" s="613"/>
      <c r="O77" s="613"/>
      <c r="P77" s="613"/>
      <c r="Q77" s="61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1" t="s">
        <v>112</v>
      </c>
      <c r="E79" s="622"/>
      <c r="F79" s="623"/>
      <c r="G79" s="5"/>
      <c r="H79" s="612"/>
      <c r="I79" s="613"/>
      <c r="J79" s="613"/>
      <c r="K79" s="613"/>
      <c r="L79" s="613"/>
      <c r="M79" s="613"/>
      <c r="N79" s="613"/>
      <c r="O79" s="613"/>
      <c r="P79" s="613"/>
      <c r="Q79" s="61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1" t="s">
        <v>114</v>
      </c>
      <c r="E81" s="622"/>
      <c r="F81" s="623"/>
      <c r="G81" s="5"/>
      <c r="H81" s="612"/>
      <c r="I81" s="613"/>
      <c r="J81" s="613"/>
      <c r="K81" s="613"/>
      <c r="L81" s="613"/>
      <c r="M81" s="613"/>
      <c r="N81" s="613"/>
      <c r="O81" s="613"/>
      <c r="P81" s="613"/>
      <c r="Q81" s="61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1" t="s">
        <v>116</v>
      </c>
      <c r="E83" s="622"/>
      <c r="F83" s="623"/>
      <c r="G83" s="5"/>
      <c r="H83" s="612"/>
      <c r="I83" s="613"/>
      <c r="J83" s="613"/>
      <c r="K83" s="613"/>
      <c r="L83" s="613"/>
      <c r="M83" s="613"/>
      <c r="N83" s="613"/>
      <c r="O83" s="613"/>
      <c r="P83" s="613"/>
      <c r="Q83" s="61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1" t="s">
        <v>118</v>
      </c>
      <c r="E85" s="622"/>
      <c r="F85" s="623"/>
      <c r="G85" s="5"/>
      <c r="H85" s="612"/>
      <c r="I85" s="613"/>
      <c r="J85" s="613"/>
      <c r="K85" s="613"/>
      <c r="L85" s="613"/>
      <c r="M85" s="613"/>
      <c r="N85" s="613"/>
      <c r="O85" s="613"/>
      <c r="P85" s="613"/>
      <c r="Q85" s="61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1" t="s">
        <v>120</v>
      </c>
      <c r="E87" s="622"/>
      <c r="F87" s="623"/>
      <c r="G87" s="5"/>
      <c r="H87" s="612"/>
      <c r="I87" s="613"/>
      <c r="J87" s="613"/>
      <c r="K87" s="613"/>
      <c r="L87" s="613"/>
      <c r="M87" s="613"/>
      <c r="N87" s="613"/>
      <c r="O87" s="613"/>
      <c r="P87" s="613"/>
      <c r="Q87" s="61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1" t="s">
        <v>122</v>
      </c>
      <c r="E89" s="622"/>
      <c r="F89" s="623"/>
      <c r="G89" s="5"/>
      <c r="H89" s="612"/>
      <c r="I89" s="613"/>
      <c r="J89" s="613"/>
      <c r="K89" s="613"/>
      <c r="L89" s="613"/>
      <c r="M89" s="613"/>
      <c r="N89" s="613"/>
      <c r="O89" s="613"/>
      <c r="P89" s="613"/>
      <c r="Q89" s="61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9" t="s">
        <v>57</v>
      </c>
      <c r="E95" s="630"/>
      <c r="F95" s="630"/>
      <c r="G95" s="630"/>
      <c r="H95" s="630"/>
      <c r="I95" s="630"/>
      <c r="J95" s="631"/>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9" t="s">
        <v>59</v>
      </c>
      <c r="E97" s="630"/>
      <c r="F97" s="630"/>
      <c r="G97" s="630"/>
      <c r="H97" s="630"/>
      <c r="I97" s="630"/>
      <c r="J97" s="631"/>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9" t="s">
        <v>127</v>
      </c>
      <c r="E99" s="630"/>
      <c r="F99" s="630"/>
      <c r="G99" s="630"/>
      <c r="H99" s="630"/>
      <c r="I99" s="630"/>
      <c r="J99" s="631"/>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9" t="s">
        <v>129</v>
      </c>
      <c r="E103" s="630"/>
      <c r="F103" s="630"/>
      <c r="G103" s="630"/>
      <c r="H103" s="630"/>
      <c r="I103" s="630"/>
      <c r="J103" s="631"/>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9" t="s">
        <v>67</v>
      </c>
      <c r="E105" s="630"/>
      <c r="F105" s="630"/>
      <c r="G105" s="630"/>
      <c r="H105" s="630"/>
      <c r="I105" s="630"/>
      <c r="J105" s="631"/>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F1" workbookViewId="0">
      <selection activeCell="I56" sqref="I56"/>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420</v>
      </c>
      <c r="H2" s="94"/>
      <c r="I2" s="634"/>
      <c r="J2" s="634"/>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c r="H4" s="94"/>
      <c r="I4" s="634"/>
      <c r="J4" s="634"/>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x14ac:dyDescent="0.35">
      <c r="A8" s="99"/>
      <c r="B8" s="541"/>
      <c r="C8" s="98"/>
      <c r="D8" s="541"/>
      <c r="E8" s="443" t="s">
        <v>12</v>
      </c>
      <c r="F8" s="99"/>
      <c r="G8" s="441" t="s">
        <v>417</v>
      </c>
      <c r="H8" s="94"/>
      <c r="I8" s="634"/>
      <c r="J8" s="634"/>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4"/>
      <c r="J10" s="634"/>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5"/>
      <c r="D12" s="635"/>
      <c r="E12" s="635"/>
      <c r="F12" s="635"/>
      <c r="G12" s="635"/>
      <c r="H12" s="635"/>
      <c r="I12" s="635"/>
      <c r="J12" s="635"/>
      <c r="K12" s="635"/>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133</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391.5" x14ac:dyDescent="0.35">
      <c r="A16" s="541"/>
      <c r="B16" s="541"/>
      <c r="C16" s="97" t="s">
        <v>134</v>
      </c>
      <c r="D16" s="93"/>
      <c r="E16" s="632" t="s">
        <v>135</v>
      </c>
      <c r="F16" s="632"/>
      <c r="G16" s="632"/>
      <c r="H16" s="93"/>
      <c r="I16" s="126" t="s">
        <v>156</v>
      </c>
      <c r="J16" s="93"/>
      <c r="K16" s="114" t="s">
        <v>423</v>
      </c>
      <c r="L16" s="111"/>
    </row>
    <row r="17" spans="1:14" x14ac:dyDescent="0.35">
      <c r="A17" s="541"/>
      <c r="B17" s="541"/>
      <c r="C17" s="97"/>
      <c r="D17" s="99"/>
      <c r="E17" s="94"/>
      <c r="F17" s="93"/>
      <c r="G17" s="93"/>
      <c r="H17" s="93"/>
      <c r="I17" s="93"/>
      <c r="J17" s="93"/>
      <c r="K17" s="93"/>
      <c r="L17" s="111"/>
    </row>
    <row r="18" spans="1:14" ht="58" x14ac:dyDescent="0.75">
      <c r="A18" s="541"/>
      <c r="B18" s="541"/>
      <c r="C18" s="97" t="s">
        <v>136</v>
      </c>
      <c r="D18" s="99"/>
      <c r="E18" s="632" t="s">
        <v>137</v>
      </c>
      <c r="F18" s="632"/>
      <c r="G18" s="632"/>
      <c r="H18" s="93"/>
      <c r="I18" s="126" t="s">
        <v>421</v>
      </c>
      <c r="J18" s="93"/>
      <c r="K18" s="114" t="s">
        <v>422</v>
      </c>
      <c r="L18" s="111"/>
      <c r="N18" s="444" t="s">
        <v>37</v>
      </c>
    </row>
    <row r="19" spans="1:14" x14ac:dyDescent="0.35">
      <c r="A19" s="541"/>
      <c r="B19" s="541"/>
      <c r="C19" s="97"/>
      <c r="D19" s="99"/>
      <c r="E19" s="94"/>
      <c r="F19" s="93"/>
      <c r="G19" s="93"/>
      <c r="H19" s="93"/>
      <c r="I19" s="93"/>
      <c r="J19" s="93"/>
      <c r="K19" s="93"/>
      <c r="L19" s="93"/>
    </row>
    <row r="20" spans="1:14" ht="116" x14ac:dyDescent="0.75">
      <c r="A20" s="541"/>
      <c r="B20" s="541"/>
      <c r="C20" s="97" t="s">
        <v>138</v>
      </c>
      <c r="D20" s="99"/>
      <c r="E20" s="632" t="s">
        <v>139</v>
      </c>
      <c r="F20" s="632"/>
      <c r="G20" s="632"/>
      <c r="H20" s="93"/>
      <c r="I20" s="126" t="s">
        <v>421</v>
      </c>
      <c r="J20" s="93"/>
      <c r="K20" s="114" t="s">
        <v>424</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140</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76.5" x14ac:dyDescent="1.65">
      <c r="A24" s="541"/>
      <c r="B24" s="541"/>
      <c r="C24" s="97" t="s">
        <v>141</v>
      </c>
      <c r="D24" s="99"/>
      <c r="E24" s="632" t="s">
        <v>142</v>
      </c>
      <c r="F24" s="632"/>
      <c r="G24" s="632"/>
      <c r="H24" s="93"/>
      <c r="I24" s="126" t="s">
        <v>156</v>
      </c>
      <c r="J24" s="93"/>
      <c r="K24" s="114" t="s">
        <v>425</v>
      </c>
      <c r="L24" s="93"/>
      <c r="N24" s="445" t="s">
        <v>37</v>
      </c>
    </row>
    <row r="25" spans="1:14" x14ac:dyDescent="0.35">
      <c r="A25" s="541"/>
      <c r="B25" s="541"/>
      <c r="C25" s="97"/>
      <c r="D25" s="99"/>
      <c r="E25" s="542"/>
      <c r="F25" s="93"/>
      <c r="G25" s="93"/>
      <c r="H25" s="93"/>
      <c r="I25" s="93"/>
      <c r="J25" s="93"/>
      <c r="K25" s="93"/>
      <c r="L25" s="93"/>
    </row>
    <row r="26" spans="1:14" ht="58" x14ac:dyDescent="0.75">
      <c r="A26" s="541"/>
      <c r="B26" s="541"/>
      <c r="C26" s="97" t="s">
        <v>143</v>
      </c>
      <c r="D26" s="99" t="s">
        <v>144</v>
      </c>
      <c r="E26" s="632" t="s">
        <v>145</v>
      </c>
      <c r="F26" s="632"/>
      <c r="G26" s="632"/>
      <c r="H26" s="93"/>
      <c r="I26" s="126" t="s">
        <v>421</v>
      </c>
      <c r="J26" s="93"/>
      <c r="K26" s="114" t="s">
        <v>425</v>
      </c>
      <c r="L26" s="93"/>
      <c r="N26" s="444" t="s">
        <v>37</v>
      </c>
    </row>
    <row r="27" spans="1:14" x14ac:dyDescent="0.35">
      <c r="A27" s="541"/>
      <c r="B27" s="541"/>
      <c r="C27" s="97"/>
      <c r="D27" s="99"/>
      <c r="E27" s="94"/>
      <c r="F27" s="93"/>
      <c r="G27" s="93"/>
      <c r="H27" s="93"/>
      <c r="I27" s="93"/>
      <c r="J27" s="93"/>
      <c r="K27" s="93"/>
      <c r="L27" s="93"/>
    </row>
    <row r="28" spans="1:14" ht="58" x14ac:dyDescent="0.75">
      <c r="A28" s="541"/>
      <c r="B28" s="541"/>
      <c r="C28" s="97"/>
      <c r="D28" s="99" t="s">
        <v>146</v>
      </c>
      <c r="E28" s="632" t="s">
        <v>147</v>
      </c>
      <c r="F28" s="632"/>
      <c r="G28" s="632"/>
      <c r="H28" s="93"/>
      <c r="I28" s="126" t="s">
        <v>421</v>
      </c>
      <c r="J28" s="93"/>
      <c r="K28" s="114" t="s">
        <v>425</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148</v>
      </c>
      <c r="E30" s="632" t="s">
        <v>149</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150</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43.5" x14ac:dyDescent="0.35">
      <c r="A34" s="541"/>
      <c r="B34" s="541"/>
      <c r="C34" s="97" t="s">
        <v>151</v>
      </c>
      <c r="D34" s="99"/>
      <c r="E34" s="632" t="s">
        <v>152</v>
      </c>
      <c r="F34" s="632"/>
      <c r="G34" s="632"/>
      <c r="H34" s="93"/>
      <c r="I34" s="126" t="s">
        <v>156</v>
      </c>
      <c r="J34" s="93"/>
      <c r="K34" s="114" t="s">
        <v>426</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153</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409.5" x14ac:dyDescent="0.75">
      <c r="A38" s="541"/>
      <c r="B38" s="541"/>
      <c r="C38" s="97" t="s">
        <v>154</v>
      </c>
      <c r="D38" s="99"/>
      <c r="E38" s="632" t="s">
        <v>155</v>
      </c>
      <c r="F38" s="632"/>
      <c r="G38" s="632"/>
      <c r="H38" s="93"/>
      <c r="I38" s="126" t="s">
        <v>156</v>
      </c>
      <c r="J38" s="93"/>
      <c r="K38" s="114" t="s">
        <v>428</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157</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58" x14ac:dyDescent="0.35">
      <c r="A42" s="541"/>
      <c r="B42" s="541"/>
      <c r="C42" s="120" t="s">
        <v>158</v>
      </c>
      <c r="D42" s="121"/>
      <c r="E42" s="632" t="s">
        <v>159</v>
      </c>
      <c r="F42" s="632"/>
      <c r="G42" s="632"/>
      <c r="H42" s="93"/>
      <c r="I42" s="126" t="s">
        <v>156</v>
      </c>
      <c r="J42" s="93"/>
      <c r="K42" s="114" t="s">
        <v>427</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160</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43.5" x14ac:dyDescent="0.75">
      <c r="A46" s="541"/>
      <c r="B46" s="541"/>
      <c r="C46" s="120" t="s">
        <v>161</v>
      </c>
      <c r="D46" s="121"/>
      <c r="E46" s="632" t="s">
        <v>162</v>
      </c>
      <c r="F46" s="632"/>
      <c r="G46" s="632"/>
      <c r="H46" s="93"/>
      <c r="I46" s="126" t="s">
        <v>156</v>
      </c>
      <c r="J46" s="93"/>
      <c r="K46" s="114" t="s">
        <v>430</v>
      </c>
      <c r="L46" s="93"/>
      <c r="N46" s="444" t="s">
        <v>37</v>
      </c>
    </row>
    <row r="47" spans="1:14" x14ac:dyDescent="0.35">
      <c r="A47" s="541"/>
      <c r="B47" s="541"/>
      <c r="C47" s="113"/>
      <c r="D47" s="93"/>
      <c r="E47" s="93"/>
      <c r="F47" s="93"/>
      <c r="G47" s="93"/>
      <c r="H47" s="93"/>
      <c r="I47" s="93"/>
      <c r="J47" s="93"/>
      <c r="K47" s="93"/>
      <c r="L47" s="93"/>
    </row>
    <row r="48" spans="1:14" ht="43.5" x14ac:dyDescent="0.75">
      <c r="A48" s="541"/>
      <c r="B48" s="541"/>
      <c r="C48" s="120" t="s">
        <v>163</v>
      </c>
      <c r="D48" s="121"/>
      <c r="E48" s="632" t="s">
        <v>164</v>
      </c>
      <c r="F48" s="632"/>
      <c r="G48" s="632"/>
      <c r="H48" s="93"/>
      <c r="I48" s="126" t="s">
        <v>156</v>
      </c>
      <c r="J48" s="93"/>
      <c r="K48" s="114" t="s">
        <v>429</v>
      </c>
      <c r="L48" s="93"/>
      <c r="N48" s="444" t="s">
        <v>37</v>
      </c>
    </row>
    <row r="49" spans="1:12" x14ac:dyDescent="0.35">
      <c r="A49" s="541"/>
      <c r="B49" s="541"/>
      <c r="C49" s="113"/>
      <c r="D49" s="93"/>
      <c r="E49" s="93"/>
      <c r="F49" s="93"/>
      <c r="G49" s="93"/>
      <c r="H49" s="93"/>
      <c r="I49" s="93"/>
      <c r="J49" s="93"/>
      <c r="K49" s="93"/>
      <c r="L49" s="93"/>
    </row>
    <row r="50" spans="1:12" ht="72.5" x14ac:dyDescent="0.35">
      <c r="A50" s="541"/>
      <c r="B50" s="541"/>
      <c r="C50" s="120" t="s">
        <v>165</v>
      </c>
      <c r="D50" s="121"/>
      <c r="E50" s="632" t="s">
        <v>166</v>
      </c>
      <c r="F50" s="632"/>
      <c r="G50" s="632"/>
      <c r="H50" s="93"/>
      <c r="I50" s="126" t="s">
        <v>156</v>
      </c>
      <c r="J50" s="93"/>
      <c r="K50" s="114" t="s">
        <v>431</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167</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168</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43.5" x14ac:dyDescent="0.35">
      <c r="A56" s="541"/>
      <c r="B56" s="541"/>
      <c r="C56" s="120" t="s">
        <v>169</v>
      </c>
      <c r="D56" s="121"/>
      <c r="E56" s="632" t="s">
        <v>170</v>
      </c>
      <c r="F56" s="632"/>
      <c r="G56" s="632"/>
      <c r="H56" s="93"/>
      <c r="I56" s="126" t="s">
        <v>421</v>
      </c>
      <c r="J56" s="93"/>
      <c r="K56" s="114" t="s">
        <v>439</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171</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x14ac:dyDescent="0.35">
      <c r="A60" s="541"/>
      <c r="B60" s="541"/>
      <c r="C60" s="120" t="s">
        <v>172</v>
      </c>
      <c r="D60" s="121"/>
      <c r="E60" s="632" t="s">
        <v>173</v>
      </c>
      <c r="F60" s="632"/>
      <c r="G60" s="632"/>
      <c r="H60" s="93"/>
      <c r="I60" s="126" t="s">
        <v>156</v>
      </c>
      <c r="J60" s="93"/>
      <c r="K60" s="114" t="s">
        <v>432</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174</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58" x14ac:dyDescent="0.35">
      <c r="A64" s="541"/>
      <c r="B64" s="541"/>
      <c r="C64" s="97" t="s">
        <v>216</v>
      </c>
      <c r="D64" s="99" t="s">
        <v>144</v>
      </c>
      <c r="E64" s="632" t="s">
        <v>176</v>
      </c>
      <c r="F64" s="632"/>
      <c r="G64" s="632"/>
      <c r="H64" s="93"/>
      <c r="I64" s="126" t="s">
        <v>156</v>
      </c>
      <c r="J64" s="93"/>
      <c r="K64" s="114" t="s">
        <v>433</v>
      </c>
      <c r="L64" s="93"/>
    </row>
    <row r="65" spans="1:14" x14ac:dyDescent="0.35">
      <c r="A65" s="541"/>
      <c r="B65" s="541"/>
      <c r="C65" s="97"/>
      <c r="D65" s="99"/>
      <c r="E65" s="94"/>
      <c r="F65" s="93"/>
      <c r="G65" s="93"/>
      <c r="H65" s="93"/>
      <c r="I65" s="93"/>
      <c r="J65" s="93"/>
      <c r="K65" s="93"/>
      <c r="L65" s="93"/>
    </row>
    <row r="66" spans="1:14" ht="58" x14ac:dyDescent="0.35">
      <c r="A66" s="541"/>
      <c r="B66" s="541"/>
      <c r="C66" s="97"/>
      <c r="D66" s="99" t="s">
        <v>146</v>
      </c>
      <c r="E66" s="632" t="s">
        <v>177</v>
      </c>
      <c r="F66" s="632"/>
      <c r="G66" s="632"/>
      <c r="H66" s="93"/>
      <c r="I66" s="126" t="s">
        <v>156</v>
      </c>
      <c r="J66" s="93"/>
      <c r="K66" s="114" t="s">
        <v>433</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178</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130.5" x14ac:dyDescent="0.35">
      <c r="A70" s="541"/>
      <c r="B70" s="541"/>
      <c r="C70" s="97" t="s">
        <v>175</v>
      </c>
      <c r="D70" s="99" t="s">
        <v>144</v>
      </c>
      <c r="E70" s="632" t="s">
        <v>180</v>
      </c>
      <c r="F70" s="632"/>
      <c r="G70" s="632"/>
      <c r="H70" s="93"/>
      <c r="I70" s="126" t="s">
        <v>156</v>
      </c>
      <c r="J70" s="93"/>
      <c r="K70" s="114" t="s">
        <v>434</v>
      </c>
      <c r="L70" s="93"/>
    </row>
    <row r="71" spans="1:14" x14ac:dyDescent="0.35">
      <c r="A71" s="541"/>
      <c r="B71" s="541"/>
      <c r="C71" s="97"/>
      <c r="D71" s="99"/>
      <c r="E71" s="94"/>
      <c r="F71" s="93"/>
      <c r="G71" s="93"/>
      <c r="H71" s="93"/>
      <c r="I71" s="93"/>
      <c r="J71" s="93"/>
      <c r="K71" s="93"/>
      <c r="L71" s="93"/>
    </row>
    <row r="72" spans="1:14" ht="72.5" x14ac:dyDescent="1.1000000000000001">
      <c r="A72" s="541"/>
      <c r="B72" s="541"/>
      <c r="C72" s="97"/>
      <c r="D72" s="135" t="s">
        <v>146</v>
      </c>
      <c r="E72" s="632" t="s">
        <v>181</v>
      </c>
      <c r="F72" s="632"/>
      <c r="G72" s="632"/>
      <c r="H72" s="93"/>
      <c r="I72" s="126" t="s">
        <v>156</v>
      </c>
      <c r="J72" s="93"/>
      <c r="K72" s="114" t="s">
        <v>435</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182</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220</v>
      </c>
      <c r="D76" s="99" t="s">
        <v>144</v>
      </c>
      <c r="E76" s="632" t="s">
        <v>184</v>
      </c>
      <c r="F76" s="632"/>
      <c r="G76" s="632"/>
      <c r="H76" s="93"/>
      <c r="I76" s="126" t="s">
        <v>156</v>
      </c>
      <c r="J76" s="93"/>
      <c r="K76" s="114" t="s">
        <v>436</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146</v>
      </c>
      <c r="E78" s="632" t="s">
        <v>185</v>
      </c>
      <c r="F78" s="632"/>
      <c r="G78" s="632"/>
      <c r="H78" s="93"/>
      <c r="I78" s="126" t="s">
        <v>156</v>
      </c>
      <c r="J78" s="93"/>
      <c r="K78" s="114" t="s">
        <v>437</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186</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116" x14ac:dyDescent="0.75">
      <c r="A82" s="541"/>
      <c r="B82" s="541"/>
      <c r="C82" s="120" t="s">
        <v>179</v>
      </c>
      <c r="D82" s="121"/>
      <c r="E82" s="632" t="s">
        <v>188</v>
      </c>
      <c r="F82" s="632"/>
      <c r="G82" s="632"/>
      <c r="H82" s="93"/>
      <c r="I82" s="126" t="s">
        <v>156</v>
      </c>
      <c r="J82" s="93"/>
      <c r="K82" s="114" t="s">
        <v>438</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0" t="s">
        <v>189</v>
      </c>
      <c r="B84" s="601"/>
      <c r="C84" s="601"/>
      <c r="D84" s="601"/>
      <c r="E84" s="601"/>
      <c r="F84" s="601"/>
      <c r="G84" s="601"/>
      <c r="H84" s="601"/>
      <c r="I84" s="601"/>
      <c r="J84" s="601"/>
      <c r="K84" s="601"/>
      <c r="L84" s="633"/>
    </row>
  </sheetData>
  <sheetProtection algorithmName="SHA-512" hashValue="cSN/mj/WkbMwUvTgrmR2racoOrzArp02a/brTlb6o9uzbruHg5JSV3LrQeJZBLBApm0h9o1GwS3qLePLHb17IQ==" saltValue="6VNpYriQhvlQBbs2NJVz5g=="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498"/>
      <c r="C1" s="636" t="s">
        <v>69</v>
      </c>
      <c r="D1" s="636"/>
      <c r="E1" s="636"/>
      <c r="F1" s="636"/>
      <c r="G1" s="636"/>
      <c r="H1" s="636"/>
      <c r="I1" s="636"/>
      <c r="J1" s="636"/>
      <c r="K1" s="636"/>
      <c r="L1" s="636"/>
      <c r="M1" s="636"/>
      <c r="N1" s="636"/>
      <c r="O1" s="636"/>
      <c r="P1" s="636"/>
      <c r="Q1" s="636"/>
    </row>
    <row r="2" spans="1:18" s="236" customFormat="1" x14ac:dyDescent="0.35">
      <c r="A2" s="336"/>
      <c r="B2" s="338"/>
      <c r="C2" s="636"/>
      <c r="D2" s="636"/>
      <c r="E2" s="636"/>
      <c r="F2" s="636"/>
      <c r="G2" s="636"/>
      <c r="H2" s="636"/>
      <c r="I2" s="636"/>
      <c r="J2" s="636"/>
      <c r="K2" s="636"/>
      <c r="L2" s="636"/>
      <c r="M2" s="636"/>
      <c r="N2" s="636"/>
      <c r="O2" s="636"/>
      <c r="P2" s="636"/>
      <c r="Q2" s="636"/>
      <c r="R2" s="337"/>
    </row>
    <row r="3" spans="1:18" s="341" customFormat="1" ht="9.75" customHeight="1" x14ac:dyDescent="0.35">
      <c r="A3" s="336"/>
      <c r="B3" s="339"/>
      <c r="C3" s="637"/>
      <c r="D3" s="637"/>
      <c r="E3" s="637"/>
      <c r="F3" s="637"/>
      <c r="G3" s="637"/>
      <c r="H3" s="637"/>
      <c r="I3" s="637"/>
      <c r="J3" s="637"/>
      <c r="K3" s="637"/>
      <c r="L3" s="637"/>
      <c r="M3" s="637"/>
      <c r="N3" s="637"/>
      <c r="O3" s="637"/>
      <c r="P3" s="637"/>
      <c r="Q3" s="637"/>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8" t="s">
        <v>18</v>
      </c>
      <c r="E7" s="639"/>
      <c r="F7" s="640"/>
      <c r="G7" s="343"/>
      <c r="H7" s="612"/>
      <c r="I7" s="613"/>
      <c r="J7" s="613"/>
      <c r="K7" s="613"/>
      <c r="L7" s="613"/>
      <c r="M7" s="613"/>
      <c r="N7" s="613"/>
      <c r="O7" s="613"/>
      <c r="P7" s="613"/>
      <c r="Q7" s="61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8" t="s">
        <v>20</v>
      </c>
      <c r="E9" s="639"/>
      <c r="F9" s="640"/>
      <c r="G9" s="343"/>
      <c r="H9" s="612"/>
      <c r="I9" s="613"/>
      <c r="J9" s="613"/>
      <c r="K9" s="613"/>
      <c r="L9" s="613"/>
      <c r="M9" s="613"/>
      <c r="N9" s="613"/>
      <c r="O9" s="613"/>
      <c r="P9" s="613"/>
      <c r="Q9" s="61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8" t="s">
        <v>71</v>
      </c>
      <c r="E11" s="639"/>
      <c r="F11" s="640"/>
      <c r="G11" s="343"/>
      <c r="H11" s="612"/>
      <c r="I11" s="613"/>
      <c r="J11" s="613"/>
      <c r="K11" s="613"/>
      <c r="L11" s="613"/>
      <c r="M11" s="613"/>
      <c r="N11" s="613"/>
      <c r="O11" s="613"/>
      <c r="P11" s="613"/>
      <c r="Q11" s="61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8" t="s">
        <v>24</v>
      </c>
      <c r="E13" s="639"/>
      <c r="F13" s="640"/>
      <c r="G13" s="343"/>
      <c r="H13" s="612"/>
      <c r="I13" s="613"/>
      <c r="J13" s="613"/>
      <c r="K13" s="613"/>
      <c r="L13" s="613"/>
      <c r="M13" s="613"/>
      <c r="N13" s="613"/>
      <c r="O13" s="613"/>
      <c r="P13" s="613"/>
      <c r="Q13" s="61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8" t="s">
        <v>26</v>
      </c>
      <c r="E15" s="639"/>
      <c r="F15" s="640"/>
      <c r="G15" s="343"/>
      <c r="H15" s="612"/>
      <c r="I15" s="613"/>
      <c r="J15" s="613"/>
      <c r="K15" s="613"/>
      <c r="L15" s="613"/>
      <c r="M15" s="613"/>
      <c r="N15" s="613"/>
      <c r="O15" s="613"/>
      <c r="P15" s="613"/>
      <c r="Q15" s="61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8" t="s">
        <v>28</v>
      </c>
      <c r="E17" s="639"/>
      <c r="F17" s="640"/>
      <c r="G17" s="343"/>
      <c r="H17" s="612"/>
      <c r="I17" s="613"/>
      <c r="J17" s="613"/>
      <c r="K17" s="613"/>
      <c r="L17" s="613"/>
      <c r="M17" s="613"/>
      <c r="N17" s="613"/>
      <c r="O17" s="613"/>
      <c r="P17" s="613"/>
      <c r="Q17" s="61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8" t="s">
        <v>30</v>
      </c>
      <c r="E19" s="639"/>
      <c r="F19" s="640"/>
      <c r="G19" s="357" t="s">
        <v>31</v>
      </c>
      <c r="H19" s="606"/>
      <c r="I19" s="607"/>
      <c r="J19" s="607"/>
      <c r="K19" s="607"/>
      <c r="L19" s="607"/>
      <c r="M19" s="607"/>
      <c r="N19" s="607"/>
      <c r="O19" s="607"/>
      <c r="P19" s="607"/>
      <c r="Q19" s="60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8" t="s">
        <v>73</v>
      </c>
      <c r="E21" s="639"/>
      <c r="F21" s="640"/>
      <c r="G21" s="359" t="s">
        <v>31</v>
      </c>
      <c r="H21" s="609" t="s">
        <v>190</v>
      </c>
      <c r="I21" s="610"/>
      <c r="J21" s="610"/>
      <c r="K21" s="610"/>
      <c r="L21" s="610"/>
      <c r="M21" s="610"/>
      <c r="N21" s="610"/>
      <c r="O21" s="610"/>
      <c r="P21" s="610"/>
      <c r="Q21" s="61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8" t="s">
        <v>76</v>
      </c>
      <c r="E23" s="639"/>
      <c r="F23" s="640"/>
      <c r="G23" s="343"/>
      <c r="H23" s="612"/>
      <c r="I23" s="613"/>
      <c r="J23" s="613"/>
      <c r="K23" s="613"/>
      <c r="L23" s="613"/>
      <c r="M23" s="613"/>
      <c r="N23" s="613"/>
      <c r="O23" s="613"/>
      <c r="P23" s="613"/>
      <c r="Q23" s="61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8" t="s">
        <v>78</v>
      </c>
      <c r="E25" s="639"/>
      <c r="F25" s="640"/>
      <c r="G25" s="343"/>
      <c r="H25" s="612"/>
      <c r="I25" s="613"/>
      <c r="J25" s="613"/>
      <c r="K25" s="613"/>
      <c r="L25" s="613"/>
      <c r="M25" s="613"/>
      <c r="N25" s="613"/>
      <c r="O25" s="613"/>
      <c r="P25" s="613"/>
      <c r="Q25" s="61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8" t="s">
        <v>80</v>
      </c>
      <c r="E27" s="639"/>
      <c r="F27" s="640"/>
      <c r="G27" s="343"/>
      <c r="H27" s="612"/>
      <c r="I27" s="613"/>
      <c r="J27" s="613"/>
      <c r="K27" s="613"/>
      <c r="L27" s="613"/>
      <c r="M27" s="613"/>
      <c r="N27" s="613"/>
      <c r="O27" s="613"/>
      <c r="P27" s="613"/>
      <c r="Q27" s="61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1" t="s">
        <v>82</v>
      </c>
      <c r="E29" s="642"/>
      <c r="F29" s="643"/>
      <c r="G29" s="343"/>
      <c r="H29" s="612"/>
      <c r="I29" s="613"/>
      <c r="J29" s="613"/>
      <c r="K29" s="613"/>
      <c r="L29" s="613"/>
      <c r="M29" s="613"/>
      <c r="N29" s="613"/>
      <c r="O29" s="613"/>
      <c r="P29" s="613"/>
      <c r="Q29" s="61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1" t="s">
        <v>84</v>
      </c>
      <c r="E31" s="642"/>
      <c r="F31" s="643"/>
      <c r="G31" s="343"/>
      <c r="H31" s="612"/>
      <c r="I31" s="613"/>
      <c r="J31" s="613"/>
      <c r="K31" s="613"/>
      <c r="L31" s="613"/>
      <c r="M31" s="613"/>
      <c r="N31" s="613"/>
      <c r="O31" s="613"/>
      <c r="P31" s="613"/>
      <c r="Q31" s="61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1" t="s">
        <v>86</v>
      </c>
      <c r="E33" s="642"/>
      <c r="F33" s="643"/>
      <c r="G33" s="343"/>
      <c r="H33" s="612"/>
      <c r="I33" s="613"/>
      <c r="J33" s="613"/>
      <c r="K33" s="613"/>
      <c r="L33" s="613"/>
      <c r="M33" s="613"/>
      <c r="N33" s="613"/>
      <c r="O33" s="613"/>
      <c r="P33" s="613"/>
      <c r="Q33" s="61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191</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4" t="s">
        <v>34</v>
      </c>
      <c r="E37" s="645"/>
      <c r="F37" s="646"/>
      <c r="G37" s="359" t="s">
        <v>31</v>
      </c>
      <c r="H37" s="612"/>
      <c r="I37" s="613"/>
      <c r="J37" s="613"/>
      <c r="K37" s="613"/>
      <c r="L37" s="613"/>
      <c r="M37" s="613"/>
      <c r="N37" s="613"/>
      <c r="O37" s="613"/>
      <c r="P37" s="613"/>
      <c r="Q37" s="61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7" t="s">
        <v>36</v>
      </c>
      <c r="E39" s="648"/>
      <c r="F39" s="649"/>
      <c r="G39" s="343"/>
      <c r="H39" s="612"/>
      <c r="I39" s="613"/>
      <c r="J39" s="613"/>
      <c r="K39" s="613"/>
      <c r="L39" s="613"/>
      <c r="M39" s="613"/>
      <c r="N39" s="613"/>
      <c r="O39" s="613"/>
      <c r="P39" s="613"/>
      <c r="Q39" s="61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7" t="s">
        <v>87</v>
      </c>
      <c r="E41" s="648"/>
      <c r="F41" s="649"/>
      <c r="G41" s="367" t="s">
        <v>31</v>
      </c>
      <c r="H41" s="612"/>
      <c r="I41" s="613"/>
      <c r="J41" s="613"/>
      <c r="K41" s="613"/>
      <c r="L41" s="613"/>
      <c r="M41" s="613"/>
      <c r="N41" s="613"/>
      <c r="O41" s="613"/>
      <c r="P41" s="613"/>
      <c r="Q41" s="61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7" t="s">
        <v>41</v>
      </c>
      <c r="E43" s="648"/>
      <c r="F43" s="649"/>
      <c r="G43" s="343"/>
      <c r="H43" s="612"/>
      <c r="I43" s="613"/>
      <c r="J43" s="613"/>
      <c r="K43" s="613"/>
      <c r="L43" s="613"/>
      <c r="M43" s="613"/>
      <c r="N43" s="613"/>
      <c r="O43" s="613"/>
      <c r="P43" s="613"/>
      <c r="Q43" s="61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7" t="s">
        <v>43</v>
      </c>
      <c r="E45" s="648"/>
      <c r="F45" s="649"/>
      <c r="G45" s="343"/>
      <c r="H45" s="612"/>
      <c r="I45" s="613"/>
      <c r="J45" s="613"/>
      <c r="K45" s="613"/>
      <c r="L45" s="613"/>
      <c r="M45" s="613"/>
      <c r="N45" s="613"/>
      <c r="O45" s="613"/>
      <c r="P45" s="613"/>
      <c r="Q45" s="61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7" t="s">
        <v>45</v>
      </c>
      <c r="E47" s="648"/>
      <c r="F47" s="649"/>
      <c r="G47" s="343"/>
      <c r="H47" s="612"/>
      <c r="I47" s="613"/>
      <c r="J47" s="613"/>
      <c r="K47" s="613"/>
      <c r="L47" s="613"/>
      <c r="M47" s="613"/>
      <c r="N47" s="613"/>
      <c r="O47" s="613"/>
      <c r="P47" s="613"/>
      <c r="Q47" s="61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7" t="s">
        <v>47</v>
      </c>
      <c r="E49" s="648"/>
      <c r="F49" s="649"/>
      <c r="G49" s="343"/>
      <c r="H49" s="612"/>
      <c r="I49" s="613"/>
      <c r="J49" s="613"/>
      <c r="K49" s="613"/>
      <c r="L49" s="613"/>
      <c r="M49" s="613"/>
      <c r="N49" s="613"/>
      <c r="O49" s="613"/>
      <c r="P49" s="613"/>
      <c r="Q49" s="61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7" t="s">
        <v>49</v>
      </c>
      <c r="E51" s="648"/>
      <c r="F51" s="649"/>
      <c r="G51" s="343"/>
      <c r="H51" s="612"/>
      <c r="I51" s="613"/>
      <c r="J51" s="613"/>
      <c r="K51" s="613"/>
      <c r="L51" s="613"/>
      <c r="M51" s="613"/>
      <c r="N51" s="613"/>
      <c r="O51" s="613"/>
      <c r="P51" s="613"/>
      <c r="Q51" s="61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7" t="s">
        <v>51</v>
      </c>
      <c r="E53" s="648"/>
      <c r="F53" s="649"/>
      <c r="G53" s="343"/>
      <c r="H53" s="612"/>
      <c r="I53" s="613"/>
      <c r="J53" s="613"/>
      <c r="K53" s="613"/>
      <c r="L53" s="613"/>
      <c r="M53" s="613"/>
      <c r="N53" s="613"/>
      <c r="O53" s="613"/>
      <c r="P53" s="613"/>
      <c r="Q53" s="61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7" t="s">
        <v>88</v>
      </c>
      <c r="E55" s="648"/>
      <c r="F55" s="649"/>
      <c r="G55" s="343"/>
      <c r="H55" s="612"/>
      <c r="I55" s="613"/>
      <c r="J55" s="613"/>
      <c r="K55" s="613"/>
      <c r="L55" s="613"/>
      <c r="M55" s="613"/>
      <c r="N55" s="613"/>
      <c r="O55" s="613"/>
      <c r="P55" s="613"/>
      <c r="Q55" s="61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4" t="s">
        <v>90</v>
      </c>
      <c r="E57" s="645"/>
      <c r="F57" s="646"/>
      <c r="G57" s="343"/>
      <c r="H57" s="612"/>
      <c r="I57" s="613"/>
      <c r="J57" s="613"/>
      <c r="K57" s="613"/>
      <c r="L57" s="613"/>
      <c r="M57" s="613"/>
      <c r="N57" s="613"/>
      <c r="O57" s="613"/>
      <c r="P57" s="613"/>
      <c r="Q57" s="61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4" t="s">
        <v>92</v>
      </c>
      <c r="E59" s="645"/>
      <c r="F59" s="646"/>
      <c r="G59" s="343"/>
      <c r="H59" s="612"/>
      <c r="I59" s="613"/>
      <c r="J59" s="613"/>
      <c r="K59" s="613"/>
      <c r="L59" s="613"/>
      <c r="M59" s="613"/>
      <c r="N59" s="613"/>
      <c r="O59" s="613"/>
      <c r="P59" s="613"/>
      <c r="Q59" s="61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4" t="s">
        <v>94</v>
      </c>
      <c r="E61" s="645"/>
      <c r="F61" s="646"/>
      <c r="G61" s="343"/>
      <c r="H61" s="612"/>
      <c r="I61" s="613"/>
      <c r="J61" s="613"/>
      <c r="K61" s="613"/>
      <c r="L61" s="613"/>
      <c r="M61" s="613"/>
      <c r="N61" s="613"/>
      <c r="O61" s="613"/>
      <c r="P61" s="613"/>
      <c r="Q61" s="61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4" t="s">
        <v>96</v>
      </c>
      <c r="E63" s="645"/>
      <c r="F63" s="646"/>
      <c r="G63" s="343"/>
      <c r="H63" s="612"/>
      <c r="I63" s="613"/>
      <c r="J63" s="613"/>
      <c r="K63" s="613"/>
      <c r="L63" s="613"/>
      <c r="M63" s="613"/>
      <c r="N63" s="613"/>
      <c r="O63" s="613"/>
      <c r="P63" s="613"/>
      <c r="Q63" s="61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4" t="s">
        <v>192</v>
      </c>
      <c r="E65" s="645"/>
      <c r="F65" s="646"/>
      <c r="G65" s="343"/>
      <c r="H65" s="612"/>
      <c r="I65" s="613"/>
      <c r="J65" s="613"/>
      <c r="K65" s="613"/>
      <c r="L65" s="613"/>
      <c r="M65" s="613"/>
      <c r="N65" s="613"/>
      <c r="O65" s="613"/>
      <c r="P65" s="613"/>
      <c r="Q65" s="61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4" t="s">
        <v>100</v>
      </c>
      <c r="E67" s="645"/>
      <c r="F67" s="646"/>
      <c r="G67" s="343"/>
      <c r="H67" s="612"/>
      <c r="I67" s="613"/>
      <c r="J67" s="613"/>
      <c r="K67" s="613"/>
      <c r="L67" s="613"/>
      <c r="M67" s="613"/>
      <c r="N67" s="613"/>
      <c r="O67" s="613"/>
      <c r="P67" s="613"/>
      <c r="Q67" s="61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4" t="s">
        <v>102</v>
      </c>
      <c r="E69" s="645"/>
      <c r="F69" s="646"/>
      <c r="G69" s="343"/>
      <c r="H69" s="612"/>
      <c r="I69" s="613"/>
      <c r="J69" s="613"/>
      <c r="K69" s="613"/>
      <c r="L69" s="613"/>
      <c r="M69" s="613"/>
      <c r="N69" s="613"/>
      <c r="O69" s="613"/>
      <c r="P69" s="613"/>
      <c r="Q69" s="61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4" t="s">
        <v>104</v>
      </c>
      <c r="E71" s="645"/>
      <c r="F71" s="646"/>
      <c r="G71" s="343"/>
      <c r="H71" s="612"/>
      <c r="I71" s="613"/>
      <c r="J71" s="613"/>
      <c r="K71" s="613"/>
      <c r="L71" s="613"/>
      <c r="M71" s="613"/>
      <c r="N71" s="613"/>
      <c r="O71" s="613"/>
      <c r="P71" s="613"/>
      <c r="Q71" s="61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4" t="s">
        <v>106</v>
      </c>
      <c r="E73" s="645"/>
      <c r="F73" s="646"/>
      <c r="G73" s="343"/>
      <c r="H73" s="612"/>
      <c r="I73" s="613"/>
      <c r="J73" s="613"/>
      <c r="K73" s="613"/>
      <c r="L73" s="613"/>
      <c r="M73" s="613"/>
      <c r="N73" s="613"/>
      <c r="O73" s="613"/>
      <c r="P73" s="613"/>
      <c r="Q73" s="61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4" t="s">
        <v>108</v>
      </c>
      <c r="E75" s="645"/>
      <c r="F75" s="646"/>
      <c r="G75" s="343"/>
      <c r="H75" s="612"/>
      <c r="I75" s="613"/>
      <c r="J75" s="613"/>
      <c r="K75" s="613"/>
      <c r="L75" s="613"/>
      <c r="M75" s="613"/>
      <c r="N75" s="613"/>
      <c r="O75" s="613"/>
      <c r="P75" s="613"/>
      <c r="Q75" s="61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4" t="s">
        <v>110</v>
      </c>
      <c r="E77" s="645"/>
      <c r="F77" s="646"/>
      <c r="G77" s="343"/>
      <c r="H77" s="612"/>
      <c r="I77" s="613"/>
      <c r="J77" s="613"/>
      <c r="K77" s="613"/>
      <c r="L77" s="613"/>
      <c r="M77" s="613"/>
      <c r="N77" s="613"/>
      <c r="O77" s="613"/>
      <c r="P77" s="613"/>
      <c r="Q77" s="61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4" t="s">
        <v>112</v>
      </c>
      <c r="E79" s="645"/>
      <c r="F79" s="646"/>
      <c r="G79" s="343"/>
      <c r="H79" s="612"/>
      <c r="I79" s="613"/>
      <c r="J79" s="613"/>
      <c r="K79" s="613"/>
      <c r="L79" s="613"/>
      <c r="M79" s="613"/>
      <c r="N79" s="613"/>
      <c r="O79" s="613"/>
      <c r="P79" s="613"/>
      <c r="Q79" s="61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4" t="s">
        <v>114</v>
      </c>
      <c r="E81" s="645"/>
      <c r="F81" s="646"/>
      <c r="G81" s="343"/>
      <c r="H81" s="612"/>
      <c r="I81" s="613"/>
      <c r="J81" s="613"/>
      <c r="K81" s="613"/>
      <c r="L81" s="613"/>
      <c r="M81" s="613"/>
      <c r="N81" s="613"/>
      <c r="O81" s="613"/>
      <c r="P81" s="613"/>
      <c r="Q81" s="61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4" t="s">
        <v>116</v>
      </c>
      <c r="E83" s="645"/>
      <c r="F83" s="646"/>
      <c r="G83" s="343"/>
      <c r="H83" s="612"/>
      <c r="I83" s="613"/>
      <c r="J83" s="613"/>
      <c r="K83" s="613"/>
      <c r="L83" s="613"/>
      <c r="M83" s="613"/>
      <c r="N83" s="613"/>
      <c r="O83" s="613"/>
      <c r="P83" s="613"/>
      <c r="Q83" s="61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4" t="s">
        <v>118</v>
      </c>
      <c r="E85" s="645"/>
      <c r="F85" s="646"/>
      <c r="G85" s="343"/>
      <c r="H85" s="612"/>
      <c r="I85" s="613"/>
      <c r="J85" s="613"/>
      <c r="K85" s="613"/>
      <c r="L85" s="613"/>
      <c r="M85" s="613"/>
      <c r="N85" s="613"/>
      <c r="O85" s="613"/>
      <c r="P85" s="613"/>
      <c r="Q85" s="61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4" t="s">
        <v>120</v>
      </c>
      <c r="E87" s="645"/>
      <c r="F87" s="646"/>
      <c r="G87" s="343"/>
      <c r="H87" s="612"/>
      <c r="I87" s="613"/>
      <c r="J87" s="613"/>
      <c r="K87" s="613"/>
      <c r="L87" s="613"/>
      <c r="M87" s="613"/>
      <c r="N87" s="613"/>
      <c r="O87" s="613"/>
      <c r="P87" s="613"/>
      <c r="Q87" s="61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4" t="s">
        <v>122</v>
      </c>
      <c r="E89" s="645"/>
      <c r="F89" s="646"/>
      <c r="G89" s="343"/>
      <c r="H89" s="612"/>
      <c r="I89" s="613"/>
      <c r="J89" s="613"/>
      <c r="K89" s="613"/>
      <c r="L89" s="613"/>
      <c r="M89" s="613"/>
      <c r="N89" s="613"/>
      <c r="O89" s="613"/>
      <c r="P89" s="613"/>
      <c r="Q89" s="61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0" t="s">
        <v>57</v>
      </c>
      <c r="E95" s="651"/>
      <c r="F95" s="651"/>
      <c r="G95" s="651"/>
      <c r="H95" s="651"/>
      <c r="I95" s="651"/>
      <c r="J95" s="652"/>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0" t="s">
        <v>59</v>
      </c>
      <c r="E97" s="651"/>
      <c r="F97" s="651"/>
      <c r="G97" s="651"/>
      <c r="H97" s="651"/>
      <c r="I97" s="651"/>
      <c r="J97" s="652"/>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0" t="s">
        <v>193</v>
      </c>
      <c r="E99" s="651"/>
      <c r="F99" s="651"/>
      <c r="G99" s="651"/>
      <c r="H99" s="651"/>
      <c r="I99" s="651"/>
      <c r="J99" s="652"/>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53" t="s">
        <v>194</v>
      </c>
      <c r="C102" s="654"/>
      <c r="D102" s="654"/>
      <c r="E102" s="654"/>
      <c r="F102" s="654"/>
      <c r="G102" s="654"/>
      <c r="H102" s="654"/>
      <c r="I102" s="654"/>
      <c r="J102" s="654"/>
      <c r="K102" s="654"/>
      <c r="L102" s="654"/>
      <c r="M102" s="654"/>
      <c r="N102" s="654"/>
      <c r="O102" s="654"/>
      <c r="P102" s="654"/>
      <c r="Q102" s="654"/>
      <c r="R102" s="655"/>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8" t="s">
        <v>412</v>
      </c>
      <c r="F2" s="669"/>
      <c r="G2" s="669"/>
      <c r="H2" s="670"/>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71" t="s">
        <v>416</v>
      </c>
      <c r="F4" s="672"/>
      <c r="G4" s="672"/>
      <c r="H4" s="673"/>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4"/>
      <c r="F6" s="675"/>
      <c r="G6" s="675"/>
      <c r="H6" s="676"/>
      <c r="I6" s="386"/>
      <c r="J6" s="387"/>
    </row>
    <row r="7" spans="1:10" ht="5.15" hidden="1" customHeight="1" x14ac:dyDescent="0.35">
      <c r="A7" s="384"/>
      <c r="B7" s="384"/>
      <c r="C7" s="399"/>
      <c r="D7" s="385"/>
      <c r="E7" s="390"/>
      <c r="F7" s="390"/>
      <c r="G7" s="390"/>
      <c r="H7" s="390"/>
      <c r="I7" s="386"/>
      <c r="J7" s="387"/>
    </row>
    <row r="8" spans="1:10" x14ac:dyDescent="0.35">
      <c r="A8" s="384"/>
      <c r="B8" s="384"/>
      <c r="C8" s="440" t="s">
        <v>195</v>
      </c>
      <c r="D8" s="385"/>
      <c r="E8" s="668" t="s">
        <v>413</v>
      </c>
      <c r="F8" s="669"/>
      <c r="G8" s="669"/>
      <c r="H8" s="670"/>
      <c r="I8" s="386"/>
      <c r="J8" s="387"/>
    </row>
    <row r="9" spans="1:10" ht="5.15" customHeight="1" x14ac:dyDescent="0.35">
      <c r="A9" s="384"/>
      <c r="B9" s="384"/>
      <c r="C9" s="399"/>
      <c r="D9" s="385"/>
      <c r="E9" s="390"/>
      <c r="F9" s="390"/>
      <c r="G9" s="390"/>
      <c r="H9" s="390"/>
      <c r="I9" s="386"/>
      <c r="J9" s="387"/>
    </row>
    <row r="10" spans="1:10" x14ac:dyDescent="0.35">
      <c r="A10" s="384"/>
      <c r="B10" s="391"/>
      <c r="C10" s="440" t="s">
        <v>196</v>
      </c>
      <c r="D10" s="385"/>
      <c r="E10" s="677"/>
      <c r="F10" s="678"/>
      <c r="G10" s="678"/>
      <c r="H10" s="679"/>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0" t="s">
        <v>197</v>
      </c>
      <c r="D14" s="680"/>
      <c r="E14" s="680"/>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198</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134</v>
      </c>
      <c r="C18" s="658" t="s">
        <v>199</v>
      </c>
      <c r="D18" s="659"/>
      <c r="E18" s="660"/>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200</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201</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136</v>
      </c>
      <c r="C24" s="658" t="s">
        <v>202</v>
      </c>
      <c r="D24" s="659"/>
      <c r="E24" s="660"/>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138</v>
      </c>
      <c r="C26" s="658" t="s">
        <v>203</v>
      </c>
      <c r="D26" s="659"/>
      <c r="E26" s="660"/>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141</v>
      </c>
      <c r="C28" s="658" t="s">
        <v>204</v>
      </c>
      <c r="D28" s="659"/>
      <c r="E28" s="660"/>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143</v>
      </c>
      <c r="C30" s="658" t="s">
        <v>205</v>
      </c>
      <c r="D30" s="659"/>
      <c r="E30" s="660"/>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151</v>
      </c>
      <c r="C32" s="658" t="s">
        <v>206</v>
      </c>
      <c r="D32" s="659"/>
      <c r="E32" s="660"/>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154</v>
      </c>
      <c r="C34" s="658" t="s">
        <v>207</v>
      </c>
      <c r="D34" s="659"/>
      <c r="E34" s="660"/>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158</v>
      </c>
      <c r="C36" s="658" t="s">
        <v>208</v>
      </c>
      <c r="D36" s="659"/>
      <c r="E36" s="660"/>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161</v>
      </c>
      <c r="C38" s="658" t="s">
        <v>209</v>
      </c>
      <c r="D38" s="659"/>
      <c r="E38" s="660"/>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163</v>
      </c>
      <c r="C40" s="658" t="s">
        <v>210</v>
      </c>
      <c r="D40" s="659"/>
      <c r="E40" s="660"/>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211</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165</v>
      </c>
      <c r="C44" s="658" t="s">
        <v>212</v>
      </c>
      <c r="D44" s="659"/>
      <c r="E44" s="660"/>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169</v>
      </c>
      <c r="C46" s="658" t="s">
        <v>213</v>
      </c>
      <c r="D46" s="659"/>
      <c r="E46" s="660"/>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214</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172</v>
      </c>
      <c r="C50" s="658" t="s">
        <v>215</v>
      </c>
      <c r="D50" s="659"/>
      <c r="E50" s="660"/>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216</v>
      </c>
      <c r="C52" s="658" t="s">
        <v>217</v>
      </c>
      <c r="D52" s="659"/>
      <c r="E52" s="660"/>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64" t="s">
        <v>218</v>
      </c>
      <c r="D54" s="664"/>
      <c r="E54" s="664"/>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175</v>
      </c>
      <c r="C56" s="658" t="s">
        <v>219</v>
      </c>
      <c r="D56" s="659"/>
      <c r="E56" s="660"/>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220</v>
      </c>
      <c r="C58" s="658" t="s">
        <v>221</v>
      </c>
      <c r="D58" s="659"/>
      <c r="E58" s="660"/>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179</v>
      </c>
      <c r="C60" s="658" t="s">
        <v>222</v>
      </c>
      <c r="D60" s="659"/>
      <c r="E60" s="660"/>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223</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224</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183</v>
      </c>
      <c r="C66" s="658" t="s">
        <v>225</v>
      </c>
      <c r="D66" s="659"/>
      <c r="E66" s="660"/>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226</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187</v>
      </c>
      <c r="C70" s="658" t="s">
        <v>227</v>
      </c>
      <c r="D70" s="659"/>
      <c r="E70" s="660"/>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228</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229</v>
      </c>
      <c r="C74" s="658" t="s">
        <v>230</v>
      </c>
      <c r="D74" s="659"/>
      <c r="E74" s="660"/>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231</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232</v>
      </c>
      <c r="C78" s="658" t="s">
        <v>233</v>
      </c>
      <c r="D78" s="659"/>
      <c r="E78" s="660"/>
      <c r="F78" s="389"/>
      <c r="G78" s="126"/>
      <c r="H78" s="389"/>
      <c r="I78" s="34"/>
      <c r="J78" s="413"/>
    </row>
    <row r="79" spans="1:12" x14ac:dyDescent="0.35">
      <c r="A79" s="389"/>
      <c r="B79" s="390"/>
      <c r="C79" s="388"/>
      <c r="D79" s="388"/>
      <c r="E79" s="388"/>
      <c r="F79" s="389"/>
      <c r="G79" s="422"/>
      <c r="H79" s="389"/>
      <c r="I79" s="411"/>
      <c r="J79" s="413"/>
    </row>
    <row r="80" spans="1:12" x14ac:dyDescent="0.35">
      <c r="A80" s="429"/>
      <c r="B80" s="665" t="s">
        <v>234</v>
      </c>
      <c r="C80" s="665"/>
      <c r="D80" s="665"/>
      <c r="E80" s="665"/>
      <c r="F80" s="665"/>
      <c r="G80" s="665"/>
      <c r="H80" s="665"/>
      <c r="I80" s="665"/>
      <c r="J80" s="666"/>
    </row>
    <row r="81" spans="1:12" x14ac:dyDescent="0.35">
      <c r="A81" s="389"/>
      <c r="B81" s="390"/>
      <c r="C81" s="388"/>
      <c r="D81" s="388"/>
      <c r="E81" s="388"/>
      <c r="F81" s="389"/>
      <c r="G81" s="408"/>
      <c r="H81" s="389"/>
      <c r="I81" s="411"/>
      <c r="J81" s="413"/>
    </row>
    <row r="82" spans="1:12" x14ac:dyDescent="0.35">
      <c r="A82" s="389"/>
      <c r="B82" s="430"/>
      <c r="C82" s="431" t="s">
        <v>235</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236</v>
      </c>
      <c r="C84" s="658" t="s">
        <v>237</v>
      </c>
      <c r="D84" s="659"/>
      <c r="E84" s="660"/>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238</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239</v>
      </c>
      <c r="C88" s="658" t="s">
        <v>240</v>
      </c>
      <c r="D88" s="659"/>
      <c r="E88" s="660"/>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67" t="s">
        <v>241</v>
      </c>
      <c r="D90" s="667"/>
      <c r="E90" s="667"/>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242</v>
      </c>
      <c r="C92" s="658" t="s">
        <v>243</v>
      </c>
      <c r="D92" s="659"/>
      <c r="E92" s="660"/>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244</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245</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246</v>
      </c>
      <c r="C98" s="658" t="s">
        <v>247</v>
      </c>
      <c r="D98" s="659"/>
      <c r="E98" s="660"/>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248</v>
      </c>
      <c r="C100" s="658" t="s">
        <v>249</v>
      </c>
      <c r="D100" s="659"/>
      <c r="E100" s="660"/>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250</v>
      </c>
      <c r="C102" s="658" t="s">
        <v>251</v>
      </c>
      <c r="D102" s="659"/>
      <c r="E102" s="660"/>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252</v>
      </c>
      <c r="C104" s="658" t="s">
        <v>253</v>
      </c>
      <c r="D104" s="659"/>
      <c r="E104" s="660"/>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254</v>
      </c>
      <c r="C106" s="658" t="s">
        <v>255</v>
      </c>
      <c r="D106" s="659"/>
      <c r="E106" s="660"/>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256</v>
      </c>
      <c r="C108" s="658" t="s">
        <v>257</v>
      </c>
      <c r="D108" s="659"/>
      <c r="E108" s="660"/>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258</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259</v>
      </c>
      <c r="C112" s="658" t="s">
        <v>260</v>
      </c>
      <c r="D112" s="659"/>
      <c r="E112" s="660"/>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261</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262</v>
      </c>
      <c r="C116" s="658" t="s">
        <v>263</v>
      </c>
      <c r="D116" s="659"/>
      <c r="E116" s="660"/>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264</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265</v>
      </c>
      <c r="D120" s="437"/>
      <c r="E120" s="437"/>
      <c r="G120" s="438"/>
      <c r="J120" s="408"/>
    </row>
    <row r="121" spans="1:12" hidden="1" x14ac:dyDescent="0.35">
      <c r="A121" s="408"/>
      <c r="C121" s="437" t="s">
        <v>266</v>
      </c>
      <c r="D121" s="437"/>
      <c r="E121" s="437"/>
      <c r="G121" s="438"/>
      <c r="J121" s="408"/>
    </row>
    <row r="122" spans="1:12" hidden="1" x14ac:dyDescent="0.35">
      <c r="A122" s="408"/>
      <c r="C122" s="437" t="s">
        <v>267</v>
      </c>
      <c r="D122" s="437"/>
      <c r="E122" s="437"/>
      <c r="G122" s="438"/>
      <c r="J122" s="408"/>
    </row>
    <row r="123" spans="1:12" ht="29.25" customHeight="1" x14ac:dyDescent="0.7">
      <c r="A123" s="408"/>
      <c r="B123" s="390" t="s">
        <v>268</v>
      </c>
      <c r="C123" s="658" t="s">
        <v>269</v>
      </c>
      <c r="D123" s="659"/>
      <c r="E123" s="660"/>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270</v>
      </c>
      <c r="C125" s="658" t="s">
        <v>271</v>
      </c>
      <c r="D125" s="659"/>
      <c r="E125" s="660"/>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272</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273</v>
      </c>
      <c r="C129" s="658" t="s">
        <v>274</v>
      </c>
      <c r="D129" s="659"/>
      <c r="E129" s="660"/>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275</v>
      </c>
      <c r="C131" s="658" t="s">
        <v>276</v>
      </c>
      <c r="D131" s="659"/>
      <c r="E131" s="660"/>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277</v>
      </c>
      <c r="C133" s="658" t="s">
        <v>278</v>
      </c>
      <c r="D133" s="659"/>
      <c r="E133" s="660"/>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279</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1" t="s">
        <v>280</v>
      </c>
      <c r="C137" s="662"/>
      <c r="D137" s="662"/>
      <c r="E137" s="662"/>
      <c r="F137" s="662"/>
      <c r="G137" s="662"/>
      <c r="H137" s="662"/>
      <c r="I137" s="663"/>
      <c r="J137" s="408"/>
    </row>
    <row r="138" spans="1:11" x14ac:dyDescent="0.35">
      <c r="A138" s="408"/>
      <c r="B138" s="390"/>
      <c r="C138" s="421"/>
      <c r="D138" s="421"/>
      <c r="E138" s="421"/>
      <c r="F138" s="389"/>
      <c r="G138" s="408"/>
      <c r="H138" s="389"/>
      <c r="I138" s="411"/>
      <c r="J138" s="408"/>
    </row>
    <row r="139" spans="1:11" ht="20.25" customHeight="1" x14ac:dyDescent="0.35">
      <c r="A139" s="656" t="s">
        <v>189</v>
      </c>
      <c r="B139" s="657"/>
      <c r="C139" s="657"/>
      <c r="D139" s="657"/>
      <c r="E139" s="657"/>
      <c r="F139" s="657"/>
      <c r="G139" s="657"/>
      <c r="H139" s="657"/>
      <c r="I139" s="657"/>
      <c r="J139" s="65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265</v>
      </c>
    </row>
    <row r="168" spans="7:7" hidden="1" x14ac:dyDescent="0.35">
      <c r="G168" s="438" t="s">
        <v>266</v>
      </c>
    </row>
    <row r="169" spans="7:7" hidden="1" x14ac:dyDescent="0.35">
      <c r="G169" s="438" t="s">
        <v>267</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82" t="s">
        <v>281</v>
      </c>
      <c r="G2" s="683"/>
      <c r="H2" s="683"/>
      <c r="I2" s="684"/>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85"/>
      <c r="G4" s="686"/>
      <c r="H4" s="686"/>
      <c r="I4" s="687"/>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8"/>
      <c r="G6" s="689"/>
      <c r="H6" s="689"/>
      <c r="I6" s="690"/>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82" t="s">
        <v>282</v>
      </c>
      <c r="G8" s="683"/>
      <c r="H8" s="683"/>
      <c r="I8" s="684"/>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283</v>
      </c>
      <c r="E10" s="24"/>
      <c r="F10" s="682"/>
      <c r="G10" s="683"/>
      <c r="H10" s="683"/>
      <c r="I10" s="684"/>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133</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134</v>
      </c>
      <c r="D15" s="681" t="s">
        <v>284</v>
      </c>
      <c r="E15" s="681"/>
      <c r="F15" s="681"/>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136</v>
      </c>
      <c r="D17" s="632" t="s">
        <v>285</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138</v>
      </c>
      <c r="D19" s="691" t="s">
        <v>286</v>
      </c>
      <c r="E19" s="691"/>
      <c r="F19" s="691"/>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141</v>
      </c>
      <c r="D21" s="632" t="s">
        <v>287</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143</v>
      </c>
      <c r="D23" s="632" t="s">
        <v>288</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151</v>
      </c>
      <c r="D25" s="632" t="s">
        <v>289</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154</v>
      </c>
      <c r="D27" s="632" t="s">
        <v>290</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140</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158</v>
      </c>
      <c r="D31" s="692" t="s">
        <v>291</v>
      </c>
      <c r="E31" s="693"/>
      <c r="F31" s="694"/>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292</v>
      </c>
      <c r="D33" s="632" t="s">
        <v>293</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294</v>
      </c>
      <c r="D35" s="632" t="s">
        <v>295</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296</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163</v>
      </c>
      <c r="D39" s="632" t="s">
        <v>297</v>
      </c>
      <c r="E39" s="632"/>
      <c r="F39" s="632"/>
      <c r="G39" s="68"/>
      <c r="H39" s="126"/>
      <c r="I39" s="68"/>
      <c r="J39" s="34"/>
      <c r="K39" s="60"/>
    </row>
    <row r="40" spans="1:15" x14ac:dyDescent="0.35">
      <c r="A40" s="56"/>
      <c r="B40" s="30"/>
      <c r="C40" s="30"/>
      <c r="D40" s="695"/>
      <c r="E40" s="695"/>
      <c r="F40" s="695"/>
      <c r="G40" s="579"/>
      <c r="H40" s="83"/>
      <c r="I40" s="62"/>
      <c r="J40" s="35"/>
      <c r="K40" s="60"/>
    </row>
    <row r="41" spans="1:15" ht="33.5" x14ac:dyDescent="0.75">
      <c r="A41" s="56"/>
      <c r="B41" s="68"/>
      <c r="C41" s="83" t="s">
        <v>165</v>
      </c>
      <c r="D41" s="632" t="s">
        <v>298</v>
      </c>
      <c r="E41" s="632"/>
      <c r="F41" s="632"/>
      <c r="G41" s="579"/>
      <c r="H41" s="126"/>
      <c r="I41" s="68"/>
      <c r="J41" s="34"/>
      <c r="K41" s="60"/>
      <c r="M41" s="444" t="s">
        <v>37</v>
      </c>
    </row>
    <row r="42" spans="1:15" x14ac:dyDescent="0.35">
      <c r="A42" s="56"/>
      <c r="B42" s="68"/>
      <c r="C42" s="68"/>
      <c r="D42" s="94"/>
      <c r="E42" s="94"/>
      <c r="F42" s="94"/>
      <c r="G42" s="579"/>
      <c r="H42" s="83"/>
      <c r="I42" s="68"/>
      <c r="J42" s="35"/>
      <c r="K42" s="60"/>
    </row>
    <row r="43" spans="1:15" ht="33.5" x14ac:dyDescent="0.75">
      <c r="A43" s="56"/>
      <c r="B43" s="68"/>
      <c r="C43" s="83" t="s">
        <v>169</v>
      </c>
      <c r="D43" s="632" t="s">
        <v>299</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300</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172</v>
      </c>
      <c r="D47" s="632" t="s">
        <v>301</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216</v>
      </c>
      <c r="D49" s="632" t="s">
        <v>302</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201</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175</v>
      </c>
      <c r="D53" s="632" t="s">
        <v>303</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220</v>
      </c>
      <c r="D55" s="632" t="s">
        <v>304</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305</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179</v>
      </c>
      <c r="D59" s="632" t="s">
        <v>306</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211</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183</v>
      </c>
      <c r="D63" s="632" t="s">
        <v>307</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187</v>
      </c>
      <c r="D65" s="632" t="s">
        <v>308</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229</v>
      </c>
      <c r="D67" s="632" t="s">
        <v>309</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232</v>
      </c>
      <c r="D69" s="632" t="s">
        <v>310</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236</v>
      </c>
      <c r="D71" s="632" t="s">
        <v>311</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239</v>
      </c>
      <c r="D73" s="632" t="s">
        <v>312</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313</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314</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242</v>
      </c>
      <c r="D79" s="632" t="s">
        <v>315</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246</v>
      </c>
      <c r="D81" s="632" t="s">
        <v>316</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248</v>
      </c>
      <c r="D83" s="632" t="s">
        <v>317</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250</v>
      </c>
      <c r="D85" s="632" t="s">
        <v>318</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319</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252</v>
      </c>
      <c r="D89" s="632" t="s">
        <v>320</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321</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322</v>
      </c>
      <c r="D93" s="632" t="s">
        <v>323</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324</v>
      </c>
      <c r="D95" s="632" t="s">
        <v>325</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256</v>
      </c>
      <c r="D97" s="632" t="s">
        <v>326</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327</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328</v>
      </c>
      <c r="D101" s="632" t="s">
        <v>329</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330</v>
      </c>
      <c r="D103" s="632" t="s">
        <v>331</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262</v>
      </c>
      <c r="D105" s="632" t="s">
        <v>332</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268</v>
      </c>
      <c r="D107" s="632" t="s">
        <v>333</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270</v>
      </c>
      <c r="D109" s="632" t="s">
        <v>334</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273</v>
      </c>
      <c r="D111" s="632" t="s">
        <v>335</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275</v>
      </c>
      <c r="D113" s="632" t="s">
        <v>336</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277</v>
      </c>
      <c r="D115" s="632" t="s">
        <v>337</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338</v>
      </c>
      <c r="D117" s="632" t="s">
        <v>339</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340</v>
      </c>
      <c r="D119" s="632" t="s">
        <v>341</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342</v>
      </c>
      <c r="D121" s="632" t="s">
        <v>343</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344</v>
      </c>
      <c r="D123" s="632" t="s">
        <v>345</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346</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347</v>
      </c>
      <c r="D127" s="632" t="s">
        <v>348</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330</v>
      </c>
      <c r="D129" s="632" t="s">
        <v>349</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350</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351</v>
      </c>
      <c r="D133" s="632" t="s">
        <v>352</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353</v>
      </c>
      <c r="D135" s="699" t="s">
        <v>354</v>
      </c>
      <c r="E135" s="699"/>
      <c r="F135" s="699"/>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355</v>
      </c>
      <c r="D137" s="632" t="s">
        <v>356</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357</v>
      </c>
      <c r="D139" s="632" t="s">
        <v>358</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359</v>
      </c>
      <c r="D141" s="632" t="s">
        <v>360</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361</v>
      </c>
      <c r="D143" s="632" t="s">
        <v>362</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363</v>
      </c>
      <c r="D145" s="632" t="s">
        <v>364</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96" t="s">
        <v>189</v>
      </c>
      <c r="B147" s="697"/>
      <c r="C147" s="697"/>
      <c r="D147" s="697"/>
      <c r="E147" s="697"/>
      <c r="F147" s="697"/>
      <c r="G147" s="697"/>
      <c r="H147" s="697"/>
      <c r="I147" s="697"/>
      <c r="J147" s="697"/>
      <c r="K147" s="698"/>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265</v>
      </c>
    </row>
    <row r="158" spans="1:13" hidden="1" x14ac:dyDescent="0.35">
      <c r="D158" t="s">
        <v>266</v>
      </c>
    </row>
    <row r="159" spans="1:13" hidden="1" x14ac:dyDescent="0.35">
      <c r="D159" t="s">
        <v>267</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2" customFormat="1" x14ac:dyDescent="0.35">
      <c r="A1" s="700" t="s">
        <v>365</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420</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417</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283</v>
      </c>
      <c r="D9" s="262"/>
      <c r="E9" s="709"/>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366</v>
      </c>
      <c r="F11" s="268"/>
      <c r="G11" s="267" t="s">
        <v>367</v>
      </c>
      <c r="H11" s="268"/>
      <c r="I11" s="267" t="s">
        <v>368</v>
      </c>
      <c r="J11" s="268"/>
      <c r="K11" s="267" t="s">
        <v>369</v>
      </c>
      <c r="L11" s="269"/>
      <c r="M11" s="267" t="s">
        <v>370</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371</v>
      </c>
      <c r="D12" s="181"/>
      <c r="E12" s="525">
        <v>0.66666666666666663</v>
      </c>
      <c r="F12" s="537"/>
      <c r="G12" s="525">
        <v>1</v>
      </c>
      <c r="H12" s="277"/>
      <c r="I12" s="278">
        <v>2</v>
      </c>
      <c r="J12" s="276"/>
      <c r="K12" s="278">
        <v>1</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372</v>
      </c>
      <c r="D14" s="181"/>
      <c r="E14" s="525">
        <v>1</v>
      </c>
      <c r="F14" s="537"/>
      <c r="G14" s="525">
        <v>1</v>
      </c>
      <c r="H14" s="277"/>
      <c r="I14" s="278">
        <v>3</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300</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313</v>
      </c>
      <c r="D18" s="181"/>
      <c r="E18" s="525">
        <v>0.88888888888888884</v>
      </c>
      <c r="F18" s="537"/>
      <c r="G18" s="525">
        <v>1</v>
      </c>
      <c r="H18" s="277"/>
      <c r="I18" s="278">
        <v>8</v>
      </c>
      <c r="J18" s="276"/>
      <c r="K18" s="278">
        <v>1</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373</v>
      </c>
      <c r="D21" s="181"/>
      <c r="E21" s="525">
        <v>0.88888888888888884</v>
      </c>
      <c r="F21" s="537"/>
      <c r="G21" s="525">
        <v>1.1875</v>
      </c>
      <c r="H21" s="497"/>
      <c r="I21" s="278">
        <v>19</v>
      </c>
      <c r="J21" s="497"/>
      <c r="K21" s="278">
        <v>2</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374</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375</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376</v>
      </c>
      <c r="F30" s="181" t="s">
        <v>377</v>
      </c>
      <c r="G30" s="181" t="s">
        <v>378</v>
      </c>
      <c r="H30" s="305" t="s">
        <v>379</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380</v>
      </c>
      <c r="F31" s="308">
        <f>E12*G12</f>
        <v>0.66666666666666663</v>
      </c>
      <c r="G31" s="308">
        <f>G12*(1-E12)</f>
        <v>0.33333333333333337</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381</v>
      </c>
      <c r="F32" s="308">
        <f>E14*G14</f>
        <v>1</v>
      </c>
      <c r="G32" s="308">
        <f>G14*(1-E14)</f>
        <v>0</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382</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383</v>
      </c>
      <c r="F34" s="308">
        <f>E18*G18</f>
        <v>0.88888888888888884</v>
      </c>
      <c r="G34" s="308">
        <f>G18*(1-E18)</f>
        <v>0.11111111111111116</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384</v>
      </c>
      <c r="F35" s="308">
        <f>E21*G21</f>
        <v>1.0555555555555556</v>
      </c>
      <c r="G35" s="308">
        <f>G21*(1-E21)</f>
        <v>0.1319444444444445</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385</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MbH/uY98DrERk3s9eW7mgfDO/KC2M+iuduzP2fILaTz6YyAFvDj7BQxcbvQsIIujbMwtLNvNQKR8g7p0/Ruwfw==" saltValue="2SdZS8W7bpkEYTibSG41z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A12" s="127"/>
      <c r="B12" s="127"/>
      <c r="C12" s="127" t="s">
        <v>371</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372</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300</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313</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373</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C12" s="127" t="s">
        <v>371</v>
      </c>
      <c r="D12" s="127"/>
      <c r="E12">
        <f>IF(G12&gt;0,SUM(COUNTIF(Assessment_MSP!I16,"Yes"),COUNTIF(Assessment_MSP!I18,"No"),COUNTIF(Assessment_MSP!I20,"Yes")) / (COUNTIF(Assessment_MSP!I16:I20,"Yes")+COUNTIF(Assessment_MSP!I16:I20,"No")),0)</f>
        <v>0.66666666666666663</v>
      </c>
      <c r="G12">
        <f>(COUNTIF(Assessment_MSP!I16:I20,"Yes")+COUNTIF(Assessment_MSP!I16:I20,"No"))/3</f>
        <v>1</v>
      </c>
      <c r="I12">
        <f>SUM(COUNTIF(Assessment_MSP!I16, "Yes"),COUNTIF(Assessment_MSP!I18, "No"),COUNTIF(Assessment_MSP!I20, "Yes"))</f>
        <v>2</v>
      </c>
      <c r="K12">
        <f>SUM(COUNTIF(Assessment_MSP!I16, "No"),COUNTIF(Assessment_MSP!I18, "Yes"),COUNTIF(Assessment_MSP!I20, "No"))</f>
        <v>1</v>
      </c>
      <c r="M12">
        <f>(COUNTIF(Assessment_MSP!I16:I20,"N/A"))</f>
        <v>0</v>
      </c>
    </row>
    <row r="14" spans="1:13" x14ac:dyDescent="0.35">
      <c r="C14" s="127" t="s">
        <v>372</v>
      </c>
      <c r="D14" s="127"/>
      <c r="E14">
        <f>IF(G14&gt;0,SUM(COUNTIF(Assessment_MSP!I24,"Yes"),COUNTIF(Assessment_MSP!I26:I28,"No"),COUNTIF(Assessment_MSP!I30,"Yes")) / (COUNTIF(Assessment_MSP!I24:I30,"Yes") + COUNTIF(Assessment_MSP!I24:I30,"No")),0%)</f>
        <v>1</v>
      </c>
      <c r="G14">
        <f>(COUNTIF(Assessment_MSP!I24:I30,"Yes")+COUNTIF(Assessment_MSP!I24:I30,"No"))/3</f>
        <v>1</v>
      </c>
      <c r="I14">
        <f>SUM(COUNTIF(Assessment_MSP!I24, "Yes"),COUNTIF(Assessment_MSP!I26:I28, "No"),COUNTIF(Assessment_MSP!I30,"Yes"))</f>
        <v>3</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0.75</v>
      </c>
    </row>
    <row r="16" spans="1:13" x14ac:dyDescent="0.35">
      <c r="C16" s="127" t="s">
        <v>300</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313</v>
      </c>
      <c r="D18" s="127"/>
      <c r="E18">
        <f>IF(G18&gt;0,SUM(COUNTIF(Assessment_MSP!I56:I82,"Yes")) / ( COUNTIF(Assessment_MSP!I56:I82,"Yes") + COUNTIF(Assessment_MSP!I56:I82,"No")),0%)</f>
        <v>0.88888888888888884</v>
      </c>
      <c r="G18">
        <f>(COUNTIF(Assessment_MSP!I56:I82,"Yes") + COUNTIF(Assessment_MSP!I56:I82,"No"))/9</f>
        <v>1</v>
      </c>
      <c r="I18">
        <f>(COUNTIF(Assessment_MSP!I56:I82,"Yes"))</f>
        <v>8</v>
      </c>
      <c r="K18">
        <f>(COUNTIF(Assessment_MSP!I56:I82,"No"))</f>
        <v>1</v>
      </c>
      <c r="M18">
        <f>(COUNTIF(Assessment_MSP!I56:I82,"N/A"))</f>
        <v>0</v>
      </c>
    </row>
    <row r="21" spans="3:13" x14ac:dyDescent="0.35">
      <c r="C21" s="127" t="s">
        <v>373</v>
      </c>
      <c r="D21" s="127"/>
      <c r="E21">
        <f>SUM(E12:E18)/4</f>
        <v>0.88888888888888884</v>
      </c>
      <c r="G21">
        <f>SUM(G12:G18)/4</f>
        <v>1.1875</v>
      </c>
      <c r="I21">
        <f>SUM(I12:I18)</f>
        <v>19</v>
      </c>
      <c r="K21">
        <f>SUM(K12:K18)</f>
        <v>2</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19" t="s">
        <v>387</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388</v>
      </c>
      <c r="D3" s="187"/>
      <c r="E3" s="722" t="s">
        <v>412</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389</v>
      </c>
      <c r="D5" s="187"/>
      <c r="E5" s="725" t="s">
        <v>416</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195</v>
      </c>
      <c r="D7" s="192"/>
      <c r="E7" s="725" t="s">
        <v>413</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196</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366</v>
      </c>
      <c r="F12" s="199"/>
      <c r="G12" s="198" t="s">
        <v>390</v>
      </c>
      <c r="H12" s="199"/>
      <c r="I12" s="199" t="s">
        <v>368</v>
      </c>
      <c r="J12" s="199"/>
      <c r="K12" s="199" t="s">
        <v>369</v>
      </c>
      <c r="L12" s="200"/>
      <c r="M12" s="198" t="s">
        <v>391</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392</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393</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394</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395</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396</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397</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398</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399</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400</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401</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402</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223</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403</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404</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405</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406</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407</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258</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408</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409</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410</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414</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244</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415</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373</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411</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5BB4A213-5FB0-4636-82A4-8803D859BD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2020-03-25T18:30:31Z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
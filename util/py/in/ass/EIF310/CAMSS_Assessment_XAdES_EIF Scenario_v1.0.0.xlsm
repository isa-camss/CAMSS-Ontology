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mfajulas\everis\CAMSS365 - Documentos\CAMSS 10\02 Delivery\05 Assessments &amp; Shortlist\01 EIF\Ongoing Assessments\02 ToPublish\22. XAdES - ISO14533-2\"/>
    </mc:Choice>
  </mc:AlternateContent>
  <bookViews>
    <workbookView xWindow="0" yWindow="0" windowWidth="20490" windowHeight="6255" activeTab="5"/>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24" i="15" l="1"/>
  <c r="K24" i="15"/>
  <c r="I24" i="15"/>
  <c r="G67" i="15" l="1"/>
  <c r="G59" i="15"/>
  <c r="G61" i="15" l="1"/>
  <c r="G24" i="15" l="1"/>
  <c r="E24" i="15" s="1"/>
  <c r="G28" i="15"/>
  <c r="G22" i="15"/>
  <c r="G20" i="15"/>
  <c r="G63" i="15" l="1"/>
  <c r="E63" i="15" s="1"/>
  <c r="M67" i="15"/>
  <c r="K67" i="15"/>
  <c r="I67" i="15"/>
  <c r="E67" i="15"/>
  <c r="G55" i="15" l="1"/>
  <c r="E55" i="15" s="1"/>
  <c r="E59" i="15"/>
  <c r="E61" i="15"/>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E28" i="15"/>
  <c r="G26" i="15"/>
  <c r="E26" i="15" s="1"/>
  <c r="M26" i="15"/>
  <c r="K26" i="15"/>
  <c r="I26" i="15"/>
  <c r="M22" i="15"/>
  <c r="K22" i="15"/>
  <c r="I22" i="15"/>
  <c r="M20" i="15"/>
  <c r="K20" i="15"/>
  <c r="I20" i="15"/>
  <c r="M15" i="15"/>
  <c r="K17" i="15"/>
  <c r="I17" i="15"/>
  <c r="M17" i="15"/>
  <c r="K15" i="15"/>
  <c r="I15" i="15"/>
  <c r="E22" i="15"/>
  <c r="E20" i="15"/>
  <c r="G17" i="15"/>
  <c r="E17" i="15" s="1"/>
  <c r="G15" i="15"/>
  <c r="E15" i="15" s="1"/>
  <c r="M18" i="12"/>
  <c r="K18" i="12"/>
  <c r="I18" i="12"/>
  <c r="G18" i="12"/>
  <c r="E18" i="12" s="1"/>
  <c r="M16" i="12"/>
  <c r="M12" i="12"/>
  <c r="M14" i="12"/>
  <c r="K16" i="12"/>
  <c r="K12" i="12"/>
  <c r="K14" i="12"/>
  <c r="I16" i="12"/>
  <c r="G16" i="12"/>
  <c r="E16" i="12" s="1"/>
  <c r="G15" i="12"/>
  <c r="I14" i="12"/>
  <c r="G14" i="12"/>
  <c r="E14" i="12" s="1"/>
  <c r="I12" i="12"/>
  <c r="G12" i="12"/>
  <c r="E12" i="12" s="1"/>
  <c r="G21" i="11"/>
  <c r="E21" i="11" s="1"/>
  <c r="M18" i="11"/>
  <c r="K18" i="11"/>
  <c r="I18" i="11"/>
  <c r="G18" i="11"/>
  <c r="E18" i="11" s="1"/>
  <c r="M16" i="11"/>
  <c r="K16" i="11"/>
  <c r="K12" i="11"/>
  <c r="K14" i="11"/>
  <c r="I16" i="11"/>
  <c r="G16" i="11"/>
  <c r="E16" i="11" s="1"/>
  <c r="G15" i="11"/>
  <c r="M14" i="11"/>
  <c r="I14" i="11"/>
  <c r="G14" i="11"/>
  <c r="E14" i="11" s="1"/>
  <c r="M12" i="11"/>
  <c r="M21" i="11" s="1"/>
  <c r="I12" i="11"/>
  <c r="G12" i="11"/>
  <c r="E12" i="11" s="1"/>
  <c r="H35" i="10"/>
  <c r="G35" i="10"/>
  <c r="F35" i="10"/>
  <c r="H34" i="10"/>
  <c r="G34" i="10"/>
  <c r="F34" i="10"/>
  <c r="H33" i="10"/>
  <c r="G33" i="10"/>
  <c r="F33" i="10"/>
  <c r="H32" i="10"/>
  <c r="G32" i="10"/>
  <c r="F32" i="10"/>
  <c r="H31" i="10"/>
  <c r="G31" i="10"/>
  <c r="F31" i="10"/>
  <c r="I48" i="15" l="1"/>
  <c r="M48" i="15"/>
  <c r="I28" i="15"/>
  <c r="I21" i="11"/>
  <c r="K21" i="11"/>
  <c r="M28" i="15"/>
  <c r="I39" i="15"/>
  <c r="K39" i="15"/>
  <c r="K21" i="12"/>
  <c r="M39" i="15"/>
  <c r="K48" i="15"/>
  <c r="I21" i="12"/>
  <c r="K28" i="15"/>
  <c r="M21" i="12"/>
  <c r="I63" i="15"/>
  <c r="M63" i="15"/>
  <c r="K63" i="15"/>
  <c r="E21" i="12"/>
  <c r="G21" i="12"/>
</calcChain>
</file>

<file path=xl/sharedStrings.xml><?xml version="1.0" encoding="utf-8"?>
<sst xmlns="http://schemas.openxmlformats.org/spreadsheetml/2006/main" count="897" uniqueCount="479">
  <si>
    <t>joinup</t>
  </si>
  <si>
    <t xml:space="preserve"> CAMSS Solution</t>
  </si>
  <si>
    <t>ASSESSMENT TOOLS</t>
  </si>
  <si>
    <t>Select the Assessment Scenario</t>
  </si>
  <si>
    <t>MSP</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</si>
  <si>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</si>
  <si>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</si>
  <si>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</si>
  <si>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Technical specification</t>
  </si>
  <si>
    <t>EIF</t>
  </si>
  <si>
    <r>
      <t>Please, fill in the mandatory</t>
    </r>
    <r>
      <rPr>
        <i/>
        <sz val="11"/>
        <color rgb="FFFF3333"/>
        <rFont val="Calibri"/>
        <family val="2"/>
        <scheme val="minor"/>
      </rPr>
      <t>*</t>
    </r>
    <r>
      <rPr>
        <i/>
        <sz val="11"/>
        <color rgb="FF000000"/>
        <rFont val="Calibri"/>
        <family val="2"/>
        <scheme val="minor"/>
      </rPr>
      <t xml:space="preserve"> information to  start the asseement</t>
    </r>
  </si>
  <si>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</si>
  <si>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</si>
  <si>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</si>
  <si>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</si>
  <si>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</si>
  <si>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</si>
  <si>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</si>
  <si>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</si>
  <si>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</si>
  <si>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</si>
  <si>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</si>
  <si>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</si>
  <si>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</si>
  <si>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</si>
  <si>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</si>
  <si>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</si>
  <si>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</si>
  <si>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</si>
  <si>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</si>
  <si>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</si>
  <si>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</si>
  <si>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</si>
  <si>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</si>
  <si>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</si>
  <si>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</si>
  <si>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</si>
  <si>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</si>
  <si>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</si>
  <si>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</si>
  <si>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</si>
  <si>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</si>
  <si>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</si>
  <si>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</si>
  <si>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</si>
  <si>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</si>
  <si>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</si>
  <si>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</si>
  <si>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</si>
  <si>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</si>
  <si>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</si>
  <si>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</si>
  <si>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</si>
  <si>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</si>
  <si>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</si>
  <si>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</si>
  <si>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</si>
  <si>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</si>
  <si>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</si>
  <si>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</si>
  <si>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</si>
  <si>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</si>
  <si>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</si>
  <si>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</si>
  <si>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rPr>
      <t>*</t>
    </r>
    <r>
      <rPr>
        <sz val="11"/>
        <color rgb="FF000000"/>
        <rFont val="Calibri"/>
        <family val="2"/>
      </rPr>
      <t xml:space="preserve"> information to  start the assessment</t>
    </r>
  </si>
  <si>
    <t>Name, First name</t>
  </si>
  <si>
    <t>Position / Role</t>
  </si>
  <si>
    <t>L8</t>
  </si>
  <si>
    <t>Scenario for assessment</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</si>
  <si>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</si>
  <si>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</si>
  <si>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</si>
  <si>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</si>
  <si>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</si>
  <si>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</si>
  <si>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</si>
  <si>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</si>
  <si>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</si>
  <si>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</si>
  <si>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</si>
  <si>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</si>
  <si>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</si>
  <si>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</si>
  <si>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</si>
  <si>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</si>
  <si>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</si>
  <si>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</si>
  <si>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</si>
  <si>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</si>
  <si>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</si>
  <si>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</si>
  <si>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</si>
  <si>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</si>
  <si>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</si>
  <si>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</si>
  <si>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</si>
  <si>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</si>
  <si>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</si>
  <si>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</si>
  <si>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</si>
  <si>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</si>
  <si>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</si>
  <si>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</si>
  <si>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</si>
  <si>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</si>
  <si>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</si>
  <si>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</si>
  <si>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</si>
  <si>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</si>
  <si>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</si>
  <si>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</si>
  <si>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</si>
  <si>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</si>
  <si>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</si>
  <si>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</si>
  <si>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</si>
  <si>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</si>
  <si>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</si>
  <si>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</si>
  <si>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</si>
  <si>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</si>
  <si>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</si>
  <si>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</si>
  <si>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</si>
  <si>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</si>
  <si>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</si>
  <si>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SDO/SSO</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</si>
  <si>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</si>
  <si>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</si>
  <si>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</si>
  <si>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</si>
  <si>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</si>
  <si>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</si>
  <si>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</si>
  <si>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</si>
  <si>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</si>
  <si>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</si>
  <si>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</si>
  <si>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</si>
  <si>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</si>
  <si>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</si>
  <si>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</si>
  <si>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</si>
  <si>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</si>
  <si>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</si>
  <si>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</si>
  <si>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</si>
  <si>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</si>
  <si>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</si>
  <si>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</si>
  <si>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 xml:space="preserve">                    CONSENSUS</t>
  </si>
  <si>
    <t>A8</t>
  </si>
  <si>
    <t>Are the specifications approved in a decision making process which aims at reaching 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</si>
  <si>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</si>
  <si>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</si>
  <si>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</si>
  <si>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</si>
  <si>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</si>
  <si>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</si>
  <si>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</si>
  <si>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</si>
  <si>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</si>
  <si>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</si>
  <si>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</si>
  <si>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</si>
  <si>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</si>
  <si>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</si>
  <si>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</si>
  <si>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A15</t>
  </si>
  <si>
    <t>Is the specification licensed on a (F)RAND basis?</t>
  </si>
  <si>
    <t>Is the specification licensed on a royalty-free basis?</t>
  </si>
  <si>
    <t xml:space="preserve">                    RELEVANCE</t>
  </si>
  <si>
    <t>A17</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</si>
  <si>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</si>
  <si>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</si>
  <si>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</si>
  <si>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A18</t>
  </si>
  <si>
    <t>Is the specification largely independent from specific vendor products?</t>
  </si>
  <si>
    <t>Is the specification largely independent from specific platforms or technologies?</t>
  </si>
  <si>
    <t xml:space="preserve">                    QUALITY</t>
  </si>
  <si>
    <t>A19</t>
  </si>
  <si>
    <t>Has the specification sufficient detail, consistency and completeness for the use and development of products and services?</t>
  </si>
  <si>
    <t xml:space="preserve">                             Please respond to all the criteria before viewing the Results </t>
  </si>
  <si>
    <t>European Interoperability Framework (EIF)</t>
  </si>
  <si>
    <t>.</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</si>
  <si>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</si>
  <si>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</si>
  <si>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</si>
  <si>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</si>
  <si>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</si>
  <si>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 xml:space="preserve">  PRINCIPLES SETTING THE CONTEXT FOR EU ACTIONS ON INTEROPERABILITY</t>
  </si>
  <si>
    <t xml:space="preserve">          SUBSIDIARITY AND PROPORTIONALITY</t>
  </si>
  <si>
    <t xml:space="preserve">  CORE INTEROPERABILITY PRINCIPLES</t>
  </si>
  <si>
    <t xml:space="preserve">          OPENNESS</t>
  </si>
  <si>
    <t>All stakeholders have the opportunity to contribute to the development of the specification </t>
  </si>
  <si>
    <t>A public review is part of the decision-making process.</t>
  </si>
  <si>
    <t xml:space="preserve">          TRANSPARENCY</t>
  </si>
  <si>
    <t xml:space="preserve">          REUSABILITY</t>
  </si>
  <si>
    <t>A14</t>
  </si>
  <si>
    <t xml:space="preserve">          TECHNOLOGICAL NEUTRALITY AND DATA PORTABILITY</t>
  </si>
  <si>
    <t>A16</t>
  </si>
  <si>
    <t>PRINCIPLES RELATED TO GENERIC USER NEEDS AND EXPECTATIONS</t>
  </si>
  <si>
    <t xml:space="preserve">          USER-CENTRICITY</t>
  </si>
  <si>
    <t xml:space="preserve">          INCLUSION AND ACCESSIBILITY</t>
  </si>
  <si>
    <t xml:space="preserve">          SECURITY AND PRIVACY</t>
  </si>
  <si>
    <t>A20</t>
  </si>
  <si>
    <t>The specification fosters the secure and trustworthy data exchange between citizens and businesses, and public administrations.</t>
  </si>
  <si>
    <t xml:space="preserve">          MULTILINGUALISM</t>
  </si>
  <si>
    <t>A21</t>
  </si>
  <si>
    <t xml:space="preserve">  FOUNDATION PRINCIPLES FOR COOPERATION AMONG PUBLIC ADMINISTRATIONS</t>
  </si>
  <si>
    <t xml:space="preserve">          ADMINISTRATIVE SIMPLIFICATION</t>
  </si>
  <si>
    <t>A22</t>
  </si>
  <si>
    <t xml:space="preserve">          PRESERVATION OF INFORMATION</t>
  </si>
  <si>
    <t>A23</t>
  </si>
  <si>
    <t xml:space="preserve">          ASSESSMENT OF EFFECTIVENESS AND EFFICIENCY</t>
  </si>
  <si>
    <t>A24</t>
  </si>
  <si>
    <t>INTEROPERABILITY LAYERS</t>
  </si>
  <si>
    <t xml:space="preserve">           INTEROPERABILITY GOVERNANCE</t>
  </si>
  <si>
    <t>A25</t>
  </si>
  <si>
    <t>A26</t>
  </si>
  <si>
    <t>A27</t>
  </si>
  <si>
    <t>A28</t>
  </si>
  <si>
    <t>A29</t>
  </si>
  <si>
    <t>A30</t>
  </si>
  <si>
    <t>INTEGRATED PUBLIC SERVICE GOVERNANCE</t>
  </si>
  <si>
    <t>A31</t>
  </si>
  <si>
    <t xml:space="preserve">           LEGAL INTEROPERABILITY</t>
  </si>
  <si>
    <t>A32</t>
  </si>
  <si>
    <t xml:space="preserve">         ORGANISATIONAL INTEROPERABILITY</t>
  </si>
  <si>
    <t>✓</t>
  </si>
  <si>
    <t>X</t>
  </si>
  <si>
    <t>N/A</t>
  </si>
  <si>
    <t>A33</t>
  </si>
  <si>
    <t>A34</t>
  </si>
  <si>
    <t xml:space="preserve">         SEMANTIC INTEROPERABILITY</t>
  </si>
  <si>
    <t>A35</t>
  </si>
  <si>
    <t>A36</t>
  </si>
  <si>
    <t>A37</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</si>
  <si>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</si>
  <si>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</si>
  <si>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</si>
  <si>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</si>
  <si>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</si>
  <si>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</si>
  <si>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</si>
  <si>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</si>
  <si>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</si>
  <si>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</si>
  <si>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</si>
  <si>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</si>
  <si>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</si>
  <si>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</si>
  <si>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</si>
  <si>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</si>
  <si>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</si>
  <si>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</si>
  <si>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</si>
  <si>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</si>
  <si>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</si>
  <si>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</si>
  <si>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</si>
  <si>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</si>
  <si>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</si>
  <si>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</si>
  <si>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</si>
  <si>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</si>
  <si>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</si>
  <si>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</si>
  <si>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</si>
  <si>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</si>
  <si>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</si>
  <si>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</si>
  <si>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</si>
  <si>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</si>
  <si>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</si>
  <si>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</si>
  <si>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</si>
  <si>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</si>
  <si>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</si>
  <si>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</si>
  <si>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</si>
  <si>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</si>
  <si>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</si>
  <si>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</si>
  <si>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</si>
  <si>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</si>
  <si>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</si>
  <si>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</si>
  <si>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</si>
  <si>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</si>
  <si>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</si>
  <si>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</si>
  <si>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</si>
  <si>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</si>
  <si>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</si>
  <si>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</si>
  <si>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</si>
  <si>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A38</t>
  </si>
  <si>
    <t>There is evidence that the adoption of the technical specification or standard positively impacts the financial costs.</t>
  </si>
  <si>
    <t>A39</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</si>
  <si>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</si>
  <si>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</si>
  <si>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</si>
  <si>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</si>
  <si>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</si>
  <si>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</si>
  <si>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</si>
  <si>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</si>
  <si>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</si>
  <si>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</si>
  <si>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</si>
  <si>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</si>
  <si>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</si>
  <si>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</si>
  <si>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</si>
  <si>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</si>
  <si>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</si>
  <si>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</si>
  <si>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</si>
  <si>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</si>
  <si>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</si>
  <si>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</si>
  <si>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</si>
  <si>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</si>
  <si>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</si>
  <si>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</si>
  <si>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</si>
  <si>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</si>
  <si>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</si>
  <si>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</si>
  <si>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</si>
  <si>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</si>
  <si>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</si>
  <si>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</si>
  <si>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</si>
  <si>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</si>
  <si>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</si>
  <si>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</si>
  <si>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</si>
  <si>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</si>
  <si>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</si>
  <si>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</si>
  <si>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</si>
  <si>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</si>
  <si>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</si>
  <si>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</si>
  <si>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</si>
  <si>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</si>
  <si>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</si>
  <si>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</si>
  <si>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</si>
  <si>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</si>
  <si>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</si>
  <si>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</si>
  <si>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</si>
  <si>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</si>
  <si>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</si>
  <si>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</si>
  <si>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</si>
  <si>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</si>
  <si>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</si>
  <si>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</si>
  <si>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</si>
  <si>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</si>
  <si>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</si>
  <si>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</si>
  <si>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</si>
  <si>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</si>
  <si>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</si>
  <si>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</si>
  <si>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 xml:space="preserve">The automated score is the percentage of “favorable” answers out of all the answers. 
The CAMSS assessment strength is the percentage of "favorable" and "unfavorable" answers out of all the answers. </t>
  </si>
  <si>
    <t>TECHNICAL INTEROPERABILITY*</t>
  </si>
  <si>
    <t xml:space="preserve">*The technical interoperability layer is covered by the criteria corresponding to the core interoperability principle ''Openness''. </t>
  </si>
  <si>
    <t>The specification has been included in a national catalogue from a Member State whose NIF is fully aligned with at least 4 out of 5 sections of the EIF according to NIFO factsheets.</t>
  </si>
  <si>
    <t>The specification facilitates the publication of public data as open data.</t>
  </si>
  <si>
    <t>The specification is available for everyone to study.</t>
  </si>
  <si>
    <t>The specification is licensed on a (F)RAND basis</t>
  </si>
  <si>
    <t>The specification is licensed on a royalty-free basis</t>
  </si>
  <si>
    <t>The specification fosters the creation of innovative solutions.</t>
  </si>
  <si>
    <t>The specification has a strong support from at least one developer community.</t>
  </si>
  <si>
    <t>The specification is reusable beyond the domain for which it was originally developed. </t>
  </si>
  <si>
    <t>The specification is proportionate to the needs of its users (citizens, businesses or administrations).</t>
  </si>
  <si>
    <t>The specification fosters data portability between systems and applications supporting the implementation and evolution of European public services when legally possible.</t>
  </si>
  <si>
    <t>The specification eases the implementation of the once-only principle.</t>
  </si>
  <si>
    <t>The specification fosters e-accessibility.</t>
  </si>
  <si>
    <t>The specification fosters the delivery of multilingual European public services.</t>
  </si>
  <si>
    <t>The adoption of the specification reduces the administrative burden.</t>
  </si>
  <si>
    <t>The specification fosters the long-term preservation of electronic records and other kinds of information.</t>
  </si>
  <si>
    <t>There are already existing studies or documentation assessing the specification in terms of effectiveness and efficiency.</t>
  </si>
  <si>
    <t>Mechanisms to assess conformity of the implementations of the specification (e.g. conformity tests, certifications) are available for free.</t>
  </si>
  <si>
    <t>The specification is included in a catalogue of standards at national level.</t>
  </si>
  <si>
    <t>The specification is included in a catalogue of standards at EU level.</t>
  </si>
  <si>
    <t>The specification is included in an interoperability agreement established between organisations involved in European public service provision.</t>
  </si>
  <si>
    <t>The specification is compliant with a European standardisation regulation (e.g. regulation 1025/2012 on European standardisation).</t>
  </si>
  <si>
    <t>The specification is a commonly accepted business process modelling specification.</t>
  </si>
  <si>
    <t>The specification defines organisational interoperability aspects (e.g. skills, language, etc.).</t>
  </si>
  <si>
    <t>The specification defines a cross-sector reusable data model.</t>
  </si>
  <si>
    <t>The specification fosters the publication of data as Linked Open Data.</t>
  </si>
  <si>
    <t>The specification is available for free on at least one national or European platform.</t>
  </si>
  <si>
    <t>The specification has been made available for its reuse by the organisations, administrations, open communities, etc. that developed it.</t>
  </si>
  <si>
    <t>The specification can be mapped to the European Interoperability Reference Architecture (EIRA).</t>
  </si>
  <si>
    <t>►  CAMSS-18</t>
  </si>
  <si>
    <t>►  CAMSS-33</t>
  </si>
  <si>
    <t>►  CAMSS-32</t>
  </si>
  <si>
    <t>►  CAMSS-37</t>
  </si>
  <si>
    <t>►  CAMSS-40</t>
  </si>
  <si>
    <t>►  CAMSS-42</t>
  </si>
  <si>
    <t>►  CAMSS-44</t>
  </si>
  <si>
    <t>►  CAMSS-41</t>
  </si>
  <si>
    <t>►  CAMSS-49</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</si>
  <si>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</si>
  <si>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Send feedback</t>
  </si>
  <si>
    <t>The specification is sufficiently mature for its use in the development of products and services.</t>
  </si>
  <si>
    <t>The specification fosters the comprehensibility of administrative rules, data, services and decision-making of a public administration.</t>
  </si>
  <si>
    <t>The specification fosters the visibility of administrative rules, data, services and decision-making of a public administration.</t>
  </si>
  <si>
    <r>
      <t>Please, fill in the mandatory</t>
    </r>
    <r>
      <rPr>
        <sz val="11"/>
        <color rgb="FFFF3333"/>
        <rFont val="Calibri"/>
        <family val="2"/>
        <scheme val="minor"/>
      </rPr>
      <t>*</t>
    </r>
    <r>
      <rPr>
        <sz val="11"/>
        <color rgb="FF000000"/>
        <rFont val="Calibri"/>
        <family val="2"/>
        <scheme val="minor"/>
      </rPr>
      <t xml:space="preserve"> information to  start the assessment</t>
    </r>
  </si>
  <si>
    <t>I agree to be contacted for evaluation purposes, namely to share my feedback on specific ISA2 solutions and actions and on the ISA2 programme and the European Interoperability Framework in general.</t>
  </si>
  <si>
    <r>
      <t>Please, fill in the mandatory</t>
    </r>
    <r>
      <rPr>
        <sz val="11"/>
        <color rgb="FFFF0000"/>
        <rFont val="Calibri"/>
        <family val="2"/>
        <scheme val="minor"/>
      </rPr>
      <t>*</t>
    </r>
    <r>
      <rPr>
        <sz val="11"/>
        <color theme="1"/>
        <rFont val="Calibri"/>
        <family val="2"/>
        <scheme val="minor"/>
      </rPr>
      <t xml:space="preserve"> information to  start the assessment</t>
    </r>
  </si>
  <si>
    <t>f</t>
  </si>
  <si>
    <t>W3C (http://www.w3.org)</t>
  </si>
  <si>
    <t>http://www.w3.org/participate/</t>
  </si>
  <si>
    <t>http://www.w3.org/Consortium/Process/#Consensus</t>
  </si>
  <si>
    <t>http://www.w3.org/Consortium/Process#ReviewAppeal</t>
  </si>
  <si>
    <t>The specification has sufficient market acceptance for its use in the development of products and services.</t>
  </si>
  <si>
    <r>
      <rPr>
        <sz val="11"/>
        <rFont val="Calibri"/>
        <family val="2"/>
        <scheme val="minor"/>
      </rPr>
      <t xml:space="preserve">* I have read and agreed to the following CAMSS Privacy Statement: </t>
    </r>
    <r>
      <rPr>
        <u/>
        <sz val="11"/>
        <color theme="10"/>
        <rFont val="Calibri"/>
        <family val="2"/>
        <scheme val="minor"/>
      </rPr>
      <t>LINK.</t>
    </r>
  </si>
  <si>
    <r>
      <rPr>
        <sz val="11"/>
        <rFont val="Calibri"/>
        <family val="2"/>
        <scheme val="minor"/>
      </rPr>
      <t xml:space="preserve">* I have read and agreed to the following CAMSS Privacy Statement: </t>
    </r>
    <r>
      <rPr>
        <u/>
        <sz val="11"/>
        <color theme="10"/>
        <rFont val="Calibri"/>
        <family val="2"/>
        <scheme val="minor"/>
      </rPr>
      <t>here</t>
    </r>
  </si>
  <si>
    <r>
      <rPr>
        <sz val="11"/>
        <rFont val="Calibri"/>
        <family val="2"/>
        <scheme val="minor"/>
      </rPr>
      <t xml:space="preserve">*I have read and agreed to the following CAMSS Privacy Statement: </t>
    </r>
    <r>
      <rPr>
        <u/>
        <sz val="11"/>
        <color theme="10"/>
        <rFont val="Calibri"/>
        <family val="2"/>
        <scheme val="minor"/>
      </rPr>
      <t>here</t>
    </r>
  </si>
  <si>
    <r>
      <rPr>
        <b/>
        <sz val="10"/>
        <color theme="1" tint="0.249977111117893"/>
        <rFont val="Century Gothic"/>
        <family val="2"/>
      </rPr>
      <t xml:space="preserve">              Tool version: </t>
    </r>
    <r>
      <rPr>
        <sz val="10"/>
        <color theme="1" tint="0.249977111117893"/>
        <rFont val="Century Gothic"/>
        <family val="2"/>
      </rPr>
      <t>3.1.0</t>
    </r>
  </si>
  <si>
    <r>
      <t xml:space="preserve">              Tool Release Date: </t>
    </r>
    <r>
      <rPr>
        <sz val="10"/>
        <color theme="1" tint="0.249977111117893"/>
        <rFont val="Century Gothic"/>
        <family val="2"/>
      </rPr>
      <t>31/03/2020</t>
    </r>
  </si>
  <si>
    <t>The specification helps to ensure the availability of interfaces with internal information systems of a public administration.</t>
  </si>
  <si>
    <t>The specification is independent of any specific technology and/or platform.</t>
  </si>
  <si>
    <t>The specification is recommended by an EU Member State.</t>
  </si>
  <si>
    <t>The specification has been selected for its use in an EU cross-border project or initiative after agreed identification and assessment.</t>
  </si>
  <si>
    <t>everis</t>
  </si>
  <si>
    <t>CAMSS Team</t>
  </si>
  <si>
    <t>CAMSS@everis.com</t>
  </si>
  <si>
    <t>XML Advanced Electronic Signatures (XAdES) - ISO 14533-2:2012</t>
  </si>
  <si>
    <t>https://www.iso.org/standard/56025.html</t>
  </si>
  <si>
    <t>Other SDO/SSO</t>
  </si>
  <si>
    <t>International Standard</t>
  </si>
  <si>
    <t>There is no Member State that includes XAdES (ISO 14533-2:2012) in their national catalogue with The National Interoperability Framework (NIF) aligned with at least 4 out of 5 sections of the European Interoperability Framework (EIF) according to the National Interoperability Framework Observatory (NIFO) factsheets.
CAMSS List of Standards:
https://joinup.ec.europa.eu/collection/common-assessment-method-standards-and-specifications-camss/camss-list-standards</t>
  </si>
  <si>
    <t>The purpose of XAdES is not related to the publication of public data as open data. Therefore, this criterion is not applicable to this specification. 
Tim Berners-Lee 5-star schema for Open Data:
https://5stardata.info/en/
XAdES ISO reference:
https://www.iso.org/standard/56025.html
XAdES ETSI reference:
https://www.etsi.org/deliver/etsi_ts/101900_101999/101903/01.04.02_60/ts_101903v010402p.pdf</t>
  </si>
  <si>
    <t>ISO has defined a clear procedure to develop its standards. It consists in a 6-steps process where everyone who is interested can participate. However, if you want to participate, you have to contact your national standards body and you have to be approved for joining the Technical committee (TC) who will develop the standard. ISO has defined the roadmap of standards, it is composed of 6 steps as before said. For the approval of a standard the two-thirds majority of P-members of TC is needed. If the result is negative, the document is returned to TC/SC to be further studied.
The ISO standardization process: 
https://www.iso.org/stages-and-resources-for-standards-development.html</t>
  </si>
  <si>
    <t>As defined on the TC standardisation, only TC members are involved in the development of ISO standards. A review is carried out to arrange the consensus firstly within the TC members and subsequently is reviewed by the different ISO member bodies. However, it cannot be considered a public review, because only TC members can participate.
The ISO standardization process: 
https://www.iso.org/stages-and-resources-for-standards-development.html</t>
  </si>
  <si>
    <t>The ISO 14533-2:2012 which refers to XAdES is not available for free for everyone to study. Payment is needed to reach access to the standard.
XAdES ISO reference:
https://www.iso.org/standard/56025.html</t>
  </si>
  <si>
    <t xml:space="preserve">There are no disclosures of ISO IPR Database to identify the licensing under the specification. ISO 14533-2:2012 is not listed in ISO/IEC/ITU Common Patent policy, so it cannot be confirmed that the specification is licensed on a (F)RAND basis.
ISO patents:
https://www.iso.org/iso-standards-and-patents.html 
ISO standards and patents IPR database:
http://isotc.iso.org/livelink/livelink/13622347/Patents_database.xls?func=doc.Fetch&amp;nodeId=13622347 </t>
  </si>
  <si>
    <t xml:space="preserve">There are no disclosures of ISO IPR Database to identify the licensing under the specification. ISO 14533-2:2012 is not listed in ISO/IEC/ITU Common Patent policy, so it cannot be confirmed that the specification is licensed on a royalty-free basis.
ISO patents:
https://www.iso.org/iso-standards-and-patents.html 
ISO standards and patents IPR database:
http://isotc.iso.org/livelink/livelink/13622347/Patents_database.xls?func=doc.Fetch&amp;nodeId=13622347 </t>
  </si>
  <si>
    <t>The ISO specifications are published to be able to respond to a market need which represent a consensus of an expert group. It was launched in 2012 as a proprietary solution. These facts demonstrate the maturity and market acceptance for its use in the development of products and services. 
XAdES ISO reference:
https://www.iso.org/standard/56025.html
XAdES ETSI reference:
https://www.etsi.org/deliver/etsi_ts/101900_101999/101903/01.04.02_60/ts_101903v010402p.pdf</t>
  </si>
  <si>
    <t>XAdES is often adopted as a specification to preserve electronic documents for a long period of time. In the following link there is an example of integrating digital signatures like XAdES in a framework. These facts demonstrate the maturity and market acceptance for its use in the development of products and services.
Digital signature service:
https://ec.europa.eu/cefdigital/DSS/webapp-demo/doc/dss-documentation.html 
XAdES ISO reference:
https://www.iso.org/standard/56025.html
XAdES ETSI reference:
https://www.etsi.org/deliver/etsi_ts/101900_101999/101903/01.04.02_60/ts_101903v010402p.pdf</t>
  </si>
  <si>
    <t>At the moment of performing the assessment, XAdES is recommended by the European Union as an eSignature standard to ensure that electronic signatures can be created and validated anywhere in Europe. So, XAdES can be considered as an asset to build innovative solutions.
eSignature standards:
https://ec.europa.eu/cefdigital/wiki/display/CEFDIGITAL/eSignature+standards
XAdES ISO reference:
https://www.iso.org/standard/56025.html
XAdES ETSI reference:
https://www.etsi.org/deliver/etsi_ts/101900_101999/101903/01.04.02_60/ts_101903v010402p.pdf</t>
  </si>
  <si>
    <t>XAdES (ISO 14522-2:2012) has the ISO community that supports the development of: International standards, Technical Specifications, Technical Report and Publicly Available Specification.
ISO Webpage:
http://www.isotc292online.org/projects/iso-process/</t>
  </si>
  <si>
    <t>The purpose of XAdES is not related to the visibility of administrative information, data or services. Therefore, this criterion is not applicable to this specification.
XAdES ISO reference:
https://www.iso.org/standard/56025.html
XAdES ETSI reference:
https://www.etsi.org/deliver/etsi_ts/101900_101999/101903/01.04.02_60/ts_101903v010402p.pdf</t>
  </si>
  <si>
    <t>The purpose of XAdES is not related to the comprehensibility of administrative information, data or services. Therefore, this criterion is not applicable to this specification. 
XAdES ISO reference:
https://www.iso.org/standard/56025.html
XAdES ETSI reference:
https://www.etsi.org/deliver/etsi_ts/101900_101999/101903/01.04.02_60/ts_101903v010402p.pdf</t>
  </si>
  <si>
    <t>The purpose of XAdES is not related to the availability of interfaces with internal information systems. Therefore, this criterion is not applicable to this specification. 
XAdES ISO reference:
https://www.iso.org/standard/56025.html
XAdES ETSI reference:
https://www.etsi.org/deliver/etsi_ts/101900_101999/101903/01.04.02_60/ts_101903v010402p.pdf</t>
  </si>
  <si>
    <t>XAdES is a business domain agnostic specification that can be reused in a cross-domain way.
XAdES ISO reference:
https://www.iso.org/standard/56025.html
XAdES ETSI reference:
https://www.etsi.org/deliver/etsi_ts/101900_101999/101903/01.04.02_60/ts_101903v010402p.pdf</t>
  </si>
  <si>
    <t>XAdES (ISO 14533-2:2012) is an ISO standard and as all ISO standards, they have to be paid to access its content. However, it can be checked out in ETSI website where the content is aligned with the ISO standard.  
XAdES ISO reference:
https://www.iso.org/standard/56025.html
XAdES ETSI reference:
https://www.etsi.org/deliver/etsi_ts/101900_101999/101903/01.04.02_60/ts_101903v010402p.pdf</t>
  </si>
  <si>
    <t>There is no national or European platform with the specification XAdES (ISO 14533-2:2012) available for free. However, there are some free documents in Joinup that covers XAdES digital signatures - Testing Conformance and Interoperability.
XAdES Joinup reference:
https://joinup.ec.europa.eu/solution/etsi-tr-119-134-series-electronic-signatures-and-infrastructures-esi-xades-digital-signatures</t>
  </si>
  <si>
    <t>XAdES is independent of any software, hardware, or operating system. So it can be said that the specification is independent of any specific technology or platform. 
XAdES ISO reference:
https://www.iso.org/standard/56025.html
XAdES ETSI reference:
https://www.etsi.org/deliver/etsi_ts/101900_101999/101903/01.04.02_60/ts_101903v010402p.pdf</t>
  </si>
  <si>
    <t>The adoption of XAdES as an electronic signature format helps citizens, business and administrations to secure documents. So it does not hamper the scalability of systems.
XAdES ISO reference:
https://www.iso.org/standard/56025.html
XAdES ETSI reference:
https://www.etsi.org/deliver/etsi_ts/101900_101999/101903/01.04.02_60/ts_101903v010402p.pdf</t>
  </si>
  <si>
    <t>The purpose of XAdES is not related to the availability of interfaces with internal information systems. Therefore, this criterion is not applicable to this specification.
XAdES ISO reference:
https://www.iso.org/standard/56025.html
XAdES ETSI reference:
https://www.etsi.org/deliver/etsi_ts/101900_101999/101903/01.04.02_60/ts_101903v010402p.pdf</t>
  </si>
  <si>
    <t>The purpose of XAdES is not related to the implementation of the once-only principle. Therefore, this criterion does not apply to this specification.
XAdES ISO reference:
https://www.iso.org/standard/56025.html
XAdES ETSI reference:
https://www.etsi.org/deliver/etsi_ts/101900_101999/101903/01.04.02_60/ts_101903v010402p.pdf</t>
  </si>
  <si>
    <t>The purpose of XAdES is not related to e-accessibility. Therefore, this criterion is considered not applicable to this specification.
XAdES ISO reference:
https://www.iso.org/standard/56025.html
XAdES ETSI reference:
https://www.etsi.org/deliver/etsi_ts/101900_101999/101903/01.04.02_60/ts_101903v010402p.pdf</t>
  </si>
  <si>
    <t>XAdES as an electronic signature will proportionate a secure and trustworthy eSignature for the data exchange between citizens and administrations.
XAdES ISO reference:
https://www.iso.org/standard/56025.html
XAdES ETSI reference:
https://www.etsi.org/deliver/etsi_ts/101900_101999/101903/01.04.02_60/ts_101903v010402p.pdf</t>
  </si>
  <si>
    <t>The purpose of XAdES is not related to the delivery of multilingual public services. Therefore, this criterion is not applicable to this specification. 
XAdES ISO reference:
https://www.iso.org/standard/56025.html
XAdES ETSI reference:
https://www.etsi.org/deliver/etsi_ts/101900_101999/101903/01.04.02_60/ts_101903v010402p.pdf</t>
  </si>
  <si>
    <t>By allowing electronic signatures, the specification helps to avoid the administrative burden related to the non-digital communications.
XAdES ISO reference:
https://www.iso.org/standard/56025.html
XAdES ETSI reference:
https://www.etsi.org/deliver/etsi_ts/101900_101999/101903/01.04.02_60/ts_101903v010402p.pdf</t>
  </si>
  <si>
    <t>XAdES ensures the interoperability of electronic signatures when the documents they authenticate are transferred and processed through different systems and it can be preserved for a long term.
XAdES ISO reference:
https://www.iso.org/standard/56025.html
XAdES ETSI reference:
https://www.etsi.org/deliver/etsi_ts/101900_101999/101903/01.04.02_60/ts_101903v010402p.pdf</t>
  </si>
  <si>
    <t>After carrying out information retrieval, no document or study has been found assessing the XAdES in terms of efficiency or effectiveness.</t>
  </si>
  <si>
    <t>XAdES (ISO 14533-2:2012) is already associated to an EIRA ABB in the European Library Of Specifications (ELIS). More specifically, ISO 14533-2:2012 can define the interoperability aspects of the "e-Seal Preservation Service" and "e-Signature Preservation Service". Specifically, this Core Vocabulary can define the interoperability aspects of the Technical infrastructure view ABB from the EIRA Semantic view. 
EIRA Library of Interoperability Specifications (ELIS):
https://joinup.ec.europa.eu/solution/elis/release/v100</t>
  </si>
  <si>
    <t>There are many free online tools that perform numerous checking in order to verify the conformity of the ETSI Advanced Electronic Signatures which includes XAdES.
XAdES conformance testing:
https://signatures-conformance-checker.etsi.org/pub/index.shtml</t>
  </si>
  <si>
    <t xml:space="preserve">There are no Member States recommending XAdES (ISO 14533-2:2012) in their ICT National Catalogues.
CAMSS List of Standards:
https://joinup.ec.europa.eu/collection/common-assessment-method-standards-and-specifications-camss/camss-list-standards </t>
  </si>
  <si>
    <t>After searching in the different official European websites, there is no evidence of any cross-border project that uses XAdES (ISO 14533-2:2012) nor explicit agreements involving the usage of the specification. However, the specification XAdES from ETSI, is involved in some cross-border projects as "Analysis of standards related to Trust Service Providers" developed by ENISA (European Union Agency for Network and Information Security) which is a centre of network and information security expertise for the EU, its member states, the private sector and Europe’s citizens. 
ENISA project:
https://www.enisa.europa.eu/publications/tsp_standards_2015/at_download/fullReport
XAdES ISO reference:
https://www.iso.org/standard/56025.html
XAdES ETSI reference:
https://www.etsi.org/deliver/etsi_ts/101900_101999/101903/01.04.02_60/ts_101903v010402p.pdf</t>
  </si>
  <si>
    <t>XAdES (ISO 14533-2:2012) is not included in any Member States' catalogues of recommended specifications.
CAMSS List of Standards:
https://joinup.ec.europa.eu/collection/common-assessment-method-standards-and-specifications-camss/camss-list-standards</t>
  </si>
  <si>
    <t>After checking the different standard catalogues at supra-national level, there is no evidence of the inclusion of XAdES (ISO 14533-2:2012) within any European catalogue of standards.
ICT technical specifications:
https://ec.europa.eu/growth/industry/policy/ict-standardisation/ict-technical-specifications_en 
CEN search tool catalogue:
https://standards.cen.eu/dyn/www/f?p=CENWEB:105::RESET::::
CENELEC search tool catalogue:
https://www.cenelec.eu/dyn/www/f?p=104:107:0::::FSP_LANG_ID:25</t>
  </si>
  <si>
    <t>No evidence has been found of the specification being included in a formal interoperability agreement between organisations involved in the European public services provision.</t>
  </si>
  <si>
    <t>After checking the assessments performed by CAMSS and the list of specifications identified by the MSP Multi-stakeholder-platform, no assessment verifying the compliance of the specification with the European standardisation regulation has been found.
ICT technical specifications:
https://ec.europa.eu/growth/industry/policy/ict-standardisation/ict-technical-specifications_en</t>
  </si>
  <si>
    <t>The purpose of XAdES is not related to the modelling of business processes. Therefore, this criterion is not applicable to the specification. 
XAdES ISO reference:
https://www.iso.org/standard/56025.html
XAdES ETSI reference:
https://www.etsi.org/deliver/etsi_ts/101900_101999/101903/01.04.02_60/ts_101903v010402p.pdf</t>
  </si>
  <si>
    <t>The purpose of XAdES is not related to organisational interoperability. Therefore, this criterion is not applicable to the specification. 
XAdES ISO reference:
https://www.iso.org/standard/56025.html
XAdES ETSI reference:
https://www.etsi.org/deliver/etsi_ts/101900_101999/101903/01.04.02_60/ts_101903v010402p.pdf</t>
  </si>
  <si>
    <t>XAdES does not define a cross-sector reusable data model, but defines an electronic signature format. 
XAdES ISO reference:
https://www.iso.org/standard/56025.html
XAdES ETSI reference:
https://www.etsi.org/deliver/etsi_ts/101900_101999/101903/01.04.02_60/ts_101903v010402p.pdf</t>
  </si>
  <si>
    <t>The purpose of XAdES is not related to the publication of public data as linked open data. Therefore, this criterion is not applicable to this specification. 
5-star linked open data:
https://www.w3.org/DesignIssues/LinkedData.html
XAdES ISO reference:
https://www.iso.org/standard/56025.html
XAdES ETSI reference:
https://www.etsi.org/deliver/etsi_ts/101900_101999/101903/01.04.02_60/ts_101903v010402p.pdf</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</si>
</sst>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F800]dddd\,\ mmmm\ dd\,\ yyyy"/>
    <numFmt numFmtId="166" formatCode="[$-809]dd\ mmmm\ yyyy;@"/>
  </numFmts>
  <fonts count="99"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Century Gothic"/>
      <family val="2"/>
    </font>
    <font>
      <sz val="12"/>
      <color theme="1" tint="0.249977111117893"/>
      <name val="Century Gothic"/>
      <family val="2"/>
    </font>
    <font>
      <b/>
      <u/>
      <sz val="11"/>
      <color theme="1" tint="0.249977111117893"/>
      <name val="Century Gothic"/>
      <family val="2"/>
    </font>
    <font>
      <sz val="10"/>
      <color theme="1" tint="0.249977111117893"/>
      <name val="Century Gothic"/>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
      <b/>
      <sz val="9"/>
      <color theme="1"/>
      <name val="Century Gothic"/>
      <family val="2"/>
    </font>
    <font>
      <sz val="9"/>
      <color theme="1"/>
      <name val="Century Gothic"/>
      <family val="2"/>
    </font>
    <font>
      <b/>
      <sz val="20"/>
      <color theme="1" tint="0.249977111117893"/>
      <name val="Century Gothic"/>
      <family val="2"/>
    </font>
    <font>
      <i/>
      <sz val="10"/>
      <color theme="1" tint="0.249977111117893"/>
      <name val="Century Gothic"/>
      <family val="2"/>
    </font>
    <font>
      <sz val="11"/>
      <color theme="1"/>
      <name val="Century Gothic"/>
      <family val="2"/>
    </font>
    <font>
      <sz val="9"/>
      <color theme="1" tint="0.249977111117893"/>
      <name val="Century Gothic"/>
      <family val="2"/>
    </font>
  </fonts>
  <fills count="35">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
      <patternFill patternType="solid">
        <fgColor theme="0" tint="-4.9989318521683403E-2"/>
        <bgColor rgb="FFEEEEEE"/>
      </patternFill>
    </fill>
  </fills>
  <borders count="109">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
      <left style="thin">
        <color theme="0" tint="-0.14999847407452621"/>
      </left>
      <right style="thin">
        <color theme="0" tint="-0.14999847407452621"/>
      </right>
      <top style="thick">
        <color indexed="64"/>
      </top>
      <bottom style="thin">
        <color theme="0" tint="-0.14999847407452621"/>
      </bottom>
      <diagonal/>
    </border>
    <border>
      <left/>
      <right style="thin">
        <color theme="0" tint="-0.14999847407452621"/>
      </right>
      <top style="thick">
        <color indexed="64"/>
      </top>
      <bottom style="thin">
        <color theme="0" tint="-0.14999847407452621"/>
      </bottom>
      <diagonal/>
    </border>
    <border>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ck">
        <color indexed="64"/>
      </top>
      <bottom style="thin">
        <color theme="0" tint="-0.14999847407452621"/>
      </bottom>
      <diagonal/>
    </border>
    <border>
      <left style="thin">
        <color theme="0" tint="-0.14999847407452621"/>
      </left>
      <right style="thick">
        <color indexed="64"/>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n">
        <color theme="0" tint="-0.14999847407452621"/>
      </top>
      <bottom style="thick">
        <color indexed="64"/>
      </bottom>
      <diagonal/>
    </border>
    <border>
      <left/>
      <right/>
      <top/>
      <bottom style="thin">
        <color rgb="FF047ABA"/>
      </bottom>
      <diagonal/>
    </border>
    <border>
      <left style="thin">
        <color rgb="FF047ABA"/>
      </left>
      <right/>
      <top/>
      <bottom style="thin">
        <color rgb="FF047ABA"/>
      </bottom>
      <diagonal/>
    </border>
    <border>
      <left/>
      <right style="thin">
        <color rgb="FF047ABA"/>
      </right>
      <top/>
      <bottom style="thin">
        <color rgb="FF047ABA"/>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style="thin">
        <color theme="0" tint="-0.14999847407452621"/>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right style="thin">
        <color theme="0" tint="-4.9989318521683403E-2"/>
      </right>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2" fillId="0" borderId="0" applyNumberFormat="0" applyFill="0" applyBorder="0" applyAlignment="0" applyProtection="0"/>
  </cellStyleXfs>
  <cellXfs count="785">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49"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1" fillId="2" borderId="0" xfId="1" applyFont="1" applyFill="1" applyBorder="1" applyAlignment="1" applyProtection="1">
      <alignment vertical="center"/>
      <protection hidden="1"/>
    </xf>
    <xf numFmtId="0" fontId="51" fillId="2" borderId="3" xfId="1" applyFont="1" applyFill="1" applyBorder="1" applyProtection="1">
      <alignment vertical="center"/>
      <protection hidden="1"/>
    </xf>
    <xf numFmtId="0" fontId="51" fillId="2" borderId="0" xfId="1" applyFont="1" applyFill="1" applyBorder="1" applyProtection="1">
      <alignment vertical="center"/>
      <protection hidden="1"/>
    </xf>
    <xf numFmtId="0" fontId="51" fillId="2" borderId="0" xfId="1" applyFont="1" applyFill="1" applyBorder="1" applyAlignment="1" applyProtection="1">
      <alignment horizontal="center"/>
      <protection hidden="1"/>
    </xf>
    <xf numFmtId="0" fontId="59" fillId="2" borderId="0" xfId="1" applyFont="1" applyFill="1" applyBorder="1" applyAlignment="1" applyProtection="1">
      <alignment horizontal="center" vertical="center" wrapText="1"/>
      <protection hidden="1"/>
    </xf>
    <xf numFmtId="0" fontId="53"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3"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6" fillId="30" borderId="75" xfId="0" applyFont="1" applyFill="1" applyBorder="1" applyAlignment="1" applyProtection="1">
      <alignment horizontal="center" vertical="center" wrapText="1"/>
      <protection hidden="1"/>
    </xf>
    <xf numFmtId="0" fontId="17" fillId="7" borderId="74"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2" fillId="7" borderId="76"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6" fillId="22" borderId="58"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1" fillId="7" borderId="77" xfId="0" applyFont="1" applyFill="1" applyBorder="1" applyAlignment="1" applyProtection="1">
      <alignment horizontal="center" vertical="center"/>
      <protection hidden="1"/>
    </xf>
    <xf numFmtId="0" fontId="46" fillId="23" borderId="0" xfId="0" applyFont="1" applyFill="1" applyBorder="1" applyAlignment="1" applyProtection="1">
      <alignment horizontal="center" vertical="center"/>
      <protection hidden="1"/>
    </xf>
    <xf numFmtId="0" fontId="46"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63" fillId="7" borderId="0" xfId="0" applyFont="1" applyFill="1" applyBorder="1" applyAlignment="1" applyProtection="1">
      <alignment horizontal="center" vertical="center" wrapText="1"/>
      <protection hidden="1"/>
    </xf>
    <xf numFmtId="0" fontId="17" fillId="7" borderId="79"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6" fillId="29" borderId="60" xfId="0" applyFont="1" applyFill="1" applyBorder="1" applyAlignment="1" applyProtection="1">
      <alignment horizontal="center" vertical="center" wrapText="1"/>
      <protection hidden="1"/>
    </xf>
    <xf numFmtId="0" fontId="17" fillId="7" borderId="59"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6" fillId="29" borderId="0" xfId="0" applyFont="1" applyFill="1" applyBorder="1" applyAlignment="1" applyProtection="1">
      <alignment horizontal="center" vertical="center" wrapText="1"/>
      <protection hidden="1"/>
    </xf>
    <xf numFmtId="0" fontId="45" fillId="7" borderId="0" xfId="0" applyFont="1" applyFill="1" applyBorder="1" applyAlignment="1" applyProtection="1">
      <alignment horizontal="center" vertical="center" wrapText="1"/>
      <protection hidden="1"/>
    </xf>
    <xf numFmtId="0" fontId="64" fillId="7" borderId="80"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0" xfId="0" applyBorder="1" applyProtection="1">
      <protection hidden="1"/>
    </xf>
    <xf numFmtId="0" fontId="0" fillId="0" borderId="64" xfId="0" applyBorder="1" applyProtection="1">
      <protection hidden="1"/>
    </xf>
    <xf numFmtId="0" fontId="0" fillId="0" borderId="0" xfId="0" applyBorder="1" applyProtection="1">
      <protection hidden="1"/>
    </xf>
    <xf numFmtId="0" fontId="0" fillId="0" borderId="65"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7" xfId="0" applyBorder="1" applyProtection="1">
      <protection hidden="1"/>
    </xf>
    <xf numFmtId="0" fontId="0" fillId="0" borderId="69" xfId="0" applyBorder="1" applyProtection="1">
      <protection hidden="1"/>
    </xf>
    <xf numFmtId="0" fontId="46" fillId="26" borderId="63" xfId="0" applyFont="1" applyFill="1" applyBorder="1" applyAlignment="1" applyProtection="1">
      <alignment horizontal="center" vertical="center" wrapText="1"/>
      <protection hidden="1"/>
    </xf>
    <xf numFmtId="0" fontId="17" fillId="7" borderId="62"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65" fillId="7" borderId="61" xfId="0" applyFont="1" applyFill="1" applyBorder="1" applyAlignment="1" applyProtection="1">
      <alignment horizontal="center" vertical="center"/>
      <protection hidden="1"/>
    </xf>
    <xf numFmtId="0" fontId="48"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49"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1" xfId="0" applyFont="1" applyFill="1" applyBorder="1" applyAlignment="1" applyProtection="1">
      <alignment vertical="center"/>
      <protection hidden="1"/>
    </xf>
    <xf numFmtId="0" fontId="17" fillId="0" borderId="70"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7"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66" fillId="2" borderId="3" xfId="1" applyFont="1" applyFill="1" applyBorder="1" applyAlignment="1" applyProtection="1">
      <alignment horizontal="center" vertical="center"/>
      <protection hidden="1"/>
    </xf>
    <xf numFmtId="0" fontId="53" fillId="2" borderId="0" xfId="1" applyFont="1" applyFill="1" applyBorder="1" applyAlignment="1" applyProtection="1">
      <alignment horizontal="center" vertical="center"/>
      <protection hidden="1"/>
    </xf>
    <xf numFmtId="0" fontId="54" fillId="2" borderId="3" xfId="1" applyFont="1" applyFill="1" applyBorder="1" applyAlignment="1" applyProtection="1">
      <alignment horizontal="center" vertical="center"/>
      <protection hidden="1"/>
    </xf>
    <xf numFmtId="0" fontId="51" fillId="7" borderId="0" xfId="1" applyFont="1" applyFill="1" applyBorder="1" applyAlignment="1" applyProtection="1">
      <protection hidden="1"/>
    </xf>
    <xf numFmtId="0" fontId="55" fillId="2" borderId="0" xfId="1" applyFont="1" applyFill="1" applyBorder="1" applyAlignment="1" applyProtection="1">
      <alignment horizontal="center" wrapText="1"/>
      <protection hidden="1"/>
    </xf>
    <xf numFmtId="0" fontId="55" fillId="2" borderId="3" xfId="1" applyFont="1" applyFill="1" applyBorder="1" applyAlignment="1" applyProtection="1">
      <alignment horizontal="center" wrapText="1"/>
      <protection hidden="1"/>
    </xf>
    <xf numFmtId="0" fontId="51" fillId="0" borderId="0" xfId="1" applyFont="1" applyBorder="1" applyProtection="1">
      <alignment vertical="center"/>
      <protection hidden="1"/>
    </xf>
    <xf numFmtId="0" fontId="51" fillId="2" borderId="0" xfId="1" applyFont="1" applyFill="1" applyBorder="1" applyAlignment="1" applyProtection="1">
      <alignment wrapText="1"/>
      <protection hidden="1"/>
    </xf>
    <xf numFmtId="0" fontId="51" fillId="2" borderId="3" xfId="1" applyFont="1" applyFill="1" applyBorder="1" applyAlignment="1" applyProtection="1">
      <alignment wrapText="1"/>
      <protection hidden="1"/>
    </xf>
    <xf numFmtId="0" fontId="51" fillId="2" borderId="0" xfId="1" applyFont="1" applyFill="1" applyBorder="1" applyAlignment="1" applyProtection="1">
      <alignment horizontal="center" wrapText="1"/>
      <protection hidden="1"/>
    </xf>
    <xf numFmtId="0" fontId="51" fillId="2" borderId="3" xfId="1" applyFont="1" applyFill="1" applyBorder="1" applyAlignment="1" applyProtection="1">
      <alignment horizontal="center" wrapText="1"/>
      <protection hidden="1"/>
    </xf>
    <xf numFmtId="0" fontId="52" fillId="2" borderId="7" xfId="1" applyFont="1" applyFill="1" applyBorder="1" applyAlignment="1" applyProtection="1">
      <protection hidden="1"/>
    </xf>
    <xf numFmtId="0" fontId="52" fillId="2" borderId="49" xfId="1" applyFont="1" applyFill="1" applyBorder="1" applyAlignment="1" applyProtection="1">
      <protection hidden="1"/>
    </xf>
    <xf numFmtId="0" fontId="51" fillId="2" borderId="3" xfId="1" applyFont="1" applyFill="1" applyBorder="1" applyAlignment="1" applyProtection="1">
      <alignment vertical="center"/>
      <protection hidden="1"/>
    </xf>
    <xf numFmtId="0" fontId="58" fillId="2" borderId="0" xfId="1" applyFont="1" applyFill="1" applyBorder="1" applyAlignment="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5" fillId="22" borderId="0" xfId="0" applyFont="1" applyFill="1" applyBorder="1" applyAlignment="1" applyProtection="1">
      <alignment vertical="center" wrapText="1"/>
      <protection hidden="1"/>
    </xf>
    <xf numFmtId="0" fontId="46"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67"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5" fillId="22" borderId="55" xfId="0" applyFont="1" applyFill="1" applyBorder="1" applyAlignment="1" applyProtection="1">
      <alignment vertical="center" wrapText="1"/>
      <protection hidden="1"/>
    </xf>
    <xf numFmtId="0" fontId="46" fillId="22" borderId="55"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5" fillId="24" borderId="0" xfId="1" applyFont="1" applyFill="1" applyBorder="1" applyAlignment="1" applyProtection="1">
      <alignment vertical="center"/>
      <protection hidden="1"/>
    </xf>
    <xf numFmtId="0" fontId="45" fillId="23" borderId="0" xfId="0" applyFont="1" applyFill="1" applyBorder="1" applyAlignment="1" applyProtection="1">
      <alignment vertical="center" wrapText="1"/>
      <protection hidden="1"/>
    </xf>
    <xf numFmtId="0" fontId="45" fillId="23" borderId="28" xfId="0" applyFont="1" applyFill="1" applyBorder="1" applyAlignment="1" applyProtection="1">
      <alignment vertical="center" wrapText="1"/>
      <protection hidden="1"/>
    </xf>
    <xf numFmtId="0" fontId="45" fillId="23" borderId="55" xfId="0" applyFont="1" applyFill="1" applyBorder="1" applyAlignment="1" applyProtection="1">
      <alignment vertical="center" wrapText="1"/>
      <protection hidden="1"/>
    </xf>
    <xf numFmtId="0" fontId="46" fillId="23" borderId="55" xfId="0" applyFont="1" applyFill="1" applyBorder="1" applyAlignment="1" applyProtection="1">
      <alignment vertical="center" wrapText="1"/>
      <protection hidden="1"/>
    </xf>
    <xf numFmtId="0" fontId="45" fillId="29" borderId="54" xfId="0" applyFont="1" applyFill="1" applyBorder="1" applyAlignment="1" applyProtection="1">
      <alignment vertical="center" wrapText="1"/>
      <protection hidden="1"/>
    </xf>
    <xf numFmtId="0" fontId="45" fillId="29" borderId="0"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5" fillId="26" borderId="57"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6" fillId="26" borderId="57"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0"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1" fillId="0" borderId="0" xfId="0" applyFont="1"/>
    <xf numFmtId="0" fontId="72" fillId="0" borderId="0" xfId="0" applyFont="1"/>
    <xf numFmtId="0" fontId="73"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74" fillId="0" borderId="0" xfId="0" applyFont="1"/>
    <xf numFmtId="0" fontId="75" fillId="0" borderId="0" xfId="0" applyFont="1"/>
    <xf numFmtId="0" fontId="76"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77" fillId="0" borderId="0" xfId="0" applyFont="1"/>
    <xf numFmtId="0" fontId="78" fillId="0" borderId="0" xfId="0" applyFont="1"/>
    <xf numFmtId="0" fontId="18" fillId="31" borderId="18" xfId="1" applyFont="1" applyFill="1" applyBorder="1" applyAlignment="1" applyProtection="1">
      <alignment horizontal="left" vertical="center" wrapText="1"/>
    </xf>
    <xf numFmtId="0" fontId="71" fillId="0" borderId="0" xfId="0" applyFont="1" applyProtection="1">
      <protection hidden="1"/>
    </xf>
    <xf numFmtId="0" fontId="79" fillId="0" borderId="0" xfId="0" applyFont="1" applyProtection="1">
      <protection hidden="1"/>
    </xf>
    <xf numFmtId="0" fontId="80" fillId="0" borderId="0" xfId="0" applyFont="1" applyProtection="1">
      <protection hidden="1"/>
    </xf>
    <xf numFmtId="0" fontId="81" fillId="0" borderId="0" xfId="0" applyFont="1" applyProtection="1">
      <protection hidden="1"/>
    </xf>
    <xf numFmtId="0" fontId="73" fillId="0" borderId="0" xfId="0" applyFont="1" applyProtection="1">
      <protection hidden="1"/>
    </xf>
    <xf numFmtId="0" fontId="82" fillId="0" borderId="0" xfId="0" applyFont="1" applyProtection="1">
      <protection hidden="1"/>
    </xf>
    <xf numFmtId="0" fontId="83" fillId="0" borderId="0" xfId="0" applyFont="1" applyProtection="1">
      <protection hidden="1"/>
    </xf>
    <xf numFmtId="0" fontId="84" fillId="0" borderId="0" xfId="0" applyFont="1" applyProtection="1">
      <protection hidden="1"/>
    </xf>
    <xf numFmtId="0" fontId="18" fillId="2" borderId="0" xfId="1" applyFont="1" applyFill="1" applyBorder="1" applyAlignment="1" applyProtection="1">
      <alignment horizontal="center" vertical="center"/>
      <protection locked="0"/>
    </xf>
    <xf numFmtId="0" fontId="45" fillId="26" borderId="57" xfId="0" applyFont="1" applyFill="1" applyBorder="1" applyAlignment="1" applyProtection="1">
      <alignment vertical="center" wrapText="1"/>
      <protection hidden="1"/>
    </xf>
    <xf numFmtId="0" fontId="50" fillId="22" borderId="0" xfId="0" applyFont="1" applyFill="1" applyBorder="1" applyAlignment="1" applyProtection="1">
      <alignment vertical="center" wrapText="1"/>
      <protection hidden="1"/>
    </xf>
    <xf numFmtId="0" fontId="45" fillId="3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85" fillId="5" borderId="0" xfId="1" applyFont="1" applyFill="1" applyBorder="1" applyAlignment="1" applyProtection="1">
      <alignment horizontal="left" vertical="center"/>
      <protection hidden="1"/>
    </xf>
    <xf numFmtId="0" fontId="85" fillId="4" borderId="0"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86" fillId="18" borderId="0" xfId="1" applyFont="1" applyFill="1" applyBorder="1" applyAlignment="1" applyProtection="1">
      <alignment horizontal="left" vertical="center"/>
    </xf>
    <xf numFmtId="0" fontId="86" fillId="4" borderId="0" xfId="1" applyFont="1" applyFill="1" applyBorder="1" applyAlignment="1" applyProtection="1">
      <alignment horizontal="left" vertical="center" wrapText="1"/>
    </xf>
    <xf numFmtId="0" fontId="86"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86"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85" fillId="4" borderId="0" xfId="1" applyFont="1" applyFill="1" applyBorder="1" applyAlignment="1" applyProtection="1">
      <alignment horizontal="left" vertical="center"/>
    </xf>
    <xf numFmtId="0" fontId="85"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68" fillId="5" borderId="0" xfId="1" applyFont="1" applyFill="1" applyBorder="1" applyAlignment="1" applyProtection="1">
      <alignment vertical="center"/>
    </xf>
    <xf numFmtId="0" fontId="86" fillId="4" borderId="0" xfId="1" applyFont="1" applyFill="1" applyBorder="1" applyAlignment="1" applyProtection="1">
      <alignment horizontal="left" vertical="center"/>
    </xf>
    <xf numFmtId="0" fontId="86" fillId="3" borderId="0" xfId="1" applyFont="1" applyFill="1" applyBorder="1" applyAlignment="1" applyProtection="1">
      <alignment horizontal="left" vertical="center"/>
    </xf>
    <xf numFmtId="0" fontId="86"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86"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87" fillId="2" borderId="2" xfId="1" applyFont="1" applyFill="1" applyBorder="1" applyAlignment="1" applyProtection="1">
      <alignment horizontal="center" vertical="center"/>
      <protection locked="0"/>
    </xf>
    <xf numFmtId="0" fontId="51" fillId="2" borderId="0" xfId="1" applyFont="1" applyFill="1" applyBorder="1" applyAlignment="1" applyProtection="1">
      <alignment horizontal="left" vertical="center"/>
      <protection hidden="1"/>
    </xf>
    <xf numFmtId="0" fontId="51" fillId="2" borderId="3" xfId="1" applyFont="1" applyFill="1" applyBorder="1" applyAlignment="1" applyProtection="1">
      <alignment horizontal="left" vertical="center"/>
      <protection hidden="1"/>
    </xf>
    <xf numFmtId="0" fontId="59"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85" fillId="3" borderId="47" xfId="1" applyFont="1" applyFill="1" applyBorder="1" applyAlignment="1" applyProtection="1">
      <alignment horizontal="left" vertical="center"/>
    </xf>
    <xf numFmtId="0" fontId="46" fillId="26" borderId="0" xfId="0" applyFont="1" applyFill="1" applyBorder="1" applyAlignment="1" applyProtection="1">
      <alignment horizontal="center" vertical="center" wrapText="1"/>
      <protection hidden="1"/>
    </xf>
    <xf numFmtId="0" fontId="89" fillId="0" borderId="0" xfId="0" applyFont="1" applyProtection="1">
      <protection hidden="1"/>
    </xf>
    <xf numFmtId="9" fontId="0" fillId="0" borderId="0" xfId="0" applyNumberFormat="1"/>
    <xf numFmtId="0" fontId="49" fillId="7" borderId="83"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8" xfId="0" applyBorder="1" applyProtection="1">
      <protection hidden="1"/>
    </xf>
    <xf numFmtId="0" fontId="65"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0" xfId="0" applyNumberFormat="1" applyBorder="1" applyProtection="1">
      <protection hidden="1"/>
    </xf>
    <xf numFmtId="9" fontId="0" fillId="0" borderId="64" xfId="0" applyNumberFormat="1" applyBorder="1" applyProtection="1">
      <protection hidden="1"/>
    </xf>
    <xf numFmtId="9" fontId="0" fillId="0" borderId="0" xfId="0" applyNumberFormat="1" applyBorder="1" applyProtection="1">
      <protection hidden="1"/>
    </xf>
    <xf numFmtId="9" fontId="0" fillId="0" borderId="68"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17" fillId="2" borderId="0" xfId="1" applyFont="1" applyFill="1" applyBorder="1" applyAlignment="1" applyProtection="1">
      <alignment horizontal="center" vertical="center" wrapText="1"/>
    </xf>
    <xf numFmtId="0" fontId="51" fillId="2" borderId="0" xfId="1" applyFont="1" applyFill="1" applyBorder="1" applyAlignment="1" applyProtection="1">
      <alignment horizontal="center" vertical="center"/>
      <protection hidden="1"/>
    </xf>
    <xf numFmtId="0" fontId="51" fillId="7" borderId="0" xfId="0" applyFont="1" applyFill="1" applyProtection="1">
      <protection hidden="1"/>
    </xf>
    <xf numFmtId="0" fontId="51" fillId="0" borderId="0" xfId="1" applyFont="1" applyProtection="1">
      <alignment vertical="center"/>
      <protection hidden="1"/>
    </xf>
    <xf numFmtId="0" fontId="95" fillId="7" borderId="0" xfId="0" applyFont="1" applyFill="1" applyAlignment="1" applyProtection="1">
      <protection hidden="1"/>
    </xf>
    <xf numFmtId="0" fontId="51" fillId="0" borderId="0" xfId="0" applyFont="1" applyProtection="1">
      <protection hidden="1"/>
    </xf>
    <xf numFmtId="0" fontId="51" fillId="7" borderId="0" xfId="0" applyFont="1" applyFill="1" applyAlignment="1" applyProtection="1">
      <protection hidden="1"/>
    </xf>
    <xf numFmtId="0" fontId="51" fillId="0" borderId="78" xfId="0" applyFont="1" applyBorder="1" applyProtection="1">
      <protection hidden="1"/>
    </xf>
    <xf numFmtId="0" fontId="95" fillId="7" borderId="0" xfId="0" applyFont="1" applyFill="1" applyAlignment="1" applyProtection="1">
      <alignment horizontal="left"/>
      <protection hidden="1"/>
    </xf>
    <xf numFmtId="0" fontId="51" fillId="0" borderId="0" xfId="0" applyFont="1" applyAlignment="1" applyProtection="1">
      <alignment horizontal="left"/>
      <protection hidden="1"/>
    </xf>
    <xf numFmtId="0" fontId="97" fillId="0" borderId="0" xfId="0" applyFont="1" applyAlignment="1">
      <alignment vertical="center"/>
    </xf>
    <xf numFmtId="0" fontId="51" fillId="0" borderId="0" xfId="0" applyFont="1" applyAlignment="1" applyProtection="1">
      <alignment horizontal="left" wrapText="1"/>
      <protection hidden="1"/>
    </xf>
    <xf numFmtId="0" fontId="98" fillId="0" borderId="90" xfId="0" applyFont="1" applyBorder="1" applyAlignment="1" applyProtection="1">
      <alignment horizontal="left" wrapText="1"/>
      <protection hidden="1"/>
    </xf>
    <xf numFmtId="0" fontId="98" fillId="0" borderId="89" xfId="0" applyFont="1" applyBorder="1" applyAlignment="1" applyProtection="1">
      <alignment horizontal="left" wrapText="1"/>
      <protection hidden="1"/>
    </xf>
    <xf numFmtId="0" fontId="98" fillId="0" borderId="92" xfId="0" applyFont="1" applyBorder="1" applyAlignment="1" applyProtection="1">
      <alignment horizontal="left" wrapText="1"/>
      <protection hidden="1"/>
    </xf>
    <xf numFmtId="0" fontId="98" fillId="0" borderId="18" xfId="0" applyFont="1" applyBorder="1" applyAlignment="1" applyProtection="1">
      <alignment horizontal="left" wrapText="1"/>
      <protection hidden="1"/>
    </xf>
    <xf numFmtId="0" fontId="94" fillId="0" borderId="24" xfId="0" applyFont="1" applyBorder="1" applyAlignment="1">
      <alignment vertical="center" wrapText="1"/>
    </xf>
    <xf numFmtId="0" fontId="94" fillId="0" borderId="18" xfId="0" applyFont="1" applyBorder="1" applyAlignment="1">
      <alignment vertical="center" wrapText="1"/>
    </xf>
    <xf numFmtId="0" fontId="94" fillId="0" borderId="93" xfId="0" applyFont="1" applyBorder="1" applyAlignment="1">
      <alignment vertical="center" wrapText="1"/>
    </xf>
    <xf numFmtId="0" fontId="98" fillId="0" borderId="24" xfId="0" applyFont="1" applyBorder="1" applyAlignment="1" applyProtection="1">
      <alignment horizontal="left" wrapText="1"/>
      <protection hidden="1"/>
    </xf>
    <xf numFmtId="0" fontId="98" fillId="0" borderId="93" xfId="0" applyFont="1" applyBorder="1" applyAlignment="1" applyProtection="1">
      <alignment horizontal="left" wrapText="1"/>
      <protection hidden="1"/>
    </xf>
    <xf numFmtId="0" fontId="98" fillId="0" borderId="91" xfId="0" applyFont="1" applyBorder="1" applyAlignment="1" applyProtection="1">
      <alignment horizontal="left" wrapText="1"/>
      <protection hidden="1"/>
    </xf>
    <xf numFmtId="0" fontId="98" fillId="0" borderId="94" xfId="0" applyFont="1" applyBorder="1" applyAlignment="1" applyProtection="1">
      <alignment horizontal="left" wrapText="1"/>
      <protection hidden="1"/>
    </xf>
    <xf numFmtId="0" fontId="98" fillId="0" borderId="95" xfId="0" applyFont="1" applyBorder="1" applyAlignment="1" applyProtection="1">
      <alignment horizontal="left" wrapText="1"/>
      <protection hidden="1"/>
    </xf>
    <xf numFmtId="0" fontId="97" fillId="0" borderId="0" xfId="0" applyFont="1" applyAlignment="1">
      <alignment vertical="center" wrapText="1"/>
    </xf>
    <xf numFmtId="0" fontId="51" fillId="34" borderId="22" xfId="1" applyFont="1" applyFill="1" applyBorder="1" applyAlignment="1" applyProtection="1">
      <alignment horizontal="left" vertical="center"/>
      <protection hidden="1"/>
    </xf>
    <xf numFmtId="0" fontId="51" fillId="34" borderId="23" xfId="1" applyFont="1" applyFill="1" applyBorder="1" applyAlignment="1" applyProtection="1">
      <alignment horizontal="left" vertical="center"/>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2" fillId="2" borderId="18"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38" fillId="13" borderId="97" xfId="1" applyFont="1" applyFill="1" applyBorder="1" applyAlignment="1" applyProtection="1">
      <alignment horizontal="center" vertical="center"/>
      <protection hidden="1"/>
    </xf>
    <xf numFmtId="0" fontId="38" fillId="13" borderId="96" xfId="1" applyFont="1" applyFill="1" applyBorder="1" applyAlignment="1" applyProtection="1">
      <alignment horizontal="center" vertical="center"/>
      <protection hidden="1"/>
    </xf>
    <xf numFmtId="0" fontId="85" fillId="3" borderId="96" xfId="1" applyFont="1" applyFill="1" applyBorder="1" applyAlignment="1" applyProtection="1">
      <alignment horizontal="left" vertical="center"/>
      <protection hidden="1"/>
    </xf>
    <xf numFmtId="0" fontId="11" fillId="3" borderId="96" xfId="1" applyFont="1" applyFill="1" applyBorder="1" applyAlignment="1" applyProtection="1">
      <alignment horizontal="left" vertical="center"/>
      <protection hidden="1"/>
    </xf>
    <xf numFmtId="0" fontId="2" fillId="3" borderId="96" xfId="1" applyFont="1" applyFill="1" applyBorder="1" applyAlignment="1" applyProtection="1">
      <alignment vertical="center"/>
      <protection hidden="1"/>
    </xf>
    <xf numFmtId="0" fontId="6" fillId="3" borderId="96" xfId="1" applyFont="1" applyFill="1" applyBorder="1" applyAlignment="1" applyProtection="1">
      <alignment vertical="center"/>
      <protection hidden="1"/>
    </xf>
    <xf numFmtId="0" fontId="6" fillId="3" borderId="98" xfId="1" applyFont="1" applyFill="1" applyBorder="1" applyAlignment="1" applyProtection="1">
      <alignment vertical="center"/>
      <protection hidden="1"/>
    </xf>
    <xf numFmtId="0" fontId="3" fillId="13" borderId="98" xfId="1" applyFont="1" applyFill="1" applyBorder="1" applyAlignment="1" applyProtection="1">
      <alignment horizontal="center" vertical="center"/>
      <protection hidden="1"/>
    </xf>
    <xf numFmtId="0" fontId="0" fillId="0" borderId="0" xfId="0" applyFont="1" applyBorder="1" applyAlignment="1" applyProtection="1">
      <alignment horizontal="center"/>
      <protection hidden="1"/>
    </xf>
    <xf numFmtId="0" fontId="2" fillId="2" borderId="100"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wrapText="1"/>
      <protection hidden="1"/>
    </xf>
    <xf numFmtId="0" fontId="2" fillId="2" borderId="24" xfId="1" applyFont="1" applyFill="1" applyBorder="1" applyAlignment="1" applyProtection="1">
      <alignment vertical="center"/>
      <protection hidden="1"/>
    </xf>
    <xf numFmtId="0" fontId="0" fillId="0" borderId="24" xfId="0" applyBorder="1" applyProtection="1">
      <protection hidden="1"/>
    </xf>
    <xf numFmtId="0" fontId="87" fillId="2" borderId="0" xfId="1" applyFont="1" applyFill="1" applyBorder="1" applyAlignment="1" applyProtection="1">
      <alignment vertical="center" wrapText="1"/>
      <protection hidden="1"/>
    </xf>
    <xf numFmtId="0" fontId="17" fillId="2" borderId="102" xfId="1" applyFont="1" applyFill="1" applyBorder="1" applyAlignment="1" applyProtection="1">
      <alignment horizontal="center" vertical="center"/>
    </xf>
    <xf numFmtId="0" fontId="2" fillId="2" borderId="101" xfId="1" applyFont="1" applyFill="1" applyBorder="1" applyAlignment="1" applyProtection="1">
      <alignment horizontal="center" vertical="center"/>
    </xf>
    <xf numFmtId="0" fontId="3" fillId="2" borderId="104" xfId="1" applyFont="1" applyFill="1" applyBorder="1" applyAlignment="1" applyProtection="1">
      <alignment horizontal="center" vertical="center"/>
    </xf>
    <xf numFmtId="0" fontId="94" fillId="33" borderId="22" xfId="0" applyFont="1" applyFill="1" applyBorder="1" applyAlignment="1">
      <alignment horizontal="center" vertical="center"/>
    </xf>
    <xf numFmtId="0" fontId="94" fillId="33" borderId="24" xfId="0" applyFont="1" applyFill="1" applyBorder="1" applyAlignment="1">
      <alignment horizontal="center" vertical="center"/>
    </xf>
    <xf numFmtId="0" fontId="93" fillId="33" borderId="22" xfId="0" applyFont="1" applyFill="1" applyBorder="1" applyAlignment="1">
      <alignment horizontal="center" vertical="center"/>
    </xf>
    <xf numFmtId="0" fontId="93" fillId="33" borderId="24" xfId="0" applyFont="1" applyFill="1" applyBorder="1" applyAlignment="1">
      <alignment horizontal="center" vertical="center"/>
    </xf>
    <xf numFmtId="0" fontId="94" fillId="0" borderId="0" xfId="0" applyFont="1" applyBorder="1" applyAlignment="1">
      <alignment horizontal="left" vertical="center" wrapText="1"/>
    </xf>
    <xf numFmtId="0" fontId="51" fillId="0" borderId="0" xfId="0" applyFont="1" applyBorder="1" applyAlignment="1" applyProtection="1">
      <alignment horizontal="left" wrapText="1"/>
      <protection hidden="1"/>
    </xf>
    <xf numFmtId="0" fontId="51" fillId="7" borderId="0" xfId="0" applyFont="1" applyFill="1" applyAlignment="1" applyProtection="1">
      <alignment horizontal="center"/>
      <protection hidden="1"/>
    </xf>
    <xf numFmtId="0" fontId="55" fillId="0" borderId="0" xfId="1" applyFont="1" applyBorder="1" applyAlignment="1" applyProtection="1">
      <alignment horizontal="center"/>
      <protection hidden="1"/>
    </xf>
    <xf numFmtId="0" fontId="55" fillId="0" borderId="3" xfId="1" applyFont="1" applyBorder="1" applyAlignment="1" applyProtection="1">
      <alignment horizontal="center"/>
      <protection hidden="1"/>
    </xf>
    <xf numFmtId="0" fontId="56" fillId="2" borderId="0" xfId="1" applyFont="1" applyFill="1" applyBorder="1" applyAlignment="1" applyProtection="1">
      <alignment horizontal="center"/>
      <protection hidden="1"/>
    </xf>
    <xf numFmtId="0" fontId="56" fillId="2" borderId="3" xfId="1" applyFont="1" applyFill="1" applyBorder="1" applyAlignment="1" applyProtection="1">
      <alignment horizontal="center"/>
      <protection hidden="1"/>
    </xf>
    <xf numFmtId="0" fontId="51" fillId="2" borderId="0" xfId="1" applyFont="1" applyFill="1" applyBorder="1" applyAlignment="1" applyProtection="1">
      <alignment horizontal="center" vertical="center"/>
      <protection hidden="1"/>
    </xf>
    <xf numFmtId="0" fontId="57" fillId="2" borderId="22" xfId="1" applyFont="1" applyFill="1" applyBorder="1" applyAlignment="1" applyProtection="1">
      <alignment horizontal="center" vertical="center"/>
      <protection locked="0"/>
    </xf>
    <xf numFmtId="0" fontId="57" fillId="2" borderId="23" xfId="1" applyFont="1" applyFill="1" applyBorder="1" applyAlignment="1" applyProtection="1">
      <alignment horizontal="center" vertical="center"/>
      <protection locked="0"/>
    </xf>
    <xf numFmtId="0" fontId="57" fillId="2" borderId="24" xfId="1" applyFont="1" applyFill="1" applyBorder="1" applyAlignment="1" applyProtection="1">
      <alignment horizontal="center" vertical="center"/>
      <protection locked="0"/>
    </xf>
    <xf numFmtId="0" fontId="92" fillId="2" borderId="30" xfId="4" applyFill="1" applyBorder="1" applyAlignment="1" applyProtection="1">
      <alignment horizontal="center" vertical="center"/>
      <protection hidden="1"/>
    </xf>
    <xf numFmtId="0" fontId="60" fillId="2" borderId="25" xfId="1" applyFont="1" applyFill="1" applyBorder="1" applyAlignment="1" applyProtection="1">
      <alignment horizontal="left" vertical="center" wrapText="1"/>
      <protection hidden="1"/>
    </xf>
    <xf numFmtId="0" fontId="60" fillId="2" borderId="7" xfId="1" applyFont="1" applyFill="1" applyBorder="1" applyAlignment="1" applyProtection="1">
      <alignment horizontal="left" vertical="center" wrapText="1"/>
      <protection hidden="1"/>
    </xf>
    <xf numFmtId="0" fontId="60" fillId="2" borderId="26" xfId="1" applyFont="1" applyFill="1" applyBorder="1" applyAlignment="1" applyProtection="1">
      <alignment horizontal="left" vertical="center" wrapText="1"/>
      <protection hidden="1"/>
    </xf>
    <xf numFmtId="0" fontId="60" fillId="2" borderId="27" xfId="1" applyFont="1" applyFill="1" applyBorder="1" applyAlignment="1" applyProtection="1">
      <alignment horizontal="left" vertical="center" wrapText="1"/>
      <protection hidden="1"/>
    </xf>
    <xf numFmtId="0" fontId="60" fillId="2" borderId="0" xfId="1" applyFont="1" applyFill="1" applyBorder="1" applyAlignment="1" applyProtection="1">
      <alignment horizontal="left" vertical="center" wrapText="1"/>
      <protection hidden="1"/>
    </xf>
    <xf numFmtId="0" fontId="60" fillId="2" borderId="28" xfId="1" applyFont="1" applyFill="1" applyBorder="1" applyAlignment="1" applyProtection="1">
      <alignment horizontal="left" vertical="center" wrapText="1"/>
      <protection hidden="1"/>
    </xf>
    <xf numFmtId="0" fontId="60" fillId="2" borderId="29" xfId="1" applyFont="1" applyFill="1" applyBorder="1" applyAlignment="1" applyProtection="1">
      <alignment horizontal="left" vertical="center" wrapText="1"/>
      <protection hidden="1"/>
    </xf>
    <xf numFmtId="0" fontId="60" fillId="2" borderId="30" xfId="1" applyFont="1" applyFill="1" applyBorder="1" applyAlignment="1" applyProtection="1">
      <alignment horizontal="left" vertical="center" wrapText="1"/>
      <protection hidden="1"/>
    </xf>
    <xf numFmtId="0" fontId="60" fillId="2" borderId="31" xfId="1" applyFont="1" applyFill="1" applyBorder="1" applyAlignment="1" applyProtection="1">
      <alignment horizontal="left" vertical="center" wrapText="1"/>
      <protection hidden="1"/>
    </xf>
    <xf numFmtId="0" fontId="96" fillId="2" borderId="25" xfId="1" applyFont="1" applyFill="1" applyBorder="1" applyAlignment="1" applyProtection="1">
      <alignment horizontal="left" vertical="center" wrapText="1" indent="1"/>
      <protection hidden="1"/>
    </xf>
    <xf numFmtId="0" fontId="96" fillId="2" borderId="7" xfId="1" applyFont="1" applyFill="1" applyBorder="1" applyAlignment="1" applyProtection="1">
      <alignment horizontal="left" vertical="center" wrapText="1" indent="1"/>
      <protection hidden="1"/>
    </xf>
    <xf numFmtId="0" fontId="96" fillId="2" borderId="26" xfId="1" applyFont="1" applyFill="1" applyBorder="1" applyAlignment="1" applyProtection="1">
      <alignment horizontal="left" vertical="center" wrapText="1" indent="1"/>
      <protection hidden="1"/>
    </xf>
    <xf numFmtId="0" fontId="96" fillId="2" borderId="27" xfId="1" applyFont="1" applyFill="1" applyBorder="1" applyAlignment="1" applyProtection="1">
      <alignment horizontal="left" vertical="center" wrapText="1" indent="1"/>
      <protection hidden="1"/>
    </xf>
    <xf numFmtId="0" fontId="96" fillId="2" borderId="0" xfId="1" applyFont="1" applyFill="1" applyBorder="1" applyAlignment="1" applyProtection="1">
      <alignment horizontal="left" vertical="center" wrapText="1" indent="1"/>
      <protection hidden="1"/>
    </xf>
    <xf numFmtId="0" fontId="96" fillId="2" borderId="28" xfId="1" applyFont="1" applyFill="1" applyBorder="1" applyAlignment="1" applyProtection="1">
      <alignment horizontal="left" vertical="center" wrapText="1" indent="1"/>
      <protection hidden="1"/>
    </xf>
    <xf numFmtId="0" fontId="96" fillId="2" borderId="29" xfId="1" applyFont="1" applyFill="1" applyBorder="1" applyAlignment="1" applyProtection="1">
      <alignment horizontal="left" vertical="center" wrapText="1" indent="1"/>
      <protection hidden="1"/>
    </xf>
    <xf numFmtId="0" fontId="96" fillId="2" borderId="30" xfId="1" applyFont="1" applyFill="1" applyBorder="1" applyAlignment="1" applyProtection="1">
      <alignment horizontal="left" vertical="center" wrapText="1" indent="1"/>
      <protection hidden="1"/>
    </xf>
    <xf numFmtId="0" fontId="96" fillId="2" borderId="31" xfId="1" applyFont="1" applyFill="1" applyBorder="1" applyAlignment="1" applyProtection="1">
      <alignment horizontal="left" vertical="center" wrapText="1" indent="1"/>
      <protection hidden="1"/>
    </xf>
    <xf numFmtId="0" fontId="54" fillId="2" borderId="0" xfId="1" applyFont="1" applyFill="1" applyBorder="1" applyAlignment="1" applyProtection="1">
      <alignment horizontal="left" wrapText="1"/>
      <protection hidden="1"/>
    </xf>
    <xf numFmtId="0" fontId="96" fillId="0" borderId="25" xfId="0" applyFont="1" applyBorder="1" applyAlignment="1" applyProtection="1">
      <alignment horizontal="left" vertical="center" wrapText="1" indent="1"/>
      <protection hidden="1"/>
    </xf>
    <xf numFmtId="0" fontId="96" fillId="0" borderId="7" xfId="0" applyFont="1" applyBorder="1" applyAlignment="1" applyProtection="1">
      <alignment horizontal="left" vertical="center" wrapText="1" indent="1"/>
      <protection hidden="1"/>
    </xf>
    <xf numFmtId="0" fontId="96" fillId="0" borderId="26" xfId="0" applyFont="1" applyBorder="1" applyAlignment="1" applyProtection="1">
      <alignment horizontal="left" vertical="center" wrapText="1" indent="1"/>
      <protection hidden="1"/>
    </xf>
    <xf numFmtId="0" fontId="96" fillId="0" borderId="29" xfId="0" applyFont="1" applyBorder="1" applyAlignment="1" applyProtection="1">
      <alignment horizontal="left" vertical="center" wrapText="1" indent="1"/>
      <protection hidden="1"/>
    </xf>
    <xf numFmtId="0" fontId="96" fillId="0" borderId="30" xfId="0" applyFont="1" applyBorder="1" applyAlignment="1" applyProtection="1">
      <alignment horizontal="left" vertical="center" wrapText="1" indent="1"/>
      <protection hidden="1"/>
    </xf>
    <xf numFmtId="0" fontId="96" fillId="0" borderId="31" xfId="0" applyFont="1" applyBorder="1" applyAlignment="1" applyProtection="1">
      <alignment horizontal="left" vertical="center" wrapText="1" indent="1"/>
      <protection hidden="1"/>
    </xf>
    <xf numFmtId="0" fontId="57" fillId="2" borderId="0" xfId="1" applyFont="1" applyFill="1" applyBorder="1" applyAlignment="1" applyProtection="1">
      <alignment horizontal="left" wrapText="1"/>
      <protection hidden="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8" fillId="2" borderId="0" xfId="1" applyFont="1" applyFill="1" applyAlignment="1" applyProtection="1">
      <alignment horizontal="left" vertical="center"/>
    </xf>
    <xf numFmtId="0" fontId="0" fillId="2" borderId="19" xfId="1" applyFont="1" applyFill="1" applyBorder="1" applyAlignment="1" applyProtection="1">
      <alignment horizontal="left" vertical="center" wrapText="1"/>
      <protection locked="0"/>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92" fillId="2" borderId="106" xfId="4" applyFill="1" applyBorder="1" applyAlignment="1" applyProtection="1">
      <alignment horizontal="left" vertical="center" wrapText="1"/>
    </xf>
    <xf numFmtId="0" fontId="92" fillId="2" borderId="107" xfId="4" applyFill="1" applyBorder="1" applyAlignment="1" applyProtection="1">
      <alignment horizontal="left" vertical="center" wrapText="1"/>
    </xf>
    <xf numFmtId="0" fontId="92" fillId="2" borderId="108" xfId="4" applyFill="1" applyBorder="1" applyAlignment="1" applyProtection="1">
      <alignment horizontal="left" vertical="center" wrapText="1"/>
    </xf>
    <xf numFmtId="0" fontId="17" fillId="0" borderId="103" xfId="1" applyFont="1" applyBorder="1" applyAlignment="1" applyProtection="1">
      <alignment horizontal="left" vertical="center" wrapText="1"/>
    </xf>
    <xf numFmtId="0" fontId="20" fillId="0" borderId="104" xfId="1" applyFont="1" applyBorder="1" applyAlignment="1" applyProtection="1">
      <alignment horizontal="left" vertical="center" wrapText="1"/>
    </xf>
    <xf numFmtId="0" fontId="20" fillId="0" borderId="105" xfId="1" applyFont="1" applyBorder="1" applyAlignment="1" applyProtection="1">
      <alignment horizontal="left" vertical="center" wrapText="1"/>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0" fillId="0" borderId="0" xfId="0" applyBorder="1" applyAlignment="1" applyProtection="1">
      <alignment horizontal="center" wrapText="1"/>
      <protection locked="0"/>
    </xf>
    <xf numFmtId="0" fontId="92" fillId="0" borderId="103" xfId="4" applyBorder="1" applyAlignment="1" applyProtection="1">
      <alignment horizontal="left" wrapText="1"/>
      <protection locked="0"/>
    </xf>
    <xf numFmtId="0" fontId="92" fillId="0" borderId="104" xfId="4" applyBorder="1" applyAlignment="1" applyProtection="1">
      <alignment horizontal="left" wrapText="1"/>
      <protection locked="0"/>
    </xf>
    <xf numFmtId="0" fontId="92" fillId="0" borderId="105" xfId="4" applyBorder="1" applyAlignment="1" applyProtection="1">
      <alignment horizontal="left" wrapText="1"/>
      <protection locked="0"/>
    </xf>
    <xf numFmtId="0" fontId="32" fillId="0" borderId="106" xfId="0" applyFont="1" applyBorder="1" applyAlignment="1" applyProtection="1">
      <alignment horizontal="left" wrapText="1"/>
      <protection locked="0"/>
    </xf>
    <xf numFmtId="0" fontId="0" fillId="0" borderId="107" xfId="0" applyBorder="1" applyAlignment="1" applyProtection="1">
      <alignment horizontal="left" wrapText="1"/>
      <protection locked="0"/>
    </xf>
    <xf numFmtId="0" fontId="0" fillId="0" borderId="108" xfId="0" applyBorder="1" applyAlignment="1" applyProtection="1">
      <alignment horizontal="left" wrapText="1"/>
      <protection locked="0"/>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17" fillId="2" borderId="2" xfId="1" applyFont="1" applyFill="1" applyBorder="1" applyAlignment="1" applyProtection="1">
      <alignment horizontal="left"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17" fillId="9" borderId="6" xfId="1" applyFont="1" applyFill="1" applyBorder="1" applyAlignment="1" applyProtection="1">
      <alignment horizontal="center" vertical="center" wrapText="1"/>
    </xf>
    <xf numFmtId="0" fontId="2" fillId="2" borderId="27" xfId="1" applyFont="1" applyFill="1" applyBorder="1" applyAlignment="1" applyProtection="1">
      <alignment horizontal="center" vertical="center"/>
      <protection hidden="1"/>
    </xf>
    <xf numFmtId="0" fontId="2" fillId="2" borderId="0" xfId="1" applyFont="1" applyFill="1" applyBorder="1" applyAlignment="1" applyProtection="1">
      <alignment horizontal="center" vertical="center"/>
      <protection hidden="1"/>
    </xf>
    <xf numFmtId="0" fontId="2" fillId="2" borderId="99"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2" fillId="2" borderId="29"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31" xfId="1" applyFont="1" applyFill="1" applyBorder="1" applyAlignment="1" applyProtection="1">
      <alignment horizontal="center" vertical="center"/>
      <protection hidden="1"/>
    </xf>
    <xf numFmtId="0" fontId="0" fillId="0" borderId="28" xfId="0" applyBorder="1" applyAlignment="1" applyProtection="1">
      <alignment horizontal="center"/>
      <protection hidden="1"/>
    </xf>
    <xf numFmtId="0" fontId="87" fillId="2" borderId="18" xfId="1" applyFont="1" applyFill="1" applyBorder="1" applyAlignment="1" applyProtection="1">
      <alignment horizontal="left" vertical="center" wrapText="1"/>
      <protection hidden="1"/>
    </xf>
    <xf numFmtId="0" fontId="2" fillId="2" borderId="18" xfId="1" applyFont="1" applyFill="1" applyBorder="1" applyAlignment="1" applyProtection="1">
      <alignment horizontal="left" vertical="center" wrapText="1"/>
      <protection hidden="1"/>
    </xf>
    <xf numFmtId="0" fontId="92" fillId="2" borderId="18" xfId="4" applyFill="1" applyBorder="1" applyAlignment="1" applyProtection="1">
      <alignment horizontal="left" vertical="center" wrapText="1"/>
      <protection hidden="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166" fontId="2" fillId="2" borderId="19" xfId="1" applyNumberFormat="1" applyFont="1" applyFill="1" applyBorder="1" applyAlignment="1" applyProtection="1">
      <alignment horizontal="left" vertical="center"/>
      <protection locked="0"/>
    </xf>
    <xf numFmtId="166" fontId="2" fillId="2" borderId="20" xfId="1" applyNumberFormat="1" applyFont="1" applyFill="1" applyBorder="1" applyAlignment="1" applyProtection="1">
      <alignment horizontal="left" vertical="center"/>
      <protection locked="0"/>
    </xf>
    <xf numFmtId="166" fontId="2" fillId="2" borderId="21" xfId="1" applyNumberFormat="1" applyFont="1" applyFill="1" applyBorder="1" applyAlignment="1" applyProtection="1">
      <alignment horizontal="left" vertical="center"/>
      <protection locked="0"/>
    </xf>
    <xf numFmtId="0" fontId="32" fillId="2" borderId="51" xfId="1" applyFont="1" applyFill="1" applyBorder="1" applyAlignment="1" applyProtection="1">
      <alignment horizontal="left"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166" fontId="18" fillId="2" borderId="22" xfId="1" applyNumberFormat="1" applyFont="1" applyFill="1" applyBorder="1" applyAlignment="1" applyProtection="1">
      <alignment horizontal="left" vertical="center" wrapText="1"/>
      <protection hidden="1"/>
    </xf>
    <xf numFmtId="166" fontId="18" fillId="2" borderId="23" xfId="1" applyNumberFormat="1" applyFont="1" applyFill="1" applyBorder="1" applyAlignment="1" applyProtection="1">
      <alignment horizontal="left" vertical="center" wrapText="1"/>
      <protection hidden="1"/>
    </xf>
    <xf numFmtId="166" fontId="18" fillId="2" borderId="24" xfId="1" applyNumberFormat="1" applyFont="1" applyFill="1" applyBorder="1" applyAlignment="1" applyProtection="1">
      <alignment horizontal="left" vertical="center" wrapText="1"/>
      <protection hidden="1"/>
    </xf>
    <xf numFmtId="49" fontId="69" fillId="2" borderId="22" xfId="1" applyNumberFormat="1" applyFont="1" applyFill="1" applyBorder="1" applyAlignment="1" applyProtection="1">
      <alignment vertical="center" wrapText="1"/>
      <protection hidden="1"/>
    </xf>
    <xf numFmtId="49" fontId="69" fillId="2" borderId="23" xfId="1" applyNumberFormat="1" applyFont="1" applyFill="1" applyBorder="1" applyAlignment="1" applyProtection="1">
      <alignment vertical="center" wrapText="1"/>
      <protection hidden="1"/>
    </xf>
    <xf numFmtId="49" fontId="69"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0" fontId="45" fillId="32" borderId="0" xfId="0" applyFont="1" applyFill="1" applyBorder="1" applyAlignment="1" applyProtection="1">
      <alignment horizontal="left" vertical="center" wrapText="1"/>
      <protection hidden="1"/>
    </xf>
    <xf numFmtId="0" fontId="46" fillId="29" borderId="0" xfId="0" applyFont="1" applyFill="1" applyBorder="1" applyAlignment="1" applyProtection="1">
      <alignment horizontal="left" vertical="center" wrapText="1"/>
      <protection hidden="1"/>
    </xf>
    <xf numFmtId="0" fontId="45" fillId="29" borderId="55" xfId="0" applyFont="1" applyFill="1" applyBorder="1" applyAlignment="1" applyProtection="1">
      <alignment horizontal="left" vertical="center" wrapText="1"/>
      <protection hidden="1"/>
    </xf>
    <xf numFmtId="0" fontId="45" fillId="29" borderId="56" xfId="0" applyFont="1" applyFill="1" applyBorder="1" applyAlignment="1" applyProtection="1">
      <alignment horizontal="left" vertical="center" wrapText="1"/>
      <protection hidden="1"/>
    </xf>
    <xf numFmtId="0" fontId="46" fillId="22" borderId="55" xfId="0"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17" fillId="2" borderId="0" xfId="1" applyFont="1" applyFill="1" applyBorder="1" applyAlignment="1" applyProtection="1">
      <alignment horizontal="center" vertical="center" wrapText="1"/>
    </xf>
    <xf numFmtId="0" fontId="32" fillId="2" borderId="51" xfId="1" applyFont="1" applyFill="1" applyBorder="1" applyAlignment="1" applyProtection="1">
      <alignment horizontal="left"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17" fillId="2" borderId="2" xfId="1" applyFont="1" applyFill="1" applyBorder="1" applyAlignment="1" applyProtection="1">
      <alignment horizontal="left" vertical="top" wrapText="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69" fillId="2" borderId="22" xfId="1" applyNumberFormat="1" applyFont="1" applyFill="1" applyBorder="1" applyAlignment="1" applyProtection="1">
      <alignment horizontal="center" vertical="center" wrapText="1"/>
      <protection locked="0"/>
    </xf>
    <xf numFmtId="49" fontId="69" fillId="2" borderId="23" xfId="1" applyNumberFormat="1" applyFont="1" applyFill="1" applyBorder="1" applyAlignment="1" applyProtection="1">
      <alignment horizontal="center" vertical="center" wrapText="1"/>
      <protection locked="0"/>
    </xf>
    <xf numFmtId="49" fontId="69" fillId="2" borderId="24" xfId="1" applyNumberFormat="1" applyFont="1" applyFill="1" applyBorder="1" applyAlignment="1" applyProtection="1">
      <alignment horizontal="center" vertical="center" wrapText="1"/>
      <protection locked="0"/>
    </xf>
    <xf numFmtId="0" fontId="28" fillId="28" borderId="72"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3"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1" xfId="0" applyFont="1" applyFill="1" applyBorder="1" applyAlignment="1" applyProtection="1">
      <alignment horizontal="center" vertical="center"/>
      <protection hidden="1"/>
    </xf>
    <xf numFmtId="0" fontId="17" fillId="2" borderId="82"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4" xfId="0" applyNumberFormat="1" applyFont="1" applyFill="1" applyBorder="1" applyAlignment="1">
      <alignment horizontal="center" vertical="center"/>
    </xf>
    <xf numFmtId="10" fontId="17" fillId="2" borderId="85" xfId="0" applyNumberFormat="1" applyFont="1" applyFill="1" applyBorder="1" applyAlignment="1">
      <alignment horizontal="center" vertical="center"/>
    </xf>
    <xf numFmtId="10" fontId="91" fillId="2" borderId="0" xfId="0" applyNumberFormat="1" applyFont="1" applyFill="1" applyBorder="1" applyAlignment="1" applyProtection="1">
      <alignment horizontal="center" vertical="center" wrapText="1"/>
      <protection hidden="1"/>
    </xf>
    <xf numFmtId="0" fontId="41" fillId="28" borderId="72"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66" fontId="28" fillId="21" borderId="22" xfId="0" applyNumberFormat="1" applyFont="1" applyFill="1" applyBorder="1" applyAlignment="1" applyProtection="1">
      <alignment horizontal="center" vertical="center"/>
      <protection hidden="1"/>
    </xf>
    <xf numFmtId="166" fontId="28" fillId="21" borderId="23" xfId="0" applyNumberFormat="1" applyFont="1" applyFill="1" applyBorder="1" applyAlignment="1" applyProtection="1">
      <alignment horizontal="center" vertical="center"/>
      <protection hidden="1"/>
    </xf>
    <xf numFmtId="166" fontId="28" fillId="21" borderId="24" xfId="0" applyNumberFormat="1"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90" fillId="33" borderId="86" xfId="0" applyFont="1" applyFill="1" applyBorder="1" applyAlignment="1" applyProtection="1">
      <alignment horizontal="center" vertical="center"/>
      <protection hidden="1"/>
    </xf>
    <xf numFmtId="0" fontId="90" fillId="33" borderId="87" xfId="0" applyFont="1" applyFill="1" applyBorder="1" applyAlignment="1" applyProtection="1">
      <alignment horizontal="center" vertical="center"/>
      <protection hidden="1"/>
    </xf>
    <xf numFmtId="9" fontId="18" fillId="2" borderId="84" xfId="0" applyNumberFormat="1"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0" fontId="18" fillId="2" borderId="84"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xf numFmtId="0" fontId="92" fillId="2" borderId="19" xfId="4" applyFill="1" applyBorder="1" applyAlignment="1" applyProtection="1">
      <alignment horizontal="left" vertical="center"/>
      <protection locked="0"/>
    </xf>
    <xf numFmtId="0" fontId="18" fillId="2" borderId="22" xfId="1" applyFont="1" applyFill="1" applyBorder="1" applyAlignment="1" applyProtection="1">
      <alignment vertical="center" wrapText="1"/>
      <protection hidden="1"/>
    </xf>
    <xf numFmtId="0" fontId="18" fillId="2" borderId="23" xfId="1" applyFont="1" applyFill="1" applyBorder="1" applyAlignment="1" applyProtection="1">
      <alignment vertical="center" wrapText="1"/>
      <protection hidden="1"/>
    </xf>
    <xf numFmtId="0" fontId="18" fillId="2" borderId="24" xfId="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hidden="1"/>
    </xf>
    <xf numFmtId="49" fontId="18" fillId="2" borderId="23" xfId="1" applyNumberFormat="1" applyFont="1" applyFill="1" applyBorder="1" applyAlignment="1" applyProtection="1">
      <alignment horizontal="left" vertical="center" wrapText="1"/>
      <protection hidden="1"/>
    </xf>
    <xf numFmtId="49" fontId="18" fillId="2" borderId="24" xfId="1" applyNumberFormat="1" applyFont="1" applyFill="1" applyBorder="1" applyAlignment="1" applyProtection="1">
      <alignment horizontal="left" vertical="center" wrapText="1"/>
      <protection hidden="1"/>
    </xf>
    <xf numFmtId="0" fontId="28" fillId="2" borderId="2" xfId="1" applyFont="1" applyFill="1" applyBorder="1" applyAlignment="1" applyProtection="1">
      <alignment horizontal="center" vertical="center" wrapText="1"/>
      <protection hidden="1"/>
    </xf>
    <xf numFmtId="0" fontId="32" fillId="2" borderId="2" xfId="1" applyFont="1" applyFill="1" applyBorder="1" applyAlignment="1" applyProtection="1">
      <alignment vertical="center" wrapText="1"/>
      <protection hidden="1"/>
    </xf>
    <xf numFmtId="0" fontId="88" fillId="2" borderId="51" xfId="1" applyFont="1" applyFill="1" applyBorder="1" applyAlignment="1" applyProtection="1">
      <alignment horizontal="left" vertical="center" wrapText="1"/>
      <protection hidden="1"/>
    </xf>
    <xf numFmtId="0" fontId="88" fillId="2" borderId="52" xfId="1" applyFont="1" applyFill="1" applyBorder="1" applyAlignment="1" applyProtection="1">
      <alignment horizontal="left" vertical="center" wrapText="1"/>
      <protection hidden="1"/>
    </xf>
    <xf numFmtId="0" fontId="88" fillId="2" borderId="53" xfId="1" applyFont="1" applyFill="1" applyBorder="1" applyAlignment="1" applyProtection="1">
      <alignment horizontal="left" vertical="center" wrapText="1"/>
      <protection hidden="1"/>
    </xf>
  </cellXfs>
  <cellStyles count="5">
    <cellStyle name="Explanatory Text 2" xfId="2"/>
    <cellStyle name="Hyperlink" xfId="4" builtinId="8"/>
    <cellStyle name="Normal" xfId="0" builtinId="0"/>
    <cellStyle name="Normal 2" xfId="3"/>
    <cellStyle name="Normal 3" xfId="1"/>
  </cellStyles>
  <dxfs count="90">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33675832"/>
        <c:axId val="33676224"/>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336758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n-US"/>
          </a:p>
        </c:txPr>
        <c:crossAx val="33676224"/>
        <c:crosses val="autoZero"/>
        <c:auto val="1"/>
        <c:lblAlgn val="ctr"/>
        <c:lblOffset val="100"/>
        <c:tickMarkSkip val="1"/>
        <c:noMultiLvlLbl val="1"/>
      </c:catAx>
      <c:valAx>
        <c:axId val="33676224"/>
        <c:scaling>
          <c:orientation val="minMax"/>
          <c:max val="1"/>
          <c:min val="0"/>
        </c:scaling>
        <c:delete val="1"/>
        <c:axPos val="l"/>
        <c:numFmt formatCode="0%" sourceLinked="0"/>
        <c:majorTickMark val="none"/>
        <c:minorTickMark val="none"/>
        <c:tickLblPos val="nextTo"/>
        <c:crossAx val="33675832"/>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15:layout/>
                </c:ext>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15:layout/>
                </c:ext>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15:layout/>
                </c:ext>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0</c:v>
                </c:pt>
                <c:pt idx="1">
                  <c:v>0.5714285714285714</c:v>
                </c:pt>
                <c:pt idx="2">
                  <c:v>1</c:v>
                </c:pt>
                <c:pt idx="3">
                  <c:v>0.66666666666666663</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15:layout/>
                </c:ext>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15:layout/>
                </c:ext>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15:layout/>
                </c:ext>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0.73684210526315785</c:v>
                </c:pt>
                <c:pt idx="2">
                  <c:v>0.25</c:v>
                </c:pt>
                <c:pt idx="3">
                  <c:v>1</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33669952"/>
        <c:axId val="33671520"/>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33669952"/>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33671520"/>
        <c:crosses val="autoZero"/>
        <c:auto val="1"/>
        <c:lblAlgn val="ctr"/>
        <c:lblOffset val="100"/>
        <c:noMultiLvlLbl val="0"/>
      </c:catAx>
      <c:valAx>
        <c:axId val="33671520"/>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33669952"/>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15:layout/>
                </c:ext>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15:layout/>
                </c:ext>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15:layout/>
                </c:ext>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15:layout/>
                </c:ext>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15:layout/>
                </c:ext>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0.33333333333333331</c:v>
                </c:pt>
                <c:pt idx="1">
                  <c:v>0</c:v>
                </c:pt>
                <c:pt idx="2">
                  <c:v>0</c:v>
                </c:pt>
                <c:pt idx="3">
                  <c:v>0</c:v>
                </c:pt>
                <c:pt idx="4">
                  <c:v>0</c:v>
                </c:pt>
                <c:pt idx="5">
                  <c:v>0.55555555555555558</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15:layout/>
                </c:ext>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15:layout/>
                </c:ext>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15:layout/>
                </c:ext>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15:layout/>
                </c:ext>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15:layout/>
                </c:ext>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0.5</c:v>
                </c:pt>
                <c:pt idx="5">
                  <c:v>0.9</c:v>
                </c:pt>
              </c:numCache>
            </c:numRef>
          </c:val>
          <c:extLst xmlns:c15="http://schemas.microsoft.com/office/drawing/2012/chart" xmlns:c16r2="http://schemas.microsoft.com/office/drawing/2015/06/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33675048"/>
        <c:axId val="33672304"/>
        <c:extLst xmlns:c16r2="http://schemas.microsoft.com/office/drawing/2015/06/chart"/>
      </c:radarChart>
      <c:catAx>
        <c:axId val="33675048"/>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33672304"/>
        <c:crosses val="autoZero"/>
        <c:auto val="1"/>
        <c:lblAlgn val="ctr"/>
        <c:lblOffset val="100"/>
        <c:noMultiLvlLbl val="0"/>
      </c:catAx>
      <c:valAx>
        <c:axId val="33672304"/>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33675048"/>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ec.europa.eu/isa2/solutions/camss_en" TargetMode="External"/></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5</xdr:col>
      <xdr:colOff>514350</xdr:colOff>
      <xdr:row>16</xdr:row>
      <xdr:rowOff>260105</xdr:rowOff>
    </xdr:from>
    <xdr:to>
      <xdr:col>6</xdr:col>
      <xdr:colOff>289379</xdr:colOff>
      <xdr:row>17</xdr:row>
      <xdr:rowOff>0</xdr:rowOff>
    </xdr:to>
    <xdr:pic>
      <xdr:nvPicPr>
        <xdr:cNvPr id="4" name="Picture 3">
          <a:hlinkClick xmlns:r="http://schemas.openxmlformats.org/officeDocument/2006/relationships" r:id="rId1"/>
          <a:extLst>
            <a:ext uri="{FF2B5EF4-FFF2-40B4-BE49-F238E27FC236}">
              <a16:creationId xmlns=""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52850" y="3670055"/>
          <a:ext cx="422729" cy="282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18</xdr:row>
      <xdr:rowOff>304800</xdr:rowOff>
    </xdr:from>
    <xdr:ext cx="647700" cy="295275"/>
    <xdr:sp macro="[0]!Start" textlink="">
      <xdr:nvSpPr>
        <xdr:cNvPr id="5" name="TextBox 8">
          <a:extLst>
            <a:ext uri="{FF2B5EF4-FFF2-40B4-BE49-F238E27FC236}">
              <a16:creationId xmlns="" xmlns:a16="http://schemas.microsoft.com/office/drawing/2014/main" id="{00000000-0008-0000-0000-000005000000}"/>
            </a:ext>
          </a:extLst>
        </xdr:cNvPr>
        <xdr:cNvSpPr txBox="1"/>
      </xdr:nvSpPr>
      <xdr:spPr>
        <a:xfrm>
          <a:off x="5829300" y="4562475"/>
          <a:ext cx="647700" cy="295275"/>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85725</xdr:rowOff>
    </xdr:to>
    <xdr:pic>
      <xdr:nvPicPr>
        <xdr:cNvPr id="15" name="Picture 14">
          <a:extLst>
            <a:ext uri="{FF2B5EF4-FFF2-40B4-BE49-F238E27FC236}">
              <a16:creationId xmlns="" xmlns:a16="http://schemas.microsoft.com/office/drawing/2014/main" id="{00000000-0008-0000-0000-00000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19400" y="481013"/>
          <a:ext cx="2238375" cy="1471612"/>
        </a:xfrm>
        <a:prstGeom prst="rect">
          <a:avLst/>
        </a:prstGeom>
      </xdr:spPr>
    </xdr:pic>
    <xdr:clientData/>
  </xdr:twoCellAnchor>
  <xdr:oneCellAnchor>
    <xdr:from>
      <xdr:col>0</xdr:col>
      <xdr:colOff>0</xdr:colOff>
      <xdr:row>44</xdr:row>
      <xdr:rowOff>34371</xdr:rowOff>
    </xdr:from>
    <xdr:ext cx="1287946" cy="218041"/>
    <xdr:sp macro="[0]!ChangeControl_Click" textlink="">
      <xdr:nvSpPr>
        <xdr:cNvPr id="7" name="TextBox 8">
          <a:extLst>
            <a:ext uri="{FF2B5EF4-FFF2-40B4-BE49-F238E27FC236}">
              <a16:creationId xmlns="" xmlns:a16="http://schemas.microsoft.com/office/drawing/2014/main" id="{B71F8D29-25BB-4B75-BDF8-59C604C49EA8}"/>
            </a:ext>
          </a:extLst>
        </xdr:cNvPr>
        <xdr:cNvSpPr txBox="1"/>
      </xdr:nvSpPr>
      <xdr:spPr>
        <a:xfrm>
          <a:off x="0" y="6587571"/>
          <a:ext cx="1287946" cy="218041"/>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900" b="1" i="1">
              <a:solidFill>
                <a:schemeClr val="tx1"/>
              </a:solidFill>
              <a:latin typeface="Century Gothic" panose="020B0502020202020204" pitchFamily="34" charset="0"/>
              <a:cs typeface="Arial Bold"/>
            </a:rPr>
            <a:t>Change</a:t>
          </a:r>
          <a:r>
            <a:rPr lang="en-US" sz="900" b="1" i="1" baseline="0">
              <a:solidFill>
                <a:schemeClr val="tx1"/>
              </a:solidFill>
              <a:latin typeface="Century Gothic" panose="020B0502020202020204" pitchFamily="34" charset="0"/>
              <a:cs typeface="Arial Bold"/>
            </a:rPr>
            <a:t> Control</a:t>
          </a:r>
          <a:endParaRPr lang="en-US" sz="900" b="1" i="1">
            <a:solidFill>
              <a:schemeClr val="tx1"/>
            </a:solidFill>
            <a:latin typeface="Century Gothic" panose="020B0502020202020204" pitchFamily="34" charset="0"/>
            <a:cs typeface="Arial Bold"/>
          </a:endParaRP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2690812</xdr:colOff>
      <xdr:row>100</xdr:row>
      <xdr:rowOff>0</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500-000002000000}"/>
            </a:ext>
          </a:extLst>
        </xdr:cNvPr>
        <xdr:cNvSpPr txBox="1"/>
      </xdr:nvSpPr>
      <xdr:spPr>
        <a:xfrm>
          <a:off x="8558212" y="11744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142</xdr:row>
      <xdr:rowOff>0</xdr:rowOff>
    </xdr:from>
    <xdr:ext cx="790575" cy="25717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142</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 xmlns:a16="http://schemas.microsoft.com/office/drawing/2014/main"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 xmlns:a16="http://schemas.microsoft.com/office/drawing/2014/main"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 xmlns:a16="http://schemas.microsoft.com/office/drawing/2014/main"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verisgroup.sharepoint.com/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CAMSS@everis.com?subject=CAMSS%20Tools_Change%20Request" TargetMode="External"/><Relationship Id="rId1" Type="http://schemas.openxmlformats.org/officeDocument/2006/relationships/hyperlink" Target="https://joinup.ec.europa.eu/collection/common-assessment-method-standards-and-specifications-cams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joinup.ec.europa.eu/sites/default/files/inline-files/Generic_Privacy_Statement_CAMSS%20-%20Assessments.pdf"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joinup.ec.europa.eu/sites/default/files/inline-files/Generic_Privacy_Statement_CAMSS%20-%20Assessments.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hyperlink" Target="https://www.iso.org/standard/56025.html" TargetMode="External"/><Relationship Id="rId2" Type="http://schemas.openxmlformats.org/officeDocument/2006/relationships/hyperlink" Target="mailto:CAMSS@everis.com" TargetMode="External"/><Relationship Id="rId1" Type="http://schemas.openxmlformats.org/officeDocument/2006/relationships/hyperlink" Target="https://joinup.ec.europa.eu/sites/default/files/inline-files/Generic_Privacy_Statement_CAMSS%20-%20Assessments.pdf" TargetMode="External"/><Relationship Id="rId5" Type="http://schemas.openxmlformats.org/officeDocument/2006/relationships/drawing" Target="../drawings/drawing5.xml"/><Relationship Id="rId4"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FC80"/>
  <sheetViews>
    <sheetView showGridLines="0" showRowColHeaders="0" zoomScaleNormal="100" workbookViewId="0">
      <selection activeCell="E20" sqref="E20:H20"/>
    </sheetView>
  </sheetViews>
  <sheetFormatPr defaultColWidth="0" defaultRowHeight="16.5" zeroHeight="1" x14ac:dyDescent="0.3"/>
  <cols>
    <col min="1" max="12" width="9" style="515" customWidth="1"/>
    <col min="13" max="13" width="0" style="515" hidden="1" customWidth="1"/>
    <col min="14" max="16384" width="9" style="515" hidden="1"/>
  </cols>
  <sheetData>
    <row r="1" spans="1:13" ht="25.5" x14ac:dyDescent="0.35">
      <c r="A1" s="512"/>
      <c r="B1" s="512"/>
      <c r="C1" s="512"/>
      <c r="D1" s="512"/>
      <c r="E1" s="512"/>
      <c r="F1" s="512"/>
      <c r="G1" s="512"/>
      <c r="H1" s="512"/>
      <c r="I1" s="512"/>
      <c r="J1" s="173"/>
      <c r="K1" s="513"/>
      <c r="L1" s="310" t="s">
        <v>0</v>
      </c>
      <c r="M1" s="514"/>
    </row>
    <row r="2" spans="1:13" ht="25.5" hidden="1" x14ac:dyDescent="0.35">
      <c r="A2" s="512"/>
      <c r="B2" s="512"/>
      <c r="C2" s="512"/>
      <c r="D2" s="512"/>
      <c r="E2" s="512"/>
      <c r="F2" s="512"/>
      <c r="G2" s="512"/>
      <c r="H2" s="512"/>
      <c r="I2" s="512"/>
      <c r="J2" s="173"/>
      <c r="K2" s="311"/>
      <c r="L2" s="172"/>
      <c r="M2" s="514"/>
    </row>
    <row r="3" spans="1:13" ht="25.5" x14ac:dyDescent="0.35">
      <c r="A3" s="512"/>
      <c r="B3" s="512"/>
      <c r="C3" s="512"/>
      <c r="D3" s="512"/>
      <c r="E3" s="512"/>
      <c r="F3" s="512"/>
      <c r="G3" s="512"/>
      <c r="H3" s="512"/>
      <c r="I3" s="512"/>
      <c r="J3" s="173"/>
      <c r="K3" s="511"/>
      <c r="L3" s="312"/>
      <c r="M3" s="514"/>
    </row>
    <row r="4" spans="1:13" ht="25.5" hidden="1" x14ac:dyDescent="0.35">
      <c r="A4" s="512"/>
      <c r="B4" s="512"/>
      <c r="C4" s="512"/>
      <c r="D4" s="512"/>
      <c r="E4" s="512"/>
      <c r="F4" s="512"/>
      <c r="G4" s="512"/>
      <c r="H4" s="512"/>
      <c r="I4" s="512"/>
      <c r="J4" s="173"/>
      <c r="K4" s="173"/>
      <c r="L4" s="172"/>
      <c r="M4" s="514"/>
    </row>
    <row r="5" spans="1:13" ht="25.5" x14ac:dyDescent="0.35">
      <c r="A5" s="512"/>
      <c r="B5" s="512"/>
      <c r="C5" s="512"/>
      <c r="D5" s="512"/>
      <c r="E5" s="512"/>
      <c r="F5" s="512"/>
      <c r="G5" s="512"/>
      <c r="H5" s="512"/>
      <c r="I5" s="512"/>
      <c r="J5" s="173"/>
      <c r="K5" s="173"/>
      <c r="L5" s="172"/>
      <c r="M5" s="514"/>
    </row>
    <row r="6" spans="1:13" ht="25.5" x14ac:dyDescent="0.35">
      <c r="A6" s="512"/>
      <c r="B6" s="512"/>
      <c r="C6" s="512"/>
      <c r="D6" s="512"/>
      <c r="E6" s="512"/>
      <c r="F6" s="512"/>
      <c r="G6" s="512"/>
      <c r="H6" s="512"/>
      <c r="I6" s="512"/>
      <c r="J6" s="173"/>
      <c r="K6" s="173"/>
      <c r="L6" s="172"/>
      <c r="M6" s="514"/>
    </row>
    <row r="7" spans="1:13" ht="25.5" x14ac:dyDescent="0.35">
      <c r="A7" s="564"/>
      <c r="B7" s="564"/>
      <c r="C7" s="564"/>
      <c r="D7" s="512"/>
      <c r="E7" s="512"/>
      <c r="F7" s="512"/>
      <c r="G7" s="512"/>
      <c r="H7" s="512"/>
      <c r="I7" s="512"/>
      <c r="J7" s="173"/>
      <c r="K7" s="173"/>
      <c r="L7" s="172"/>
      <c r="M7" s="514"/>
    </row>
    <row r="8" spans="1:13" ht="25.5" x14ac:dyDescent="0.35">
      <c r="A8" s="516"/>
      <c r="B8" s="516"/>
      <c r="C8" s="516"/>
      <c r="D8" s="516"/>
      <c r="E8" s="516"/>
      <c r="F8" s="516"/>
      <c r="G8" s="516"/>
      <c r="H8" s="516"/>
      <c r="I8" s="516"/>
      <c r="J8" s="173"/>
      <c r="K8" s="173"/>
      <c r="L8" s="172"/>
      <c r="M8" s="514"/>
    </row>
    <row r="9" spans="1:13" ht="25.5" x14ac:dyDescent="0.35">
      <c r="A9" s="516"/>
      <c r="B9" s="514"/>
      <c r="C9" s="516"/>
      <c r="D9" s="516"/>
      <c r="E9" s="516"/>
      <c r="F9" s="516"/>
      <c r="G9" s="516"/>
      <c r="H9" s="516"/>
      <c r="I9" s="516"/>
      <c r="J9" s="173"/>
      <c r="K9" s="173"/>
      <c r="L9" s="172"/>
      <c r="M9" s="514"/>
    </row>
    <row r="10" spans="1:13" ht="25.5" hidden="1" x14ac:dyDescent="0.35">
      <c r="A10" s="313"/>
      <c r="B10" s="313"/>
      <c r="C10" s="313"/>
      <c r="D10" s="313"/>
      <c r="E10" s="313"/>
      <c r="F10" s="173"/>
      <c r="G10" s="173"/>
      <c r="H10" s="173"/>
      <c r="I10" s="173"/>
      <c r="J10" s="173"/>
      <c r="K10" s="173"/>
      <c r="L10" s="172"/>
      <c r="M10" s="514"/>
    </row>
    <row r="11" spans="1:13" ht="25.5" hidden="1" x14ac:dyDescent="0.35">
      <c r="A11" s="173"/>
      <c r="B11" s="173"/>
      <c r="C11" s="173"/>
      <c r="D11" s="173"/>
      <c r="E11" s="173"/>
      <c r="F11" s="173"/>
      <c r="G11" s="173"/>
      <c r="H11" s="173"/>
      <c r="I11" s="173"/>
      <c r="J11" s="173"/>
      <c r="K11" s="173"/>
      <c r="L11" s="172"/>
      <c r="M11" s="514"/>
    </row>
    <row r="12" spans="1:13" ht="25.5" x14ac:dyDescent="0.35">
      <c r="A12" s="565" t="s">
        <v>1</v>
      </c>
      <c r="B12" s="565"/>
      <c r="C12" s="565"/>
      <c r="D12" s="565"/>
      <c r="E12" s="565"/>
      <c r="F12" s="565"/>
      <c r="G12" s="565"/>
      <c r="H12" s="565"/>
      <c r="I12" s="565"/>
      <c r="J12" s="565"/>
      <c r="K12" s="565"/>
      <c r="L12" s="566"/>
      <c r="M12" s="514"/>
    </row>
    <row r="13" spans="1:13" ht="17.25" customHeight="1" x14ac:dyDescent="0.35">
      <c r="A13" s="567" t="s">
        <v>2</v>
      </c>
      <c r="B13" s="567"/>
      <c r="C13" s="567"/>
      <c r="D13" s="567"/>
      <c r="E13" s="567"/>
      <c r="F13" s="567"/>
      <c r="G13" s="567"/>
      <c r="H13" s="567"/>
      <c r="I13" s="567"/>
      <c r="J13" s="567"/>
      <c r="K13" s="567"/>
      <c r="L13" s="568"/>
      <c r="M13" s="514"/>
    </row>
    <row r="14" spans="1:13" ht="16.5" customHeight="1" x14ac:dyDescent="0.35">
      <c r="A14" s="314"/>
      <c r="B14" s="314"/>
      <c r="C14" s="314"/>
      <c r="D14" s="314"/>
      <c r="E14" s="314"/>
      <c r="F14" s="314"/>
      <c r="G14" s="314"/>
      <c r="H14" s="314"/>
      <c r="I14" s="314"/>
      <c r="J14" s="314"/>
      <c r="K14" s="314"/>
      <c r="L14" s="315"/>
      <c r="M14" s="514"/>
    </row>
    <row r="15" spans="1:13" ht="17.25" customHeight="1" x14ac:dyDescent="0.35">
      <c r="A15" s="316"/>
      <c r="B15" s="317"/>
      <c r="C15" s="317"/>
      <c r="D15" s="317"/>
      <c r="E15" s="592" t="s">
        <v>427</v>
      </c>
      <c r="F15" s="592"/>
      <c r="G15" s="592"/>
      <c r="H15" s="592"/>
      <c r="I15" s="592"/>
      <c r="J15" s="317"/>
      <c r="K15" s="317"/>
      <c r="L15" s="318"/>
      <c r="M15" s="514"/>
    </row>
    <row r="16" spans="1:13" ht="16.5" customHeight="1" x14ac:dyDescent="0.35">
      <c r="A16" s="319"/>
      <c r="B16" s="319"/>
      <c r="C16" s="319"/>
      <c r="D16" s="319"/>
      <c r="E16" s="599" t="s">
        <v>428</v>
      </c>
      <c r="F16" s="599"/>
      <c r="G16" s="599"/>
      <c r="H16" s="599"/>
      <c r="I16" s="599"/>
      <c r="J16" s="319"/>
      <c r="K16" s="319"/>
      <c r="L16" s="320"/>
      <c r="M16" s="514"/>
    </row>
    <row r="17" spans="1:13" ht="42.75" customHeight="1" x14ac:dyDescent="0.35">
      <c r="A17" s="314"/>
      <c r="B17" s="314"/>
      <c r="C17" s="314"/>
      <c r="D17" s="314"/>
      <c r="E17" s="314"/>
      <c r="F17" s="314"/>
      <c r="G17" s="314"/>
      <c r="H17" s="314"/>
      <c r="I17" s="314"/>
      <c r="J17" s="314"/>
      <c r="K17" s="317"/>
      <c r="L17" s="315"/>
      <c r="M17" s="514"/>
    </row>
    <row r="18" spans="1:13" ht="24" customHeight="1" x14ac:dyDescent="0.35">
      <c r="A18" s="321"/>
      <c r="B18" s="321"/>
      <c r="C18" s="321"/>
      <c r="D18" s="321"/>
      <c r="E18" s="321"/>
      <c r="F18" s="321"/>
      <c r="G18" s="321"/>
      <c r="H18" s="321"/>
      <c r="I18" s="321"/>
      <c r="J18" s="321"/>
      <c r="K18" s="321"/>
      <c r="L18" s="322"/>
      <c r="M18" s="514"/>
    </row>
    <row r="19" spans="1:13" ht="25.5" x14ac:dyDescent="0.35">
      <c r="A19" s="171"/>
      <c r="B19" s="316"/>
      <c r="C19" s="171"/>
      <c r="D19" s="171"/>
      <c r="E19" s="569" t="s">
        <v>3</v>
      </c>
      <c r="F19" s="569"/>
      <c r="G19" s="569"/>
      <c r="H19" s="569"/>
      <c r="I19" s="171"/>
      <c r="J19" s="171"/>
      <c r="K19" s="171"/>
      <c r="L19" s="323"/>
      <c r="M19" s="514"/>
    </row>
    <row r="20" spans="1:13" ht="22.5" customHeight="1" x14ac:dyDescent="0.35">
      <c r="A20" s="173"/>
      <c r="B20" s="171"/>
      <c r="C20" s="173"/>
      <c r="D20" s="173"/>
      <c r="E20" s="570" t="s">
        <v>9</v>
      </c>
      <c r="F20" s="571"/>
      <c r="G20" s="571"/>
      <c r="H20" s="572"/>
      <c r="I20" s="324"/>
      <c r="J20" s="174"/>
      <c r="K20" s="173"/>
      <c r="L20" s="172"/>
      <c r="M20" s="514"/>
    </row>
    <row r="21" spans="1:13" ht="25.5" x14ac:dyDescent="0.35">
      <c r="A21" s="173"/>
      <c r="B21" s="316"/>
      <c r="C21" s="173"/>
      <c r="D21" s="174"/>
      <c r="E21" s="174"/>
      <c r="F21" s="174"/>
      <c r="G21" s="171"/>
      <c r="H21" s="171"/>
      <c r="I21" s="174"/>
      <c r="J21" s="174"/>
      <c r="K21" s="173"/>
      <c r="L21" s="172"/>
      <c r="M21" s="514"/>
    </row>
    <row r="22" spans="1:13" ht="16.5" hidden="1" customHeight="1" x14ac:dyDescent="0.35">
      <c r="A22" s="171"/>
      <c r="B22" s="517"/>
      <c r="C22" s="170"/>
      <c r="D22" s="170"/>
      <c r="E22" s="170"/>
      <c r="F22" s="170"/>
      <c r="G22" s="170"/>
      <c r="H22" s="170"/>
      <c r="I22" s="170"/>
      <c r="J22" s="170"/>
      <c r="K22" s="170"/>
      <c r="L22" s="172"/>
      <c r="M22" s="514"/>
    </row>
    <row r="23" spans="1:13" ht="33" hidden="1" customHeight="1" x14ac:dyDescent="0.35">
      <c r="A23" s="173"/>
      <c r="B23" s="593" t="s">
        <v>410</v>
      </c>
      <c r="C23" s="594"/>
      <c r="D23" s="594"/>
      <c r="E23" s="594"/>
      <c r="F23" s="594"/>
      <c r="G23" s="594"/>
      <c r="H23" s="594"/>
      <c r="I23" s="594"/>
      <c r="J23" s="594"/>
      <c r="K23" s="595"/>
      <c r="L23" s="172"/>
      <c r="M23" s="514"/>
    </row>
    <row r="24" spans="1:13" ht="26.25" hidden="1" customHeight="1" x14ac:dyDescent="0.35">
      <c r="A24" s="173"/>
      <c r="B24" s="596"/>
      <c r="C24" s="597"/>
      <c r="D24" s="597"/>
      <c r="E24" s="597"/>
      <c r="F24" s="597"/>
      <c r="G24" s="597"/>
      <c r="H24" s="597"/>
      <c r="I24" s="597"/>
      <c r="J24" s="597"/>
      <c r="K24" s="598"/>
      <c r="L24" s="172"/>
      <c r="M24" s="514"/>
    </row>
    <row r="25" spans="1:13" ht="25.5" hidden="1" x14ac:dyDescent="0.35">
      <c r="A25" s="173"/>
      <c r="B25" s="174"/>
      <c r="C25" s="175"/>
      <c r="D25" s="175"/>
      <c r="E25" s="175"/>
      <c r="F25" s="175"/>
      <c r="G25" s="175"/>
      <c r="H25" s="175"/>
      <c r="I25" s="175"/>
      <c r="J25" s="175"/>
      <c r="K25" s="176"/>
      <c r="L25" s="172"/>
      <c r="M25" s="514"/>
    </row>
    <row r="26" spans="1:13" ht="16.5" hidden="1" customHeight="1" x14ac:dyDescent="0.35">
      <c r="A26" s="173"/>
      <c r="B26" s="583" t="s">
        <v>5</v>
      </c>
      <c r="C26" s="584"/>
      <c r="D26" s="584"/>
      <c r="E26" s="584"/>
      <c r="F26" s="584"/>
      <c r="G26" s="584"/>
      <c r="H26" s="584"/>
      <c r="I26" s="584"/>
      <c r="J26" s="584"/>
      <c r="K26" s="585"/>
      <c r="L26" s="172"/>
      <c r="M26" s="514"/>
    </row>
    <row r="27" spans="1:13" ht="18.399999999999999" hidden="1" customHeight="1" x14ac:dyDescent="0.35">
      <c r="A27" s="173"/>
      <c r="B27" s="586"/>
      <c r="C27" s="587"/>
      <c r="D27" s="587"/>
      <c r="E27" s="587"/>
      <c r="F27" s="587"/>
      <c r="G27" s="587"/>
      <c r="H27" s="587"/>
      <c r="I27" s="587"/>
      <c r="J27" s="587"/>
      <c r="K27" s="588"/>
      <c r="L27" s="172"/>
      <c r="M27" s="514"/>
    </row>
    <row r="28" spans="1:13" ht="25.5" hidden="1" x14ac:dyDescent="0.35">
      <c r="A28" s="173"/>
      <c r="B28" s="589"/>
      <c r="C28" s="590"/>
      <c r="D28" s="590"/>
      <c r="E28" s="590"/>
      <c r="F28" s="590"/>
      <c r="G28" s="590"/>
      <c r="H28" s="590"/>
      <c r="I28" s="590"/>
      <c r="J28" s="590"/>
      <c r="K28" s="591"/>
      <c r="L28" s="172"/>
      <c r="M28" s="514"/>
    </row>
    <row r="29" spans="1:13" ht="25.5" hidden="1" x14ac:dyDescent="0.35">
      <c r="A29" s="173"/>
      <c r="B29" s="174"/>
      <c r="C29" s="175"/>
      <c r="D29" s="175"/>
      <c r="E29" s="175"/>
      <c r="F29" s="175"/>
      <c r="G29" s="175"/>
      <c r="H29" s="175"/>
      <c r="I29" s="175"/>
      <c r="J29" s="175"/>
      <c r="K29" s="176"/>
      <c r="L29" s="172"/>
      <c r="M29" s="514"/>
    </row>
    <row r="30" spans="1:13" s="519" customFormat="1" ht="16.5" customHeight="1" x14ac:dyDescent="0.35">
      <c r="A30" s="476"/>
      <c r="B30" s="583" t="s">
        <v>6</v>
      </c>
      <c r="C30" s="584"/>
      <c r="D30" s="584"/>
      <c r="E30" s="584"/>
      <c r="F30" s="584"/>
      <c r="G30" s="584"/>
      <c r="H30" s="584"/>
      <c r="I30" s="584"/>
      <c r="J30" s="584"/>
      <c r="K30" s="585"/>
      <c r="L30" s="477"/>
      <c r="M30" s="518"/>
    </row>
    <row r="31" spans="1:13" s="519" customFormat="1" ht="25.5" x14ac:dyDescent="0.35">
      <c r="A31" s="476"/>
      <c r="B31" s="586"/>
      <c r="C31" s="587"/>
      <c r="D31" s="587"/>
      <c r="E31" s="587"/>
      <c r="F31" s="587"/>
      <c r="G31" s="587"/>
      <c r="H31" s="587"/>
      <c r="I31" s="587"/>
      <c r="J31" s="587"/>
      <c r="K31" s="588"/>
      <c r="L31" s="477"/>
      <c r="M31" s="518"/>
    </row>
    <row r="32" spans="1:13" s="519" customFormat="1" ht="46.9" customHeight="1" x14ac:dyDescent="0.35">
      <c r="A32" s="476"/>
      <c r="B32" s="586"/>
      <c r="C32" s="587"/>
      <c r="D32" s="587"/>
      <c r="E32" s="587"/>
      <c r="F32" s="587"/>
      <c r="G32" s="587"/>
      <c r="H32" s="587"/>
      <c r="I32" s="587"/>
      <c r="J32" s="587"/>
      <c r="K32" s="588"/>
      <c r="L32" s="477"/>
      <c r="M32" s="518"/>
    </row>
    <row r="33" spans="1:13" s="519" customFormat="1" ht="18.75" customHeight="1" x14ac:dyDescent="0.35">
      <c r="A33" s="476"/>
      <c r="B33" s="589"/>
      <c r="C33" s="590"/>
      <c r="D33" s="590"/>
      <c r="E33" s="590"/>
      <c r="F33" s="590"/>
      <c r="G33" s="590"/>
      <c r="H33" s="590"/>
      <c r="I33" s="590"/>
      <c r="J33" s="590"/>
      <c r="K33" s="591"/>
      <c r="L33" s="477"/>
      <c r="M33" s="518"/>
    </row>
    <row r="34" spans="1:13" s="519" customFormat="1" ht="14.25" hidden="1" customHeight="1" x14ac:dyDescent="0.35">
      <c r="A34" s="476"/>
      <c r="B34" s="478"/>
      <c r="C34" s="478"/>
      <c r="D34" s="478"/>
      <c r="E34" s="478"/>
      <c r="F34" s="478"/>
      <c r="G34" s="478"/>
      <c r="H34" s="478"/>
      <c r="I34" s="478"/>
      <c r="J34" s="478"/>
      <c r="K34" s="478"/>
      <c r="L34" s="477"/>
      <c r="M34" s="518"/>
    </row>
    <row r="35" spans="1:13" s="519" customFormat="1" ht="25.5" hidden="1" x14ac:dyDescent="0.35">
      <c r="A35" s="476"/>
      <c r="B35" s="478"/>
      <c r="C35" s="478"/>
      <c r="D35" s="478"/>
      <c r="E35" s="478"/>
      <c r="F35" s="478"/>
      <c r="G35" s="478"/>
      <c r="H35" s="478"/>
      <c r="I35" s="478"/>
      <c r="J35" s="478"/>
      <c r="K35" s="478"/>
      <c r="L35" s="477"/>
      <c r="M35" s="518"/>
    </row>
    <row r="36" spans="1:13" s="519" customFormat="1" ht="25.5" hidden="1" x14ac:dyDescent="0.35">
      <c r="A36" s="476"/>
      <c r="B36" s="478"/>
      <c r="C36" s="478"/>
      <c r="D36" s="478"/>
      <c r="E36" s="478"/>
      <c r="F36" s="478"/>
      <c r="G36" s="478"/>
      <c r="H36" s="478"/>
      <c r="I36" s="478"/>
      <c r="J36" s="478"/>
      <c r="K36" s="478"/>
      <c r="L36" s="477"/>
      <c r="M36" s="518"/>
    </row>
    <row r="37" spans="1:13" s="519" customFormat="1" ht="16.5" hidden="1" customHeight="1" x14ac:dyDescent="0.35">
      <c r="A37" s="476"/>
      <c r="B37" s="574" t="s">
        <v>7</v>
      </c>
      <c r="C37" s="575"/>
      <c r="D37" s="575"/>
      <c r="E37" s="575"/>
      <c r="F37" s="575"/>
      <c r="G37" s="575"/>
      <c r="H37" s="575"/>
      <c r="I37" s="575"/>
      <c r="J37" s="575"/>
      <c r="K37" s="576"/>
      <c r="L37" s="477"/>
      <c r="M37" s="518"/>
    </row>
    <row r="38" spans="1:13" s="519" customFormat="1" ht="25.5" hidden="1" x14ac:dyDescent="0.35">
      <c r="A38" s="476"/>
      <c r="B38" s="577"/>
      <c r="C38" s="578"/>
      <c r="D38" s="578"/>
      <c r="E38" s="578"/>
      <c r="F38" s="578"/>
      <c r="G38" s="578"/>
      <c r="H38" s="578"/>
      <c r="I38" s="578"/>
      <c r="J38" s="578"/>
      <c r="K38" s="579"/>
      <c r="L38" s="477"/>
      <c r="M38" s="518"/>
    </row>
    <row r="39" spans="1:13" s="519" customFormat="1" ht="25.5" hidden="1" x14ac:dyDescent="0.35">
      <c r="A39" s="476"/>
      <c r="B39" s="577"/>
      <c r="C39" s="578"/>
      <c r="D39" s="578"/>
      <c r="E39" s="578"/>
      <c r="F39" s="578"/>
      <c r="G39" s="578"/>
      <c r="H39" s="578"/>
      <c r="I39" s="578"/>
      <c r="J39" s="578"/>
      <c r="K39" s="579"/>
      <c r="L39" s="477"/>
      <c r="M39" s="518"/>
    </row>
    <row r="40" spans="1:13" s="519" customFormat="1" ht="25.5" hidden="1" x14ac:dyDescent="0.35">
      <c r="A40" s="476"/>
      <c r="B40" s="580"/>
      <c r="C40" s="581"/>
      <c r="D40" s="581"/>
      <c r="E40" s="581"/>
      <c r="F40" s="581"/>
      <c r="G40" s="581"/>
      <c r="H40" s="581"/>
      <c r="I40" s="581"/>
      <c r="J40" s="581"/>
      <c r="K40" s="582"/>
      <c r="L40" s="477"/>
      <c r="M40" s="518"/>
    </row>
    <row r="41" spans="1:13" s="519" customFormat="1" ht="25.5" x14ac:dyDescent="0.35">
      <c r="A41" s="476"/>
      <c r="B41" s="476"/>
      <c r="C41" s="476"/>
      <c r="D41" s="476"/>
      <c r="E41" s="476"/>
      <c r="F41" s="476"/>
      <c r="G41" s="476"/>
      <c r="H41" s="476"/>
      <c r="I41" s="476"/>
      <c r="J41" s="476"/>
      <c r="K41" s="476"/>
      <c r="L41" s="515"/>
      <c r="M41" s="518"/>
    </row>
    <row r="42" spans="1:13" s="519" customFormat="1" ht="25.5" hidden="1" x14ac:dyDescent="0.35">
      <c r="A42" s="476"/>
      <c r="B42" s="476"/>
      <c r="C42" s="476"/>
      <c r="D42" s="476"/>
      <c r="E42" s="476"/>
      <c r="F42" s="476"/>
      <c r="G42" s="476"/>
      <c r="H42" s="476"/>
      <c r="I42" s="476"/>
      <c r="J42" s="476"/>
      <c r="K42" s="476"/>
      <c r="L42" s="476"/>
      <c r="M42" s="518"/>
    </row>
    <row r="43" spans="1:13" s="519" customFormat="1" ht="25.5" hidden="1" x14ac:dyDescent="0.35">
      <c r="A43" s="476"/>
      <c r="B43" s="476"/>
      <c r="C43" s="476"/>
      <c r="D43" s="476"/>
      <c r="E43" s="476"/>
      <c r="F43" s="476"/>
      <c r="G43" s="476"/>
      <c r="H43" s="476"/>
      <c r="I43" s="476"/>
      <c r="J43" s="476"/>
      <c r="K43" s="476"/>
      <c r="L43" s="476"/>
      <c r="M43" s="518"/>
    </row>
    <row r="44" spans="1:13" s="519" customFormat="1" ht="25.5" x14ac:dyDescent="0.35">
      <c r="A44" s="476"/>
      <c r="B44" s="476"/>
      <c r="C44" s="476"/>
      <c r="D44" s="476"/>
      <c r="E44" s="476"/>
      <c r="F44" s="476"/>
      <c r="G44" s="476"/>
      <c r="H44" s="476"/>
      <c r="I44" s="476"/>
      <c r="J44" s="476"/>
      <c r="K44" s="573" t="s">
        <v>411</v>
      </c>
      <c r="L44" s="573"/>
      <c r="M44" s="518"/>
    </row>
    <row r="45" spans="1:13" ht="21" customHeight="1" x14ac:dyDescent="0.35">
      <c r="A45" s="560"/>
      <c r="B45" s="561"/>
      <c r="C45" s="535"/>
      <c r="D45" s="536"/>
      <c r="E45" s="536"/>
      <c r="F45" s="536"/>
      <c r="G45" s="536"/>
      <c r="H45" s="536"/>
      <c r="I45" s="536"/>
      <c r="J45" s="536"/>
      <c r="K45" s="536"/>
      <c r="L45" s="536"/>
      <c r="M45" s="514"/>
    </row>
    <row r="46" spans="1:13" ht="16.5" hidden="1" customHeight="1" thickTop="1" x14ac:dyDescent="0.3">
      <c r="A46" s="520"/>
      <c r="B46" s="563"/>
      <c r="C46" s="563"/>
      <c r="D46" s="563"/>
      <c r="E46" s="563"/>
      <c r="F46" s="563"/>
      <c r="G46" s="563"/>
      <c r="H46" s="563"/>
      <c r="I46" s="563"/>
      <c r="J46" s="563"/>
      <c r="K46" s="563"/>
      <c r="L46" s="563"/>
    </row>
    <row r="47" spans="1:13" ht="33" hidden="1" customHeight="1" x14ac:dyDescent="0.3">
      <c r="A47" s="520"/>
      <c r="B47" s="521"/>
      <c r="C47" s="521"/>
      <c r="D47" s="521"/>
      <c r="E47" s="521" t="s">
        <v>8</v>
      </c>
      <c r="F47" s="521"/>
      <c r="G47" s="521"/>
      <c r="H47" s="521"/>
      <c r="I47" s="521"/>
      <c r="J47" s="521"/>
      <c r="K47" s="521"/>
      <c r="L47" s="521"/>
    </row>
    <row r="48" spans="1:13" ht="33" hidden="1" customHeight="1" x14ac:dyDescent="0.3">
      <c r="A48" s="520"/>
      <c r="B48" s="521"/>
      <c r="C48" s="521"/>
      <c r="D48" s="521"/>
      <c r="E48" s="521" t="s">
        <v>4</v>
      </c>
      <c r="F48" s="521"/>
      <c r="G48" s="521"/>
      <c r="H48" s="521"/>
      <c r="I48" s="521"/>
      <c r="J48" s="521"/>
      <c r="K48" s="521"/>
      <c r="L48" s="521"/>
    </row>
    <row r="49" spans="1:16383" ht="33" hidden="1" customHeight="1" thickBot="1" x14ac:dyDescent="0.35">
      <c r="A49" s="520"/>
      <c r="B49" s="521"/>
      <c r="C49" s="521"/>
      <c r="D49" s="521"/>
      <c r="E49" s="521" t="s">
        <v>9</v>
      </c>
      <c r="F49" s="521"/>
      <c r="G49" s="521"/>
      <c r="H49" s="521"/>
      <c r="I49" s="521"/>
      <c r="J49" s="521"/>
      <c r="K49" s="521"/>
      <c r="L49" s="521"/>
    </row>
    <row r="50" spans="1:16383" s="525" customFormat="1" ht="20.25" hidden="1" customHeight="1" thickTop="1" x14ac:dyDescent="0.3">
      <c r="A50" s="558" t="s">
        <v>401</v>
      </c>
      <c r="B50" s="559"/>
      <c r="C50" s="562"/>
      <c r="D50" s="562"/>
      <c r="E50" s="562"/>
      <c r="F50" s="562"/>
      <c r="G50" s="562"/>
      <c r="H50" s="562"/>
      <c r="I50" s="562"/>
      <c r="J50" s="562"/>
      <c r="K50" s="562"/>
      <c r="L50" s="562"/>
      <c r="M50" s="522"/>
      <c r="N50" s="523"/>
      <c r="O50" s="523"/>
      <c r="P50" s="523"/>
      <c r="Q50" s="523"/>
      <c r="R50" s="523"/>
      <c r="S50" s="523"/>
      <c r="T50" s="523"/>
      <c r="U50" s="523"/>
      <c r="V50" s="523"/>
      <c r="W50" s="523"/>
      <c r="X50" s="523"/>
      <c r="Y50" s="523"/>
      <c r="Z50" s="523"/>
      <c r="AA50" s="523"/>
      <c r="AB50" s="523"/>
      <c r="AC50" s="523"/>
      <c r="AD50" s="523"/>
      <c r="AE50" s="523"/>
      <c r="AF50" s="523"/>
      <c r="AG50" s="523"/>
      <c r="AH50" s="523"/>
      <c r="AI50" s="523"/>
      <c r="AJ50" s="523"/>
      <c r="AK50" s="523"/>
      <c r="AL50" s="523"/>
      <c r="AM50" s="523"/>
      <c r="AN50" s="523"/>
      <c r="AO50" s="523"/>
      <c r="AP50" s="523"/>
      <c r="AQ50" s="523"/>
      <c r="AR50" s="523"/>
      <c r="AS50" s="523"/>
      <c r="AT50" s="523"/>
      <c r="AU50" s="523"/>
      <c r="AV50" s="523"/>
      <c r="AW50" s="523"/>
      <c r="AX50" s="523"/>
      <c r="AY50" s="523"/>
      <c r="AZ50" s="523"/>
      <c r="BA50" s="523"/>
      <c r="BB50" s="523"/>
      <c r="BC50" s="523"/>
      <c r="BD50" s="523"/>
      <c r="BE50" s="523"/>
      <c r="BF50" s="523"/>
      <c r="BG50" s="523"/>
      <c r="BH50" s="523"/>
      <c r="BI50" s="523"/>
      <c r="BJ50" s="523"/>
      <c r="BK50" s="523"/>
      <c r="BL50" s="523"/>
      <c r="BM50" s="523"/>
      <c r="BN50" s="523"/>
      <c r="BO50" s="523"/>
      <c r="BP50" s="523"/>
      <c r="BQ50" s="523"/>
      <c r="BR50" s="523"/>
      <c r="BS50" s="523"/>
      <c r="BT50" s="523"/>
      <c r="BU50" s="523"/>
      <c r="BV50" s="523"/>
      <c r="BW50" s="523"/>
      <c r="BX50" s="523"/>
      <c r="BY50" s="523"/>
      <c r="BZ50" s="523"/>
      <c r="CA50" s="523"/>
      <c r="CB50" s="523"/>
      <c r="CC50" s="523"/>
      <c r="CD50" s="523"/>
      <c r="CE50" s="523"/>
      <c r="CF50" s="523"/>
      <c r="CG50" s="523"/>
      <c r="CH50" s="523"/>
      <c r="CI50" s="523"/>
      <c r="CJ50" s="523"/>
      <c r="CK50" s="523"/>
      <c r="CL50" s="523"/>
      <c r="CM50" s="523"/>
      <c r="CN50" s="523"/>
      <c r="CO50" s="523"/>
      <c r="CP50" s="523"/>
      <c r="CQ50" s="523"/>
      <c r="CR50" s="523"/>
      <c r="CS50" s="523"/>
      <c r="CT50" s="523"/>
      <c r="CU50" s="523"/>
      <c r="CV50" s="523"/>
      <c r="CW50" s="523"/>
      <c r="CX50" s="523"/>
      <c r="CY50" s="523"/>
      <c r="CZ50" s="523"/>
      <c r="DA50" s="523"/>
      <c r="DB50" s="523"/>
      <c r="DC50" s="523"/>
      <c r="DD50" s="523"/>
      <c r="DE50" s="523"/>
      <c r="DF50" s="523"/>
      <c r="DG50" s="523"/>
      <c r="DH50" s="523"/>
      <c r="DI50" s="523"/>
      <c r="DJ50" s="523"/>
      <c r="DK50" s="523"/>
      <c r="DL50" s="523"/>
      <c r="DM50" s="523"/>
      <c r="DN50" s="523"/>
      <c r="DO50" s="523"/>
      <c r="DP50" s="523"/>
      <c r="DQ50" s="523"/>
      <c r="DR50" s="523"/>
      <c r="DS50" s="523"/>
      <c r="DT50" s="523"/>
      <c r="DU50" s="523"/>
      <c r="DV50" s="523"/>
      <c r="DW50" s="523"/>
      <c r="DX50" s="523"/>
      <c r="DY50" s="523"/>
      <c r="DZ50" s="523"/>
      <c r="EA50" s="523"/>
      <c r="EB50" s="523"/>
      <c r="EC50" s="523"/>
      <c r="ED50" s="523"/>
      <c r="EE50" s="523"/>
      <c r="EF50" s="523"/>
      <c r="EG50" s="523"/>
      <c r="EH50" s="523"/>
      <c r="EI50" s="523"/>
      <c r="EJ50" s="523"/>
      <c r="EK50" s="523"/>
      <c r="EL50" s="523"/>
      <c r="EM50" s="523"/>
      <c r="EN50" s="523"/>
      <c r="EO50" s="523"/>
      <c r="EP50" s="523"/>
      <c r="EQ50" s="523"/>
      <c r="ER50" s="523"/>
      <c r="ES50" s="523"/>
      <c r="ET50" s="523"/>
      <c r="EU50" s="523"/>
      <c r="EV50" s="523"/>
      <c r="EW50" s="523"/>
      <c r="EX50" s="523"/>
      <c r="EY50" s="523"/>
      <c r="EZ50" s="523"/>
      <c r="FA50" s="523"/>
      <c r="FB50" s="523"/>
      <c r="FC50" s="523"/>
      <c r="FD50" s="523"/>
      <c r="FE50" s="523"/>
      <c r="FF50" s="523"/>
      <c r="FG50" s="523"/>
      <c r="FH50" s="523"/>
      <c r="FI50" s="523"/>
      <c r="FJ50" s="523"/>
      <c r="FK50" s="523"/>
      <c r="FL50" s="523"/>
      <c r="FM50" s="523"/>
      <c r="FN50" s="523"/>
      <c r="FO50" s="523"/>
      <c r="FP50" s="523"/>
      <c r="FQ50" s="523"/>
      <c r="FR50" s="523"/>
      <c r="FS50" s="523"/>
      <c r="FT50" s="523"/>
      <c r="FU50" s="523"/>
      <c r="FV50" s="523"/>
      <c r="FW50" s="523"/>
      <c r="FX50" s="523"/>
      <c r="FY50" s="523"/>
      <c r="FZ50" s="523"/>
      <c r="GA50" s="523"/>
      <c r="GB50" s="523"/>
      <c r="GC50" s="523"/>
      <c r="GD50" s="523"/>
      <c r="GE50" s="523"/>
      <c r="GF50" s="523"/>
      <c r="GG50" s="523"/>
      <c r="GH50" s="523"/>
      <c r="GI50" s="523"/>
      <c r="GJ50" s="523"/>
      <c r="GK50" s="523"/>
      <c r="GL50" s="523"/>
      <c r="GM50" s="523"/>
      <c r="GN50" s="523"/>
      <c r="GO50" s="523"/>
      <c r="GP50" s="523"/>
      <c r="GQ50" s="523"/>
      <c r="GR50" s="523"/>
      <c r="GS50" s="523"/>
      <c r="GT50" s="523"/>
      <c r="GU50" s="523"/>
      <c r="GV50" s="523"/>
      <c r="GW50" s="523"/>
      <c r="GX50" s="523"/>
      <c r="GY50" s="523"/>
      <c r="GZ50" s="523"/>
      <c r="HA50" s="523"/>
      <c r="HB50" s="523"/>
      <c r="HC50" s="523"/>
      <c r="HD50" s="523"/>
      <c r="HE50" s="523"/>
      <c r="HF50" s="523"/>
      <c r="HG50" s="523"/>
      <c r="HH50" s="523"/>
      <c r="HI50" s="523"/>
      <c r="HJ50" s="523"/>
      <c r="HK50" s="523"/>
      <c r="HL50" s="523"/>
      <c r="HM50" s="523"/>
      <c r="HN50" s="523"/>
      <c r="HO50" s="523"/>
      <c r="HP50" s="523"/>
      <c r="HQ50" s="523"/>
      <c r="HR50" s="523"/>
      <c r="HS50" s="523"/>
      <c r="HT50" s="523"/>
      <c r="HU50" s="523"/>
      <c r="HV50" s="523"/>
      <c r="HW50" s="523"/>
      <c r="HX50" s="523"/>
      <c r="HY50" s="523"/>
      <c r="HZ50" s="523"/>
      <c r="IA50" s="523"/>
      <c r="IB50" s="523"/>
      <c r="IC50" s="523"/>
      <c r="ID50" s="523"/>
      <c r="IE50" s="523"/>
      <c r="IF50" s="523"/>
      <c r="IG50" s="523"/>
      <c r="IH50" s="523"/>
      <c r="II50" s="523"/>
      <c r="IJ50" s="523"/>
      <c r="IK50" s="523"/>
      <c r="IL50" s="523"/>
      <c r="IM50" s="523"/>
      <c r="IN50" s="523"/>
      <c r="IO50" s="523"/>
      <c r="IP50" s="523"/>
      <c r="IQ50" s="523"/>
      <c r="IR50" s="523"/>
      <c r="IS50" s="523"/>
      <c r="IT50" s="523"/>
      <c r="IU50" s="523"/>
      <c r="IV50" s="523"/>
      <c r="IW50" s="523"/>
      <c r="IX50" s="523"/>
      <c r="IY50" s="523"/>
      <c r="IZ50" s="523"/>
      <c r="JA50" s="523"/>
      <c r="JB50" s="523"/>
      <c r="JC50" s="523"/>
      <c r="JD50" s="523"/>
      <c r="JE50" s="523"/>
      <c r="JF50" s="523"/>
      <c r="JG50" s="523"/>
      <c r="JH50" s="523"/>
      <c r="JI50" s="523"/>
      <c r="JJ50" s="523"/>
      <c r="JK50" s="523"/>
      <c r="JL50" s="523"/>
      <c r="JM50" s="523"/>
      <c r="JN50" s="523"/>
      <c r="JO50" s="523"/>
      <c r="JP50" s="523"/>
      <c r="JQ50" s="523"/>
      <c r="JR50" s="523"/>
      <c r="JS50" s="523"/>
      <c r="JT50" s="523"/>
      <c r="JU50" s="523"/>
      <c r="JV50" s="523"/>
      <c r="JW50" s="523"/>
      <c r="JX50" s="523"/>
      <c r="JY50" s="523"/>
      <c r="JZ50" s="523"/>
      <c r="KA50" s="523"/>
      <c r="KB50" s="523"/>
      <c r="KC50" s="523"/>
      <c r="KD50" s="523"/>
      <c r="KE50" s="523"/>
      <c r="KF50" s="523"/>
      <c r="KG50" s="523"/>
      <c r="KH50" s="523"/>
      <c r="KI50" s="523"/>
      <c r="KJ50" s="523"/>
      <c r="KK50" s="523"/>
      <c r="KL50" s="523"/>
      <c r="KM50" s="523"/>
      <c r="KN50" s="523"/>
      <c r="KO50" s="523"/>
      <c r="KP50" s="523"/>
      <c r="KQ50" s="523"/>
      <c r="KR50" s="523"/>
      <c r="KS50" s="523"/>
      <c r="KT50" s="523"/>
      <c r="KU50" s="523"/>
      <c r="KV50" s="523"/>
      <c r="KW50" s="523"/>
      <c r="KX50" s="523"/>
      <c r="KY50" s="523"/>
      <c r="KZ50" s="523"/>
      <c r="LA50" s="523"/>
      <c r="LB50" s="523"/>
      <c r="LC50" s="523"/>
      <c r="LD50" s="523"/>
      <c r="LE50" s="523"/>
      <c r="LF50" s="523"/>
      <c r="LG50" s="523"/>
      <c r="LH50" s="523"/>
      <c r="LI50" s="523"/>
      <c r="LJ50" s="523"/>
      <c r="LK50" s="523"/>
      <c r="LL50" s="523"/>
      <c r="LM50" s="523"/>
      <c r="LN50" s="523"/>
      <c r="LO50" s="523"/>
      <c r="LP50" s="523"/>
      <c r="LQ50" s="523"/>
      <c r="LR50" s="523"/>
      <c r="LS50" s="523"/>
      <c r="LT50" s="523"/>
      <c r="LU50" s="523"/>
      <c r="LV50" s="523"/>
      <c r="LW50" s="523"/>
      <c r="LX50" s="523"/>
      <c r="LY50" s="523"/>
      <c r="LZ50" s="523"/>
      <c r="MA50" s="523"/>
      <c r="MB50" s="523"/>
      <c r="MC50" s="523"/>
      <c r="MD50" s="523"/>
      <c r="ME50" s="523"/>
      <c r="MF50" s="523"/>
      <c r="MG50" s="523"/>
      <c r="MH50" s="523"/>
      <c r="MI50" s="523"/>
      <c r="MJ50" s="523"/>
      <c r="MK50" s="523"/>
      <c r="ML50" s="523"/>
      <c r="MM50" s="523"/>
      <c r="MN50" s="523"/>
      <c r="MO50" s="523"/>
      <c r="MP50" s="523"/>
      <c r="MQ50" s="523"/>
      <c r="MR50" s="523"/>
      <c r="MS50" s="523"/>
      <c r="MT50" s="523"/>
      <c r="MU50" s="523"/>
      <c r="MV50" s="523"/>
      <c r="MW50" s="523"/>
      <c r="MX50" s="523"/>
      <c r="MY50" s="523"/>
      <c r="MZ50" s="523"/>
      <c r="NA50" s="523"/>
      <c r="NB50" s="523"/>
      <c r="NC50" s="523"/>
      <c r="ND50" s="523"/>
      <c r="NE50" s="523"/>
      <c r="NF50" s="523"/>
      <c r="NG50" s="523"/>
      <c r="NH50" s="523"/>
      <c r="NI50" s="523"/>
      <c r="NJ50" s="523"/>
      <c r="NK50" s="523"/>
      <c r="NL50" s="523"/>
      <c r="NM50" s="523"/>
      <c r="NN50" s="523"/>
      <c r="NO50" s="523"/>
      <c r="NP50" s="523"/>
      <c r="NQ50" s="523"/>
      <c r="NR50" s="523"/>
      <c r="NS50" s="523"/>
      <c r="NT50" s="523"/>
      <c r="NU50" s="523"/>
      <c r="NV50" s="523"/>
      <c r="NW50" s="523"/>
      <c r="NX50" s="523"/>
      <c r="NY50" s="523"/>
      <c r="NZ50" s="523"/>
      <c r="OA50" s="523"/>
      <c r="OB50" s="523"/>
      <c r="OC50" s="523"/>
      <c r="OD50" s="523"/>
      <c r="OE50" s="523"/>
      <c r="OF50" s="523"/>
      <c r="OG50" s="523"/>
      <c r="OH50" s="523"/>
      <c r="OI50" s="523"/>
      <c r="OJ50" s="523"/>
      <c r="OK50" s="523"/>
      <c r="OL50" s="523"/>
      <c r="OM50" s="523"/>
      <c r="ON50" s="523"/>
      <c r="OO50" s="523"/>
      <c r="OP50" s="523"/>
      <c r="OQ50" s="523"/>
      <c r="OR50" s="523"/>
      <c r="OS50" s="523"/>
      <c r="OT50" s="523"/>
      <c r="OU50" s="523"/>
      <c r="OV50" s="523"/>
      <c r="OW50" s="523"/>
      <c r="OX50" s="523"/>
      <c r="OY50" s="523"/>
      <c r="OZ50" s="523"/>
      <c r="PA50" s="523"/>
      <c r="PB50" s="523"/>
      <c r="PC50" s="523"/>
      <c r="PD50" s="523"/>
      <c r="PE50" s="523"/>
      <c r="PF50" s="523"/>
      <c r="PG50" s="523"/>
      <c r="PH50" s="523"/>
      <c r="PI50" s="523"/>
      <c r="PJ50" s="523"/>
      <c r="PK50" s="523"/>
      <c r="PL50" s="523"/>
      <c r="PM50" s="523"/>
      <c r="PN50" s="523"/>
      <c r="PO50" s="523"/>
      <c r="PP50" s="523"/>
      <c r="PQ50" s="523"/>
      <c r="PR50" s="523"/>
      <c r="PS50" s="523"/>
      <c r="PT50" s="523"/>
      <c r="PU50" s="523"/>
      <c r="PV50" s="523"/>
      <c r="PW50" s="523"/>
      <c r="PX50" s="523"/>
      <c r="PY50" s="523"/>
      <c r="PZ50" s="523"/>
      <c r="QA50" s="523"/>
      <c r="QB50" s="523"/>
      <c r="QC50" s="523"/>
      <c r="QD50" s="523"/>
      <c r="QE50" s="523"/>
      <c r="QF50" s="523"/>
      <c r="QG50" s="523"/>
      <c r="QH50" s="523"/>
      <c r="QI50" s="523"/>
      <c r="QJ50" s="523"/>
      <c r="QK50" s="523"/>
      <c r="QL50" s="523"/>
      <c r="QM50" s="523"/>
      <c r="QN50" s="523"/>
      <c r="QO50" s="523"/>
      <c r="QP50" s="523"/>
      <c r="QQ50" s="523"/>
      <c r="QR50" s="523"/>
      <c r="QS50" s="523"/>
      <c r="QT50" s="523"/>
      <c r="QU50" s="523"/>
      <c r="QV50" s="523"/>
      <c r="QW50" s="523"/>
      <c r="QX50" s="523"/>
      <c r="QY50" s="523"/>
      <c r="QZ50" s="523"/>
      <c r="RA50" s="523"/>
      <c r="RB50" s="523"/>
      <c r="RC50" s="523"/>
      <c r="RD50" s="523"/>
      <c r="RE50" s="523"/>
      <c r="RF50" s="523"/>
      <c r="RG50" s="523"/>
      <c r="RH50" s="523"/>
      <c r="RI50" s="523"/>
      <c r="RJ50" s="523"/>
      <c r="RK50" s="523"/>
      <c r="RL50" s="523"/>
      <c r="RM50" s="523"/>
      <c r="RN50" s="523"/>
      <c r="RO50" s="523"/>
      <c r="RP50" s="523"/>
      <c r="RQ50" s="523"/>
      <c r="RR50" s="523"/>
      <c r="RS50" s="523"/>
      <c r="RT50" s="523"/>
      <c r="RU50" s="523"/>
      <c r="RV50" s="523"/>
      <c r="RW50" s="523"/>
      <c r="RX50" s="523"/>
      <c r="RY50" s="523"/>
      <c r="RZ50" s="523"/>
      <c r="SA50" s="523"/>
      <c r="SB50" s="523"/>
      <c r="SC50" s="523"/>
      <c r="SD50" s="523"/>
      <c r="SE50" s="523"/>
      <c r="SF50" s="523"/>
      <c r="SG50" s="523"/>
      <c r="SH50" s="523"/>
      <c r="SI50" s="523"/>
      <c r="SJ50" s="523"/>
      <c r="SK50" s="523"/>
      <c r="SL50" s="523"/>
      <c r="SM50" s="523"/>
      <c r="SN50" s="523"/>
      <c r="SO50" s="523"/>
      <c r="SP50" s="523"/>
      <c r="SQ50" s="523"/>
      <c r="SR50" s="523"/>
      <c r="SS50" s="523"/>
      <c r="ST50" s="523"/>
      <c r="SU50" s="523"/>
      <c r="SV50" s="523"/>
      <c r="SW50" s="523"/>
      <c r="SX50" s="523"/>
      <c r="SY50" s="523"/>
      <c r="SZ50" s="523"/>
      <c r="TA50" s="523"/>
      <c r="TB50" s="523"/>
      <c r="TC50" s="523"/>
      <c r="TD50" s="523"/>
      <c r="TE50" s="523"/>
      <c r="TF50" s="523"/>
      <c r="TG50" s="523"/>
      <c r="TH50" s="523"/>
      <c r="TI50" s="523"/>
      <c r="TJ50" s="523"/>
      <c r="TK50" s="523"/>
      <c r="TL50" s="523"/>
      <c r="TM50" s="523"/>
      <c r="TN50" s="523"/>
      <c r="TO50" s="523"/>
      <c r="TP50" s="523"/>
      <c r="TQ50" s="523"/>
      <c r="TR50" s="523"/>
      <c r="TS50" s="523"/>
      <c r="TT50" s="523"/>
      <c r="TU50" s="523"/>
      <c r="TV50" s="523"/>
      <c r="TW50" s="523"/>
      <c r="TX50" s="523"/>
      <c r="TY50" s="523"/>
      <c r="TZ50" s="523"/>
      <c r="UA50" s="523"/>
      <c r="UB50" s="523"/>
      <c r="UC50" s="523"/>
      <c r="UD50" s="523"/>
      <c r="UE50" s="523"/>
      <c r="UF50" s="523"/>
      <c r="UG50" s="523"/>
      <c r="UH50" s="523"/>
      <c r="UI50" s="523"/>
      <c r="UJ50" s="523"/>
      <c r="UK50" s="523"/>
      <c r="UL50" s="523"/>
      <c r="UM50" s="523"/>
      <c r="UN50" s="523"/>
      <c r="UO50" s="523"/>
      <c r="UP50" s="523"/>
      <c r="UQ50" s="523"/>
      <c r="UR50" s="523"/>
      <c r="US50" s="523"/>
      <c r="UT50" s="523"/>
      <c r="UU50" s="523"/>
      <c r="UV50" s="523"/>
      <c r="UW50" s="523"/>
      <c r="UX50" s="523"/>
      <c r="UY50" s="523"/>
      <c r="UZ50" s="523"/>
      <c r="VA50" s="523"/>
      <c r="VB50" s="523"/>
      <c r="VC50" s="523"/>
      <c r="VD50" s="523"/>
      <c r="VE50" s="523"/>
      <c r="VF50" s="523"/>
      <c r="VG50" s="523"/>
      <c r="VH50" s="523"/>
      <c r="VI50" s="523"/>
      <c r="VJ50" s="523"/>
      <c r="VK50" s="523"/>
      <c r="VL50" s="523"/>
      <c r="VM50" s="523"/>
      <c r="VN50" s="523"/>
      <c r="VO50" s="523"/>
      <c r="VP50" s="523"/>
      <c r="VQ50" s="523"/>
      <c r="VR50" s="523"/>
      <c r="VS50" s="523"/>
      <c r="VT50" s="523"/>
      <c r="VU50" s="523"/>
      <c r="VV50" s="523"/>
      <c r="VW50" s="523"/>
      <c r="VX50" s="523"/>
      <c r="VY50" s="523"/>
      <c r="VZ50" s="523"/>
      <c r="WA50" s="523"/>
      <c r="WB50" s="523"/>
      <c r="WC50" s="523"/>
      <c r="WD50" s="523"/>
      <c r="WE50" s="523"/>
      <c r="WF50" s="523"/>
      <c r="WG50" s="523"/>
      <c r="WH50" s="523"/>
      <c r="WI50" s="523"/>
      <c r="WJ50" s="523"/>
      <c r="WK50" s="523"/>
      <c r="WL50" s="523"/>
      <c r="WM50" s="523"/>
      <c r="WN50" s="523"/>
      <c r="WO50" s="523"/>
      <c r="WP50" s="523"/>
      <c r="WQ50" s="523"/>
      <c r="WR50" s="523"/>
      <c r="WS50" s="523"/>
      <c r="WT50" s="523"/>
      <c r="WU50" s="523"/>
      <c r="WV50" s="523"/>
      <c r="WW50" s="523"/>
      <c r="WX50" s="523"/>
      <c r="WY50" s="523"/>
      <c r="WZ50" s="523"/>
      <c r="XA50" s="523"/>
      <c r="XB50" s="523"/>
      <c r="XC50" s="523"/>
      <c r="XD50" s="523"/>
      <c r="XE50" s="523"/>
      <c r="XF50" s="523"/>
      <c r="XG50" s="523"/>
      <c r="XH50" s="523"/>
      <c r="XI50" s="523"/>
      <c r="XJ50" s="523"/>
      <c r="XK50" s="523"/>
      <c r="XL50" s="523"/>
      <c r="XM50" s="523"/>
      <c r="XN50" s="523"/>
      <c r="XO50" s="523"/>
      <c r="XP50" s="523"/>
      <c r="XQ50" s="523"/>
      <c r="XR50" s="523"/>
      <c r="XS50" s="523"/>
      <c r="XT50" s="523"/>
      <c r="XU50" s="523"/>
      <c r="XV50" s="523"/>
      <c r="XW50" s="523"/>
      <c r="XX50" s="523"/>
      <c r="XY50" s="523"/>
      <c r="XZ50" s="523"/>
      <c r="YA50" s="523"/>
      <c r="YB50" s="523"/>
      <c r="YC50" s="523"/>
      <c r="YD50" s="523"/>
      <c r="YE50" s="523"/>
      <c r="YF50" s="523"/>
      <c r="YG50" s="523"/>
      <c r="YH50" s="523"/>
      <c r="YI50" s="523"/>
      <c r="YJ50" s="523"/>
      <c r="YK50" s="523"/>
      <c r="YL50" s="523"/>
      <c r="YM50" s="523"/>
      <c r="YN50" s="523"/>
      <c r="YO50" s="523"/>
      <c r="YP50" s="523"/>
      <c r="YQ50" s="523"/>
      <c r="YR50" s="523"/>
      <c r="YS50" s="523"/>
      <c r="YT50" s="523"/>
      <c r="YU50" s="523"/>
      <c r="YV50" s="523"/>
      <c r="YW50" s="523"/>
      <c r="YX50" s="523"/>
      <c r="YY50" s="523"/>
      <c r="YZ50" s="523"/>
      <c r="ZA50" s="523"/>
      <c r="ZB50" s="523"/>
      <c r="ZC50" s="523"/>
      <c r="ZD50" s="523"/>
      <c r="ZE50" s="523"/>
      <c r="ZF50" s="523"/>
      <c r="ZG50" s="523"/>
      <c r="ZH50" s="523"/>
      <c r="ZI50" s="523"/>
      <c r="ZJ50" s="523"/>
      <c r="ZK50" s="523"/>
      <c r="ZL50" s="523"/>
      <c r="ZM50" s="523"/>
      <c r="ZN50" s="523"/>
      <c r="ZO50" s="523"/>
      <c r="ZP50" s="523"/>
      <c r="ZQ50" s="523"/>
      <c r="ZR50" s="523"/>
      <c r="ZS50" s="523"/>
      <c r="ZT50" s="523"/>
      <c r="ZU50" s="523"/>
      <c r="ZV50" s="523"/>
      <c r="ZW50" s="523"/>
      <c r="ZX50" s="523"/>
      <c r="ZY50" s="523"/>
      <c r="ZZ50" s="523"/>
      <c r="AAA50" s="523"/>
      <c r="AAB50" s="523"/>
      <c r="AAC50" s="523"/>
      <c r="AAD50" s="523"/>
      <c r="AAE50" s="523"/>
      <c r="AAF50" s="523"/>
      <c r="AAG50" s="523"/>
      <c r="AAH50" s="523"/>
      <c r="AAI50" s="523"/>
      <c r="AAJ50" s="523"/>
      <c r="AAK50" s="523"/>
      <c r="AAL50" s="523"/>
      <c r="AAM50" s="523"/>
      <c r="AAN50" s="523"/>
      <c r="AAO50" s="523"/>
      <c r="AAP50" s="523"/>
      <c r="AAQ50" s="523"/>
      <c r="AAR50" s="523"/>
      <c r="AAS50" s="523"/>
      <c r="AAT50" s="523"/>
      <c r="AAU50" s="523"/>
      <c r="AAV50" s="523"/>
      <c r="AAW50" s="523"/>
      <c r="AAX50" s="523"/>
      <c r="AAY50" s="523"/>
      <c r="AAZ50" s="523"/>
      <c r="ABA50" s="523"/>
      <c r="ABB50" s="523"/>
      <c r="ABC50" s="523"/>
      <c r="ABD50" s="523"/>
      <c r="ABE50" s="523"/>
      <c r="ABF50" s="523"/>
      <c r="ABG50" s="523"/>
      <c r="ABH50" s="523"/>
      <c r="ABI50" s="523"/>
      <c r="ABJ50" s="523"/>
      <c r="ABK50" s="523"/>
      <c r="ABL50" s="523"/>
      <c r="ABM50" s="523"/>
      <c r="ABN50" s="523"/>
      <c r="ABO50" s="523"/>
      <c r="ABP50" s="523"/>
      <c r="ABQ50" s="523"/>
      <c r="ABR50" s="523"/>
      <c r="ABS50" s="523"/>
      <c r="ABT50" s="523"/>
      <c r="ABU50" s="523"/>
      <c r="ABV50" s="523"/>
      <c r="ABW50" s="523"/>
      <c r="ABX50" s="523"/>
      <c r="ABY50" s="523"/>
      <c r="ABZ50" s="523"/>
      <c r="ACA50" s="523"/>
      <c r="ACB50" s="523"/>
      <c r="ACC50" s="523"/>
      <c r="ACD50" s="523"/>
      <c r="ACE50" s="523"/>
      <c r="ACF50" s="523"/>
      <c r="ACG50" s="523"/>
      <c r="ACH50" s="523"/>
      <c r="ACI50" s="523"/>
      <c r="ACJ50" s="523"/>
      <c r="ACK50" s="523"/>
      <c r="ACL50" s="523"/>
      <c r="ACM50" s="523"/>
      <c r="ACN50" s="523"/>
      <c r="ACO50" s="523"/>
      <c r="ACP50" s="523"/>
      <c r="ACQ50" s="523"/>
      <c r="ACR50" s="523"/>
      <c r="ACS50" s="523"/>
      <c r="ACT50" s="523"/>
      <c r="ACU50" s="523"/>
      <c r="ACV50" s="523"/>
      <c r="ACW50" s="523"/>
      <c r="ACX50" s="523"/>
      <c r="ACY50" s="523"/>
      <c r="ACZ50" s="523"/>
      <c r="ADA50" s="523"/>
      <c r="ADB50" s="523"/>
      <c r="ADC50" s="523"/>
      <c r="ADD50" s="523"/>
      <c r="ADE50" s="523"/>
      <c r="ADF50" s="523"/>
      <c r="ADG50" s="523"/>
      <c r="ADH50" s="523"/>
      <c r="ADI50" s="523"/>
      <c r="ADJ50" s="523"/>
      <c r="ADK50" s="523"/>
      <c r="ADL50" s="523"/>
      <c r="ADM50" s="523"/>
      <c r="ADN50" s="523"/>
      <c r="ADO50" s="523"/>
      <c r="ADP50" s="523"/>
      <c r="ADQ50" s="523"/>
      <c r="ADR50" s="523"/>
      <c r="ADS50" s="523"/>
      <c r="ADT50" s="523"/>
      <c r="ADU50" s="523"/>
      <c r="ADV50" s="523"/>
      <c r="ADW50" s="523"/>
      <c r="ADX50" s="523"/>
      <c r="ADY50" s="523"/>
      <c r="ADZ50" s="523"/>
      <c r="AEA50" s="523"/>
      <c r="AEB50" s="523"/>
      <c r="AEC50" s="523"/>
      <c r="AED50" s="523"/>
      <c r="AEE50" s="523"/>
      <c r="AEF50" s="523"/>
      <c r="AEG50" s="523"/>
      <c r="AEH50" s="523"/>
      <c r="AEI50" s="523"/>
      <c r="AEJ50" s="523"/>
      <c r="AEK50" s="523"/>
      <c r="AEL50" s="523"/>
      <c r="AEM50" s="523"/>
      <c r="AEN50" s="523"/>
      <c r="AEO50" s="523"/>
      <c r="AEP50" s="523"/>
      <c r="AEQ50" s="523"/>
      <c r="AER50" s="523"/>
      <c r="AES50" s="523"/>
      <c r="AET50" s="523"/>
      <c r="AEU50" s="523"/>
      <c r="AEV50" s="523"/>
      <c r="AEW50" s="523"/>
      <c r="AEX50" s="523"/>
      <c r="AEY50" s="523"/>
      <c r="AEZ50" s="523"/>
      <c r="AFA50" s="523"/>
      <c r="AFB50" s="523"/>
      <c r="AFC50" s="523"/>
      <c r="AFD50" s="523"/>
      <c r="AFE50" s="523"/>
      <c r="AFF50" s="523"/>
      <c r="AFG50" s="523"/>
      <c r="AFH50" s="523"/>
      <c r="AFI50" s="523"/>
      <c r="AFJ50" s="523"/>
      <c r="AFK50" s="523"/>
      <c r="AFL50" s="523"/>
      <c r="AFM50" s="523"/>
      <c r="AFN50" s="523"/>
      <c r="AFO50" s="523"/>
      <c r="AFP50" s="523"/>
      <c r="AFQ50" s="523"/>
      <c r="AFR50" s="523"/>
      <c r="AFS50" s="523"/>
      <c r="AFT50" s="523"/>
      <c r="AFU50" s="523"/>
      <c r="AFV50" s="523"/>
      <c r="AFW50" s="523"/>
      <c r="AFX50" s="523"/>
      <c r="AFY50" s="523"/>
      <c r="AFZ50" s="523"/>
      <c r="AGA50" s="523"/>
      <c r="AGB50" s="523"/>
      <c r="AGC50" s="523"/>
      <c r="AGD50" s="523"/>
      <c r="AGE50" s="523"/>
      <c r="AGF50" s="523"/>
      <c r="AGG50" s="523"/>
      <c r="AGH50" s="523"/>
      <c r="AGI50" s="523"/>
      <c r="AGJ50" s="523"/>
      <c r="AGK50" s="523"/>
      <c r="AGL50" s="523"/>
      <c r="AGM50" s="523"/>
      <c r="AGN50" s="523"/>
      <c r="AGO50" s="523"/>
      <c r="AGP50" s="523"/>
      <c r="AGQ50" s="523"/>
      <c r="AGR50" s="523"/>
      <c r="AGS50" s="523"/>
      <c r="AGT50" s="523"/>
      <c r="AGU50" s="523"/>
      <c r="AGV50" s="523"/>
      <c r="AGW50" s="523"/>
      <c r="AGX50" s="523"/>
      <c r="AGY50" s="523"/>
      <c r="AGZ50" s="523"/>
      <c r="AHA50" s="523"/>
      <c r="AHB50" s="523"/>
      <c r="AHC50" s="523"/>
      <c r="AHD50" s="523"/>
      <c r="AHE50" s="523"/>
      <c r="AHF50" s="523"/>
      <c r="AHG50" s="523"/>
      <c r="AHH50" s="523"/>
      <c r="AHI50" s="523"/>
      <c r="AHJ50" s="523"/>
      <c r="AHK50" s="523"/>
      <c r="AHL50" s="523"/>
      <c r="AHM50" s="523"/>
      <c r="AHN50" s="523"/>
      <c r="AHO50" s="523"/>
      <c r="AHP50" s="523"/>
      <c r="AHQ50" s="523"/>
      <c r="AHR50" s="523"/>
      <c r="AHS50" s="523"/>
      <c r="AHT50" s="523"/>
      <c r="AHU50" s="523"/>
      <c r="AHV50" s="523"/>
      <c r="AHW50" s="523"/>
      <c r="AHX50" s="523"/>
      <c r="AHY50" s="523"/>
      <c r="AHZ50" s="523"/>
      <c r="AIA50" s="523"/>
      <c r="AIB50" s="523"/>
      <c r="AIC50" s="523"/>
      <c r="AID50" s="523"/>
      <c r="AIE50" s="523"/>
      <c r="AIF50" s="523"/>
      <c r="AIG50" s="523"/>
      <c r="AIH50" s="523"/>
      <c r="AII50" s="523"/>
      <c r="AIJ50" s="523"/>
      <c r="AIK50" s="523"/>
      <c r="AIL50" s="523"/>
      <c r="AIM50" s="523"/>
      <c r="AIN50" s="523"/>
      <c r="AIO50" s="523"/>
      <c r="AIP50" s="523"/>
      <c r="AIQ50" s="523"/>
      <c r="AIR50" s="523"/>
      <c r="AIS50" s="523"/>
      <c r="AIT50" s="523"/>
      <c r="AIU50" s="523"/>
      <c r="AIV50" s="523"/>
      <c r="AIW50" s="523"/>
      <c r="AIX50" s="523"/>
      <c r="AIY50" s="523"/>
      <c r="AIZ50" s="523"/>
      <c r="AJA50" s="523"/>
      <c r="AJB50" s="523"/>
      <c r="AJC50" s="523"/>
      <c r="AJD50" s="523"/>
      <c r="AJE50" s="523"/>
      <c r="AJF50" s="523"/>
      <c r="AJG50" s="523"/>
      <c r="AJH50" s="523"/>
      <c r="AJI50" s="523"/>
      <c r="AJJ50" s="523"/>
      <c r="AJK50" s="523"/>
      <c r="AJL50" s="523"/>
      <c r="AJM50" s="523"/>
      <c r="AJN50" s="523"/>
      <c r="AJO50" s="523"/>
      <c r="AJP50" s="523"/>
      <c r="AJQ50" s="523"/>
      <c r="AJR50" s="523"/>
      <c r="AJS50" s="523"/>
      <c r="AJT50" s="523"/>
      <c r="AJU50" s="523"/>
      <c r="AJV50" s="523"/>
      <c r="AJW50" s="523"/>
      <c r="AJX50" s="523"/>
      <c r="AJY50" s="523"/>
      <c r="AJZ50" s="523"/>
      <c r="AKA50" s="523"/>
      <c r="AKB50" s="523"/>
      <c r="AKC50" s="523"/>
      <c r="AKD50" s="523"/>
      <c r="AKE50" s="523"/>
      <c r="AKF50" s="523"/>
      <c r="AKG50" s="523"/>
      <c r="AKH50" s="523"/>
      <c r="AKI50" s="523"/>
      <c r="AKJ50" s="523"/>
      <c r="AKK50" s="523"/>
      <c r="AKL50" s="523"/>
      <c r="AKM50" s="523"/>
      <c r="AKN50" s="523"/>
      <c r="AKO50" s="523"/>
      <c r="AKP50" s="523"/>
      <c r="AKQ50" s="523"/>
      <c r="AKR50" s="523"/>
      <c r="AKS50" s="523"/>
      <c r="AKT50" s="523"/>
      <c r="AKU50" s="523"/>
      <c r="AKV50" s="523"/>
      <c r="AKW50" s="523"/>
      <c r="AKX50" s="523"/>
      <c r="AKY50" s="523"/>
      <c r="AKZ50" s="523"/>
      <c r="ALA50" s="523"/>
      <c r="ALB50" s="523"/>
      <c r="ALC50" s="523"/>
      <c r="ALD50" s="523"/>
      <c r="ALE50" s="523"/>
      <c r="ALF50" s="523"/>
      <c r="ALG50" s="523"/>
      <c r="ALH50" s="523"/>
      <c r="ALI50" s="523"/>
      <c r="ALJ50" s="523"/>
      <c r="ALK50" s="523"/>
      <c r="ALL50" s="523"/>
      <c r="ALM50" s="523"/>
      <c r="ALN50" s="523"/>
      <c r="ALO50" s="523"/>
      <c r="ALP50" s="523"/>
      <c r="ALQ50" s="523"/>
      <c r="ALR50" s="523"/>
      <c r="ALS50" s="523"/>
      <c r="ALT50" s="523"/>
      <c r="ALU50" s="523"/>
      <c r="ALV50" s="523"/>
      <c r="ALW50" s="523"/>
      <c r="ALX50" s="523"/>
      <c r="ALY50" s="523"/>
      <c r="ALZ50" s="523"/>
      <c r="AMA50" s="523"/>
      <c r="AMB50" s="523"/>
      <c r="AMC50" s="523"/>
      <c r="AMD50" s="523"/>
      <c r="AME50" s="523"/>
      <c r="AMF50" s="523"/>
      <c r="AMG50" s="523"/>
      <c r="AMH50" s="523"/>
      <c r="AMI50" s="523"/>
      <c r="AMJ50" s="523"/>
      <c r="AMK50" s="523"/>
      <c r="AML50" s="523"/>
      <c r="AMM50" s="523"/>
      <c r="AMN50" s="523"/>
      <c r="AMO50" s="523"/>
      <c r="AMP50" s="523"/>
      <c r="AMQ50" s="523"/>
      <c r="AMR50" s="523"/>
      <c r="AMS50" s="523"/>
      <c r="AMT50" s="523"/>
      <c r="AMU50" s="523"/>
      <c r="AMV50" s="523"/>
      <c r="AMW50" s="523"/>
      <c r="AMX50" s="523"/>
      <c r="AMY50" s="523"/>
      <c r="AMZ50" s="523"/>
      <c r="ANA50" s="523"/>
      <c r="ANB50" s="523"/>
      <c r="ANC50" s="523"/>
      <c r="AND50" s="523"/>
      <c r="ANE50" s="523"/>
      <c r="ANF50" s="523"/>
      <c r="ANG50" s="523"/>
      <c r="ANH50" s="523"/>
      <c r="ANI50" s="523"/>
      <c r="ANJ50" s="523"/>
      <c r="ANK50" s="523"/>
      <c r="ANL50" s="523"/>
      <c r="ANM50" s="523"/>
      <c r="ANN50" s="523"/>
      <c r="ANO50" s="523"/>
      <c r="ANP50" s="523"/>
      <c r="ANQ50" s="523"/>
      <c r="ANR50" s="523"/>
      <c r="ANS50" s="523"/>
      <c r="ANT50" s="523"/>
      <c r="ANU50" s="523"/>
      <c r="ANV50" s="523"/>
      <c r="ANW50" s="523"/>
      <c r="ANX50" s="523"/>
      <c r="ANY50" s="523"/>
      <c r="ANZ50" s="523"/>
      <c r="AOA50" s="523"/>
      <c r="AOB50" s="523"/>
      <c r="AOC50" s="523"/>
      <c r="AOD50" s="523"/>
      <c r="AOE50" s="523"/>
      <c r="AOF50" s="523"/>
      <c r="AOG50" s="523"/>
      <c r="AOH50" s="523"/>
      <c r="AOI50" s="523"/>
      <c r="AOJ50" s="523"/>
      <c r="AOK50" s="523"/>
      <c r="AOL50" s="523"/>
      <c r="AOM50" s="523"/>
      <c r="AON50" s="523"/>
      <c r="AOO50" s="523"/>
      <c r="AOP50" s="523"/>
      <c r="AOQ50" s="523"/>
      <c r="AOR50" s="523"/>
      <c r="AOS50" s="523"/>
      <c r="AOT50" s="523"/>
      <c r="AOU50" s="523"/>
      <c r="AOV50" s="523"/>
      <c r="AOW50" s="523"/>
      <c r="AOX50" s="523"/>
      <c r="AOY50" s="523"/>
      <c r="AOZ50" s="523"/>
      <c r="APA50" s="523"/>
      <c r="APB50" s="523"/>
      <c r="APC50" s="523"/>
      <c r="APD50" s="523"/>
      <c r="APE50" s="523"/>
      <c r="APF50" s="523"/>
      <c r="APG50" s="523"/>
      <c r="APH50" s="523"/>
      <c r="API50" s="523"/>
      <c r="APJ50" s="523"/>
      <c r="APK50" s="523"/>
      <c r="APL50" s="523"/>
      <c r="APM50" s="523"/>
      <c r="APN50" s="523"/>
      <c r="APO50" s="523"/>
      <c r="APP50" s="523"/>
      <c r="APQ50" s="523"/>
      <c r="APR50" s="523"/>
      <c r="APS50" s="523"/>
      <c r="APT50" s="523"/>
      <c r="APU50" s="523"/>
      <c r="APV50" s="523"/>
      <c r="APW50" s="523"/>
      <c r="APX50" s="523"/>
      <c r="APY50" s="523"/>
      <c r="APZ50" s="523"/>
      <c r="AQA50" s="523"/>
      <c r="AQB50" s="523"/>
      <c r="AQC50" s="523"/>
      <c r="AQD50" s="523"/>
      <c r="AQE50" s="523"/>
      <c r="AQF50" s="523"/>
      <c r="AQG50" s="523"/>
      <c r="AQH50" s="523"/>
      <c r="AQI50" s="523"/>
      <c r="AQJ50" s="523"/>
      <c r="AQK50" s="523"/>
      <c r="AQL50" s="523"/>
      <c r="AQM50" s="523"/>
      <c r="AQN50" s="523"/>
      <c r="AQO50" s="523"/>
      <c r="AQP50" s="523"/>
      <c r="AQQ50" s="523"/>
      <c r="AQR50" s="523"/>
      <c r="AQS50" s="523"/>
      <c r="AQT50" s="523"/>
      <c r="AQU50" s="523"/>
      <c r="AQV50" s="523"/>
      <c r="AQW50" s="523"/>
      <c r="AQX50" s="523"/>
      <c r="AQY50" s="523"/>
      <c r="AQZ50" s="523"/>
      <c r="ARA50" s="523"/>
      <c r="ARB50" s="523"/>
      <c r="ARC50" s="523"/>
      <c r="ARD50" s="523"/>
      <c r="ARE50" s="523"/>
      <c r="ARF50" s="523"/>
      <c r="ARG50" s="523"/>
      <c r="ARH50" s="523"/>
      <c r="ARI50" s="523"/>
      <c r="ARJ50" s="523"/>
      <c r="ARK50" s="523"/>
      <c r="ARL50" s="523"/>
      <c r="ARM50" s="523"/>
      <c r="ARN50" s="523"/>
      <c r="ARO50" s="523"/>
      <c r="ARP50" s="523"/>
      <c r="ARQ50" s="523"/>
      <c r="ARR50" s="523"/>
      <c r="ARS50" s="523"/>
      <c r="ART50" s="523"/>
      <c r="ARU50" s="523"/>
      <c r="ARV50" s="523"/>
      <c r="ARW50" s="523"/>
      <c r="ARX50" s="523"/>
      <c r="ARY50" s="523"/>
      <c r="ARZ50" s="523"/>
      <c r="ASA50" s="523"/>
      <c r="ASB50" s="523"/>
      <c r="ASC50" s="523"/>
      <c r="ASD50" s="523"/>
      <c r="ASE50" s="523"/>
      <c r="ASF50" s="523"/>
      <c r="ASG50" s="523"/>
      <c r="ASH50" s="523"/>
      <c r="ASI50" s="523"/>
      <c r="ASJ50" s="523"/>
      <c r="ASK50" s="523"/>
      <c r="ASL50" s="523"/>
      <c r="ASM50" s="523"/>
      <c r="ASN50" s="523"/>
      <c r="ASO50" s="523"/>
      <c r="ASP50" s="523"/>
      <c r="ASQ50" s="523"/>
      <c r="ASR50" s="523"/>
      <c r="ASS50" s="523"/>
      <c r="AST50" s="523"/>
      <c r="ASU50" s="523"/>
      <c r="ASV50" s="523"/>
      <c r="ASW50" s="523"/>
      <c r="ASX50" s="523"/>
      <c r="ASY50" s="523"/>
      <c r="ASZ50" s="523"/>
      <c r="ATA50" s="523"/>
      <c r="ATB50" s="523"/>
      <c r="ATC50" s="523"/>
      <c r="ATD50" s="523"/>
      <c r="ATE50" s="523"/>
      <c r="ATF50" s="523"/>
      <c r="ATG50" s="523"/>
      <c r="ATH50" s="523"/>
      <c r="ATI50" s="523"/>
      <c r="ATJ50" s="523"/>
      <c r="ATK50" s="523"/>
      <c r="ATL50" s="523"/>
      <c r="ATM50" s="523"/>
      <c r="ATN50" s="523"/>
      <c r="ATO50" s="523"/>
      <c r="ATP50" s="523"/>
      <c r="ATQ50" s="523"/>
      <c r="ATR50" s="523"/>
      <c r="ATS50" s="523"/>
      <c r="ATT50" s="523"/>
      <c r="ATU50" s="523"/>
      <c r="ATV50" s="523"/>
      <c r="ATW50" s="523"/>
      <c r="ATX50" s="523"/>
      <c r="ATY50" s="523"/>
      <c r="ATZ50" s="523"/>
      <c r="AUA50" s="523"/>
      <c r="AUB50" s="523"/>
      <c r="AUC50" s="523"/>
      <c r="AUD50" s="523"/>
      <c r="AUE50" s="523"/>
      <c r="AUF50" s="523"/>
      <c r="AUG50" s="523"/>
      <c r="AUH50" s="523"/>
      <c r="AUI50" s="523"/>
      <c r="AUJ50" s="523"/>
      <c r="AUK50" s="523"/>
      <c r="AUL50" s="523"/>
      <c r="AUM50" s="523"/>
      <c r="AUN50" s="523"/>
      <c r="AUO50" s="523"/>
      <c r="AUP50" s="523"/>
      <c r="AUQ50" s="523"/>
      <c r="AUR50" s="523"/>
      <c r="AUS50" s="523"/>
      <c r="AUT50" s="523"/>
      <c r="AUU50" s="523"/>
      <c r="AUV50" s="523"/>
      <c r="AUW50" s="523"/>
      <c r="AUX50" s="523"/>
      <c r="AUY50" s="523"/>
      <c r="AUZ50" s="523"/>
      <c r="AVA50" s="523"/>
      <c r="AVB50" s="523"/>
      <c r="AVC50" s="523"/>
      <c r="AVD50" s="523"/>
      <c r="AVE50" s="523"/>
      <c r="AVF50" s="523"/>
      <c r="AVG50" s="523"/>
      <c r="AVH50" s="523"/>
      <c r="AVI50" s="523"/>
      <c r="AVJ50" s="523"/>
      <c r="AVK50" s="523"/>
      <c r="AVL50" s="523"/>
      <c r="AVM50" s="523"/>
      <c r="AVN50" s="523"/>
      <c r="AVO50" s="523"/>
      <c r="AVP50" s="523"/>
      <c r="AVQ50" s="523"/>
      <c r="AVR50" s="523"/>
      <c r="AVS50" s="523"/>
      <c r="AVT50" s="523"/>
      <c r="AVU50" s="523"/>
      <c r="AVV50" s="523"/>
      <c r="AVW50" s="523"/>
      <c r="AVX50" s="523"/>
      <c r="AVY50" s="523"/>
      <c r="AVZ50" s="523"/>
      <c r="AWA50" s="523"/>
      <c r="AWB50" s="523"/>
      <c r="AWC50" s="523"/>
      <c r="AWD50" s="523"/>
      <c r="AWE50" s="523"/>
      <c r="AWF50" s="523"/>
      <c r="AWG50" s="523"/>
      <c r="AWH50" s="523"/>
      <c r="AWI50" s="523"/>
      <c r="AWJ50" s="523"/>
      <c r="AWK50" s="523"/>
      <c r="AWL50" s="523"/>
      <c r="AWM50" s="523"/>
      <c r="AWN50" s="523"/>
      <c r="AWO50" s="523"/>
      <c r="AWP50" s="523"/>
      <c r="AWQ50" s="523"/>
      <c r="AWR50" s="523"/>
      <c r="AWS50" s="523"/>
      <c r="AWT50" s="523"/>
      <c r="AWU50" s="523"/>
      <c r="AWV50" s="523"/>
      <c r="AWW50" s="523"/>
      <c r="AWX50" s="523"/>
      <c r="AWY50" s="523"/>
      <c r="AWZ50" s="523"/>
      <c r="AXA50" s="523"/>
      <c r="AXB50" s="523"/>
      <c r="AXC50" s="523"/>
      <c r="AXD50" s="523"/>
      <c r="AXE50" s="523"/>
      <c r="AXF50" s="523"/>
      <c r="AXG50" s="523"/>
      <c r="AXH50" s="523"/>
      <c r="AXI50" s="523"/>
      <c r="AXJ50" s="523"/>
      <c r="AXK50" s="523"/>
      <c r="AXL50" s="523"/>
      <c r="AXM50" s="523"/>
      <c r="AXN50" s="523"/>
      <c r="AXO50" s="523"/>
      <c r="AXP50" s="523"/>
      <c r="AXQ50" s="523"/>
      <c r="AXR50" s="523"/>
      <c r="AXS50" s="523"/>
      <c r="AXT50" s="523"/>
      <c r="AXU50" s="523"/>
      <c r="AXV50" s="523"/>
      <c r="AXW50" s="523"/>
      <c r="AXX50" s="523"/>
      <c r="AXY50" s="523"/>
      <c r="AXZ50" s="523"/>
      <c r="AYA50" s="523"/>
      <c r="AYB50" s="523"/>
      <c r="AYC50" s="523"/>
      <c r="AYD50" s="523"/>
      <c r="AYE50" s="523"/>
      <c r="AYF50" s="523"/>
      <c r="AYG50" s="523"/>
      <c r="AYH50" s="523"/>
      <c r="AYI50" s="523"/>
      <c r="AYJ50" s="523"/>
      <c r="AYK50" s="523"/>
      <c r="AYL50" s="523"/>
      <c r="AYM50" s="523"/>
      <c r="AYN50" s="523"/>
      <c r="AYO50" s="523"/>
      <c r="AYP50" s="523"/>
      <c r="AYQ50" s="523"/>
      <c r="AYR50" s="523"/>
      <c r="AYS50" s="523"/>
      <c r="AYT50" s="523"/>
      <c r="AYU50" s="523"/>
      <c r="AYV50" s="523"/>
      <c r="AYW50" s="523"/>
      <c r="AYX50" s="523"/>
      <c r="AYY50" s="523"/>
      <c r="AYZ50" s="523"/>
      <c r="AZA50" s="523"/>
      <c r="AZB50" s="523"/>
      <c r="AZC50" s="523"/>
      <c r="AZD50" s="523"/>
      <c r="AZE50" s="523"/>
      <c r="AZF50" s="523"/>
      <c r="AZG50" s="523"/>
      <c r="AZH50" s="523"/>
      <c r="AZI50" s="523"/>
      <c r="AZJ50" s="523"/>
      <c r="AZK50" s="523"/>
      <c r="AZL50" s="523"/>
      <c r="AZM50" s="523"/>
      <c r="AZN50" s="523"/>
      <c r="AZO50" s="523"/>
      <c r="AZP50" s="523"/>
      <c r="AZQ50" s="523"/>
      <c r="AZR50" s="523"/>
      <c r="AZS50" s="523"/>
      <c r="AZT50" s="523"/>
      <c r="AZU50" s="523"/>
      <c r="AZV50" s="523"/>
      <c r="AZW50" s="523"/>
      <c r="AZX50" s="523"/>
      <c r="AZY50" s="523"/>
      <c r="AZZ50" s="523"/>
      <c r="BAA50" s="523"/>
      <c r="BAB50" s="523"/>
      <c r="BAC50" s="523"/>
      <c r="BAD50" s="523"/>
      <c r="BAE50" s="523"/>
      <c r="BAF50" s="523"/>
      <c r="BAG50" s="523"/>
      <c r="BAH50" s="523"/>
      <c r="BAI50" s="523"/>
      <c r="BAJ50" s="523"/>
      <c r="BAK50" s="523"/>
      <c r="BAL50" s="523"/>
      <c r="BAM50" s="523"/>
      <c r="BAN50" s="523"/>
      <c r="BAO50" s="523"/>
      <c r="BAP50" s="523"/>
      <c r="BAQ50" s="523"/>
      <c r="BAR50" s="523"/>
      <c r="BAS50" s="523"/>
      <c r="BAT50" s="523"/>
      <c r="BAU50" s="523"/>
      <c r="BAV50" s="523"/>
      <c r="BAW50" s="523"/>
      <c r="BAX50" s="523"/>
      <c r="BAY50" s="523"/>
      <c r="BAZ50" s="523"/>
      <c r="BBA50" s="523"/>
      <c r="BBB50" s="523"/>
      <c r="BBC50" s="523"/>
      <c r="BBD50" s="523"/>
      <c r="BBE50" s="523"/>
      <c r="BBF50" s="523"/>
      <c r="BBG50" s="523"/>
      <c r="BBH50" s="523"/>
      <c r="BBI50" s="523"/>
      <c r="BBJ50" s="523"/>
      <c r="BBK50" s="523"/>
      <c r="BBL50" s="523"/>
      <c r="BBM50" s="523"/>
      <c r="BBN50" s="523"/>
      <c r="BBO50" s="523"/>
      <c r="BBP50" s="523"/>
      <c r="BBQ50" s="523"/>
      <c r="BBR50" s="523"/>
      <c r="BBS50" s="523"/>
      <c r="BBT50" s="523"/>
      <c r="BBU50" s="523"/>
      <c r="BBV50" s="523"/>
      <c r="BBW50" s="523"/>
      <c r="BBX50" s="523"/>
      <c r="BBY50" s="523"/>
      <c r="BBZ50" s="523"/>
      <c r="BCA50" s="523"/>
      <c r="BCB50" s="523"/>
      <c r="BCC50" s="523"/>
      <c r="BCD50" s="523"/>
      <c r="BCE50" s="523"/>
      <c r="BCF50" s="523"/>
      <c r="BCG50" s="523"/>
      <c r="BCH50" s="523"/>
      <c r="BCI50" s="523"/>
      <c r="BCJ50" s="523"/>
      <c r="BCK50" s="523"/>
      <c r="BCL50" s="523"/>
      <c r="BCM50" s="523"/>
      <c r="BCN50" s="523"/>
      <c r="BCO50" s="523"/>
      <c r="BCP50" s="523"/>
      <c r="BCQ50" s="523"/>
      <c r="BCR50" s="523"/>
      <c r="BCS50" s="523"/>
      <c r="BCT50" s="523"/>
      <c r="BCU50" s="523"/>
      <c r="BCV50" s="523"/>
      <c r="BCW50" s="523"/>
      <c r="BCX50" s="523"/>
      <c r="BCY50" s="523"/>
      <c r="BCZ50" s="523"/>
      <c r="BDA50" s="523"/>
      <c r="BDB50" s="523"/>
      <c r="BDC50" s="523"/>
      <c r="BDD50" s="523"/>
      <c r="BDE50" s="523"/>
      <c r="BDF50" s="523"/>
      <c r="BDG50" s="523"/>
      <c r="BDH50" s="523"/>
      <c r="BDI50" s="523"/>
      <c r="BDJ50" s="523"/>
      <c r="BDK50" s="523"/>
      <c r="BDL50" s="523"/>
      <c r="BDM50" s="523"/>
      <c r="BDN50" s="523"/>
      <c r="BDO50" s="523"/>
      <c r="BDP50" s="523"/>
      <c r="BDQ50" s="523"/>
      <c r="BDR50" s="523"/>
      <c r="BDS50" s="523"/>
      <c r="BDT50" s="523"/>
      <c r="BDU50" s="523"/>
      <c r="BDV50" s="523"/>
      <c r="BDW50" s="523"/>
      <c r="BDX50" s="523"/>
      <c r="BDY50" s="523"/>
      <c r="BDZ50" s="523"/>
      <c r="BEA50" s="523"/>
      <c r="BEB50" s="523"/>
      <c r="BEC50" s="523"/>
      <c r="BED50" s="523"/>
      <c r="BEE50" s="523"/>
      <c r="BEF50" s="523"/>
      <c r="BEG50" s="523"/>
      <c r="BEH50" s="523"/>
      <c r="BEI50" s="523"/>
      <c r="BEJ50" s="523"/>
      <c r="BEK50" s="523"/>
      <c r="BEL50" s="523"/>
      <c r="BEM50" s="523"/>
      <c r="BEN50" s="523"/>
      <c r="BEO50" s="523"/>
      <c r="BEP50" s="523"/>
      <c r="BEQ50" s="523"/>
      <c r="BER50" s="523"/>
      <c r="BES50" s="523"/>
      <c r="BET50" s="523"/>
      <c r="BEU50" s="523"/>
      <c r="BEV50" s="523"/>
      <c r="BEW50" s="523"/>
      <c r="BEX50" s="523"/>
      <c r="BEY50" s="523"/>
      <c r="BEZ50" s="523"/>
      <c r="BFA50" s="523"/>
      <c r="BFB50" s="523"/>
      <c r="BFC50" s="523"/>
      <c r="BFD50" s="523"/>
      <c r="BFE50" s="523"/>
      <c r="BFF50" s="523"/>
      <c r="BFG50" s="523"/>
      <c r="BFH50" s="523"/>
      <c r="BFI50" s="523"/>
      <c r="BFJ50" s="523"/>
      <c r="BFK50" s="523"/>
      <c r="BFL50" s="523"/>
      <c r="BFM50" s="523"/>
      <c r="BFN50" s="523"/>
      <c r="BFO50" s="523"/>
      <c r="BFP50" s="523"/>
      <c r="BFQ50" s="523"/>
      <c r="BFR50" s="523"/>
      <c r="BFS50" s="523"/>
      <c r="BFT50" s="523"/>
      <c r="BFU50" s="523"/>
      <c r="BFV50" s="523"/>
      <c r="BFW50" s="523"/>
      <c r="BFX50" s="523"/>
      <c r="BFY50" s="523"/>
      <c r="BFZ50" s="523"/>
      <c r="BGA50" s="523"/>
      <c r="BGB50" s="523"/>
      <c r="BGC50" s="523"/>
      <c r="BGD50" s="523"/>
      <c r="BGE50" s="523"/>
      <c r="BGF50" s="523"/>
      <c r="BGG50" s="523"/>
      <c r="BGH50" s="523"/>
      <c r="BGI50" s="523"/>
      <c r="BGJ50" s="523"/>
      <c r="BGK50" s="523"/>
      <c r="BGL50" s="523"/>
      <c r="BGM50" s="523"/>
      <c r="BGN50" s="523"/>
      <c r="BGO50" s="523"/>
      <c r="BGP50" s="523"/>
      <c r="BGQ50" s="523"/>
      <c r="BGR50" s="523"/>
      <c r="BGS50" s="523"/>
      <c r="BGT50" s="523"/>
      <c r="BGU50" s="523"/>
      <c r="BGV50" s="523"/>
      <c r="BGW50" s="523"/>
      <c r="BGX50" s="523"/>
      <c r="BGY50" s="523"/>
      <c r="BGZ50" s="523"/>
      <c r="BHA50" s="523"/>
      <c r="BHB50" s="523"/>
      <c r="BHC50" s="523"/>
      <c r="BHD50" s="523"/>
      <c r="BHE50" s="523"/>
      <c r="BHF50" s="523"/>
      <c r="BHG50" s="523"/>
      <c r="BHH50" s="523"/>
      <c r="BHI50" s="523"/>
      <c r="BHJ50" s="523"/>
      <c r="BHK50" s="523"/>
      <c r="BHL50" s="523"/>
      <c r="BHM50" s="523"/>
      <c r="BHN50" s="523"/>
      <c r="BHO50" s="523"/>
      <c r="BHP50" s="523"/>
      <c r="BHQ50" s="523"/>
      <c r="BHR50" s="523"/>
      <c r="BHS50" s="523"/>
      <c r="BHT50" s="523"/>
      <c r="BHU50" s="523"/>
      <c r="BHV50" s="523"/>
      <c r="BHW50" s="523"/>
      <c r="BHX50" s="523"/>
      <c r="BHY50" s="523"/>
      <c r="BHZ50" s="523"/>
      <c r="BIA50" s="523"/>
      <c r="BIB50" s="523"/>
      <c r="BIC50" s="523"/>
      <c r="BID50" s="523"/>
      <c r="BIE50" s="523"/>
      <c r="BIF50" s="523"/>
      <c r="BIG50" s="523"/>
      <c r="BIH50" s="523"/>
      <c r="BII50" s="523"/>
      <c r="BIJ50" s="523"/>
      <c r="BIK50" s="523"/>
      <c r="BIL50" s="523"/>
      <c r="BIM50" s="523"/>
      <c r="BIN50" s="523"/>
      <c r="BIO50" s="523"/>
      <c r="BIP50" s="523"/>
      <c r="BIQ50" s="523"/>
      <c r="BIR50" s="523"/>
      <c r="BIS50" s="523"/>
      <c r="BIT50" s="523"/>
      <c r="BIU50" s="523"/>
      <c r="BIV50" s="523"/>
      <c r="BIW50" s="523"/>
      <c r="BIX50" s="523"/>
      <c r="BIY50" s="523"/>
      <c r="BIZ50" s="523"/>
      <c r="BJA50" s="523"/>
      <c r="BJB50" s="523"/>
      <c r="BJC50" s="523"/>
      <c r="BJD50" s="523"/>
      <c r="BJE50" s="523"/>
      <c r="BJF50" s="523"/>
      <c r="BJG50" s="523"/>
      <c r="BJH50" s="523"/>
      <c r="BJI50" s="523"/>
      <c r="BJJ50" s="523"/>
      <c r="BJK50" s="523"/>
      <c r="BJL50" s="523"/>
      <c r="BJM50" s="523"/>
      <c r="BJN50" s="523"/>
      <c r="BJO50" s="523"/>
      <c r="BJP50" s="523"/>
      <c r="BJQ50" s="523"/>
      <c r="BJR50" s="523"/>
      <c r="BJS50" s="523"/>
      <c r="BJT50" s="523"/>
      <c r="BJU50" s="523"/>
      <c r="BJV50" s="523"/>
      <c r="BJW50" s="523"/>
      <c r="BJX50" s="523"/>
      <c r="BJY50" s="523"/>
      <c r="BJZ50" s="523"/>
      <c r="BKA50" s="523"/>
      <c r="BKB50" s="523"/>
      <c r="BKC50" s="523"/>
      <c r="BKD50" s="523"/>
      <c r="BKE50" s="523"/>
      <c r="BKF50" s="523"/>
      <c r="BKG50" s="523"/>
      <c r="BKH50" s="523"/>
      <c r="BKI50" s="523"/>
      <c r="BKJ50" s="523"/>
      <c r="BKK50" s="523"/>
      <c r="BKL50" s="523"/>
      <c r="BKM50" s="523"/>
      <c r="BKN50" s="523"/>
      <c r="BKO50" s="523"/>
      <c r="BKP50" s="523"/>
      <c r="BKQ50" s="523"/>
      <c r="BKR50" s="523"/>
      <c r="BKS50" s="523"/>
      <c r="BKT50" s="523"/>
      <c r="BKU50" s="523"/>
      <c r="BKV50" s="523"/>
      <c r="BKW50" s="523"/>
      <c r="BKX50" s="523"/>
      <c r="BKY50" s="523"/>
      <c r="BKZ50" s="523"/>
      <c r="BLA50" s="523"/>
      <c r="BLB50" s="523"/>
      <c r="BLC50" s="523"/>
      <c r="BLD50" s="523"/>
      <c r="BLE50" s="523"/>
      <c r="BLF50" s="523"/>
      <c r="BLG50" s="523"/>
      <c r="BLH50" s="523"/>
      <c r="BLI50" s="523"/>
      <c r="BLJ50" s="523"/>
      <c r="BLK50" s="523"/>
      <c r="BLL50" s="523"/>
      <c r="BLM50" s="523"/>
      <c r="BLN50" s="523"/>
      <c r="BLO50" s="523"/>
      <c r="BLP50" s="523"/>
      <c r="BLQ50" s="523"/>
      <c r="BLR50" s="523"/>
      <c r="BLS50" s="523"/>
      <c r="BLT50" s="523"/>
      <c r="BLU50" s="523"/>
      <c r="BLV50" s="523"/>
      <c r="BLW50" s="523"/>
      <c r="BLX50" s="523"/>
      <c r="BLY50" s="523"/>
      <c r="BLZ50" s="523"/>
      <c r="BMA50" s="523"/>
      <c r="BMB50" s="523"/>
      <c r="BMC50" s="523"/>
      <c r="BMD50" s="523"/>
      <c r="BME50" s="523"/>
      <c r="BMF50" s="523"/>
      <c r="BMG50" s="523"/>
      <c r="BMH50" s="523"/>
      <c r="BMI50" s="523"/>
      <c r="BMJ50" s="523"/>
      <c r="BMK50" s="523"/>
      <c r="BML50" s="523"/>
      <c r="BMM50" s="523"/>
      <c r="BMN50" s="523"/>
      <c r="BMO50" s="523"/>
      <c r="BMP50" s="523"/>
      <c r="BMQ50" s="523"/>
      <c r="BMR50" s="523"/>
      <c r="BMS50" s="523"/>
      <c r="BMT50" s="523"/>
      <c r="BMU50" s="523"/>
      <c r="BMV50" s="523"/>
      <c r="BMW50" s="523"/>
      <c r="BMX50" s="523"/>
      <c r="BMY50" s="523"/>
      <c r="BMZ50" s="523"/>
      <c r="BNA50" s="523"/>
      <c r="BNB50" s="523"/>
      <c r="BNC50" s="523"/>
      <c r="BND50" s="523"/>
      <c r="BNE50" s="523"/>
      <c r="BNF50" s="523"/>
      <c r="BNG50" s="523"/>
      <c r="BNH50" s="523"/>
      <c r="BNI50" s="523"/>
      <c r="BNJ50" s="523"/>
      <c r="BNK50" s="523"/>
      <c r="BNL50" s="523"/>
      <c r="BNM50" s="523"/>
      <c r="BNN50" s="523"/>
      <c r="BNO50" s="523"/>
      <c r="BNP50" s="523"/>
      <c r="BNQ50" s="523"/>
      <c r="BNR50" s="523"/>
      <c r="BNS50" s="523"/>
      <c r="BNT50" s="523"/>
      <c r="BNU50" s="523"/>
      <c r="BNV50" s="523"/>
      <c r="BNW50" s="523"/>
      <c r="BNX50" s="523"/>
      <c r="BNY50" s="523"/>
      <c r="BNZ50" s="523"/>
      <c r="BOA50" s="523"/>
      <c r="BOB50" s="523"/>
      <c r="BOC50" s="523"/>
      <c r="BOD50" s="523"/>
      <c r="BOE50" s="523"/>
      <c r="BOF50" s="523"/>
      <c r="BOG50" s="523"/>
      <c r="BOH50" s="523"/>
      <c r="BOI50" s="523"/>
      <c r="BOJ50" s="523"/>
      <c r="BOK50" s="523"/>
      <c r="BOL50" s="523"/>
      <c r="BOM50" s="523"/>
      <c r="BON50" s="523"/>
      <c r="BOO50" s="523"/>
      <c r="BOP50" s="523"/>
      <c r="BOQ50" s="523"/>
      <c r="BOR50" s="523"/>
      <c r="BOS50" s="523"/>
      <c r="BOT50" s="523"/>
      <c r="BOU50" s="523"/>
      <c r="BOV50" s="523"/>
      <c r="BOW50" s="523"/>
      <c r="BOX50" s="523"/>
      <c r="BOY50" s="523"/>
      <c r="BOZ50" s="523"/>
      <c r="BPA50" s="523"/>
      <c r="BPB50" s="523"/>
      <c r="BPC50" s="523"/>
      <c r="BPD50" s="523"/>
      <c r="BPE50" s="523"/>
      <c r="BPF50" s="523"/>
      <c r="BPG50" s="523"/>
      <c r="BPH50" s="523"/>
      <c r="BPI50" s="523"/>
      <c r="BPJ50" s="523"/>
      <c r="BPK50" s="523"/>
      <c r="BPL50" s="523"/>
      <c r="BPM50" s="523"/>
      <c r="BPN50" s="523"/>
      <c r="BPO50" s="523"/>
      <c r="BPP50" s="523"/>
      <c r="BPQ50" s="523"/>
      <c r="BPR50" s="523"/>
      <c r="BPS50" s="523"/>
      <c r="BPT50" s="523"/>
      <c r="BPU50" s="523"/>
      <c r="BPV50" s="523"/>
      <c r="BPW50" s="523"/>
      <c r="BPX50" s="523"/>
      <c r="BPY50" s="523"/>
      <c r="BPZ50" s="523"/>
      <c r="BQA50" s="523"/>
      <c r="BQB50" s="523"/>
      <c r="BQC50" s="523"/>
      <c r="BQD50" s="523"/>
      <c r="BQE50" s="523"/>
      <c r="BQF50" s="523"/>
      <c r="BQG50" s="523"/>
      <c r="BQH50" s="523"/>
      <c r="BQI50" s="523"/>
      <c r="BQJ50" s="523"/>
      <c r="BQK50" s="523"/>
      <c r="BQL50" s="523"/>
      <c r="BQM50" s="523"/>
      <c r="BQN50" s="523"/>
      <c r="BQO50" s="523"/>
      <c r="BQP50" s="523"/>
      <c r="BQQ50" s="523"/>
      <c r="BQR50" s="523"/>
      <c r="BQS50" s="523"/>
      <c r="BQT50" s="523"/>
      <c r="BQU50" s="523"/>
      <c r="BQV50" s="523"/>
      <c r="BQW50" s="523"/>
      <c r="BQX50" s="523"/>
      <c r="BQY50" s="523"/>
      <c r="BQZ50" s="523"/>
      <c r="BRA50" s="523"/>
      <c r="BRB50" s="523"/>
      <c r="BRC50" s="523"/>
      <c r="BRD50" s="523"/>
      <c r="BRE50" s="523"/>
      <c r="BRF50" s="523"/>
      <c r="BRG50" s="523"/>
      <c r="BRH50" s="523"/>
      <c r="BRI50" s="523"/>
      <c r="BRJ50" s="523"/>
      <c r="BRK50" s="523"/>
      <c r="BRL50" s="523"/>
      <c r="BRM50" s="523"/>
      <c r="BRN50" s="523"/>
      <c r="BRO50" s="523"/>
      <c r="BRP50" s="523"/>
      <c r="BRQ50" s="523"/>
      <c r="BRR50" s="523"/>
      <c r="BRS50" s="523"/>
      <c r="BRT50" s="523"/>
      <c r="BRU50" s="523"/>
      <c r="BRV50" s="523"/>
      <c r="BRW50" s="523"/>
      <c r="BRX50" s="523"/>
      <c r="BRY50" s="523"/>
      <c r="BRZ50" s="523"/>
      <c r="BSA50" s="523"/>
      <c r="BSB50" s="523"/>
      <c r="BSC50" s="523"/>
      <c r="BSD50" s="523"/>
      <c r="BSE50" s="523"/>
      <c r="BSF50" s="523"/>
      <c r="BSG50" s="523"/>
      <c r="BSH50" s="523"/>
      <c r="BSI50" s="523"/>
      <c r="BSJ50" s="523"/>
      <c r="BSK50" s="523"/>
      <c r="BSL50" s="523"/>
      <c r="BSM50" s="523"/>
      <c r="BSN50" s="523"/>
      <c r="BSO50" s="523"/>
      <c r="BSP50" s="523"/>
      <c r="BSQ50" s="523"/>
      <c r="BSR50" s="523"/>
      <c r="BSS50" s="523"/>
      <c r="BST50" s="523"/>
      <c r="BSU50" s="523"/>
      <c r="BSV50" s="523"/>
      <c r="BSW50" s="523"/>
      <c r="BSX50" s="523"/>
      <c r="BSY50" s="523"/>
      <c r="BSZ50" s="523"/>
      <c r="BTA50" s="523"/>
      <c r="BTB50" s="523"/>
      <c r="BTC50" s="523"/>
      <c r="BTD50" s="523"/>
      <c r="BTE50" s="523"/>
      <c r="BTF50" s="523"/>
      <c r="BTG50" s="523"/>
      <c r="BTH50" s="523"/>
      <c r="BTI50" s="523"/>
      <c r="BTJ50" s="523"/>
      <c r="BTK50" s="523"/>
      <c r="BTL50" s="523"/>
      <c r="BTM50" s="523"/>
      <c r="BTN50" s="523"/>
      <c r="BTO50" s="523"/>
      <c r="BTP50" s="523"/>
      <c r="BTQ50" s="523"/>
      <c r="BTR50" s="523"/>
      <c r="BTS50" s="523"/>
      <c r="BTT50" s="523"/>
      <c r="BTU50" s="523"/>
      <c r="BTV50" s="523"/>
      <c r="BTW50" s="523"/>
      <c r="BTX50" s="523"/>
      <c r="BTY50" s="523"/>
      <c r="BTZ50" s="523"/>
      <c r="BUA50" s="523"/>
      <c r="BUB50" s="523"/>
      <c r="BUC50" s="523"/>
      <c r="BUD50" s="523"/>
      <c r="BUE50" s="523"/>
      <c r="BUF50" s="523"/>
      <c r="BUG50" s="523"/>
      <c r="BUH50" s="523"/>
      <c r="BUI50" s="523"/>
      <c r="BUJ50" s="523"/>
      <c r="BUK50" s="523"/>
      <c r="BUL50" s="523"/>
      <c r="BUM50" s="523"/>
      <c r="BUN50" s="523"/>
      <c r="BUO50" s="523"/>
      <c r="BUP50" s="523"/>
      <c r="BUQ50" s="523"/>
      <c r="BUR50" s="523"/>
      <c r="BUS50" s="523"/>
      <c r="BUT50" s="523"/>
      <c r="BUU50" s="523"/>
      <c r="BUV50" s="523"/>
      <c r="BUW50" s="523"/>
      <c r="BUX50" s="523"/>
      <c r="BUY50" s="523"/>
      <c r="BUZ50" s="523"/>
      <c r="BVA50" s="523"/>
      <c r="BVB50" s="523"/>
      <c r="BVC50" s="523"/>
      <c r="BVD50" s="523"/>
      <c r="BVE50" s="523"/>
      <c r="BVF50" s="523"/>
      <c r="BVG50" s="523"/>
      <c r="BVH50" s="523"/>
      <c r="BVI50" s="523"/>
      <c r="BVJ50" s="523"/>
      <c r="BVK50" s="523"/>
      <c r="BVL50" s="523"/>
      <c r="BVM50" s="523"/>
      <c r="BVN50" s="523"/>
      <c r="BVO50" s="523"/>
      <c r="BVP50" s="523"/>
      <c r="BVQ50" s="523"/>
      <c r="BVR50" s="523"/>
      <c r="BVS50" s="523"/>
      <c r="BVT50" s="523"/>
      <c r="BVU50" s="523"/>
      <c r="BVV50" s="523"/>
      <c r="BVW50" s="523"/>
      <c r="BVX50" s="523"/>
      <c r="BVY50" s="523"/>
      <c r="BVZ50" s="523"/>
      <c r="BWA50" s="523"/>
      <c r="BWB50" s="523"/>
      <c r="BWC50" s="523"/>
      <c r="BWD50" s="523"/>
      <c r="BWE50" s="523"/>
      <c r="BWF50" s="523"/>
      <c r="BWG50" s="523"/>
      <c r="BWH50" s="523"/>
      <c r="BWI50" s="523"/>
      <c r="BWJ50" s="523"/>
      <c r="BWK50" s="523"/>
      <c r="BWL50" s="523"/>
      <c r="BWM50" s="523"/>
      <c r="BWN50" s="523"/>
      <c r="BWO50" s="523"/>
      <c r="BWP50" s="523"/>
      <c r="BWQ50" s="523"/>
      <c r="BWR50" s="523"/>
      <c r="BWS50" s="523"/>
      <c r="BWT50" s="523"/>
      <c r="BWU50" s="523"/>
      <c r="BWV50" s="523"/>
      <c r="BWW50" s="523"/>
      <c r="BWX50" s="523"/>
      <c r="BWY50" s="523"/>
      <c r="BWZ50" s="523"/>
      <c r="BXA50" s="523"/>
      <c r="BXB50" s="523"/>
      <c r="BXC50" s="523"/>
      <c r="BXD50" s="523"/>
      <c r="BXE50" s="523"/>
      <c r="BXF50" s="523"/>
      <c r="BXG50" s="523"/>
      <c r="BXH50" s="523"/>
      <c r="BXI50" s="523"/>
      <c r="BXJ50" s="523"/>
      <c r="BXK50" s="523"/>
      <c r="BXL50" s="523"/>
      <c r="BXM50" s="523"/>
      <c r="BXN50" s="523"/>
      <c r="BXO50" s="523"/>
      <c r="BXP50" s="523"/>
      <c r="BXQ50" s="523"/>
      <c r="BXR50" s="523"/>
      <c r="BXS50" s="523"/>
      <c r="BXT50" s="523"/>
      <c r="BXU50" s="523"/>
      <c r="BXV50" s="523"/>
      <c r="BXW50" s="523"/>
      <c r="BXX50" s="523"/>
      <c r="BXY50" s="523"/>
      <c r="BXZ50" s="523"/>
      <c r="BYA50" s="523"/>
      <c r="BYB50" s="523"/>
      <c r="BYC50" s="523"/>
      <c r="BYD50" s="523"/>
      <c r="BYE50" s="523"/>
      <c r="BYF50" s="523"/>
      <c r="BYG50" s="523"/>
      <c r="BYH50" s="523"/>
      <c r="BYI50" s="523"/>
      <c r="BYJ50" s="523"/>
      <c r="BYK50" s="523"/>
      <c r="BYL50" s="523"/>
      <c r="BYM50" s="523"/>
      <c r="BYN50" s="523"/>
      <c r="BYO50" s="523"/>
      <c r="BYP50" s="523"/>
      <c r="BYQ50" s="523"/>
      <c r="BYR50" s="523"/>
      <c r="BYS50" s="523"/>
      <c r="BYT50" s="523"/>
      <c r="BYU50" s="523"/>
      <c r="BYV50" s="523"/>
      <c r="BYW50" s="523"/>
      <c r="BYX50" s="523"/>
      <c r="BYY50" s="523"/>
      <c r="BYZ50" s="523"/>
      <c r="BZA50" s="523"/>
      <c r="BZB50" s="523"/>
      <c r="BZC50" s="523"/>
      <c r="BZD50" s="523"/>
      <c r="BZE50" s="523"/>
      <c r="BZF50" s="523"/>
      <c r="BZG50" s="523"/>
      <c r="BZH50" s="523"/>
      <c r="BZI50" s="523"/>
      <c r="BZJ50" s="523"/>
      <c r="BZK50" s="523"/>
      <c r="BZL50" s="523"/>
      <c r="BZM50" s="523"/>
      <c r="BZN50" s="523"/>
      <c r="BZO50" s="523"/>
      <c r="BZP50" s="523"/>
      <c r="BZQ50" s="523"/>
      <c r="BZR50" s="523"/>
      <c r="BZS50" s="523"/>
      <c r="BZT50" s="523"/>
      <c r="BZU50" s="523"/>
      <c r="BZV50" s="523"/>
      <c r="BZW50" s="523"/>
      <c r="BZX50" s="523"/>
      <c r="BZY50" s="523"/>
      <c r="BZZ50" s="523"/>
      <c r="CAA50" s="523"/>
      <c r="CAB50" s="523"/>
      <c r="CAC50" s="523"/>
      <c r="CAD50" s="523"/>
      <c r="CAE50" s="523"/>
      <c r="CAF50" s="523"/>
      <c r="CAG50" s="523"/>
      <c r="CAH50" s="523"/>
      <c r="CAI50" s="523"/>
      <c r="CAJ50" s="523"/>
      <c r="CAK50" s="523"/>
      <c r="CAL50" s="523"/>
      <c r="CAM50" s="523"/>
      <c r="CAN50" s="523"/>
      <c r="CAO50" s="523"/>
      <c r="CAP50" s="523"/>
      <c r="CAQ50" s="523"/>
      <c r="CAR50" s="523"/>
      <c r="CAS50" s="523"/>
      <c r="CAT50" s="523"/>
      <c r="CAU50" s="523"/>
      <c r="CAV50" s="523"/>
      <c r="CAW50" s="523"/>
      <c r="CAX50" s="523"/>
      <c r="CAY50" s="523"/>
      <c r="CAZ50" s="523"/>
      <c r="CBA50" s="523"/>
      <c r="CBB50" s="523"/>
      <c r="CBC50" s="523"/>
      <c r="CBD50" s="523"/>
      <c r="CBE50" s="523"/>
      <c r="CBF50" s="523"/>
      <c r="CBG50" s="523"/>
      <c r="CBH50" s="523"/>
      <c r="CBI50" s="523"/>
      <c r="CBJ50" s="523"/>
      <c r="CBK50" s="523"/>
      <c r="CBL50" s="523"/>
      <c r="CBM50" s="523"/>
      <c r="CBN50" s="523"/>
      <c r="CBO50" s="523"/>
      <c r="CBP50" s="523"/>
      <c r="CBQ50" s="523"/>
      <c r="CBR50" s="523"/>
      <c r="CBS50" s="523"/>
      <c r="CBT50" s="523"/>
      <c r="CBU50" s="523"/>
      <c r="CBV50" s="523"/>
      <c r="CBW50" s="523"/>
      <c r="CBX50" s="523"/>
      <c r="CBY50" s="523"/>
      <c r="CBZ50" s="523"/>
      <c r="CCA50" s="523"/>
      <c r="CCB50" s="523"/>
      <c r="CCC50" s="523"/>
      <c r="CCD50" s="523"/>
      <c r="CCE50" s="523"/>
      <c r="CCF50" s="523"/>
      <c r="CCG50" s="523"/>
      <c r="CCH50" s="523"/>
      <c r="CCI50" s="523"/>
      <c r="CCJ50" s="523"/>
      <c r="CCK50" s="523"/>
      <c r="CCL50" s="523"/>
      <c r="CCM50" s="523"/>
      <c r="CCN50" s="523"/>
      <c r="CCO50" s="523"/>
      <c r="CCP50" s="523"/>
      <c r="CCQ50" s="523"/>
      <c r="CCR50" s="523"/>
      <c r="CCS50" s="523"/>
      <c r="CCT50" s="523"/>
      <c r="CCU50" s="523"/>
      <c r="CCV50" s="523"/>
      <c r="CCW50" s="523"/>
      <c r="CCX50" s="523"/>
      <c r="CCY50" s="523"/>
      <c r="CCZ50" s="523"/>
      <c r="CDA50" s="523"/>
      <c r="CDB50" s="523"/>
      <c r="CDC50" s="523"/>
      <c r="CDD50" s="523"/>
      <c r="CDE50" s="523"/>
      <c r="CDF50" s="523"/>
      <c r="CDG50" s="523"/>
      <c r="CDH50" s="523"/>
      <c r="CDI50" s="523"/>
      <c r="CDJ50" s="523"/>
      <c r="CDK50" s="523"/>
      <c r="CDL50" s="523"/>
      <c r="CDM50" s="523"/>
      <c r="CDN50" s="523"/>
      <c r="CDO50" s="523"/>
      <c r="CDP50" s="523"/>
      <c r="CDQ50" s="523"/>
      <c r="CDR50" s="523"/>
      <c r="CDS50" s="523"/>
      <c r="CDT50" s="523"/>
      <c r="CDU50" s="523"/>
      <c r="CDV50" s="523"/>
      <c r="CDW50" s="523"/>
      <c r="CDX50" s="523"/>
      <c r="CDY50" s="523"/>
      <c r="CDZ50" s="523"/>
      <c r="CEA50" s="523"/>
      <c r="CEB50" s="523"/>
      <c r="CEC50" s="523"/>
      <c r="CED50" s="523"/>
      <c r="CEE50" s="523"/>
      <c r="CEF50" s="523"/>
      <c r="CEG50" s="523"/>
      <c r="CEH50" s="523"/>
      <c r="CEI50" s="523"/>
      <c r="CEJ50" s="523"/>
      <c r="CEK50" s="523"/>
      <c r="CEL50" s="523"/>
      <c r="CEM50" s="523"/>
      <c r="CEN50" s="523"/>
      <c r="CEO50" s="523"/>
      <c r="CEP50" s="523"/>
      <c r="CEQ50" s="523"/>
      <c r="CER50" s="523"/>
      <c r="CES50" s="523"/>
      <c r="CET50" s="523"/>
      <c r="CEU50" s="523"/>
      <c r="CEV50" s="523"/>
      <c r="CEW50" s="523"/>
      <c r="CEX50" s="523"/>
      <c r="CEY50" s="523"/>
      <c r="CEZ50" s="523"/>
      <c r="CFA50" s="523"/>
      <c r="CFB50" s="523"/>
      <c r="CFC50" s="523"/>
      <c r="CFD50" s="523"/>
      <c r="CFE50" s="523"/>
      <c r="CFF50" s="523"/>
      <c r="CFG50" s="523"/>
      <c r="CFH50" s="523"/>
      <c r="CFI50" s="523"/>
      <c r="CFJ50" s="523"/>
      <c r="CFK50" s="523"/>
      <c r="CFL50" s="523"/>
      <c r="CFM50" s="523"/>
      <c r="CFN50" s="523"/>
      <c r="CFO50" s="523"/>
      <c r="CFP50" s="523"/>
      <c r="CFQ50" s="523"/>
      <c r="CFR50" s="523"/>
      <c r="CFS50" s="523"/>
      <c r="CFT50" s="523"/>
      <c r="CFU50" s="523"/>
      <c r="CFV50" s="523"/>
      <c r="CFW50" s="523"/>
      <c r="CFX50" s="523"/>
      <c r="CFY50" s="523"/>
      <c r="CFZ50" s="523"/>
      <c r="CGA50" s="523"/>
      <c r="CGB50" s="523"/>
      <c r="CGC50" s="523"/>
      <c r="CGD50" s="523"/>
      <c r="CGE50" s="523"/>
      <c r="CGF50" s="523"/>
      <c r="CGG50" s="523"/>
      <c r="CGH50" s="523"/>
      <c r="CGI50" s="523"/>
      <c r="CGJ50" s="523"/>
      <c r="CGK50" s="523"/>
      <c r="CGL50" s="523"/>
      <c r="CGM50" s="523"/>
      <c r="CGN50" s="523"/>
      <c r="CGO50" s="523"/>
      <c r="CGP50" s="523"/>
      <c r="CGQ50" s="523"/>
      <c r="CGR50" s="523"/>
      <c r="CGS50" s="523"/>
      <c r="CGT50" s="523"/>
      <c r="CGU50" s="523"/>
      <c r="CGV50" s="523"/>
      <c r="CGW50" s="523"/>
      <c r="CGX50" s="523"/>
      <c r="CGY50" s="523"/>
      <c r="CGZ50" s="523"/>
      <c r="CHA50" s="523"/>
      <c r="CHB50" s="523"/>
      <c r="CHC50" s="523"/>
      <c r="CHD50" s="523"/>
      <c r="CHE50" s="523"/>
      <c r="CHF50" s="523"/>
      <c r="CHG50" s="523"/>
      <c r="CHH50" s="523"/>
      <c r="CHI50" s="523"/>
      <c r="CHJ50" s="523"/>
      <c r="CHK50" s="523"/>
      <c r="CHL50" s="523"/>
      <c r="CHM50" s="523"/>
      <c r="CHN50" s="523"/>
      <c r="CHO50" s="523"/>
      <c r="CHP50" s="523"/>
      <c r="CHQ50" s="523"/>
      <c r="CHR50" s="523"/>
      <c r="CHS50" s="523"/>
      <c r="CHT50" s="523"/>
      <c r="CHU50" s="523"/>
      <c r="CHV50" s="523"/>
      <c r="CHW50" s="523"/>
      <c r="CHX50" s="523"/>
      <c r="CHY50" s="523"/>
      <c r="CHZ50" s="523"/>
      <c r="CIA50" s="523"/>
      <c r="CIB50" s="523"/>
      <c r="CIC50" s="523"/>
      <c r="CID50" s="523"/>
      <c r="CIE50" s="523"/>
      <c r="CIF50" s="523"/>
      <c r="CIG50" s="523"/>
      <c r="CIH50" s="523"/>
      <c r="CII50" s="523"/>
      <c r="CIJ50" s="523"/>
      <c r="CIK50" s="523"/>
      <c r="CIL50" s="523"/>
      <c r="CIM50" s="523"/>
      <c r="CIN50" s="523"/>
      <c r="CIO50" s="523"/>
      <c r="CIP50" s="523"/>
      <c r="CIQ50" s="523"/>
      <c r="CIR50" s="523"/>
      <c r="CIS50" s="523"/>
      <c r="CIT50" s="523"/>
      <c r="CIU50" s="523"/>
      <c r="CIV50" s="523"/>
      <c r="CIW50" s="523"/>
      <c r="CIX50" s="523"/>
      <c r="CIY50" s="523"/>
      <c r="CIZ50" s="523"/>
      <c r="CJA50" s="523"/>
      <c r="CJB50" s="523"/>
      <c r="CJC50" s="523"/>
      <c r="CJD50" s="523"/>
      <c r="CJE50" s="523"/>
      <c r="CJF50" s="523"/>
      <c r="CJG50" s="523"/>
      <c r="CJH50" s="523"/>
      <c r="CJI50" s="523"/>
      <c r="CJJ50" s="523"/>
      <c r="CJK50" s="523"/>
      <c r="CJL50" s="523"/>
      <c r="CJM50" s="523"/>
      <c r="CJN50" s="523"/>
      <c r="CJO50" s="523"/>
      <c r="CJP50" s="523"/>
      <c r="CJQ50" s="523"/>
      <c r="CJR50" s="523"/>
      <c r="CJS50" s="523"/>
      <c r="CJT50" s="523"/>
      <c r="CJU50" s="523"/>
      <c r="CJV50" s="523"/>
      <c r="CJW50" s="523"/>
      <c r="CJX50" s="523"/>
      <c r="CJY50" s="523"/>
      <c r="CJZ50" s="523"/>
      <c r="CKA50" s="523"/>
      <c r="CKB50" s="523"/>
      <c r="CKC50" s="523"/>
      <c r="CKD50" s="523"/>
      <c r="CKE50" s="523"/>
      <c r="CKF50" s="523"/>
      <c r="CKG50" s="523"/>
      <c r="CKH50" s="523"/>
      <c r="CKI50" s="523"/>
      <c r="CKJ50" s="523"/>
      <c r="CKK50" s="523"/>
      <c r="CKL50" s="523"/>
      <c r="CKM50" s="523"/>
      <c r="CKN50" s="523"/>
      <c r="CKO50" s="523"/>
      <c r="CKP50" s="523"/>
      <c r="CKQ50" s="523"/>
      <c r="CKR50" s="523"/>
      <c r="CKS50" s="523"/>
      <c r="CKT50" s="523"/>
      <c r="CKU50" s="523"/>
      <c r="CKV50" s="523"/>
      <c r="CKW50" s="523"/>
      <c r="CKX50" s="523"/>
      <c r="CKY50" s="523"/>
      <c r="CKZ50" s="523"/>
      <c r="CLA50" s="523"/>
      <c r="CLB50" s="523"/>
      <c r="CLC50" s="523"/>
      <c r="CLD50" s="523"/>
      <c r="CLE50" s="523"/>
      <c r="CLF50" s="523"/>
      <c r="CLG50" s="523"/>
      <c r="CLH50" s="523"/>
      <c r="CLI50" s="523"/>
      <c r="CLJ50" s="523"/>
      <c r="CLK50" s="523"/>
      <c r="CLL50" s="523"/>
      <c r="CLM50" s="523"/>
      <c r="CLN50" s="523"/>
      <c r="CLO50" s="523"/>
      <c r="CLP50" s="523"/>
      <c r="CLQ50" s="523"/>
      <c r="CLR50" s="523"/>
      <c r="CLS50" s="523"/>
      <c r="CLT50" s="523"/>
      <c r="CLU50" s="523"/>
      <c r="CLV50" s="523"/>
      <c r="CLW50" s="523"/>
      <c r="CLX50" s="523"/>
      <c r="CLY50" s="523"/>
      <c r="CLZ50" s="523"/>
      <c r="CMA50" s="523"/>
      <c r="CMB50" s="523"/>
      <c r="CMC50" s="523"/>
      <c r="CMD50" s="523"/>
      <c r="CME50" s="523"/>
      <c r="CMF50" s="523"/>
      <c r="CMG50" s="523"/>
      <c r="CMH50" s="523"/>
      <c r="CMI50" s="523"/>
      <c r="CMJ50" s="523"/>
      <c r="CMK50" s="523"/>
      <c r="CML50" s="523"/>
      <c r="CMM50" s="523"/>
      <c r="CMN50" s="523"/>
      <c r="CMO50" s="523"/>
      <c r="CMP50" s="523"/>
      <c r="CMQ50" s="523"/>
      <c r="CMR50" s="523"/>
      <c r="CMS50" s="523"/>
      <c r="CMT50" s="523"/>
      <c r="CMU50" s="523"/>
      <c r="CMV50" s="523"/>
      <c r="CMW50" s="523"/>
      <c r="CMX50" s="523"/>
      <c r="CMY50" s="523"/>
      <c r="CMZ50" s="523"/>
      <c r="CNA50" s="523"/>
      <c r="CNB50" s="523"/>
      <c r="CNC50" s="523"/>
      <c r="CND50" s="523"/>
      <c r="CNE50" s="523"/>
      <c r="CNF50" s="523"/>
      <c r="CNG50" s="523"/>
      <c r="CNH50" s="523"/>
      <c r="CNI50" s="523"/>
      <c r="CNJ50" s="523"/>
      <c r="CNK50" s="523"/>
      <c r="CNL50" s="523"/>
      <c r="CNM50" s="523"/>
      <c r="CNN50" s="523"/>
      <c r="CNO50" s="523"/>
      <c r="CNP50" s="523"/>
      <c r="CNQ50" s="523"/>
      <c r="CNR50" s="523"/>
      <c r="CNS50" s="523"/>
      <c r="CNT50" s="523"/>
      <c r="CNU50" s="523"/>
      <c r="CNV50" s="523"/>
      <c r="CNW50" s="523"/>
      <c r="CNX50" s="523"/>
      <c r="CNY50" s="523"/>
      <c r="CNZ50" s="523"/>
      <c r="COA50" s="523"/>
      <c r="COB50" s="523"/>
      <c r="COC50" s="523"/>
      <c r="COD50" s="523"/>
      <c r="COE50" s="523"/>
      <c r="COF50" s="523"/>
      <c r="COG50" s="523"/>
      <c r="COH50" s="523"/>
      <c r="COI50" s="523"/>
      <c r="COJ50" s="523"/>
      <c r="COK50" s="523"/>
      <c r="COL50" s="523"/>
      <c r="COM50" s="523"/>
      <c r="CON50" s="523"/>
      <c r="COO50" s="523"/>
      <c r="COP50" s="523"/>
      <c r="COQ50" s="523"/>
      <c r="COR50" s="523"/>
      <c r="COS50" s="523"/>
      <c r="COT50" s="523"/>
      <c r="COU50" s="523"/>
      <c r="COV50" s="523"/>
      <c r="COW50" s="523"/>
      <c r="COX50" s="523"/>
      <c r="COY50" s="523"/>
      <c r="COZ50" s="523"/>
      <c r="CPA50" s="523"/>
      <c r="CPB50" s="523"/>
      <c r="CPC50" s="523"/>
      <c r="CPD50" s="523"/>
      <c r="CPE50" s="523"/>
      <c r="CPF50" s="523"/>
      <c r="CPG50" s="523"/>
      <c r="CPH50" s="523"/>
      <c r="CPI50" s="523"/>
      <c r="CPJ50" s="523"/>
      <c r="CPK50" s="523"/>
      <c r="CPL50" s="523"/>
      <c r="CPM50" s="523"/>
      <c r="CPN50" s="523"/>
      <c r="CPO50" s="523"/>
      <c r="CPP50" s="523"/>
      <c r="CPQ50" s="523"/>
      <c r="CPR50" s="523"/>
      <c r="CPS50" s="523"/>
      <c r="CPT50" s="523"/>
      <c r="CPU50" s="523"/>
      <c r="CPV50" s="523"/>
      <c r="CPW50" s="523"/>
      <c r="CPX50" s="523"/>
      <c r="CPY50" s="523"/>
      <c r="CPZ50" s="523"/>
      <c r="CQA50" s="523"/>
      <c r="CQB50" s="523"/>
      <c r="CQC50" s="523"/>
      <c r="CQD50" s="523"/>
      <c r="CQE50" s="523"/>
      <c r="CQF50" s="523"/>
      <c r="CQG50" s="523"/>
      <c r="CQH50" s="523"/>
      <c r="CQI50" s="523"/>
      <c r="CQJ50" s="523"/>
      <c r="CQK50" s="523"/>
      <c r="CQL50" s="523"/>
      <c r="CQM50" s="523"/>
      <c r="CQN50" s="523"/>
      <c r="CQO50" s="523"/>
      <c r="CQP50" s="523"/>
      <c r="CQQ50" s="523"/>
      <c r="CQR50" s="523"/>
      <c r="CQS50" s="523"/>
      <c r="CQT50" s="523"/>
      <c r="CQU50" s="523"/>
      <c r="CQV50" s="523"/>
      <c r="CQW50" s="523"/>
      <c r="CQX50" s="523"/>
      <c r="CQY50" s="523"/>
      <c r="CQZ50" s="523"/>
      <c r="CRA50" s="523"/>
      <c r="CRB50" s="523"/>
      <c r="CRC50" s="523"/>
      <c r="CRD50" s="523"/>
      <c r="CRE50" s="523"/>
      <c r="CRF50" s="523"/>
      <c r="CRG50" s="523"/>
      <c r="CRH50" s="523"/>
      <c r="CRI50" s="523"/>
      <c r="CRJ50" s="523"/>
      <c r="CRK50" s="523"/>
      <c r="CRL50" s="523"/>
      <c r="CRM50" s="523"/>
      <c r="CRN50" s="523"/>
      <c r="CRO50" s="523"/>
      <c r="CRP50" s="523"/>
      <c r="CRQ50" s="523"/>
      <c r="CRR50" s="523"/>
      <c r="CRS50" s="523"/>
      <c r="CRT50" s="523"/>
      <c r="CRU50" s="523"/>
      <c r="CRV50" s="523"/>
      <c r="CRW50" s="523"/>
      <c r="CRX50" s="523"/>
      <c r="CRY50" s="523"/>
      <c r="CRZ50" s="523"/>
      <c r="CSA50" s="523"/>
      <c r="CSB50" s="523"/>
      <c r="CSC50" s="523"/>
      <c r="CSD50" s="523"/>
      <c r="CSE50" s="523"/>
      <c r="CSF50" s="523"/>
      <c r="CSG50" s="523"/>
      <c r="CSH50" s="523"/>
      <c r="CSI50" s="523"/>
      <c r="CSJ50" s="523"/>
      <c r="CSK50" s="523"/>
      <c r="CSL50" s="523"/>
      <c r="CSM50" s="523"/>
      <c r="CSN50" s="523"/>
      <c r="CSO50" s="523"/>
      <c r="CSP50" s="523"/>
      <c r="CSQ50" s="523"/>
      <c r="CSR50" s="523"/>
      <c r="CSS50" s="523"/>
      <c r="CST50" s="523"/>
      <c r="CSU50" s="523"/>
      <c r="CSV50" s="523"/>
      <c r="CSW50" s="523"/>
      <c r="CSX50" s="523"/>
      <c r="CSY50" s="523"/>
      <c r="CSZ50" s="523"/>
      <c r="CTA50" s="523"/>
      <c r="CTB50" s="523"/>
      <c r="CTC50" s="523"/>
      <c r="CTD50" s="523"/>
      <c r="CTE50" s="523"/>
      <c r="CTF50" s="523"/>
      <c r="CTG50" s="523"/>
      <c r="CTH50" s="523"/>
      <c r="CTI50" s="523"/>
      <c r="CTJ50" s="523"/>
      <c r="CTK50" s="523"/>
      <c r="CTL50" s="523"/>
      <c r="CTM50" s="523"/>
      <c r="CTN50" s="523"/>
      <c r="CTO50" s="523"/>
      <c r="CTP50" s="523"/>
      <c r="CTQ50" s="523"/>
      <c r="CTR50" s="523"/>
      <c r="CTS50" s="523"/>
      <c r="CTT50" s="523"/>
      <c r="CTU50" s="523"/>
      <c r="CTV50" s="523"/>
      <c r="CTW50" s="523"/>
      <c r="CTX50" s="523"/>
      <c r="CTY50" s="523"/>
      <c r="CTZ50" s="523"/>
      <c r="CUA50" s="523"/>
      <c r="CUB50" s="523"/>
      <c r="CUC50" s="523"/>
      <c r="CUD50" s="523"/>
      <c r="CUE50" s="523"/>
      <c r="CUF50" s="523"/>
      <c r="CUG50" s="523"/>
      <c r="CUH50" s="523"/>
      <c r="CUI50" s="523"/>
      <c r="CUJ50" s="523"/>
      <c r="CUK50" s="523"/>
      <c r="CUL50" s="523"/>
      <c r="CUM50" s="523"/>
      <c r="CUN50" s="523"/>
      <c r="CUO50" s="523"/>
      <c r="CUP50" s="523"/>
      <c r="CUQ50" s="523"/>
      <c r="CUR50" s="523"/>
      <c r="CUS50" s="523"/>
      <c r="CUT50" s="523"/>
      <c r="CUU50" s="523"/>
      <c r="CUV50" s="523"/>
      <c r="CUW50" s="523"/>
      <c r="CUX50" s="523"/>
      <c r="CUY50" s="523"/>
      <c r="CUZ50" s="523"/>
      <c r="CVA50" s="523"/>
      <c r="CVB50" s="523"/>
      <c r="CVC50" s="523"/>
      <c r="CVD50" s="523"/>
      <c r="CVE50" s="523"/>
      <c r="CVF50" s="523"/>
      <c r="CVG50" s="523"/>
      <c r="CVH50" s="523"/>
      <c r="CVI50" s="523"/>
      <c r="CVJ50" s="523"/>
      <c r="CVK50" s="523"/>
      <c r="CVL50" s="523"/>
      <c r="CVM50" s="523"/>
      <c r="CVN50" s="523"/>
      <c r="CVO50" s="523"/>
      <c r="CVP50" s="523"/>
      <c r="CVQ50" s="523"/>
      <c r="CVR50" s="523"/>
      <c r="CVS50" s="523"/>
      <c r="CVT50" s="523"/>
      <c r="CVU50" s="523"/>
      <c r="CVV50" s="523"/>
      <c r="CVW50" s="523"/>
      <c r="CVX50" s="523"/>
      <c r="CVY50" s="523"/>
      <c r="CVZ50" s="523"/>
      <c r="CWA50" s="523"/>
      <c r="CWB50" s="523"/>
      <c r="CWC50" s="523"/>
      <c r="CWD50" s="523"/>
      <c r="CWE50" s="523"/>
      <c r="CWF50" s="523"/>
      <c r="CWG50" s="523"/>
      <c r="CWH50" s="523"/>
      <c r="CWI50" s="523"/>
      <c r="CWJ50" s="523"/>
      <c r="CWK50" s="523"/>
      <c r="CWL50" s="523"/>
      <c r="CWM50" s="523"/>
      <c r="CWN50" s="523"/>
      <c r="CWO50" s="523"/>
      <c r="CWP50" s="523"/>
      <c r="CWQ50" s="523"/>
      <c r="CWR50" s="523"/>
      <c r="CWS50" s="523"/>
      <c r="CWT50" s="523"/>
      <c r="CWU50" s="523"/>
      <c r="CWV50" s="523"/>
      <c r="CWW50" s="523"/>
      <c r="CWX50" s="523"/>
      <c r="CWY50" s="523"/>
      <c r="CWZ50" s="523"/>
      <c r="CXA50" s="523"/>
      <c r="CXB50" s="523"/>
      <c r="CXC50" s="523"/>
      <c r="CXD50" s="523"/>
      <c r="CXE50" s="523"/>
      <c r="CXF50" s="523"/>
      <c r="CXG50" s="523"/>
      <c r="CXH50" s="523"/>
      <c r="CXI50" s="523"/>
      <c r="CXJ50" s="523"/>
      <c r="CXK50" s="523"/>
      <c r="CXL50" s="523"/>
      <c r="CXM50" s="523"/>
      <c r="CXN50" s="523"/>
      <c r="CXO50" s="523"/>
      <c r="CXP50" s="523"/>
      <c r="CXQ50" s="523"/>
      <c r="CXR50" s="523"/>
      <c r="CXS50" s="523"/>
      <c r="CXT50" s="523"/>
      <c r="CXU50" s="523"/>
      <c r="CXV50" s="523"/>
      <c r="CXW50" s="523"/>
      <c r="CXX50" s="523"/>
      <c r="CXY50" s="523"/>
      <c r="CXZ50" s="523"/>
      <c r="CYA50" s="523"/>
      <c r="CYB50" s="523"/>
      <c r="CYC50" s="523"/>
      <c r="CYD50" s="523"/>
      <c r="CYE50" s="523"/>
      <c r="CYF50" s="523"/>
      <c r="CYG50" s="523"/>
      <c r="CYH50" s="523"/>
      <c r="CYI50" s="523"/>
      <c r="CYJ50" s="523"/>
      <c r="CYK50" s="523"/>
      <c r="CYL50" s="523"/>
      <c r="CYM50" s="523"/>
      <c r="CYN50" s="523"/>
      <c r="CYO50" s="523"/>
      <c r="CYP50" s="523"/>
      <c r="CYQ50" s="523"/>
      <c r="CYR50" s="523"/>
      <c r="CYS50" s="523"/>
      <c r="CYT50" s="523"/>
      <c r="CYU50" s="523"/>
      <c r="CYV50" s="523"/>
      <c r="CYW50" s="523"/>
      <c r="CYX50" s="523"/>
      <c r="CYY50" s="523"/>
      <c r="CYZ50" s="523"/>
      <c r="CZA50" s="523"/>
      <c r="CZB50" s="523"/>
      <c r="CZC50" s="523"/>
      <c r="CZD50" s="523"/>
      <c r="CZE50" s="523"/>
      <c r="CZF50" s="523"/>
      <c r="CZG50" s="523"/>
      <c r="CZH50" s="523"/>
      <c r="CZI50" s="523"/>
      <c r="CZJ50" s="523"/>
      <c r="CZK50" s="523"/>
      <c r="CZL50" s="523"/>
      <c r="CZM50" s="523"/>
      <c r="CZN50" s="523"/>
      <c r="CZO50" s="523"/>
      <c r="CZP50" s="523"/>
      <c r="CZQ50" s="523"/>
      <c r="CZR50" s="523"/>
      <c r="CZS50" s="523"/>
      <c r="CZT50" s="523"/>
      <c r="CZU50" s="523"/>
      <c r="CZV50" s="523"/>
      <c r="CZW50" s="523"/>
      <c r="CZX50" s="523"/>
      <c r="CZY50" s="523"/>
      <c r="CZZ50" s="523"/>
      <c r="DAA50" s="523"/>
      <c r="DAB50" s="523"/>
      <c r="DAC50" s="523"/>
      <c r="DAD50" s="523"/>
      <c r="DAE50" s="523"/>
      <c r="DAF50" s="523"/>
      <c r="DAG50" s="523"/>
      <c r="DAH50" s="523"/>
      <c r="DAI50" s="523"/>
      <c r="DAJ50" s="523"/>
      <c r="DAK50" s="523"/>
      <c r="DAL50" s="523"/>
      <c r="DAM50" s="523"/>
      <c r="DAN50" s="523"/>
      <c r="DAO50" s="523"/>
      <c r="DAP50" s="523"/>
      <c r="DAQ50" s="523"/>
      <c r="DAR50" s="523"/>
      <c r="DAS50" s="523"/>
      <c r="DAT50" s="523"/>
      <c r="DAU50" s="523"/>
      <c r="DAV50" s="523"/>
      <c r="DAW50" s="523"/>
      <c r="DAX50" s="523"/>
      <c r="DAY50" s="523"/>
      <c r="DAZ50" s="523"/>
      <c r="DBA50" s="523"/>
      <c r="DBB50" s="523"/>
      <c r="DBC50" s="523"/>
      <c r="DBD50" s="523"/>
      <c r="DBE50" s="523"/>
      <c r="DBF50" s="523"/>
      <c r="DBG50" s="523"/>
      <c r="DBH50" s="523"/>
      <c r="DBI50" s="523"/>
      <c r="DBJ50" s="523"/>
      <c r="DBK50" s="523"/>
      <c r="DBL50" s="523"/>
      <c r="DBM50" s="523"/>
      <c r="DBN50" s="523"/>
      <c r="DBO50" s="523"/>
      <c r="DBP50" s="523"/>
      <c r="DBQ50" s="523"/>
      <c r="DBR50" s="523"/>
      <c r="DBS50" s="523"/>
      <c r="DBT50" s="523"/>
      <c r="DBU50" s="523"/>
      <c r="DBV50" s="523"/>
      <c r="DBW50" s="523"/>
      <c r="DBX50" s="523"/>
      <c r="DBY50" s="523"/>
      <c r="DBZ50" s="523"/>
      <c r="DCA50" s="523"/>
      <c r="DCB50" s="523"/>
      <c r="DCC50" s="523"/>
      <c r="DCD50" s="523"/>
      <c r="DCE50" s="523"/>
      <c r="DCF50" s="523"/>
      <c r="DCG50" s="523"/>
      <c r="DCH50" s="523"/>
      <c r="DCI50" s="523"/>
      <c r="DCJ50" s="523"/>
      <c r="DCK50" s="523"/>
      <c r="DCL50" s="523"/>
      <c r="DCM50" s="523"/>
      <c r="DCN50" s="523"/>
      <c r="DCO50" s="523"/>
      <c r="DCP50" s="523"/>
      <c r="DCQ50" s="523"/>
      <c r="DCR50" s="523"/>
      <c r="DCS50" s="523"/>
      <c r="DCT50" s="523"/>
      <c r="DCU50" s="523"/>
      <c r="DCV50" s="523"/>
      <c r="DCW50" s="523"/>
      <c r="DCX50" s="523"/>
      <c r="DCY50" s="523"/>
      <c r="DCZ50" s="523"/>
      <c r="DDA50" s="523"/>
      <c r="DDB50" s="523"/>
      <c r="DDC50" s="523"/>
      <c r="DDD50" s="523"/>
      <c r="DDE50" s="523"/>
      <c r="DDF50" s="523"/>
      <c r="DDG50" s="523"/>
      <c r="DDH50" s="523"/>
      <c r="DDI50" s="523"/>
      <c r="DDJ50" s="523"/>
      <c r="DDK50" s="523"/>
      <c r="DDL50" s="523"/>
      <c r="DDM50" s="523"/>
      <c r="DDN50" s="523"/>
      <c r="DDO50" s="523"/>
      <c r="DDP50" s="523"/>
      <c r="DDQ50" s="523"/>
      <c r="DDR50" s="523"/>
      <c r="DDS50" s="523"/>
      <c r="DDT50" s="523"/>
      <c r="DDU50" s="523"/>
      <c r="DDV50" s="523"/>
      <c r="DDW50" s="523"/>
      <c r="DDX50" s="523"/>
      <c r="DDY50" s="523"/>
      <c r="DDZ50" s="523"/>
      <c r="DEA50" s="523"/>
      <c r="DEB50" s="523"/>
      <c r="DEC50" s="523"/>
      <c r="DED50" s="523"/>
      <c r="DEE50" s="523"/>
      <c r="DEF50" s="523"/>
      <c r="DEG50" s="523"/>
      <c r="DEH50" s="523"/>
      <c r="DEI50" s="523"/>
      <c r="DEJ50" s="523"/>
      <c r="DEK50" s="523"/>
      <c r="DEL50" s="523"/>
      <c r="DEM50" s="523"/>
      <c r="DEN50" s="523"/>
      <c r="DEO50" s="523"/>
      <c r="DEP50" s="523"/>
      <c r="DEQ50" s="523"/>
      <c r="DER50" s="523"/>
      <c r="DES50" s="523"/>
      <c r="DET50" s="523"/>
      <c r="DEU50" s="523"/>
      <c r="DEV50" s="523"/>
      <c r="DEW50" s="523"/>
      <c r="DEX50" s="523"/>
      <c r="DEY50" s="523"/>
      <c r="DEZ50" s="523"/>
      <c r="DFA50" s="523"/>
      <c r="DFB50" s="523"/>
      <c r="DFC50" s="523"/>
      <c r="DFD50" s="523"/>
      <c r="DFE50" s="523"/>
      <c r="DFF50" s="523"/>
      <c r="DFG50" s="523"/>
      <c r="DFH50" s="523"/>
      <c r="DFI50" s="523"/>
      <c r="DFJ50" s="523"/>
      <c r="DFK50" s="523"/>
      <c r="DFL50" s="523"/>
      <c r="DFM50" s="523"/>
      <c r="DFN50" s="523"/>
      <c r="DFO50" s="523"/>
      <c r="DFP50" s="523"/>
      <c r="DFQ50" s="523"/>
      <c r="DFR50" s="523"/>
      <c r="DFS50" s="523"/>
      <c r="DFT50" s="523"/>
      <c r="DFU50" s="523"/>
      <c r="DFV50" s="523"/>
      <c r="DFW50" s="523"/>
      <c r="DFX50" s="523"/>
      <c r="DFY50" s="523"/>
      <c r="DFZ50" s="523"/>
      <c r="DGA50" s="523"/>
      <c r="DGB50" s="523"/>
      <c r="DGC50" s="523"/>
      <c r="DGD50" s="523"/>
      <c r="DGE50" s="523"/>
      <c r="DGF50" s="523"/>
      <c r="DGG50" s="523"/>
      <c r="DGH50" s="523"/>
      <c r="DGI50" s="523"/>
      <c r="DGJ50" s="523"/>
      <c r="DGK50" s="523"/>
      <c r="DGL50" s="523"/>
      <c r="DGM50" s="523"/>
      <c r="DGN50" s="523"/>
      <c r="DGO50" s="523"/>
      <c r="DGP50" s="523"/>
      <c r="DGQ50" s="523"/>
      <c r="DGR50" s="523"/>
      <c r="DGS50" s="523"/>
      <c r="DGT50" s="523"/>
      <c r="DGU50" s="523"/>
      <c r="DGV50" s="523"/>
      <c r="DGW50" s="523"/>
      <c r="DGX50" s="523"/>
      <c r="DGY50" s="523"/>
      <c r="DGZ50" s="523"/>
      <c r="DHA50" s="523"/>
      <c r="DHB50" s="523"/>
      <c r="DHC50" s="523"/>
      <c r="DHD50" s="523"/>
      <c r="DHE50" s="523"/>
      <c r="DHF50" s="523"/>
      <c r="DHG50" s="523"/>
      <c r="DHH50" s="523"/>
      <c r="DHI50" s="523"/>
      <c r="DHJ50" s="523"/>
      <c r="DHK50" s="523"/>
      <c r="DHL50" s="523"/>
      <c r="DHM50" s="523"/>
      <c r="DHN50" s="523"/>
      <c r="DHO50" s="523"/>
      <c r="DHP50" s="523"/>
      <c r="DHQ50" s="523"/>
      <c r="DHR50" s="523"/>
      <c r="DHS50" s="523"/>
      <c r="DHT50" s="523"/>
      <c r="DHU50" s="523"/>
      <c r="DHV50" s="523"/>
      <c r="DHW50" s="523"/>
      <c r="DHX50" s="523"/>
      <c r="DHY50" s="523"/>
      <c r="DHZ50" s="523"/>
      <c r="DIA50" s="523"/>
      <c r="DIB50" s="523"/>
      <c r="DIC50" s="523"/>
      <c r="DID50" s="523"/>
      <c r="DIE50" s="523"/>
      <c r="DIF50" s="523"/>
      <c r="DIG50" s="523"/>
      <c r="DIH50" s="523"/>
      <c r="DII50" s="523"/>
      <c r="DIJ50" s="523"/>
      <c r="DIK50" s="523"/>
      <c r="DIL50" s="523"/>
      <c r="DIM50" s="523"/>
      <c r="DIN50" s="523"/>
      <c r="DIO50" s="523"/>
      <c r="DIP50" s="523"/>
      <c r="DIQ50" s="523"/>
      <c r="DIR50" s="523"/>
      <c r="DIS50" s="523"/>
      <c r="DIT50" s="523"/>
      <c r="DIU50" s="523"/>
      <c r="DIV50" s="523"/>
      <c r="DIW50" s="523"/>
      <c r="DIX50" s="523"/>
      <c r="DIY50" s="523"/>
      <c r="DIZ50" s="523"/>
      <c r="DJA50" s="523"/>
      <c r="DJB50" s="523"/>
      <c r="DJC50" s="523"/>
      <c r="DJD50" s="523"/>
      <c r="DJE50" s="523"/>
      <c r="DJF50" s="523"/>
      <c r="DJG50" s="523"/>
      <c r="DJH50" s="523"/>
      <c r="DJI50" s="523"/>
      <c r="DJJ50" s="523"/>
      <c r="DJK50" s="523"/>
      <c r="DJL50" s="523"/>
      <c r="DJM50" s="523"/>
      <c r="DJN50" s="523"/>
      <c r="DJO50" s="523"/>
      <c r="DJP50" s="523"/>
      <c r="DJQ50" s="523"/>
      <c r="DJR50" s="523"/>
      <c r="DJS50" s="523"/>
      <c r="DJT50" s="523"/>
      <c r="DJU50" s="523"/>
      <c r="DJV50" s="523"/>
      <c r="DJW50" s="523"/>
      <c r="DJX50" s="523"/>
      <c r="DJY50" s="523"/>
      <c r="DJZ50" s="523"/>
      <c r="DKA50" s="523"/>
      <c r="DKB50" s="523"/>
      <c r="DKC50" s="523"/>
      <c r="DKD50" s="523"/>
      <c r="DKE50" s="523"/>
      <c r="DKF50" s="523"/>
      <c r="DKG50" s="523"/>
      <c r="DKH50" s="523"/>
      <c r="DKI50" s="523"/>
      <c r="DKJ50" s="523"/>
      <c r="DKK50" s="523"/>
      <c r="DKL50" s="523"/>
      <c r="DKM50" s="523"/>
      <c r="DKN50" s="523"/>
      <c r="DKO50" s="523"/>
      <c r="DKP50" s="523"/>
      <c r="DKQ50" s="523"/>
      <c r="DKR50" s="523"/>
      <c r="DKS50" s="523"/>
      <c r="DKT50" s="523"/>
      <c r="DKU50" s="523"/>
      <c r="DKV50" s="523"/>
      <c r="DKW50" s="523"/>
      <c r="DKX50" s="523"/>
      <c r="DKY50" s="523"/>
      <c r="DKZ50" s="523"/>
      <c r="DLA50" s="523"/>
      <c r="DLB50" s="523"/>
      <c r="DLC50" s="523"/>
      <c r="DLD50" s="523"/>
      <c r="DLE50" s="523"/>
      <c r="DLF50" s="523"/>
      <c r="DLG50" s="523"/>
      <c r="DLH50" s="523"/>
      <c r="DLI50" s="523"/>
      <c r="DLJ50" s="523"/>
      <c r="DLK50" s="523"/>
      <c r="DLL50" s="523"/>
      <c r="DLM50" s="523"/>
      <c r="DLN50" s="523"/>
      <c r="DLO50" s="523"/>
      <c r="DLP50" s="523"/>
      <c r="DLQ50" s="523"/>
      <c r="DLR50" s="523"/>
      <c r="DLS50" s="523"/>
      <c r="DLT50" s="523"/>
      <c r="DLU50" s="523"/>
      <c r="DLV50" s="523"/>
      <c r="DLW50" s="523"/>
      <c r="DLX50" s="523"/>
      <c r="DLY50" s="523"/>
      <c r="DLZ50" s="523"/>
      <c r="DMA50" s="523"/>
      <c r="DMB50" s="523"/>
      <c r="DMC50" s="523"/>
      <c r="DMD50" s="523"/>
      <c r="DME50" s="523"/>
      <c r="DMF50" s="523"/>
      <c r="DMG50" s="523"/>
      <c r="DMH50" s="523"/>
      <c r="DMI50" s="523"/>
      <c r="DMJ50" s="523"/>
      <c r="DMK50" s="523"/>
      <c r="DML50" s="523"/>
      <c r="DMM50" s="523"/>
      <c r="DMN50" s="523"/>
      <c r="DMO50" s="523"/>
      <c r="DMP50" s="523"/>
      <c r="DMQ50" s="523"/>
      <c r="DMR50" s="523"/>
      <c r="DMS50" s="523"/>
      <c r="DMT50" s="523"/>
      <c r="DMU50" s="523"/>
      <c r="DMV50" s="523"/>
      <c r="DMW50" s="523"/>
      <c r="DMX50" s="523"/>
      <c r="DMY50" s="523"/>
      <c r="DMZ50" s="523"/>
      <c r="DNA50" s="523"/>
      <c r="DNB50" s="523"/>
      <c r="DNC50" s="523"/>
      <c r="DND50" s="523"/>
      <c r="DNE50" s="523"/>
      <c r="DNF50" s="523"/>
      <c r="DNG50" s="523"/>
      <c r="DNH50" s="523"/>
      <c r="DNI50" s="523"/>
      <c r="DNJ50" s="523"/>
      <c r="DNK50" s="523"/>
      <c r="DNL50" s="523"/>
      <c r="DNM50" s="523"/>
      <c r="DNN50" s="523"/>
      <c r="DNO50" s="523"/>
      <c r="DNP50" s="523"/>
      <c r="DNQ50" s="523"/>
      <c r="DNR50" s="523"/>
      <c r="DNS50" s="523"/>
      <c r="DNT50" s="523"/>
      <c r="DNU50" s="523"/>
      <c r="DNV50" s="523"/>
      <c r="DNW50" s="523"/>
      <c r="DNX50" s="523"/>
      <c r="DNY50" s="523"/>
      <c r="DNZ50" s="523"/>
      <c r="DOA50" s="523"/>
      <c r="DOB50" s="523"/>
      <c r="DOC50" s="523"/>
      <c r="DOD50" s="523"/>
      <c r="DOE50" s="523"/>
      <c r="DOF50" s="523"/>
      <c r="DOG50" s="523"/>
      <c r="DOH50" s="523"/>
      <c r="DOI50" s="523"/>
      <c r="DOJ50" s="523"/>
      <c r="DOK50" s="523"/>
      <c r="DOL50" s="523"/>
      <c r="DOM50" s="523"/>
      <c r="DON50" s="523"/>
      <c r="DOO50" s="523"/>
      <c r="DOP50" s="523"/>
      <c r="DOQ50" s="523"/>
      <c r="DOR50" s="523"/>
      <c r="DOS50" s="523"/>
      <c r="DOT50" s="523"/>
      <c r="DOU50" s="523"/>
      <c r="DOV50" s="523"/>
      <c r="DOW50" s="523"/>
      <c r="DOX50" s="523"/>
      <c r="DOY50" s="523"/>
      <c r="DOZ50" s="523"/>
      <c r="DPA50" s="523"/>
      <c r="DPB50" s="523"/>
      <c r="DPC50" s="523"/>
      <c r="DPD50" s="523"/>
      <c r="DPE50" s="523"/>
      <c r="DPF50" s="523"/>
      <c r="DPG50" s="523"/>
      <c r="DPH50" s="523"/>
      <c r="DPI50" s="523"/>
      <c r="DPJ50" s="523"/>
      <c r="DPK50" s="523"/>
      <c r="DPL50" s="523"/>
      <c r="DPM50" s="523"/>
      <c r="DPN50" s="523"/>
      <c r="DPO50" s="523"/>
      <c r="DPP50" s="523"/>
      <c r="DPQ50" s="523"/>
      <c r="DPR50" s="523"/>
      <c r="DPS50" s="523"/>
      <c r="DPT50" s="523"/>
      <c r="DPU50" s="523"/>
      <c r="DPV50" s="523"/>
      <c r="DPW50" s="523"/>
      <c r="DPX50" s="523"/>
      <c r="DPY50" s="523"/>
      <c r="DPZ50" s="523"/>
      <c r="DQA50" s="523"/>
      <c r="DQB50" s="523"/>
      <c r="DQC50" s="523"/>
      <c r="DQD50" s="523"/>
      <c r="DQE50" s="523"/>
      <c r="DQF50" s="523"/>
      <c r="DQG50" s="523"/>
      <c r="DQH50" s="523"/>
      <c r="DQI50" s="523"/>
      <c r="DQJ50" s="523"/>
      <c r="DQK50" s="523"/>
      <c r="DQL50" s="523"/>
      <c r="DQM50" s="523"/>
      <c r="DQN50" s="523"/>
      <c r="DQO50" s="523"/>
      <c r="DQP50" s="523"/>
      <c r="DQQ50" s="523"/>
      <c r="DQR50" s="523"/>
      <c r="DQS50" s="523"/>
      <c r="DQT50" s="523"/>
      <c r="DQU50" s="523"/>
      <c r="DQV50" s="523"/>
      <c r="DQW50" s="523"/>
      <c r="DQX50" s="523"/>
      <c r="DQY50" s="523"/>
      <c r="DQZ50" s="523"/>
      <c r="DRA50" s="523"/>
      <c r="DRB50" s="523"/>
      <c r="DRC50" s="523"/>
      <c r="DRD50" s="523"/>
      <c r="DRE50" s="523"/>
      <c r="DRF50" s="523"/>
      <c r="DRG50" s="523"/>
      <c r="DRH50" s="523"/>
      <c r="DRI50" s="523"/>
      <c r="DRJ50" s="523"/>
      <c r="DRK50" s="523"/>
      <c r="DRL50" s="523"/>
      <c r="DRM50" s="523"/>
      <c r="DRN50" s="523"/>
      <c r="DRO50" s="523"/>
      <c r="DRP50" s="523"/>
      <c r="DRQ50" s="523"/>
      <c r="DRR50" s="523"/>
      <c r="DRS50" s="523"/>
      <c r="DRT50" s="523"/>
      <c r="DRU50" s="523"/>
      <c r="DRV50" s="523"/>
      <c r="DRW50" s="523"/>
      <c r="DRX50" s="523"/>
      <c r="DRY50" s="523"/>
      <c r="DRZ50" s="523"/>
      <c r="DSA50" s="523"/>
      <c r="DSB50" s="523"/>
      <c r="DSC50" s="523"/>
      <c r="DSD50" s="523"/>
      <c r="DSE50" s="523"/>
      <c r="DSF50" s="523"/>
      <c r="DSG50" s="523"/>
      <c r="DSH50" s="523"/>
      <c r="DSI50" s="523"/>
      <c r="DSJ50" s="523"/>
      <c r="DSK50" s="523"/>
      <c r="DSL50" s="523"/>
      <c r="DSM50" s="523"/>
      <c r="DSN50" s="523"/>
      <c r="DSO50" s="523"/>
      <c r="DSP50" s="523"/>
      <c r="DSQ50" s="523"/>
      <c r="DSR50" s="523"/>
      <c r="DSS50" s="523"/>
      <c r="DST50" s="523"/>
      <c r="DSU50" s="523"/>
      <c r="DSV50" s="523"/>
      <c r="DSW50" s="523"/>
      <c r="DSX50" s="523"/>
      <c r="DSY50" s="523"/>
      <c r="DSZ50" s="523"/>
      <c r="DTA50" s="523"/>
      <c r="DTB50" s="523"/>
      <c r="DTC50" s="523"/>
      <c r="DTD50" s="523"/>
      <c r="DTE50" s="523"/>
      <c r="DTF50" s="523"/>
      <c r="DTG50" s="523"/>
      <c r="DTH50" s="523"/>
      <c r="DTI50" s="523"/>
      <c r="DTJ50" s="523"/>
      <c r="DTK50" s="523"/>
      <c r="DTL50" s="523"/>
      <c r="DTM50" s="523"/>
      <c r="DTN50" s="523"/>
      <c r="DTO50" s="523"/>
      <c r="DTP50" s="523"/>
      <c r="DTQ50" s="523"/>
      <c r="DTR50" s="523"/>
      <c r="DTS50" s="523"/>
      <c r="DTT50" s="523"/>
      <c r="DTU50" s="523"/>
      <c r="DTV50" s="523"/>
      <c r="DTW50" s="523"/>
      <c r="DTX50" s="523"/>
      <c r="DTY50" s="523"/>
      <c r="DTZ50" s="523"/>
      <c r="DUA50" s="523"/>
      <c r="DUB50" s="523"/>
      <c r="DUC50" s="523"/>
      <c r="DUD50" s="523"/>
      <c r="DUE50" s="523"/>
      <c r="DUF50" s="523"/>
      <c r="DUG50" s="523"/>
      <c r="DUH50" s="523"/>
      <c r="DUI50" s="523"/>
      <c r="DUJ50" s="523"/>
      <c r="DUK50" s="523"/>
      <c r="DUL50" s="523"/>
      <c r="DUM50" s="523"/>
      <c r="DUN50" s="523"/>
      <c r="DUO50" s="523"/>
      <c r="DUP50" s="523"/>
      <c r="DUQ50" s="523"/>
      <c r="DUR50" s="523"/>
      <c r="DUS50" s="523"/>
      <c r="DUT50" s="523"/>
      <c r="DUU50" s="523"/>
      <c r="DUV50" s="523"/>
      <c r="DUW50" s="523"/>
      <c r="DUX50" s="523"/>
      <c r="DUY50" s="523"/>
      <c r="DUZ50" s="523"/>
      <c r="DVA50" s="523"/>
      <c r="DVB50" s="523"/>
      <c r="DVC50" s="523"/>
      <c r="DVD50" s="523"/>
      <c r="DVE50" s="523"/>
      <c r="DVF50" s="523"/>
      <c r="DVG50" s="523"/>
      <c r="DVH50" s="523"/>
      <c r="DVI50" s="523"/>
      <c r="DVJ50" s="523"/>
      <c r="DVK50" s="523"/>
      <c r="DVL50" s="523"/>
      <c r="DVM50" s="523"/>
      <c r="DVN50" s="523"/>
      <c r="DVO50" s="523"/>
      <c r="DVP50" s="523"/>
      <c r="DVQ50" s="523"/>
      <c r="DVR50" s="523"/>
      <c r="DVS50" s="523"/>
      <c r="DVT50" s="523"/>
      <c r="DVU50" s="523"/>
      <c r="DVV50" s="523"/>
      <c r="DVW50" s="523"/>
      <c r="DVX50" s="523"/>
      <c r="DVY50" s="523"/>
      <c r="DVZ50" s="523"/>
      <c r="DWA50" s="523"/>
      <c r="DWB50" s="523"/>
      <c r="DWC50" s="523"/>
      <c r="DWD50" s="523"/>
      <c r="DWE50" s="523"/>
      <c r="DWF50" s="523"/>
      <c r="DWG50" s="523"/>
      <c r="DWH50" s="523"/>
      <c r="DWI50" s="523"/>
      <c r="DWJ50" s="523"/>
      <c r="DWK50" s="523"/>
      <c r="DWL50" s="523"/>
      <c r="DWM50" s="523"/>
      <c r="DWN50" s="523"/>
      <c r="DWO50" s="523"/>
      <c r="DWP50" s="523"/>
      <c r="DWQ50" s="523"/>
      <c r="DWR50" s="523"/>
      <c r="DWS50" s="523"/>
      <c r="DWT50" s="523"/>
      <c r="DWU50" s="523"/>
      <c r="DWV50" s="523"/>
      <c r="DWW50" s="523"/>
      <c r="DWX50" s="523"/>
      <c r="DWY50" s="523"/>
      <c r="DWZ50" s="523"/>
      <c r="DXA50" s="523"/>
      <c r="DXB50" s="523"/>
      <c r="DXC50" s="523"/>
      <c r="DXD50" s="523"/>
      <c r="DXE50" s="523"/>
      <c r="DXF50" s="523"/>
      <c r="DXG50" s="523"/>
      <c r="DXH50" s="523"/>
      <c r="DXI50" s="523"/>
      <c r="DXJ50" s="523"/>
      <c r="DXK50" s="523"/>
      <c r="DXL50" s="523"/>
      <c r="DXM50" s="523"/>
      <c r="DXN50" s="523"/>
      <c r="DXO50" s="523"/>
      <c r="DXP50" s="523"/>
      <c r="DXQ50" s="523"/>
      <c r="DXR50" s="523"/>
      <c r="DXS50" s="523"/>
      <c r="DXT50" s="523"/>
      <c r="DXU50" s="523"/>
      <c r="DXV50" s="523"/>
      <c r="DXW50" s="523"/>
      <c r="DXX50" s="523"/>
      <c r="DXY50" s="523"/>
      <c r="DXZ50" s="523"/>
      <c r="DYA50" s="523"/>
      <c r="DYB50" s="523"/>
      <c r="DYC50" s="523"/>
      <c r="DYD50" s="523"/>
      <c r="DYE50" s="523"/>
      <c r="DYF50" s="523"/>
      <c r="DYG50" s="523"/>
      <c r="DYH50" s="523"/>
      <c r="DYI50" s="523"/>
      <c r="DYJ50" s="523"/>
      <c r="DYK50" s="523"/>
      <c r="DYL50" s="523"/>
      <c r="DYM50" s="523"/>
      <c r="DYN50" s="523"/>
      <c r="DYO50" s="523"/>
      <c r="DYP50" s="523"/>
      <c r="DYQ50" s="523"/>
      <c r="DYR50" s="523"/>
      <c r="DYS50" s="523"/>
      <c r="DYT50" s="523"/>
      <c r="DYU50" s="523"/>
      <c r="DYV50" s="523"/>
      <c r="DYW50" s="523"/>
      <c r="DYX50" s="523"/>
      <c r="DYY50" s="523"/>
      <c r="DYZ50" s="523"/>
      <c r="DZA50" s="523"/>
      <c r="DZB50" s="523"/>
      <c r="DZC50" s="523"/>
      <c r="DZD50" s="523"/>
      <c r="DZE50" s="523"/>
      <c r="DZF50" s="523"/>
      <c r="DZG50" s="523"/>
      <c r="DZH50" s="523"/>
      <c r="DZI50" s="523"/>
      <c r="DZJ50" s="523"/>
      <c r="DZK50" s="523"/>
      <c r="DZL50" s="523"/>
      <c r="DZM50" s="523"/>
      <c r="DZN50" s="523"/>
      <c r="DZO50" s="523"/>
      <c r="DZP50" s="523"/>
      <c r="DZQ50" s="523"/>
      <c r="DZR50" s="523"/>
      <c r="DZS50" s="523"/>
      <c r="DZT50" s="523"/>
      <c r="DZU50" s="523"/>
      <c r="DZV50" s="523"/>
      <c r="DZW50" s="523"/>
      <c r="DZX50" s="523"/>
      <c r="DZY50" s="523"/>
      <c r="DZZ50" s="523"/>
      <c r="EAA50" s="523"/>
      <c r="EAB50" s="523"/>
      <c r="EAC50" s="523"/>
      <c r="EAD50" s="523"/>
      <c r="EAE50" s="523"/>
      <c r="EAF50" s="523"/>
      <c r="EAG50" s="523"/>
      <c r="EAH50" s="523"/>
      <c r="EAI50" s="523"/>
      <c r="EAJ50" s="523"/>
      <c r="EAK50" s="523"/>
      <c r="EAL50" s="523"/>
      <c r="EAM50" s="523"/>
      <c r="EAN50" s="523"/>
      <c r="EAO50" s="523"/>
      <c r="EAP50" s="523"/>
      <c r="EAQ50" s="523"/>
      <c r="EAR50" s="523"/>
      <c r="EAS50" s="523"/>
      <c r="EAT50" s="523"/>
      <c r="EAU50" s="523"/>
      <c r="EAV50" s="523"/>
      <c r="EAW50" s="523"/>
      <c r="EAX50" s="523"/>
      <c r="EAY50" s="523"/>
      <c r="EAZ50" s="523"/>
      <c r="EBA50" s="523"/>
      <c r="EBB50" s="523"/>
      <c r="EBC50" s="523"/>
      <c r="EBD50" s="523"/>
      <c r="EBE50" s="523"/>
      <c r="EBF50" s="523"/>
      <c r="EBG50" s="523"/>
      <c r="EBH50" s="523"/>
      <c r="EBI50" s="523"/>
      <c r="EBJ50" s="523"/>
      <c r="EBK50" s="523"/>
      <c r="EBL50" s="523"/>
      <c r="EBM50" s="523"/>
      <c r="EBN50" s="523"/>
      <c r="EBO50" s="523"/>
      <c r="EBP50" s="523"/>
      <c r="EBQ50" s="523"/>
      <c r="EBR50" s="523"/>
      <c r="EBS50" s="523"/>
      <c r="EBT50" s="523"/>
      <c r="EBU50" s="523"/>
      <c r="EBV50" s="523"/>
      <c r="EBW50" s="523"/>
      <c r="EBX50" s="523"/>
      <c r="EBY50" s="523"/>
      <c r="EBZ50" s="523"/>
      <c r="ECA50" s="523"/>
      <c r="ECB50" s="523"/>
      <c r="ECC50" s="523"/>
      <c r="ECD50" s="523"/>
      <c r="ECE50" s="523"/>
      <c r="ECF50" s="523"/>
      <c r="ECG50" s="523"/>
      <c r="ECH50" s="523"/>
      <c r="ECI50" s="523"/>
      <c r="ECJ50" s="523"/>
      <c r="ECK50" s="523"/>
      <c r="ECL50" s="523"/>
      <c r="ECM50" s="523"/>
      <c r="ECN50" s="523"/>
      <c r="ECO50" s="523"/>
      <c r="ECP50" s="523"/>
      <c r="ECQ50" s="523"/>
      <c r="ECR50" s="523"/>
      <c r="ECS50" s="523"/>
      <c r="ECT50" s="523"/>
      <c r="ECU50" s="523"/>
      <c r="ECV50" s="523"/>
      <c r="ECW50" s="523"/>
      <c r="ECX50" s="523"/>
      <c r="ECY50" s="523"/>
      <c r="ECZ50" s="523"/>
      <c r="EDA50" s="523"/>
      <c r="EDB50" s="523"/>
      <c r="EDC50" s="523"/>
      <c r="EDD50" s="523"/>
      <c r="EDE50" s="523"/>
      <c r="EDF50" s="523"/>
      <c r="EDG50" s="523"/>
      <c r="EDH50" s="523"/>
      <c r="EDI50" s="523"/>
      <c r="EDJ50" s="523"/>
      <c r="EDK50" s="523"/>
      <c r="EDL50" s="523"/>
      <c r="EDM50" s="523"/>
      <c r="EDN50" s="523"/>
      <c r="EDO50" s="523"/>
      <c r="EDP50" s="523"/>
      <c r="EDQ50" s="523"/>
      <c r="EDR50" s="523"/>
      <c r="EDS50" s="523"/>
      <c r="EDT50" s="523"/>
      <c r="EDU50" s="523"/>
      <c r="EDV50" s="523"/>
      <c r="EDW50" s="523"/>
      <c r="EDX50" s="523"/>
      <c r="EDY50" s="523"/>
      <c r="EDZ50" s="523"/>
      <c r="EEA50" s="523"/>
      <c r="EEB50" s="523"/>
      <c r="EEC50" s="523"/>
      <c r="EED50" s="523"/>
      <c r="EEE50" s="523"/>
      <c r="EEF50" s="523"/>
      <c r="EEG50" s="523"/>
      <c r="EEH50" s="523"/>
      <c r="EEI50" s="523"/>
      <c r="EEJ50" s="523"/>
      <c r="EEK50" s="523"/>
      <c r="EEL50" s="523"/>
      <c r="EEM50" s="523"/>
      <c r="EEN50" s="523"/>
      <c r="EEO50" s="523"/>
      <c r="EEP50" s="523"/>
      <c r="EEQ50" s="523"/>
      <c r="EER50" s="523"/>
      <c r="EES50" s="523"/>
      <c r="EET50" s="523"/>
      <c r="EEU50" s="523"/>
      <c r="EEV50" s="523"/>
      <c r="EEW50" s="523"/>
      <c r="EEX50" s="523"/>
      <c r="EEY50" s="523"/>
      <c r="EEZ50" s="523"/>
      <c r="EFA50" s="523"/>
      <c r="EFB50" s="523"/>
      <c r="EFC50" s="523"/>
      <c r="EFD50" s="523"/>
      <c r="EFE50" s="523"/>
      <c r="EFF50" s="523"/>
      <c r="EFG50" s="523"/>
      <c r="EFH50" s="523"/>
      <c r="EFI50" s="523"/>
      <c r="EFJ50" s="523"/>
      <c r="EFK50" s="523"/>
      <c r="EFL50" s="523"/>
      <c r="EFM50" s="523"/>
      <c r="EFN50" s="523"/>
      <c r="EFO50" s="523"/>
      <c r="EFP50" s="523"/>
      <c r="EFQ50" s="523"/>
      <c r="EFR50" s="523"/>
      <c r="EFS50" s="523"/>
      <c r="EFT50" s="523"/>
      <c r="EFU50" s="523"/>
      <c r="EFV50" s="523"/>
      <c r="EFW50" s="523"/>
      <c r="EFX50" s="523"/>
      <c r="EFY50" s="523"/>
      <c r="EFZ50" s="523"/>
      <c r="EGA50" s="523"/>
      <c r="EGB50" s="523"/>
      <c r="EGC50" s="523"/>
      <c r="EGD50" s="523"/>
      <c r="EGE50" s="523"/>
      <c r="EGF50" s="523"/>
      <c r="EGG50" s="523"/>
      <c r="EGH50" s="523"/>
      <c r="EGI50" s="523"/>
      <c r="EGJ50" s="523"/>
      <c r="EGK50" s="523"/>
      <c r="EGL50" s="523"/>
      <c r="EGM50" s="523"/>
      <c r="EGN50" s="523"/>
      <c r="EGO50" s="523"/>
      <c r="EGP50" s="523"/>
      <c r="EGQ50" s="523"/>
      <c r="EGR50" s="523"/>
      <c r="EGS50" s="523"/>
      <c r="EGT50" s="523"/>
      <c r="EGU50" s="523"/>
      <c r="EGV50" s="523"/>
      <c r="EGW50" s="523"/>
      <c r="EGX50" s="523"/>
      <c r="EGY50" s="523"/>
      <c r="EGZ50" s="523"/>
      <c r="EHA50" s="523"/>
      <c r="EHB50" s="523"/>
      <c r="EHC50" s="523"/>
      <c r="EHD50" s="523"/>
      <c r="EHE50" s="523"/>
      <c r="EHF50" s="523"/>
      <c r="EHG50" s="523"/>
      <c r="EHH50" s="523"/>
      <c r="EHI50" s="523"/>
      <c r="EHJ50" s="523"/>
      <c r="EHK50" s="523"/>
      <c r="EHL50" s="523"/>
      <c r="EHM50" s="523"/>
      <c r="EHN50" s="523"/>
      <c r="EHO50" s="523"/>
      <c r="EHP50" s="523"/>
      <c r="EHQ50" s="523"/>
      <c r="EHR50" s="523"/>
      <c r="EHS50" s="523"/>
      <c r="EHT50" s="523"/>
      <c r="EHU50" s="523"/>
      <c r="EHV50" s="523"/>
      <c r="EHW50" s="523"/>
      <c r="EHX50" s="523"/>
      <c r="EHY50" s="523"/>
      <c r="EHZ50" s="523"/>
      <c r="EIA50" s="523"/>
      <c r="EIB50" s="523"/>
      <c r="EIC50" s="523"/>
      <c r="EID50" s="523"/>
      <c r="EIE50" s="523"/>
      <c r="EIF50" s="523"/>
      <c r="EIG50" s="523"/>
      <c r="EIH50" s="523"/>
      <c r="EII50" s="523"/>
      <c r="EIJ50" s="523"/>
      <c r="EIK50" s="523"/>
      <c r="EIL50" s="523"/>
      <c r="EIM50" s="523"/>
      <c r="EIN50" s="523"/>
      <c r="EIO50" s="523"/>
      <c r="EIP50" s="523"/>
      <c r="EIQ50" s="523"/>
      <c r="EIR50" s="523"/>
      <c r="EIS50" s="523"/>
      <c r="EIT50" s="523"/>
      <c r="EIU50" s="523"/>
      <c r="EIV50" s="523"/>
      <c r="EIW50" s="523"/>
      <c r="EIX50" s="523"/>
      <c r="EIY50" s="523"/>
      <c r="EIZ50" s="523"/>
      <c r="EJA50" s="523"/>
      <c r="EJB50" s="523"/>
      <c r="EJC50" s="523"/>
      <c r="EJD50" s="523"/>
      <c r="EJE50" s="523"/>
      <c r="EJF50" s="523"/>
      <c r="EJG50" s="523"/>
      <c r="EJH50" s="523"/>
      <c r="EJI50" s="523"/>
      <c r="EJJ50" s="523"/>
      <c r="EJK50" s="523"/>
      <c r="EJL50" s="523"/>
      <c r="EJM50" s="523"/>
      <c r="EJN50" s="523"/>
      <c r="EJO50" s="523"/>
      <c r="EJP50" s="523"/>
      <c r="EJQ50" s="523"/>
      <c r="EJR50" s="523"/>
      <c r="EJS50" s="523"/>
      <c r="EJT50" s="523"/>
      <c r="EJU50" s="523"/>
      <c r="EJV50" s="523"/>
      <c r="EJW50" s="523"/>
      <c r="EJX50" s="523"/>
      <c r="EJY50" s="523"/>
      <c r="EJZ50" s="523"/>
      <c r="EKA50" s="523"/>
      <c r="EKB50" s="523"/>
      <c r="EKC50" s="523"/>
      <c r="EKD50" s="523"/>
      <c r="EKE50" s="523"/>
      <c r="EKF50" s="523"/>
      <c r="EKG50" s="523"/>
      <c r="EKH50" s="523"/>
      <c r="EKI50" s="523"/>
      <c r="EKJ50" s="523"/>
      <c r="EKK50" s="523"/>
      <c r="EKL50" s="523"/>
      <c r="EKM50" s="523"/>
      <c r="EKN50" s="523"/>
      <c r="EKO50" s="523"/>
      <c r="EKP50" s="523"/>
      <c r="EKQ50" s="523"/>
      <c r="EKR50" s="523"/>
      <c r="EKS50" s="523"/>
      <c r="EKT50" s="523"/>
      <c r="EKU50" s="523"/>
      <c r="EKV50" s="523"/>
      <c r="EKW50" s="523"/>
      <c r="EKX50" s="523"/>
      <c r="EKY50" s="523"/>
      <c r="EKZ50" s="523"/>
      <c r="ELA50" s="523"/>
      <c r="ELB50" s="523"/>
      <c r="ELC50" s="523"/>
      <c r="ELD50" s="523"/>
      <c r="ELE50" s="523"/>
      <c r="ELF50" s="523"/>
      <c r="ELG50" s="523"/>
      <c r="ELH50" s="523"/>
      <c r="ELI50" s="523"/>
      <c r="ELJ50" s="523"/>
      <c r="ELK50" s="523"/>
      <c r="ELL50" s="523"/>
      <c r="ELM50" s="523"/>
      <c r="ELN50" s="523"/>
      <c r="ELO50" s="523"/>
      <c r="ELP50" s="523"/>
      <c r="ELQ50" s="523"/>
      <c r="ELR50" s="523"/>
      <c r="ELS50" s="523"/>
      <c r="ELT50" s="523"/>
      <c r="ELU50" s="523"/>
      <c r="ELV50" s="523"/>
      <c r="ELW50" s="523"/>
      <c r="ELX50" s="523"/>
      <c r="ELY50" s="523"/>
      <c r="ELZ50" s="523"/>
      <c r="EMA50" s="523"/>
      <c r="EMB50" s="523"/>
      <c r="EMC50" s="523"/>
      <c r="EMD50" s="523"/>
      <c r="EME50" s="523"/>
      <c r="EMF50" s="523"/>
      <c r="EMG50" s="523"/>
      <c r="EMH50" s="523"/>
      <c r="EMI50" s="523"/>
      <c r="EMJ50" s="523"/>
      <c r="EMK50" s="523"/>
      <c r="EML50" s="523"/>
      <c r="EMM50" s="523"/>
      <c r="EMN50" s="523"/>
      <c r="EMO50" s="523"/>
      <c r="EMP50" s="523"/>
      <c r="EMQ50" s="523"/>
      <c r="EMR50" s="523"/>
      <c r="EMS50" s="523"/>
      <c r="EMT50" s="523"/>
      <c r="EMU50" s="523"/>
      <c r="EMV50" s="523"/>
      <c r="EMW50" s="523"/>
      <c r="EMX50" s="523"/>
      <c r="EMY50" s="523"/>
      <c r="EMZ50" s="523"/>
      <c r="ENA50" s="523"/>
      <c r="ENB50" s="523"/>
      <c r="ENC50" s="523"/>
      <c r="END50" s="523"/>
      <c r="ENE50" s="523"/>
      <c r="ENF50" s="523"/>
      <c r="ENG50" s="523"/>
      <c r="ENH50" s="523"/>
      <c r="ENI50" s="523"/>
      <c r="ENJ50" s="523"/>
      <c r="ENK50" s="523"/>
      <c r="ENL50" s="523"/>
      <c r="ENM50" s="523"/>
      <c r="ENN50" s="523"/>
      <c r="ENO50" s="523"/>
      <c r="ENP50" s="523"/>
      <c r="ENQ50" s="523"/>
      <c r="ENR50" s="523"/>
      <c r="ENS50" s="523"/>
      <c r="ENT50" s="523"/>
      <c r="ENU50" s="523"/>
      <c r="ENV50" s="523"/>
      <c r="ENW50" s="523"/>
      <c r="ENX50" s="523"/>
      <c r="ENY50" s="523"/>
      <c r="ENZ50" s="523"/>
      <c r="EOA50" s="523"/>
      <c r="EOB50" s="523"/>
      <c r="EOC50" s="523"/>
      <c r="EOD50" s="523"/>
      <c r="EOE50" s="523"/>
      <c r="EOF50" s="523"/>
      <c r="EOG50" s="523"/>
      <c r="EOH50" s="523"/>
      <c r="EOI50" s="523"/>
      <c r="EOJ50" s="523"/>
      <c r="EOK50" s="523"/>
      <c r="EOL50" s="523"/>
      <c r="EOM50" s="523"/>
      <c r="EON50" s="523"/>
      <c r="EOO50" s="523"/>
      <c r="EOP50" s="523"/>
      <c r="EOQ50" s="523"/>
      <c r="EOR50" s="523"/>
      <c r="EOS50" s="523"/>
      <c r="EOT50" s="523"/>
      <c r="EOU50" s="523"/>
      <c r="EOV50" s="523"/>
      <c r="EOW50" s="523"/>
      <c r="EOX50" s="523"/>
      <c r="EOY50" s="523"/>
      <c r="EOZ50" s="523"/>
      <c r="EPA50" s="523"/>
      <c r="EPB50" s="523"/>
      <c r="EPC50" s="523"/>
      <c r="EPD50" s="523"/>
      <c r="EPE50" s="523"/>
      <c r="EPF50" s="523"/>
      <c r="EPG50" s="523"/>
      <c r="EPH50" s="523"/>
      <c r="EPI50" s="523"/>
      <c r="EPJ50" s="523"/>
      <c r="EPK50" s="523"/>
      <c r="EPL50" s="523"/>
      <c r="EPM50" s="523"/>
      <c r="EPN50" s="523"/>
      <c r="EPO50" s="523"/>
      <c r="EPP50" s="523"/>
      <c r="EPQ50" s="523"/>
      <c r="EPR50" s="523"/>
      <c r="EPS50" s="523"/>
      <c r="EPT50" s="523"/>
      <c r="EPU50" s="523"/>
      <c r="EPV50" s="523"/>
      <c r="EPW50" s="523"/>
      <c r="EPX50" s="523"/>
      <c r="EPY50" s="523"/>
      <c r="EPZ50" s="523"/>
      <c r="EQA50" s="523"/>
      <c r="EQB50" s="523"/>
      <c r="EQC50" s="523"/>
      <c r="EQD50" s="523"/>
      <c r="EQE50" s="523"/>
      <c r="EQF50" s="523"/>
      <c r="EQG50" s="523"/>
      <c r="EQH50" s="523"/>
      <c r="EQI50" s="523"/>
      <c r="EQJ50" s="523"/>
      <c r="EQK50" s="523"/>
      <c r="EQL50" s="523"/>
      <c r="EQM50" s="523"/>
      <c r="EQN50" s="523"/>
      <c r="EQO50" s="523"/>
      <c r="EQP50" s="523"/>
      <c r="EQQ50" s="523"/>
      <c r="EQR50" s="523"/>
      <c r="EQS50" s="523"/>
      <c r="EQT50" s="523"/>
      <c r="EQU50" s="523"/>
      <c r="EQV50" s="523"/>
      <c r="EQW50" s="523"/>
      <c r="EQX50" s="523"/>
      <c r="EQY50" s="523"/>
      <c r="EQZ50" s="523"/>
      <c r="ERA50" s="523"/>
      <c r="ERB50" s="523"/>
      <c r="ERC50" s="523"/>
      <c r="ERD50" s="523"/>
      <c r="ERE50" s="523"/>
      <c r="ERF50" s="523"/>
      <c r="ERG50" s="523"/>
      <c r="ERH50" s="523"/>
      <c r="ERI50" s="523"/>
      <c r="ERJ50" s="523"/>
      <c r="ERK50" s="523"/>
      <c r="ERL50" s="523"/>
      <c r="ERM50" s="523"/>
      <c r="ERN50" s="523"/>
      <c r="ERO50" s="523"/>
      <c r="ERP50" s="523"/>
      <c r="ERQ50" s="523"/>
      <c r="ERR50" s="523"/>
      <c r="ERS50" s="523"/>
      <c r="ERT50" s="523"/>
      <c r="ERU50" s="523"/>
      <c r="ERV50" s="523"/>
      <c r="ERW50" s="523"/>
      <c r="ERX50" s="523"/>
      <c r="ERY50" s="523"/>
      <c r="ERZ50" s="523"/>
      <c r="ESA50" s="523"/>
      <c r="ESB50" s="523"/>
      <c r="ESC50" s="523"/>
      <c r="ESD50" s="523"/>
      <c r="ESE50" s="523"/>
      <c r="ESF50" s="523"/>
      <c r="ESG50" s="523"/>
      <c r="ESH50" s="523"/>
      <c r="ESI50" s="523"/>
      <c r="ESJ50" s="523"/>
      <c r="ESK50" s="523"/>
      <c r="ESL50" s="523"/>
      <c r="ESM50" s="523"/>
      <c r="ESN50" s="523"/>
      <c r="ESO50" s="523"/>
      <c r="ESP50" s="523"/>
      <c r="ESQ50" s="523"/>
      <c r="ESR50" s="523"/>
      <c r="ESS50" s="523"/>
      <c r="EST50" s="523"/>
      <c r="ESU50" s="523"/>
      <c r="ESV50" s="523"/>
      <c r="ESW50" s="523"/>
      <c r="ESX50" s="523"/>
      <c r="ESY50" s="523"/>
      <c r="ESZ50" s="523"/>
      <c r="ETA50" s="523"/>
      <c r="ETB50" s="523"/>
      <c r="ETC50" s="523"/>
      <c r="ETD50" s="523"/>
      <c r="ETE50" s="523"/>
      <c r="ETF50" s="523"/>
      <c r="ETG50" s="523"/>
      <c r="ETH50" s="523"/>
      <c r="ETI50" s="523"/>
      <c r="ETJ50" s="523"/>
      <c r="ETK50" s="523"/>
      <c r="ETL50" s="523"/>
      <c r="ETM50" s="523"/>
      <c r="ETN50" s="523"/>
      <c r="ETO50" s="523"/>
      <c r="ETP50" s="523"/>
      <c r="ETQ50" s="523"/>
      <c r="ETR50" s="523"/>
      <c r="ETS50" s="523"/>
      <c r="ETT50" s="523"/>
      <c r="ETU50" s="523"/>
      <c r="ETV50" s="523"/>
      <c r="ETW50" s="523"/>
      <c r="ETX50" s="523"/>
      <c r="ETY50" s="523"/>
      <c r="ETZ50" s="523"/>
      <c r="EUA50" s="523"/>
      <c r="EUB50" s="523"/>
      <c r="EUC50" s="523"/>
      <c r="EUD50" s="523"/>
      <c r="EUE50" s="523"/>
      <c r="EUF50" s="523"/>
      <c r="EUG50" s="523"/>
      <c r="EUH50" s="523"/>
      <c r="EUI50" s="523"/>
      <c r="EUJ50" s="523"/>
      <c r="EUK50" s="523"/>
      <c r="EUL50" s="523"/>
      <c r="EUM50" s="523"/>
      <c r="EUN50" s="523"/>
      <c r="EUO50" s="523"/>
      <c r="EUP50" s="523"/>
      <c r="EUQ50" s="523"/>
      <c r="EUR50" s="523"/>
      <c r="EUS50" s="523"/>
      <c r="EUT50" s="523"/>
      <c r="EUU50" s="523"/>
      <c r="EUV50" s="523"/>
      <c r="EUW50" s="523"/>
      <c r="EUX50" s="523"/>
      <c r="EUY50" s="523"/>
      <c r="EUZ50" s="523"/>
      <c r="EVA50" s="523"/>
      <c r="EVB50" s="523"/>
      <c r="EVC50" s="523"/>
      <c r="EVD50" s="523"/>
      <c r="EVE50" s="523"/>
      <c r="EVF50" s="523"/>
      <c r="EVG50" s="523"/>
      <c r="EVH50" s="523"/>
      <c r="EVI50" s="523"/>
      <c r="EVJ50" s="523"/>
      <c r="EVK50" s="523"/>
      <c r="EVL50" s="523"/>
      <c r="EVM50" s="523"/>
      <c r="EVN50" s="523"/>
      <c r="EVO50" s="523"/>
      <c r="EVP50" s="523"/>
      <c r="EVQ50" s="523"/>
      <c r="EVR50" s="523"/>
      <c r="EVS50" s="523"/>
      <c r="EVT50" s="523"/>
      <c r="EVU50" s="523"/>
      <c r="EVV50" s="523"/>
      <c r="EVW50" s="523"/>
      <c r="EVX50" s="523"/>
      <c r="EVY50" s="523"/>
      <c r="EVZ50" s="523"/>
      <c r="EWA50" s="523"/>
      <c r="EWB50" s="523"/>
      <c r="EWC50" s="523"/>
      <c r="EWD50" s="523"/>
      <c r="EWE50" s="523"/>
      <c r="EWF50" s="523"/>
      <c r="EWG50" s="523"/>
      <c r="EWH50" s="523"/>
      <c r="EWI50" s="523"/>
      <c r="EWJ50" s="523"/>
      <c r="EWK50" s="523"/>
      <c r="EWL50" s="523"/>
      <c r="EWM50" s="523"/>
      <c r="EWN50" s="523"/>
      <c r="EWO50" s="523"/>
      <c r="EWP50" s="523"/>
      <c r="EWQ50" s="523"/>
      <c r="EWR50" s="523"/>
      <c r="EWS50" s="523"/>
      <c r="EWT50" s="523"/>
      <c r="EWU50" s="523"/>
      <c r="EWV50" s="523"/>
      <c r="EWW50" s="523"/>
      <c r="EWX50" s="523"/>
      <c r="EWY50" s="523"/>
      <c r="EWZ50" s="523"/>
      <c r="EXA50" s="523"/>
      <c r="EXB50" s="523"/>
      <c r="EXC50" s="523"/>
      <c r="EXD50" s="523"/>
      <c r="EXE50" s="523"/>
      <c r="EXF50" s="523"/>
      <c r="EXG50" s="523"/>
      <c r="EXH50" s="523"/>
      <c r="EXI50" s="523"/>
      <c r="EXJ50" s="523"/>
      <c r="EXK50" s="523"/>
      <c r="EXL50" s="523"/>
      <c r="EXM50" s="523"/>
      <c r="EXN50" s="523"/>
      <c r="EXO50" s="523"/>
      <c r="EXP50" s="523"/>
      <c r="EXQ50" s="523"/>
      <c r="EXR50" s="523"/>
      <c r="EXS50" s="523"/>
      <c r="EXT50" s="523"/>
      <c r="EXU50" s="523"/>
      <c r="EXV50" s="523"/>
      <c r="EXW50" s="523"/>
      <c r="EXX50" s="523"/>
      <c r="EXY50" s="523"/>
      <c r="EXZ50" s="523"/>
      <c r="EYA50" s="523"/>
      <c r="EYB50" s="523"/>
      <c r="EYC50" s="523"/>
      <c r="EYD50" s="523"/>
      <c r="EYE50" s="523"/>
      <c r="EYF50" s="523"/>
      <c r="EYG50" s="523"/>
      <c r="EYH50" s="523"/>
      <c r="EYI50" s="523"/>
      <c r="EYJ50" s="523"/>
      <c r="EYK50" s="523"/>
      <c r="EYL50" s="523"/>
      <c r="EYM50" s="523"/>
      <c r="EYN50" s="523"/>
      <c r="EYO50" s="523"/>
      <c r="EYP50" s="523"/>
      <c r="EYQ50" s="523"/>
      <c r="EYR50" s="523"/>
      <c r="EYS50" s="523"/>
      <c r="EYT50" s="523"/>
      <c r="EYU50" s="523"/>
      <c r="EYV50" s="523"/>
      <c r="EYW50" s="523"/>
      <c r="EYX50" s="523"/>
      <c r="EYY50" s="523"/>
      <c r="EYZ50" s="523"/>
      <c r="EZA50" s="523"/>
      <c r="EZB50" s="523"/>
      <c r="EZC50" s="523"/>
      <c r="EZD50" s="523"/>
      <c r="EZE50" s="523"/>
      <c r="EZF50" s="523"/>
      <c r="EZG50" s="523"/>
      <c r="EZH50" s="523"/>
      <c r="EZI50" s="523"/>
      <c r="EZJ50" s="523"/>
      <c r="EZK50" s="523"/>
      <c r="EZL50" s="523"/>
      <c r="EZM50" s="523"/>
      <c r="EZN50" s="523"/>
      <c r="EZO50" s="523"/>
      <c r="EZP50" s="523"/>
      <c r="EZQ50" s="523"/>
      <c r="EZR50" s="523"/>
      <c r="EZS50" s="523"/>
      <c r="EZT50" s="523"/>
      <c r="EZU50" s="523"/>
      <c r="EZV50" s="523"/>
      <c r="EZW50" s="523"/>
      <c r="EZX50" s="523"/>
      <c r="EZY50" s="523"/>
      <c r="EZZ50" s="523"/>
      <c r="FAA50" s="523"/>
      <c r="FAB50" s="523"/>
      <c r="FAC50" s="523"/>
      <c r="FAD50" s="523"/>
      <c r="FAE50" s="523"/>
      <c r="FAF50" s="523"/>
      <c r="FAG50" s="523"/>
      <c r="FAH50" s="523"/>
      <c r="FAI50" s="523"/>
      <c r="FAJ50" s="523"/>
      <c r="FAK50" s="523"/>
      <c r="FAL50" s="523"/>
      <c r="FAM50" s="523"/>
      <c r="FAN50" s="523"/>
      <c r="FAO50" s="523"/>
      <c r="FAP50" s="523"/>
      <c r="FAQ50" s="523"/>
      <c r="FAR50" s="523"/>
      <c r="FAS50" s="523"/>
      <c r="FAT50" s="523"/>
      <c r="FAU50" s="523"/>
      <c r="FAV50" s="523"/>
      <c r="FAW50" s="523"/>
      <c r="FAX50" s="523"/>
      <c r="FAY50" s="523"/>
      <c r="FAZ50" s="523"/>
      <c r="FBA50" s="523"/>
      <c r="FBB50" s="523"/>
      <c r="FBC50" s="523"/>
      <c r="FBD50" s="523"/>
      <c r="FBE50" s="523"/>
      <c r="FBF50" s="523"/>
      <c r="FBG50" s="523"/>
      <c r="FBH50" s="523"/>
      <c r="FBI50" s="523"/>
      <c r="FBJ50" s="523"/>
      <c r="FBK50" s="523"/>
      <c r="FBL50" s="523"/>
      <c r="FBM50" s="523"/>
      <c r="FBN50" s="523"/>
      <c r="FBO50" s="523"/>
      <c r="FBP50" s="523"/>
      <c r="FBQ50" s="523"/>
      <c r="FBR50" s="523"/>
      <c r="FBS50" s="523"/>
      <c r="FBT50" s="523"/>
      <c r="FBU50" s="523"/>
      <c r="FBV50" s="523"/>
      <c r="FBW50" s="523"/>
      <c r="FBX50" s="523"/>
      <c r="FBY50" s="523"/>
      <c r="FBZ50" s="523"/>
      <c r="FCA50" s="523"/>
      <c r="FCB50" s="523"/>
      <c r="FCC50" s="523"/>
      <c r="FCD50" s="523"/>
      <c r="FCE50" s="523"/>
      <c r="FCF50" s="523"/>
      <c r="FCG50" s="523"/>
      <c r="FCH50" s="523"/>
      <c r="FCI50" s="523"/>
      <c r="FCJ50" s="523"/>
      <c r="FCK50" s="523"/>
      <c r="FCL50" s="523"/>
      <c r="FCM50" s="523"/>
      <c r="FCN50" s="523"/>
      <c r="FCO50" s="523"/>
      <c r="FCP50" s="523"/>
      <c r="FCQ50" s="523"/>
      <c r="FCR50" s="523"/>
      <c r="FCS50" s="523"/>
      <c r="FCT50" s="523"/>
      <c r="FCU50" s="523"/>
      <c r="FCV50" s="523"/>
      <c r="FCW50" s="523"/>
      <c r="FCX50" s="523"/>
      <c r="FCY50" s="523"/>
      <c r="FCZ50" s="523"/>
      <c r="FDA50" s="523"/>
      <c r="FDB50" s="523"/>
      <c r="FDC50" s="523"/>
      <c r="FDD50" s="523"/>
      <c r="FDE50" s="523"/>
      <c r="FDF50" s="523"/>
      <c r="FDG50" s="523"/>
      <c r="FDH50" s="523"/>
      <c r="FDI50" s="523"/>
      <c r="FDJ50" s="523"/>
      <c r="FDK50" s="523"/>
      <c r="FDL50" s="523"/>
      <c r="FDM50" s="523"/>
      <c r="FDN50" s="523"/>
      <c r="FDO50" s="523"/>
      <c r="FDP50" s="523"/>
      <c r="FDQ50" s="523"/>
      <c r="FDR50" s="523"/>
      <c r="FDS50" s="523"/>
      <c r="FDT50" s="523"/>
      <c r="FDU50" s="523"/>
      <c r="FDV50" s="523"/>
      <c r="FDW50" s="523"/>
      <c r="FDX50" s="523"/>
      <c r="FDY50" s="523"/>
      <c r="FDZ50" s="523"/>
      <c r="FEA50" s="523"/>
      <c r="FEB50" s="523"/>
      <c r="FEC50" s="523"/>
      <c r="FED50" s="523"/>
      <c r="FEE50" s="523"/>
      <c r="FEF50" s="523"/>
      <c r="FEG50" s="523"/>
      <c r="FEH50" s="523"/>
      <c r="FEI50" s="523"/>
      <c r="FEJ50" s="523"/>
      <c r="FEK50" s="523"/>
      <c r="FEL50" s="523"/>
      <c r="FEM50" s="523"/>
      <c r="FEN50" s="523"/>
      <c r="FEO50" s="523"/>
      <c r="FEP50" s="523"/>
      <c r="FEQ50" s="523"/>
      <c r="FER50" s="523"/>
      <c r="FES50" s="523"/>
      <c r="FET50" s="523"/>
      <c r="FEU50" s="523"/>
      <c r="FEV50" s="523"/>
      <c r="FEW50" s="523"/>
      <c r="FEX50" s="523"/>
      <c r="FEY50" s="523"/>
      <c r="FEZ50" s="523"/>
      <c r="FFA50" s="523"/>
      <c r="FFB50" s="523"/>
      <c r="FFC50" s="523"/>
      <c r="FFD50" s="523"/>
      <c r="FFE50" s="523"/>
      <c r="FFF50" s="523"/>
      <c r="FFG50" s="523"/>
      <c r="FFH50" s="523"/>
      <c r="FFI50" s="523"/>
      <c r="FFJ50" s="523"/>
      <c r="FFK50" s="523"/>
      <c r="FFL50" s="523"/>
      <c r="FFM50" s="523"/>
      <c r="FFN50" s="523"/>
      <c r="FFO50" s="523"/>
      <c r="FFP50" s="523"/>
      <c r="FFQ50" s="523"/>
      <c r="FFR50" s="523"/>
      <c r="FFS50" s="523"/>
      <c r="FFT50" s="523"/>
      <c r="FFU50" s="523"/>
      <c r="FFV50" s="523"/>
      <c r="FFW50" s="523"/>
      <c r="FFX50" s="523"/>
      <c r="FFY50" s="523"/>
      <c r="FFZ50" s="523"/>
      <c r="FGA50" s="523"/>
      <c r="FGB50" s="523"/>
      <c r="FGC50" s="523"/>
      <c r="FGD50" s="523"/>
      <c r="FGE50" s="523"/>
      <c r="FGF50" s="523"/>
      <c r="FGG50" s="523"/>
      <c r="FGH50" s="523"/>
      <c r="FGI50" s="523"/>
      <c r="FGJ50" s="523"/>
      <c r="FGK50" s="523"/>
      <c r="FGL50" s="523"/>
      <c r="FGM50" s="523"/>
      <c r="FGN50" s="523"/>
      <c r="FGO50" s="523"/>
      <c r="FGP50" s="523"/>
      <c r="FGQ50" s="523"/>
      <c r="FGR50" s="523"/>
      <c r="FGS50" s="523"/>
      <c r="FGT50" s="523"/>
      <c r="FGU50" s="523"/>
      <c r="FGV50" s="523"/>
      <c r="FGW50" s="523"/>
      <c r="FGX50" s="523"/>
      <c r="FGY50" s="523"/>
      <c r="FGZ50" s="523"/>
      <c r="FHA50" s="523"/>
      <c r="FHB50" s="523"/>
      <c r="FHC50" s="523"/>
      <c r="FHD50" s="523"/>
      <c r="FHE50" s="523"/>
      <c r="FHF50" s="523"/>
      <c r="FHG50" s="523"/>
      <c r="FHH50" s="523"/>
      <c r="FHI50" s="523"/>
      <c r="FHJ50" s="523"/>
      <c r="FHK50" s="523"/>
      <c r="FHL50" s="523"/>
      <c r="FHM50" s="523"/>
      <c r="FHN50" s="523"/>
      <c r="FHO50" s="523"/>
      <c r="FHP50" s="523"/>
      <c r="FHQ50" s="523"/>
      <c r="FHR50" s="523"/>
      <c r="FHS50" s="523"/>
      <c r="FHT50" s="523"/>
      <c r="FHU50" s="523"/>
      <c r="FHV50" s="523"/>
      <c r="FHW50" s="523"/>
      <c r="FHX50" s="523"/>
      <c r="FHY50" s="523"/>
      <c r="FHZ50" s="523"/>
      <c r="FIA50" s="523"/>
      <c r="FIB50" s="523"/>
      <c r="FIC50" s="523"/>
      <c r="FID50" s="523"/>
      <c r="FIE50" s="523"/>
      <c r="FIF50" s="523"/>
      <c r="FIG50" s="523"/>
      <c r="FIH50" s="523"/>
      <c r="FII50" s="523"/>
      <c r="FIJ50" s="523"/>
      <c r="FIK50" s="523"/>
      <c r="FIL50" s="523"/>
      <c r="FIM50" s="523"/>
      <c r="FIN50" s="523"/>
      <c r="FIO50" s="523"/>
      <c r="FIP50" s="523"/>
      <c r="FIQ50" s="523"/>
      <c r="FIR50" s="523"/>
      <c r="FIS50" s="523"/>
      <c r="FIT50" s="523"/>
      <c r="FIU50" s="523"/>
      <c r="FIV50" s="523"/>
      <c r="FIW50" s="523"/>
      <c r="FIX50" s="523"/>
      <c r="FIY50" s="523"/>
      <c r="FIZ50" s="523"/>
      <c r="FJA50" s="523"/>
      <c r="FJB50" s="523"/>
      <c r="FJC50" s="523"/>
      <c r="FJD50" s="523"/>
      <c r="FJE50" s="523"/>
      <c r="FJF50" s="523"/>
      <c r="FJG50" s="523"/>
      <c r="FJH50" s="523"/>
      <c r="FJI50" s="523"/>
      <c r="FJJ50" s="523"/>
      <c r="FJK50" s="523"/>
      <c r="FJL50" s="523"/>
      <c r="FJM50" s="523"/>
      <c r="FJN50" s="523"/>
      <c r="FJO50" s="523"/>
      <c r="FJP50" s="523"/>
      <c r="FJQ50" s="523"/>
      <c r="FJR50" s="523"/>
      <c r="FJS50" s="523"/>
      <c r="FJT50" s="523"/>
      <c r="FJU50" s="523"/>
      <c r="FJV50" s="523"/>
      <c r="FJW50" s="523"/>
      <c r="FJX50" s="523"/>
      <c r="FJY50" s="523"/>
      <c r="FJZ50" s="523"/>
      <c r="FKA50" s="523"/>
      <c r="FKB50" s="523"/>
      <c r="FKC50" s="523"/>
      <c r="FKD50" s="523"/>
      <c r="FKE50" s="523"/>
      <c r="FKF50" s="523"/>
      <c r="FKG50" s="523"/>
      <c r="FKH50" s="523"/>
      <c r="FKI50" s="523"/>
      <c r="FKJ50" s="523"/>
      <c r="FKK50" s="523"/>
      <c r="FKL50" s="523"/>
      <c r="FKM50" s="523"/>
      <c r="FKN50" s="523"/>
      <c r="FKO50" s="523"/>
      <c r="FKP50" s="523"/>
      <c r="FKQ50" s="523"/>
      <c r="FKR50" s="523"/>
      <c r="FKS50" s="523"/>
      <c r="FKT50" s="523"/>
      <c r="FKU50" s="523"/>
      <c r="FKV50" s="523"/>
      <c r="FKW50" s="523"/>
      <c r="FKX50" s="523"/>
      <c r="FKY50" s="523"/>
      <c r="FKZ50" s="523"/>
      <c r="FLA50" s="523"/>
      <c r="FLB50" s="523"/>
      <c r="FLC50" s="523"/>
      <c r="FLD50" s="523"/>
      <c r="FLE50" s="523"/>
      <c r="FLF50" s="523"/>
      <c r="FLG50" s="523"/>
      <c r="FLH50" s="523"/>
      <c r="FLI50" s="523"/>
      <c r="FLJ50" s="523"/>
      <c r="FLK50" s="523"/>
      <c r="FLL50" s="523"/>
      <c r="FLM50" s="523"/>
      <c r="FLN50" s="523"/>
      <c r="FLO50" s="523"/>
      <c r="FLP50" s="523"/>
      <c r="FLQ50" s="523"/>
      <c r="FLR50" s="523"/>
      <c r="FLS50" s="523"/>
      <c r="FLT50" s="523"/>
      <c r="FLU50" s="523"/>
      <c r="FLV50" s="523"/>
      <c r="FLW50" s="523"/>
      <c r="FLX50" s="523"/>
      <c r="FLY50" s="523"/>
      <c r="FLZ50" s="523"/>
      <c r="FMA50" s="523"/>
      <c r="FMB50" s="523"/>
      <c r="FMC50" s="523"/>
      <c r="FMD50" s="523"/>
      <c r="FME50" s="523"/>
      <c r="FMF50" s="523"/>
      <c r="FMG50" s="523"/>
      <c r="FMH50" s="523"/>
      <c r="FMI50" s="523"/>
      <c r="FMJ50" s="523"/>
      <c r="FMK50" s="523"/>
      <c r="FML50" s="523"/>
      <c r="FMM50" s="523"/>
      <c r="FMN50" s="523"/>
      <c r="FMO50" s="523"/>
      <c r="FMP50" s="523"/>
      <c r="FMQ50" s="523"/>
      <c r="FMR50" s="523"/>
      <c r="FMS50" s="523"/>
      <c r="FMT50" s="523"/>
      <c r="FMU50" s="523"/>
      <c r="FMV50" s="523"/>
      <c r="FMW50" s="523"/>
      <c r="FMX50" s="523"/>
      <c r="FMY50" s="523"/>
      <c r="FMZ50" s="523"/>
      <c r="FNA50" s="523"/>
      <c r="FNB50" s="523"/>
      <c r="FNC50" s="523"/>
      <c r="FND50" s="523"/>
      <c r="FNE50" s="523"/>
      <c r="FNF50" s="523"/>
      <c r="FNG50" s="523"/>
      <c r="FNH50" s="523"/>
      <c r="FNI50" s="523"/>
      <c r="FNJ50" s="523"/>
      <c r="FNK50" s="523"/>
      <c r="FNL50" s="523"/>
      <c r="FNM50" s="523"/>
      <c r="FNN50" s="523"/>
      <c r="FNO50" s="523"/>
      <c r="FNP50" s="523"/>
      <c r="FNQ50" s="523"/>
      <c r="FNR50" s="523"/>
      <c r="FNS50" s="523"/>
      <c r="FNT50" s="523"/>
      <c r="FNU50" s="523"/>
      <c r="FNV50" s="523"/>
      <c r="FNW50" s="523"/>
      <c r="FNX50" s="523"/>
      <c r="FNY50" s="523"/>
      <c r="FNZ50" s="523"/>
      <c r="FOA50" s="523"/>
      <c r="FOB50" s="523"/>
      <c r="FOC50" s="523"/>
      <c r="FOD50" s="523"/>
      <c r="FOE50" s="523"/>
      <c r="FOF50" s="523"/>
      <c r="FOG50" s="523"/>
      <c r="FOH50" s="523"/>
      <c r="FOI50" s="523"/>
      <c r="FOJ50" s="523"/>
      <c r="FOK50" s="523"/>
      <c r="FOL50" s="523"/>
      <c r="FOM50" s="523"/>
      <c r="FON50" s="523"/>
      <c r="FOO50" s="523"/>
      <c r="FOP50" s="523"/>
      <c r="FOQ50" s="523"/>
      <c r="FOR50" s="523"/>
      <c r="FOS50" s="523"/>
      <c r="FOT50" s="523"/>
      <c r="FOU50" s="523"/>
      <c r="FOV50" s="523"/>
      <c r="FOW50" s="523"/>
      <c r="FOX50" s="523"/>
      <c r="FOY50" s="523"/>
      <c r="FOZ50" s="523"/>
      <c r="FPA50" s="523"/>
      <c r="FPB50" s="523"/>
      <c r="FPC50" s="523"/>
      <c r="FPD50" s="523"/>
      <c r="FPE50" s="523"/>
      <c r="FPF50" s="523"/>
      <c r="FPG50" s="523"/>
      <c r="FPH50" s="523"/>
      <c r="FPI50" s="523"/>
      <c r="FPJ50" s="523"/>
      <c r="FPK50" s="523"/>
      <c r="FPL50" s="523"/>
      <c r="FPM50" s="523"/>
      <c r="FPN50" s="523"/>
      <c r="FPO50" s="523"/>
      <c r="FPP50" s="523"/>
      <c r="FPQ50" s="523"/>
      <c r="FPR50" s="523"/>
      <c r="FPS50" s="523"/>
      <c r="FPT50" s="523"/>
      <c r="FPU50" s="523"/>
      <c r="FPV50" s="523"/>
      <c r="FPW50" s="523"/>
      <c r="FPX50" s="523"/>
      <c r="FPY50" s="523"/>
      <c r="FPZ50" s="523"/>
      <c r="FQA50" s="523"/>
      <c r="FQB50" s="523"/>
      <c r="FQC50" s="523"/>
      <c r="FQD50" s="523"/>
      <c r="FQE50" s="523"/>
      <c r="FQF50" s="523"/>
      <c r="FQG50" s="523"/>
      <c r="FQH50" s="523"/>
      <c r="FQI50" s="523"/>
      <c r="FQJ50" s="523"/>
      <c r="FQK50" s="523"/>
      <c r="FQL50" s="523"/>
      <c r="FQM50" s="523"/>
      <c r="FQN50" s="523"/>
      <c r="FQO50" s="523"/>
      <c r="FQP50" s="523"/>
      <c r="FQQ50" s="523"/>
      <c r="FQR50" s="523"/>
      <c r="FQS50" s="523"/>
      <c r="FQT50" s="523"/>
      <c r="FQU50" s="523"/>
      <c r="FQV50" s="523"/>
      <c r="FQW50" s="523"/>
      <c r="FQX50" s="523"/>
      <c r="FQY50" s="523"/>
      <c r="FQZ50" s="523"/>
      <c r="FRA50" s="523"/>
      <c r="FRB50" s="523"/>
      <c r="FRC50" s="523"/>
      <c r="FRD50" s="523"/>
      <c r="FRE50" s="523"/>
      <c r="FRF50" s="523"/>
      <c r="FRG50" s="523"/>
      <c r="FRH50" s="523"/>
      <c r="FRI50" s="523"/>
      <c r="FRJ50" s="523"/>
      <c r="FRK50" s="523"/>
      <c r="FRL50" s="523"/>
      <c r="FRM50" s="523"/>
      <c r="FRN50" s="523"/>
      <c r="FRO50" s="523"/>
      <c r="FRP50" s="523"/>
      <c r="FRQ50" s="523"/>
      <c r="FRR50" s="523"/>
      <c r="FRS50" s="523"/>
      <c r="FRT50" s="523"/>
      <c r="FRU50" s="523"/>
      <c r="FRV50" s="523"/>
      <c r="FRW50" s="523"/>
      <c r="FRX50" s="523"/>
      <c r="FRY50" s="523"/>
      <c r="FRZ50" s="523"/>
      <c r="FSA50" s="523"/>
      <c r="FSB50" s="523"/>
      <c r="FSC50" s="523"/>
      <c r="FSD50" s="523"/>
      <c r="FSE50" s="523"/>
      <c r="FSF50" s="523"/>
      <c r="FSG50" s="523"/>
      <c r="FSH50" s="523"/>
      <c r="FSI50" s="523"/>
      <c r="FSJ50" s="523"/>
      <c r="FSK50" s="523"/>
      <c r="FSL50" s="523"/>
      <c r="FSM50" s="523"/>
      <c r="FSN50" s="523"/>
      <c r="FSO50" s="523"/>
      <c r="FSP50" s="523"/>
      <c r="FSQ50" s="523"/>
      <c r="FSR50" s="523"/>
      <c r="FSS50" s="523"/>
      <c r="FST50" s="523"/>
      <c r="FSU50" s="523"/>
      <c r="FSV50" s="523"/>
      <c r="FSW50" s="523"/>
      <c r="FSX50" s="523"/>
      <c r="FSY50" s="523"/>
      <c r="FSZ50" s="523"/>
      <c r="FTA50" s="523"/>
      <c r="FTB50" s="523"/>
      <c r="FTC50" s="523"/>
      <c r="FTD50" s="523"/>
      <c r="FTE50" s="523"/>
      <c r="FTF50" s="523"/>
      <c r="FTG50" s="523"/>
      <c r="FTH50" s="523"/>
      <c r="FTI50" s="523"/>
      <c r="FTJ50" s="523"/>
      <c r="FTK50" s="523"/>
      <c r="FTL50" s="523"/>
      <c r="FTM50" s="523"/>
      <c r="FTN50" s="523"/>
      <c r="FTO50" s="523"/>
      <c r="FTP50" s="523"/>
      <c r="FTQ50" s="523"/>
      <c r="FTR50" s="523"/>
      <c r="FTS50" s="523"/>
      <c r="FTT50" s="523"/>
      <c r="FTU50" s="523"/>
      <c r="FTV50" s="523"/>
      <c r="FTW50" s="523"/>
      <c r="FTX50" s="523"/>
      <c r="FTY50" s="523"/>
      <c r="FTZ50" s="523"/>
      <c r="FUA50" s="523"/>
      <c r="FUB50" s="523"/>
      <c r="FUC50" s="523"/>
      <c r="FUD50" s="523"/>
      <c r="FUE50" s="523"/>
      <c r="FUF50" s="523"/>
      <c r="FUG50" s="523"/>
      <c r="FUH50" s="523"/>
      <c r="FUI50" s="523"/>
      <c r="FUJ50" s="523"/>
      <c r="FUK50" s="523"/>
      <c r="FUL50" s="523"/>
      <c r="FUM50" s="523"/>
      <c r="FUN50" s="523"/>
      <c r="FUO50" s="523"/>
      <c r="FUP50" s="523"/>
      <c r="FUQ50" s="523"/>
      <c r="FUR50" s="523"/>
      <c r="FUS50" s="523"/>
      <c r="FUT50" s="523"/>
      <c r="FUU50" s="523"/>
      <c r="FUV50" s="523"/>
      <c r="FUW50" s="523"/>
      <c r="FUX50" s="523"/>
      <c r="FUY50" s="523"/>
      <c r="FUZ50" s="523"/>
      <c r="FVA50" s="523"/>
      <c r="FVB50" s="523"/>
      <c r="FVC50" s="523"/>
      <c r="FVD50" s="523"/>
      <c r="FVE50" s="523"/>
      <c r="FVF50" s="523"/>
      <c r="FVG50" s="523"/>
      <c r="FVH50" s="523"/>
      <c r="FVI50" s="523"/>
      <c r="FVJ50" s="523"/>
      <c r="FVK50" s="523"/>
      <c r="FVL50" s="523"/>
      <c r="FVM50" s="523"/>
      <c r="FVN50" s="523"/>
      <c r="FVO50" s="523"/>
      <c r="FVP50" s="523"/>
      <c r="FVQ50" s="523"/>
      <c r="FVR50" s="523"/>
      <c r="FVS50" s="523"/>
      <c r="FVT50" s="523"/>
      <c r="FVU50" s="523"/>
      <c r="FVV50" s="523"/>
      <c r="FVW50" s="523"/>
      <c r="FVX50" s="523"/>
      <c r="FVY50" s="523"/>
      <c r="FVZ50" s="523"/>
      <c r="FWA50" s="523"/>
      <c r="FWB50" s="523"/>
      <c r="FWC50" s="523"/>
      <c r="FWD50" s="523"/>
      <c r="FWE50" s="523"/>
      <c r="FWF50" s="523"/>
      <c r="FWG50" s="523"/>
      <c r="FWH50" s="523"/>
      <c r="FWI50" s="523"/>
      <c r="FWJ50" s="523"/>
      <c r="FWK50" s="523"/>
      <c r="FWL50" s="523"/>
      <c r="FWM50" s="523"/>
      <c r="FWN50" s="523"/>
      <c r="FWO50" s="523"/>
      <c r="FWP50" s="523"/>
      <c r="FWQ50" s="523"/>
      <c r="FWR50" s="523"/>
      <c r="FWS50" s="523"/>
      <c r="FWT50" s="523"/>
      <c r="FWU50" s="523"/>
      <c r="FWV50" s="523"/>
      <c r="FWW50" s="523"/>
      <c r="FWX50" s="523"/>
      <c r="FWY50" s="523"/>
      <c r="FWZ50" s="523"/>
      <c r="FXA50" s="523"/>
      <c r="FXB50" s="523"/>
      <c r="FXC50" s="523"/>
      <c r="FXD50" s="523"/>
      <c r="FXE50" s="523"/>
      <c r="FXF50" s="523"/>
      <c r="FXG50" s="523"/>
      <c r="FXH50" s="523"/>
      <c r="FXI50" s="523"/>
      <c r="FXJ50" s="523"/>
      <c r="FXK50" s="523"/>
      <c r="FXL50" s="523"/>
      <c r="FXM50" s="523"/>
      <c r="FXN50" s="523"/>
      <c r="FXO50" s="523"/>
      <c r="FXP50" s="523"/>
      <c r="FXQ50" s="523"/>
      <c r="FXR50" s="523"/>
      <c r="FXS50" s="523"/>
      <c r="FXT50" s="523"/>
      <c r="FXU50" s="523"/>
      <c r="FXV50" s="523"/>
      <c r="FXW50" s="523"/>
      <c r="FXX50" s="523"/>
      <c r="FXY50" s="523"/>
      <c r="FXZ50" s="523"/>
      <c r="FYA50" s="523"/>
      <c r="FYB50" s="523"/>
      <c r="FYC50" s="523"/>
      <c r="FYD50" s="523"/>
      <c r="FYE50" s="523"/>
      <c r="FYF50" s="523"/>
      <c r="FYG50" s="523"/>
      <c r="FYH50" s="523"/>
      <c r="FYI50" s="523"/>
      <c r="FYJ50" s="523"/>
      <c r="FYK50" s="523"/>
      <c r="FYL50" s="523"/>
      <c r="FYM50" s="523"/>
      <c r="FYN50" s="523"/>
      <c r="FYO50" s="523"/>
      <c r="FYP50" s="523"/>
      <c r="FYQ50" s="523"/>
      <c r="FYR50" s="523"/>
      <c r="FYS50" s="523"/>
      <c r="FYT50" s="523"/>
      <c r="FYU50" s="523"/>
      <c r="FYV50" s="523"/>
      <c r="FYW50" s="523"/>
      <c r="FYX50" s="523"/>
      <c r="FYY50" s="523"/>
      <c r="FYZ50" s="523"/>
      <c r="FZA50" s="523"/>
      <c r="FZB50" s="523"/>
      <c r="FZC50" s="523"/>
      <c r="FZD50" s="523"/>
      <c r="FZE50" s="523"/>
      <c r="FZF50" s="523"/>
      <c r="FZG50" s="523"/>
      <c r="FZH50" s="523"/>
      <c r="FZI50" s="523"/>
      <c r="FZJ50" s="523"/>
      <c r="FZK50" s="523"/>
      <c r="FZL50" s="523"/>
      <c r="FZM50" s="523"/>
      <c r="FZN50" s="523"/>
      <c r="FZO50" s="523"/>
      <c r="FZP50" s="523"/>
      <c r="FZQ50" s="523"/>
      <c r="FZR50" s="523"/>
      <c r="FZS50" s="523"/>
      <c r="FZT50" s="523"/>
      <c r="FZU50" s="523"/>
      <c r="FZV50" s="523"/>
      <c r="FZW50" s="523"/>
      <c r="FZX50" s="523"/>
      <c r="FZY50" s="523"/>
      <c r="FZZ50" s="523"/>
      <c r="GAA50" s="523"/>
      <c r="GAB50" s="523"/>
      <c r="GAC50" s="523"/>
      <c r="GAD50" s="523"/>
      <c r="GAE50" s="523"/>
      <c r="GAF50" s="523"/>
      <c r="GAG50" s="523"/>
      <c r="GAH50" s="523"/>
      <c r="GAI50" s="523"/>
      <c r="GAJ50" s="523"/>
      <c r="GAK50" s="523"/>
      <c r="GAL50" s="523"/>
      <c r="GAM50" s="523"/>
      <c r="GAN50" s="523"/>
      <c r="GAO50" s="523"/>
      <c r="GAP50" s="523"/>
      <c r="GAQ50" s="523"/>
      <c r="GAR50" s="523"/>
      <c r="GAS50" s="523"/>
      <c r="GAT50" s="523"/>
      <c r="GAU50" s="523"/>
      <c r="GAV50" s="523"/>
      <c r="GAW50" s="523"/>
      <c r="GAX50" s="523"/>
      <c r="GAY50" s="523"/>
      <c r="GAZ50" s="523"/>
      <c r="GBA50" s="523"/>
      <c r="GBB50" s="523"/>
      <c r="GBC50" s="523"/>
      <c r="GBD50" s="523"/>
      <c r="GBE50" s="523"/>
      <c r="GBF50" s="523"/>
      <c r="GBG50" s="523"/>
      <c r="GBH50" s="523"/>
      <c r="GBI50" s="523"/>
      <c r="GBJ50" s="523"/>
      <c r="GBK50" s="523"/>
      <c r="GBL50" s="523"/>
      <c r="GBM50" s="523"/>
      <c r="GBN50" s="523"/>
      <c r="GBO50" s="523"/>
      <c r="GBP50" s="523"/>
      <c r="GBQ50" s="523"/>
      <c r="GBR50" s="523"/>
      <c r="GBS50" s="523"/>
      <c r="GBT50" s="523"/>
      <c r="GBU50" s="523"/>
      <c r="GBV50" s="523"/>
      <c r="GBW50" s="523"/>
      <c r="GBX50" s="523"/>
      <c r="GBY50" s="523"/>
      <c r="GBZ50" s="523"/>
      <c r="GCA50" s="523"/>
      <c r="GCB50" s="523"/>
      <c r="GCC50" s="523"/>
      <c r="GCD50" s="523"/>
      <c r="GCE50" s="523"/>
      <c r="GCF50" s="523"/>
      <c r="GCG50" s="523"/>
      <c r="GCH50" s="523"/>
      <c r="GCI50" s="523"/>
      <c r="GCJ50" s="523"/>
      <c r="GCK50" s="523"/>
      <c r="GCL50" s="523"/>
      <c r="GCM50" s="523"/>
      <c r="GCN50" s="523"/>
      <c r="GCO50" s="523"/>
      <c r="GCP50" s="523"/>
      <c r="GCQ50" s="523"/>
      <c r="GCR50" s="523"/>
      <c r="GCS50" s="523"/>
      <c r="GCT50" s="523"/>
      <c r="GCU50" s="523"/>
      <c r="GCV50" s="523"/>
      <c r="GCW50" s="523"/>
      <c r="GCX50" s="523"/>
      <c r="GCY50" s="523"/>
      <c r="GCZ50" s="523"/>
      <c r="GDA50" s="523"/>
      <c r="GDB50" s="523"/>
      <c r="GDC50" s="523"/>
      <c r="GDD50" s="523"/>
      <c r="GDE50" s="523"/>
      <c r="GDF50" s="523"/>
      <c r="GDG50" s="523"/>
      <c r="GDH50" s="523"/>
      <c r="GDI50" s="523"/>
      <c r="GDJ50" s="523"/>
      <c r="GDK50" s="523"/>
      <c r="GDL50" s="523"/>
      <c r="GDM50" s="523"/>
      <c r="GDN50" s="523"/>
      <c r="GDO50" s="523"/>
      <c r="GDP50" s="523"/>
      <c r="GDQ50" s="523"/>
      <c r="GDR50" s="523"/>
      <c r="GDS50" s="523"/>
      <c r="GDT50" s="523"/>
      <c r="GDU50" s="523"/>
      <c r="GDV50" s="523"/>
      <c r="GDW50" s="523"/>
      <c r="GDX50" s="523"/>
      <c r="GDY50" s="523"/>
      <c r="GDZ50" s="523"/>
      <c r="GEA50" s="523"/>
      <c r="GEB50" s="523"/>
      <c r="GEC50" s="523"/>
      <c r="GED50" s="523"/>
      <c r="GEE50" s="523"/>
      <c r="GEF50" s="523"/>
      <c r="GEG50" s="523"/>
      <c r="GEH50" s="523"/>
      <c r="GEI50" s="523"/>
      <c r="GEJ50" s="523"/>
      <c r="GEK50" s="523"/>
      <c r="GEL50" s="523"/>
      <c r="GEM50" s="523"/>
      <c r="GEN50" s="523"/>
      <c r="GEO50" s="523"/>
      <c r="GEP50" s="523"/>
      <c r="GEQ50" s="523"/>
      <c r="GER50" s="523"/>
      <c r="GES50" s="523"/>
      <c r="GET50" s="523"/>
      <c r="GEU50" s="523"/>
      <c r="GEV50" s="523"/>
      <c r="GEW50" s="523"/>
      <c r="GEX50" s="523"/>
      <c r="GEY50" s="523"/>
      <c r="GEZ50" s="523"/>
      <c r="GFA50" s="523"/>
      <c r="GFB50" s="523"/>
      <c r="GFC50" s="523"/>
      <c r="GFD50" s="523"/>
      <c r="GFE50" s="523"/>
      <c r="GFF50" s="523"/>
      <c r="GFG50" s="523"/>
      <c r="GFH50" s="523"/>
      <c r="GFI50" s="523"/>
      <c r="GFJ50" s="523"/>
      <c r="GFK50" s="523"/>
      <c r="GFL50" s="523"/>
      <c r="GFM50" s="523"/>
      <c r="GFN50" s="523"/>
      <c r="GFO50" s="523"/>
      <c r="GFP50" s="523"/>
      <c r="GFQ50" s="523"/>
      <c r="GFR50" s="523"/>
      <c r="GFS50" s="523"/>
      <c r="GFT50" s="523"/>
      <c r="GFU50" s="523"/>
      <c r="GFV50" s="523"/>
      <c r="GFW50" s="523"/>
      <c r="GFX50" s="523"/>
      <c r="GFY50" s="523"/>
      <c r="GFZ50" s="523"/>
      <c r="GGA50" s="523"/>
      <c r="GGB50" s="523"/>
      <c r="GGC50" s="523"/>
      <c r="GGD50" s="523"/>
      <c r="GGE50" s="523"/>
      <c r="GGF50" s="523"/>
      <c r="GGG50" s="523"/>
      <c r="GGH50" s="523"/>
      <c r="GGI50" s="523"/>
      <c r="GGJ50" s="523"/>
      <c r="GGK50" s="523"/>
      <c r="GGL50" s="523"/>
      <c r="GGM50" s="523"/>
      <c r="GGN50" s="523"/>
      <c r="GGO50" s="523"/>
      <c r="GGP50" s="523"/>
      <c r="GGQ50" s="523"/>
      <c r="GGR50" s="523"/>
      <c r="GGS50" s="523"/>
      <c r="GGT50" s="523"/>
      <c r="GGU50" s="523"/>
      <c r="GGV50" s="523"/>
      <c r="GGW50" s="523"/>
      <c r="GGX50" s="523"/>
      <c r="GGY50" s="523"/>
      <c r="GGZ50" s="523"/>
      <c r="GHA50" s="523"/>
      <c r="GHB50" s="523"/>
      <c r="GHC50" s="523"/>
      <c r="GHD50" s="523"/>
      <c r="GHE50" s="523"/>
      <c r="GHF50" s="523"/>
      <c r="GHG50" s="523"/>
      <c r="GHH50" s="523"/>
      <c r="GHI50" s="523"/>
      <c r="GHJ50" s="523"/>
      <c r="GHK50" s="523"/>
      <c r="GHL50" s="523"/>
      <c r="GHM50" s="523"/>
      <c r="GHN50" s="523"/>
      <c r="GHO50" s="523"/>
      <c r="GHP50" s="523"/>
      <c r="GHQ50" s="523"/>
      <c r="GHR50" s="523"/>
      <c r="GHS50" s="523"/>
      <c r="GHT50" s="523"/>
      <c r="GHU50" s="523"/>
      <c r="GHV50" s="523"/>
      <c r="GHW50" s="523"/>
      <c r="GHX50" s="523"/>
      <c r="GHY50" s="523"/>
      <c r="GHZ50" s="523"/>
      <c r="GIA50" s="523"/>
      <c r="GIB50" s="523"/>
      <c r="GIC50" s="523"/>
      <c r="GID50" s="523"/>
      <c r="GIE50" s="523"/>
      <c r="GIF50" s="523"/>
      <c r="GIG50" s="523"/>
      <c r="GIH50" s="523"/>
      <c r="GII50" s="523"/>
      <c r="GIJ50" s="523"/>
      <c r="GIK50" s="523"/>
      <c r="GIL50" s="523"/>
      <c r="GIM50" s="523"/>
      <c r="GIN50" s="523"/>
      <c r="GIO50" s="523"/>
      <c r="GIP50" s="523"/>
      <c r="GIQ50" s="523"/>
      <c r="GIR50" s="523"/>
      <c r="GIS50" s="523"/>
      <c r="GIT50" s="523"/>
      <c r="GIU50" s="523"/>
      <c r="GIV50" s="523"/>
      <c r="GIW50" s="523"/>
      <c r="GIX50" s="523"/>
      <c r="GIY50" s="523"/>
      <c r="GIZ50" s="523"/>
      <c r="GJA50" s="523"/>
      <c r="GJB50" s="523"/>
      <c r="GJC50" s="523"/>
      <c r="GJD50" s="523"/>
      <c r="GJE50" s="523"/>
      <c r="GJF50" s="523"/>
      <c r="GJG50" s="523"/>
      <c r="GJH50" s="523"/>
      <c r="GJI50" s="523"/>
      <c r="GJJ50" s="523"/>
      <c r="GJK50" s="523"/>
      <c r="GJL50" s="523"/>
      <c r="GJM50" s="523"/>
      <c r="GJN50" s="523"/>
      <c r="GJO50" s="523"/>
      <c r="GJP50" s="523"/>
      <c r="GJQ50" s="523"/>
      <c r="GJR50" s="523"/>
      <c r="GJS50" s="523"/>
      <c r="GJT50" s="523"/>
      <c r="GJU50" s="523"/>
      <c r="GJV50" s="523"/>
      <c r="GJW50" s="523"/>
      <c r="GJX50" s="523"/>
      <c r="GJY50" s="523"/>
      <c r="GJZ50" s="523"/>
      <c r="GKA50" s="523"/>
      <c r="GKB50" s="523"/>
      <c r="GKC50" s="523"/>
      <c r="GKD50" s="523"/>
      <c r="GKE50" s="523"/>
      <c r="GKF50" s="523"/>
      <c r="GKG50" s="523"/>
      <c r="GKH50" s="523"/>
      <c r="GKI50" s="523"/>
      <c r="GKJ50" s="523"/>
      <c r="GKK50" s="523"/>
      <c r="GKL50" s="523"/>
      <c r="GKM50" s="523"/>
      <c r="GKN50" s="523"/>
      <c r="GKO50" s="523"/>
      <c r="GKP50" s="523"/>
      <c r="GKQ50" s="523"/>
      <c r="GKR50" s="523"/>
      <c r="GKS50" s="523"/>
      <c r="GKT50" s="523"/>
      <c r="GKU50" s="523"/>
      <c r="GKV50" s="523"/>
      <c r="GKW50" s="523"/>
      <c r="GKX50" s="523"/>
      <c r="GKY50" s="523"/>
      <c r="GKZ50" s="523"/>
      <c r="GLA50" s="523"/>
      <c r="GLB50" s="523"/>
      <c r="GLC50" s="523"/>
      <c r="GLD50" s="523"/>
      <c r="GLE50" s="523"/>
      <c r="GLF50" s="523"/>
      <c r="GLG50" s="523"/>
      <c r="GLH50" s="523"/>
      <c r="GLI50" s="523"/>
      <c r="GLJ50" s="523"/>
      <c r="GLK50" s="523"/>
      <c r="GLL50" s="523"/>
      <c r="GLM50" s="523"/>
      <c r="GLN50" s="523"/>
      <c r="GLO50" s="523"/>
      <c r="GLP50" s="523"/>
      <c r="GLQ50" s="523"/>
      <c r="GLR50" s="523"/>
      <c r="GLS50" s="523"/>
      <c r="GLT50" s="523"/>
      <c r="GLU50" s="523"/>
      <c r="GLV50" s="523"/>
      <c r="GLW50" s="523"/>
      <c r="GLX50" s="523"/>
      <c r="GLY50" s="523"/>
      <c r="GLZ50" s="523"/>
      <c r="GMA50" s="523"/>
      <c r="GMB50" s="523"/>
      <c r="GMC50" s="523"/>
      <c r="GMD50" s="523"/>
      <c r="GME50" s="523"/>
      <c r="GMF50" s="523"/>
      <c r="GMG50" s="523"/>
      <c r="GMH50" s="523"/>
      <c r="GMI50" s="523"/>
      <c r="GMJ50" s="523"/>
      <c r="GMK50" s="523"/>
      <c r="GML50" s="523"/>
      <c r="GMM50" s="523"/>
      <c r="GMN50" s="523"/>
      <c r="GMO50" s="523"/>
      <c r="GMP50" s="523"/>
      <c r="GMQ50" s="523"/>
      <c r="GMR50" s="523"/>
      <c r="GMS50" s="523"/>
      <c r="GMT50" s="523"/>
      <c r="GMU50" s="523"/>
      <c r="GMV50" s="523"/>
      <c r="GMW50" s="523"/>
      <c r="GMX50" s="523"/>
      <c r="GMY50" s="523"/>
      <c r="GMZ50" s="523"/>
      <c r="GNA50" s="523"/>
      <c r="GNB50" s="523"/>
      <c r="GNC50" s="523"/>
      <c r="GND50" s="523"/>
      <c r="GNE50" s="523"/>
      <c r="GNF50" s="523"/>
      <c r="GNG50" s="523"/>
      <c r="GNH50" s="523"/>
      <c r="GNI50" s="523"/>
      <c r="GNJ50" s="523"/>
      <c r="GNK50" s="523"/>
      <c r="GNL50" s="523"/>
      <c r="GNM50" s="523"/>
      <c r="GNN50" s="523"/>
      <c r="GNO50" s="523"/>
      <c r="GNP50" s="523"/>
      <c r="GNQ50" s="523"/>
      <c r="GNR50" s="523"/>
      <c r="GNS50" s="523"/>
      <c r="GNT50" s="523"/>
      <c r="GNU50" s="523"/>
      <c r="GNV50" s="523"/>
      <c r="GNW50" s="523"/>
      <c r="GNX50" s="523"/>
      <c r="GNY50" s="523"/>
      <c r="GNZ50" s="523"/>
      <c r="GOA50" s="523"/>
      <c r="GOB50" s="523"/>
      <c r="GOC50" s="523"/>
      <c r="GOD50" s="523"/>
      <c r="GOE50" s="523"/>
      <c r="GOF50" s="523"/>
      <c r="GOG50" s="523"/>
      <c r="GOH50" s="523"/>
      <c r="GOI50" s="523"/>
      <c r="GOJ50" s="523"/>
      <c r="GOK50" s="523"/>
      <c r="GOL50" s="523"/>
      <c r="GOM50" s="523"/>
      <c r="GON50" s="523"/>
      <c r="GOO50" s="523"/>
      <c r="GOP50" s="523"/>
      <c r="GOQ50" s="523"/>
      <c r="GOR50" s="523"/>
      <c r="GOS50" s="523"/>
      <c r="GOT50" s="523"/>
      <c r="GOU50" s="523"/>
      <c r="GOV50" s="523"/>
      <c r="GOW50" s="523"/>
      <c r="GOX50" s="523"/>
      <c r="GOY50" s="523"/>
      <c r="GOZ50" s="523"/>
      <c r="GPA50" s="523"/>
      <c r="GPB50" s="523"/>
      <c r="GPC50" s="523"/>
      <c r="GPD50" s="523"/>
      <c r="GPE50" s="523"/>
      <c r="GPF50" s="523"/>
      <c r="GPG50" s="523"/>
      <c r="GPH50" s="523"/>
      <c r="GPI50" s="523"/>
      <c r="GPJ50" s="523"/>
      <c r="GPK50" s="523"/>
      <c r="GPL50" s="523"/>
      <c r="GPM50" s="523"/>
      <c r="GPN50" s="523"/>
      <c r="GPO50" s="523"/>
      <c r="GPP50" s="523"/>
      <c r="GPQ50" s="523"/>
      <c r="GPR50" s="523"/>
      <c r="GPS50" s="523"/>
      <c r="GPT50" s="523"/>
      <c r="GPU50" s="523"/>
      <c r="GPV50" s="523"/>
      <c r="GPW50" s="523"/>
      <c r="GPX50" s="523"/>
      <c r="GPY50" s="523"/>
      <c r="GPZ50" s="523"/>
      <c r="GQA50" s="523"/>
      <c r="GQB50" s="523"/>
      <c r="GQC50" s="523"/>
      <c r="GQD50" s="523"/>
      <c r="GQE50" s="523"/>
      <c r="GQF50" s="523"/>
      <c r="GQG50" s="523"/>
      <c r="GQH50" s="523"/>
      <c r="GQI50" s="523"/>
      <c r="GQJ50" s="523"/>
      <c r="GQK50" s="523"/>
      <c r="GQL50" s="523"/>
      <c r="GQM50" s="523"/>
      <c r="GQN50" s="523"/>
      <c r="GQO50" s="523"/>
      <c r="GQP50" s="523"/>
      <c r="GQQ50" s="523"/>
      <c r="GQR50" s="523"/>
      <c r="GQS50" s="523"/>
      <c r="GQT50" s="523"/>
      <c r="GQU50" s="523"/>
      <c r="GQV50" s="523"/>
      <c r="GQW50" s="523"/>
      <c r="GQX50" s="523"/>
      <c r="GQY50" s="523"/>
      <c r="GQZ50" s="523"/>
      <c r="GRA50" s="523"/>
      <c r="GRB50" s="523"/>
      <c r="GRC50" s="523"/>
      <c r="GRD50" s="523"/>
      <c r="GRE50" s="523"/>
      <c r="GRF50" s="523"/>
      <c r="GRG50" s="523"/>
      <c r="GRH50" s="523"/>
      <c r="GRI50" s="523"/>
      <c r="GRJ50" s="523"/>
      <c r="GRK50" s="523"/>
      <c r="GRL50" s="523"/>
      <c r="GRM50" s="523"/>
      <c r="GRN50" s="523"/>
      <c r="GRO50" s="523"/>
      <c r="GRP50" s="523"/>
      <c r="GRQ50" s="523"/>
      <c r="GRR50" s="523"/>
      <c r="GRS50" s="523"/>
      <c r="GRT50" s="523"/>
      <c r="GRU50" s="523"/>
      <c r="GRV50" s="523"/>
      <c r="GRW50" s="523"/>
      <c r="GRX50" s="523"/>
      <c r="GRY50" s="523"/>
      <c r="GRZ50" s="523"/>
      <c r="GSA50" s="523"/>
      <c r="GSB50" s="523"/>
      <c r="GSC50" s="523"/>
      <c r="GSD50" s="523"/>
      <c r="GSE50" s="523"/>
      <c r="GSF50" s="523"/>
      <c r="GSG50" s="523"/>
      <c r="GSH50" s="523"/>
      <c r="GSI50" s="523"/>
      <c r="GSJ50" s="523"/>
      <c r="GSK50" s="523"/>
      <c r="GSL50" s="523"/>
      <c r="GSM50" s="523"/>
      <c r="GSN50" s="523"/>
      <c r="GSO50" s="523"/>
      <c r="GSP50" s="523"/>
      <c r="GSQ50" s="523"/>
      <c r="GSR50" s="523"/>
      <c r="GSS50" s="523"/>
      <c r="GST50" s="523"/>
      <c r="GSU50" s="523"/>
      <c r="GSV50" s="523"/>
      <c r="GSW50" s="523"/>
      <c r="GSX50" s="523"/>
      <c r="GSY50" s="523"/>
      <c r="GSZ50" s="523"/>
      <c r="GTA50" s="523"/>
      <c r="GTB50" s="523"/>
      <c r="GTC50" s="523"/>
      <c r="GTD50" s="523"/>
      <c r="GTE50" s="523"/>
      <c r="GTF50" s="523"/>
      <c r="GTG50" s="523"/>
      <c r="GTH50" s="523"/>
      <c r="GTI50" s="523"/>
      <c r="GTJ50" s="523"/>
      <c r="GTK50" s="523"/>
      <c r="GTL50" s="523"/>
      <c r="GTM50" s="523"/>
      <c r="GTN50" s="523"/>
      <c r="GTO50" s="523"/>
      <c r="GTP50" s="523"/>
      <c r="GTQ50" s="523"/>
      <c r="GTR50" s="523"/>
      <c r="GTS50" s="523"/>
      <c r="GTT50" s="523"/>
      <c r="GTU50" s="523"/>
      <c r="GTV50" s="523"/>
      <c r="GTW50" s="523"/>
      <c r="GTX50" s="523"/>
      <c r="GTY50" s="523"/>
      <c r="GTZ50" s="523"/>
      <c r="GUA50" s="523"/>
      <c r="GUB50" s="523"/>
      <c r="GUC50" s="523"/>
      <c r="GUD50" s="523"/>
      <c r="GUE50" s="523"/>
      <c r="GUF50" s="523"/>
      <c r="GUG50" s="523"/>
      <c r="GUH50" s="523"/>
      <c r="GUI50" s="523"/>
      <c r="GUJ50" s="523"/>
      <c r="GUK50" s="523"/>
      <c r="GUL50" s="523"/>
      <c r="GUM50" s="523"/>
      <c r="GUN50" s="523"/>
      <c r="GUO50" s="523"/>
      <c r="GUP50" s="523"/>
      <c r="GUQ50" s="523"/>
      <c r="GUR50" s="523"/>
      <c r="GUS50" s="523"/>
      <c r="GUT50" s="523"/>
      <c r="GUU50" s="523"/>
      <c r="GUV50" s="523"/>
      <c r="GUW50" s="523"/>
      <c r="GUX50" s="523"/>
      <c r="GUY50" s="523"/>
      <c r="GUZ50" s="523"/>
      <c r="GVA50" s="523"/>
      <c r="GVB50" s="523"/>
      <c r="GVC50" s="523"/>
      <c r="GVD50" s="523"/>
      <c r="GVE50" s="523"/>
      <c r="GVF50" s="523"/>
      <c r="GVG50" s="523"/>
      <c r="GVH50" s="523"/>
      <c r="GVI50" s="523"/>
      <c r="GVJ50" s="523"/>
      <c r="GVK50" s="523"/>
      <c r="GVL50" s="523"/>
      <c r="GVM50" s="523"/>
      <c r="GVN50" s="523"/>
      <c r="GVO50" s="523"/>
      <c r="GVP50" s="523"/>
      <c r="GVQ50" s="523"/>
      <c r="GVR50" s="523"/>
      <c r="GVS50" s="523"/>
      <c r="GVT50" s="523"/>
      <c r="GVU50" s="523"/>
      <c r="GVV50" s="523"/>
      <c r="GVW50" s="523"/>
      <c r="GVX50" s="523"/>
      <c r="GVY50" s="523"/>
      <c r="GVZ50" s="523"/>
      <c r="GWA50" s="523"/>
      <c r="GWB50" s="523"/>
      <c r="GWC50" s="523"/>
      <c r="GWD50" s="523"/>
      <c r="GWE50" s="523"/>
      <c r="GWF50" s="523"/>
      <c r="GWG50" s="523"/>
      <c r="GWH50" s="523"/>
      <c r="GWI50" s="523"/>
      <c r="GWJ50" s="523"/>
      <c r="GWK50" s="523"/>
      <c r="GWL50" s="523"/>
      <c r="GWM50" s="523"/>
      <c r="GWN50" s="523"/>
      <c r="GWO50" s="523"/>
      <c r="GWP50" s="523"/>
      <c r="GWQ50" s="523"/>
      <c r="GWR50" s="523"/>
      <c r="GWS50" s="523"/>
      <c r="GWT50" s="523"/>
      <c r="GWU50" s="523"/>
      <c r="GWV50" s="523"/>
      <c r="GWW50" s="523"/>
      <c r="GWX50" s="523"/>
      <c r="GWY50" s="523"/>
      <c r="GWZ50" s="523"/>
      <c r="GXA50" s="523"/>
      <c r="GXB50" s="523"/>
      <c r="GXC50" s="523"/>
      <c r="GXD50" s="523"/>
      <c r="GXE50" s="523"/>
      <c r="GXF50" s="523"/>
      <c r="GXG50" s="523"/>
      <c r="GXH50" s="523"/>
      <c r="GXI50" s="523"/>
      <c r="GXJ50" s="523"/>
      <c r="GXK50" s="523"/>
      <c r="GXL50" s="523"/>
      <c r="GXM50" s="523"/>
      <c r="GXN50" s="523"/>
      <c r="GXO50" s="523"/>
      <c r="GXP50" s="523"/>
      <c r="GXQ50" s="523"/>
      <c r="GXR50" s="523"/>
      <c r="GXS50" s="523"/>
      <c r="GXT50" s="523"/>
      <c r="GXU50" s="523"/>
      <c r="GXV50" s="523"/>
      <c r="GXW50" s="523"/>
      <c r="GXX50" s="523"/>
      <c r="GXY50" s="523"/>
      <c r="GXZ50" s="523"/>
      <c r="GYA50" s="523"/>
      <c r="GYB50" s="523"/>
      <c r="GYC50" s="523"/>
      <c r="GYD50" s="523"/>
      <c r="GYE50" s="523"/>
      <c r="GYF50" s="523"/>
      <c r="GYG50" s="523"/>
      <c r="GYH50" s="523"/>
      <c r="GYI50" s="523"/>
      <c r="GYJ50" s="523"/>
      <c r="GYK50" s="523"/>
      <c r="GYL50" s="523"/>
      <c r="GYM50" s="523"/>
      <c r="GYN50" s="523"/>
      <c r="GYO50" s="523"/>
      <c r="GYP50" s="523"/>
      <c r="GYQ50" s="523"/>
      <c r="GYR50" s="523"/>
      <c r="GYS50" s="523"/>
      <c r="GYT50" s="523"/>
      <c r="GYU50" s="523"/>
      <c r="GYV50" s="523"/>
      <c r="GYW50" s="523"/>
      <c r="GYX50" s="523"/>
      <c r="GYY50" s="523"/>
      <c r="GYZ50" s="523"/>
      <c r="GZA50" s="523"/>
      <c r="GZB50" s="523"/>
      <c r="GZC50" s="523"/>
      <c r="GZD50" s="523"/>
      <c r="GZE50" s="523"/>
      <c r="GZF50" s="523"/>
      <c r="GZG50" s="523"/>
      <c r="GZH50" s="523"/>
      <c r="GZI50" s="523"/>
      <c r="GZJ50" s="523"/>
      <c r="GZK50" s="523"/>
      <c r="GZL50" s="523"/>
      <c r="GZM50" s="523"/>
      <c r="GZN50" s="523"/>
      <c r="GZO50" s="523"/>
      <c r="GZP50" s="523"/>
      <c r="GZQ50" s="523"/>
      <c r="GZR50" s="523"/>
      <c r="GZS50" s="523"/>
      <c r="GZT50" s="523"/>
      <c r="GZU50" s="523"/>
      <c r="GZV50" s="523"/>
      <c r="GZW50" s="523"/>
      <c r="GZX50" s="523"/>
      <c r="GZY50" s="523"/>
      <c r="GZZ50" s="523"/>
      <c r="HAA50" s="523"/>
      <c r="HAB50" s="523"/>
      <c r="HAC50" s="523"/>
      <c r="HAD50" s="523"/>
      <c r="HAE50" s="523"/>
      <c r="HAF50" s="523"/>
      <c r="HAG50" s="523"/>
      <c r="HAH50" s="523"/>
      <c r="HAI50" s="523"/>
      <c r="HAJ50" s="523"/>
      <c r="HAK50" s="523"/>
      <c r="HAL50" s="523"/>
      <c r="HAM50" s="523"/>
      <c r="HAN50" s="523"/>
      <c r="HAO50" s="523"/>
      <c r="HAP50" s="523"/>
      <c r="HAQ50" s="523"/>
      <c r="HAR50" s="523"/>
      <c r="HAS50" s="523"/>
      <c r="HAT50" s="523"/>
      <c r="HAU50" s="523"/>
      <c r="HAV50" s="523"/>
      <c r="HAW50" s="523"/>
      <c r="HAX50" s="523"/>
      <c r="HAY50" s="523"/>
      <c r="HAZ50" s="523"/>
      <c r="HBA50" s="523"/>
      <c r="HBB50" s="523"/>
      <c r="HBC50" s="523"/>
      <c r="HBD50" s="523"/>
      <c r="HBE50" s="523"/>
      <c r="HBF50" s="523"/>
      <c r="HBG50" s="523"/>
      <c r="HBH50" s="523"/>
      <c r="HBI50" s="523"/>
      <c r="HBJ50" s="523"/>
      <c r="HBK50" s="523"/>
      <c r="HBL50" s="523"/>
      <c r="HBM50" s="523"/>
      <c r="HBN50" s="523"/>
      <c r="HBO50" s="523"/>
      <c r="HBP50" s="523"/>
      <c r="HBQ50" s="523"/>
      <c r="HBR50" s="523"/>
      <c r="HBS50" s="523"/>
      <c r="HBT50" s="523"/>
      <c r="HBU50" s="523"/>
      <c r="HBV50" s="523"/>
      <c r="HBW50" s="523"/>
      <c r="HBX50" s="523"/>
      <c r="HBY50" s="523"/>
      <c r="HBZ50" s="523"/>
      <c r="HCA50" s="523"/>
      <c r="HCB50" s="523"/>
      <c r="HCC50" s="523"/>
      <c r="HCD50" s="523"/>
      <c r="HCE50" s="523"/>
      <c r="HCF50" s="523"/>
      <c r="HCG50" s="523"/>
      <c r="HCH50" s="523"/>
      <c r="HCI50" s="523"/>
      <c r="HCJ50" s="523"/>
      <c r="HCK50" s="523"/>
      <c r="HCL50" s="523"/>
      <c r="HCM50" s="523"/>
      <c r="HCN50" s="523"/>
      <c r="HCO50" s="523"/>
      <c r="HCP50" s="523"/>
      <c r="HCQ50" s="523"/>
      <c r="HCR50" s="523"/>
      <c r="HCS50" s="523"/>
      <c r="HCT50" s="523"/>
      <c r="HCU50" s="523"/>
      <c r="HCV50" s="523"/>
      <c r="HCW50" s="523"/>
      <c r="HCX50" s="523"/>
      <c r="HCY50" s="523"/>
      <c r="HCZ50" s="523"/>
      <c r="HDA50" s="523"/>
      <c r="HDB50" s="523"/>
      <c r="HDC50" s="523"/>
      <c r="HDD50" s="523"/>
      <c r="HDE50" s="523"/>
      <c r="HDF50" s="523"/>
      <c r="HDG50" s="523"/>
      <c r="HDH50" s="523"/>
      <c r="HDI50" s="523"/>
      <c r="HDJ50" s="523"/>
      <c r="HDK50" s="523"/>
      <c r="HDL50" s="523"/>
      <c r="HDM50" s="523"/>
      <c r="HDN50" s="523"/>
      <c r="HDO50" s="523"/>
      <c r="HDP50" s="523"/>
      <c r="HDQ50" s="523"/>
      <c r="HDR50" s="523"/>
      <c r="HDS50" s="523"/>
      <c r="HDT50" s="523"/>
      <c r="HDU50" s="523"/>
      <c r="HDV50" s="523"/>
      <c r="HDW50" s="523"/>
      <c r="HDX50" s="523"/>
      <c r="HDY50" s="523"/>
      <c r="HDZ50" s="523"/>
      <c r="HEA50" s="523"/>
      <c r="HEB50" s="523"/>
      <c r="HEC50" s="523"/>
      <c r="HED50" s="523"/>
      <c r="HEE50" s="523"/>
      <c r="HEF50" s="523"/>
      <c r="HEG50" s="523"/>
      <c r="HEH50" s="523"/>
      <c r="HEI50" s="523"/>
      <c r="HEJ50" s="523"/>
      <c r="HEK50" s="523"/>
      <c r="HEL50" s="523"/>
      <c r="HEM50" s="523"/>
      <c r="HEN50" s="523"/>
      <c r="HEO50" s="523"/>
      <c r="HEP50" s="523"/>
      <c r="HEQ50" s="523"/>
      <c r="HER50" s="523"/>
      <c r="HES50" s="523"/>
      <c r="HET50" s="523"/>
      <c r="HEU50" s="523"/>
      <c r="HEV50" s="523"/>
      <c r="HEW50" s="523"/>
      <c r="HEX50" s="523"/>
      <c r="HEY50" s="523"/>
      <c r="HEZ50" s="523"/>
      <c r="HFA50" s="523"/>
      <c r="HFB50" s="523"/>
      <c r="HFC50" s="523"/>
      <c r="HFD50" s="523"/>
      <c r="HFE50" s="523"/>
      <c r="HFF50" s="523"/>
      <c r="HFG50" s="523"/>
      <c r="HFH50" s="523"/>
      <c r="HFI50" s="523"/>
      <c r="HFJ50" s="523"/>
      <c r="HFK50" s="523"/>
      <c r="HFL50" s="523"/>
      <c r="HFM50" s="523"/>
      <c r="HFN50" s="523"/>
      <c r="HFO50" s="523"/>
      <c r="HFP50" s="523"/>
      <c r="HFQ50" s="523"/>
      <c r="HFR50" s="523"/>
      <c r="HFS50" s="523"/>
      <c r="HFT50" s="523"/>
      <c r="HFU50" s="523"/>
      <c r="HFV50" s="523"/>
      <c r="HFW50" s="523"/>
      <c r="HFX50" s="523"/>
      <c r="HFY50" s="523"/>
      <c r="HFZ50" s="523"/>
      <c r="HGA50" s="523"/>
      <c r="HGB50" s="523"/>
      <c r="HGC50" s="523"/>
      <c r="HGD50" s="523"/>
      <c r="HGE50" s="523"/>
      <c r="HGF50" s="523"/>
      <c r="HGG50" s="523"/>
      <c r="HGH50" s="523"/>
      <c r="HGI50" s="523"/>
      <c r="HGJ50" s="523"/>
      <c r="HGK50" s="523"/>
      <c r="HGL50" s="523"/>
      <c r="HGM50" s="523"/>
      <c r="HGN50" s="523"/>
      <c r="HGO50" s="523"/>
      <c r="HGP50" s="523"/>
      <c r="HGQ50" s="523"/>
      <c r="HGR50" s="523"/>
      <c r="HGS50" s="523"/>
      <c r="HGT50" s="523"/>
      <c r="HGU50" s="523"/>
      <c r="HGV50" s="523"/>
      <c r="HGW50" s="523"/>
      <c r="HGX50" s="523"/>
      <c r="HGY50" s="523"/>
      <c r="HGZ50" s="523"/>
      <c r="HHA50" s="523"/>
      <c r="HHB50" s="523"/>
      <c r="HHC50" s="523"/>
      <c r="HHD50" s="523"/>
      <c r="HHE50" s="523"/>
      <c r="HHF50" s="523"/>
      <c r="HHG50" s="523"/>
      <c r="HHH50" s="523"/>
      <c r="HHI50" s="523"/>
      <c r="HHJ50" s="523"/>
      <c r="HHK50" s="523"/>
      <c r="HHL50" s="523"/>
      <c r="HHM50" s="523"/>
      <c r="HHN50" s="523"/>
      <c r="HHO50" s="523"/>
      <c r="HHP50" s="523"/>
      <c r="HHQ50" s="523"/>
      <c r="HHR50" s="523"/>
      <c r="HHS50" s="523"/>
      <c r="HHT50" s="523"/>
      <c r="HHU50" s="523"/>
      <c r="HHV50" s="523"/>
      <c r="HHW50" s="523"/>
      <c r="HHX50" s="523"/>
      <c r="HHY50" s="523"/>
      <c r="HHZ50" s="523"/>
      <c r="HIA50" s="523"/>
      <c r="HIB50" s="523"/>
      <c r="HIC50" s="523"/>
      <c r="HID50" s="523"/>
      <c r="HIE50" s="523"/>
      <c r="HIF50" s="523"/>
      <c r="HIG50" s="523"/>
      <c r="HIH50" s="523"/>
      <c r="HII50" s="523"/>
      <c r="HIJ50" s="523"/>
      <c r="HIK50" s="523"/>
      <c r="HIL50" s="523"/>
      <c r="HIM50" s="523"/>
      <c r="HIN50" s="523"/>
      <c r="HIO50" s="523"/>
      <c r="HIP50" s="523"/>
      <c r="HIQ50" s="523"/>
      <c r="HIR50" s="523"/>
      <c r="HIS50" s="523"/>
      <c r="HIT50" s="523"/>
      <c r="HIU50" s="523"/>
      <c r="HIV50" s="523"/>
      <c r="HIW50" s="523"/>
      <c r="HIX50" s="523"/>
      <c r="HIY50" s="523"/>
      <c r="HIZ50" s="523"/>
      <c r="HJA50" s="523"/>
      <c r="HJB50" s="523"/>
      <c r="HJC50" s="523"/>
      <c r="HJD50" s="523"/>
      <c r="HJE50" s="523"/>
      <c r="HJF50" s="523"/>
      <c r="HJG50" s="523"/>
      <c r="HJH50" s="523"/>
      <c r="HJI50" s="523"/>
      <c r="HJJ50" s="523"/>
      <c r="HJK50" s="523"/>
      <c r="HJL50" s="523"/>
      <c r="HJM50" s="523"/>
      <c r="HJN50" s="523"/>
      <c r="HJO50" s="523"/>
      <c r="HJP50" s="523"/>
      <c r="HJQ50" s="523"/>
      <c r="HJR50" s="523"/>
      <c r="HJS50" s="523"/>
      <c r="HJT50" s="523"/>
      <c r="HJU50" s="523"/>
      <c r="HJV50" s="523"/>
      <c r="HJW50" s="523"/>
      <c r="HJX50" s="523"/>
      <c r="HJY50" s="523"/>
      <c r="HJZ50" s="523"/>
      <c r="HKA50" s="523"/>
      <c r="HKB50" s="523"/>
      <c r="HKC50" s="523"/>
      <c r="HKD50" s="523"/>
      <c r="HKE50" s="523"/>
      <c r="HKF50" s="523"/>
      <c r="HKG50" s="523"/>
      <c r="HKH50" s="523"/>
      <c r="HKI50" s="523"/>
      <c r="HKJ50" s="523"/>
      <c r="HKK50" s="523"/>
      <c r="HKL50" s="523"/>
      <c r="HKM50" s="523"/>
      <c r="HKN50" s="523"/>
      <c r="HKO50" s="523"/>
      <c r="HKP50" s="523"/>
      <c r="HKQ50" s="523"/>
      <c r="HKR50" s="523"/>
      <c r="HKS50" s="523"/>
      <c r="HKT50" s="523"/>
      <c r="HKU50" s="523"/>
      <c r="HKV50" s="523"/>
      <c r="HKW50" s="523"/>
      <c r="HKX50" s="523"/>
      <c r="HKY50" s="523"/>
      <c r="HKZ50" s="523"/>
      <c r="HLA50" s="523"/>
      <c r="HLB50" s="523"/>
      <c r="HLC50" s="523"/>
      <c r="HLD50" s="523"/>
      <c r="HLE50" s="523"/>
      <c r="HLF50" s="523"/>
      <c r="HLG50" s="523"/>
      <c r="HLH50" s="523"/>
      <c r="HLI50" s="523"/>
      <c r="HLJ50" s="523"/>
      <c r="HLK50" s="523"/>
      <c r="HLL50" s="523"/>
      <c r="HLM50" s="523"/>
      <c r="HLN50" s="523"/>
      <c r="HLO50" s="523"/>
      <c r="HLP50" s="523"/>
      <c r="HLQ50" s="523"/>
      <c r="HLR50" s="523"/>
      <c r="HLS50" s="523"/>
      <c r="HLT50" s="523"/>
      <c r="HLU50" s="523"/>
      <c r="HLV50" s="523"/>
      <c r="HLW50" s="523"/>
      <c r="HLX50" s="523"/>
      <c r="HLY50" s="523"/>
      <c r="HLZ50" s="523"/>
      <c r="HMA50" s="523"/>
      <c r="HMB50" s="523"/>
      <c r="HMC50" s="523"/>
      <c r="HMD50" s="523"/>
      <c r="HME50" s="523"/>
      <c r="HMF50" s="523"/>
      <c r="HMG50" s="523"/>
      <c r="HMH50" s="523"/>
      <c r="HMI50" s="523"/>
      <c r="HMJ50" s="523"/>
      <c r="HMK50" s="523"/>
      <c r="HML50" s="523"/>
      <c r="HMM50" s="523"/>
      <c r="HMN50" s="523"/>
      <c r="HMO50" s="523"/>
      <c r="HMP50" s="523"/>
      <c r="HMQ50" s="523"/>
      <c r="HMR50" s="523"/>
      <c r="HMS50" s="523"/>
      <c r="HMT50" s="523"/>
      <c r="HMU50" s="523"/>
      <c r="HMV50" s="523"/>
      <c r="HMW50" s="523"/>
      <c r="HMX50" s="523"/>
      <c r="HMY50" s="523"/>
      <c r="HMZ50" s="523"/>
      <c r="HNA50" s="523"/>
      <c r="HNB50" s="523"/>
      <c r="HNC50" s="523"/>
      <c r="HND50" s="523"/>
      <c r="HNE50" s="523"/>
      <c r="HNF50" s="523"/>
      <c r="HNG50" s="523"/>
      <c r="HNH50" s="523"/>
      <c r="HNI50" s="523"/>
      <c r="HNJ50" s="523"/>
      <c r="HNK50" s="523"/>
      <c r="HNL50" s="523"/>
      <c r="HNM50" s="523"/>
      <c r="HNN50" s="523"/>
      <c r="HNO50" s="523"/>
      <c r="HNP50" s="523"/>
      <c r="HNQ50" s="523"/>
      <c r="HNR50" s="523"/>
      <c r="HNS50" s="523"/>
      <c r="HNT50" s="523"/>
      <c r="HNU50" s="523"/>
      <c r="HNV50" s="523"/>
      <c r="HNW50" s="523"/>
      <c r="HNX50" s="523"/>
      <c r="HNY50" s="523"/>
      <c r="HNZ50" s="523"/>
      <c r="HOA50" s="523"/>
      <c r="HOB50" s="523"/>
      <c r="HOC50" s="523"/>
      <c r="HOD50" s="523"/>
      <c r="HOE50" s="523"/>
      <c r="HOF50" s="523"/>
      <c r="HOG50" s="523"/>
      <c r="HOH50" s="523"/>
      <c r="HOI50" s="523"/>
      <c r="HOJ50" s="523"/>
      <c r="HOK50" s="523"/>
      <c r="HOL50" s="523"/>
      <c r="HOM50" s="523"/>
      <c r="HON50" s="523"/>
      <c r="HOO50" s="523"/>
      <c r="HOP50" s="523"/>
      <c r="HOQ50" s="523"/>
      <c r="HOR50" s="523"/>
      <c r="HOS50" s="523"/>
      <c r="HOT50" s="523"/>
      <c r="HOU50" s="523"/>
      <c r="HOV50" s="523"/>
      <c r="HOW50" s="523"/>
      <c r="HOX50" s="523"/>
      <c r="HOY50" s="523"/>
      <c r="HOZ50" s="523"/>
      <c r="HPA50" s="523"/>
      <c r="HPB50" s="523"/>
      <c r="HPC50" s="523"/>
      <c r="HPD50" s="523"/>
      <c r="HPE50" s="523"/>
      <c r="HPF50" s="523"/>
      <c r="HPG50" s="523"/>
      <c r="HPH50" s="523"/>
      <c r="HPI50" s="523"/>
      <c r="HPJ50" s="523"/>
      <c r="HPK50" s="523"/>
      <c r="HPL50" s="523"/>
      <c r="HPM50" s="523"/>
      <c r="HPN50" s="523"/>
      <c r="HPO50" s="523"/>
      <c r="HPP50" s="523"/>
      <c r="HPQ50" s="523"/>
      <c r="HPR50" s="523"/>
      <c r="HPS50" s="523"/>
      <c r="HPT50" s="523"/>
      <c r="HPU50" s="523"/>
      <c r="HPV50" s="523"/>
      <c r="HPW50" s="523"/>
      <c r="HPX50" s="523"/>
      <c r="HPY50" s="523"/>
      <c r="HPZ50" s="523"/>
      <c r="HQA50" s="523"/>
      <c r="HQB50" s="523"/>
      <c r="HQC50" s="523"/>
      <c r="HQD50" s="523"/>
      <c r="HQE50" s="523"/>
      <c r="HQF50" s="523"/>
      <c r="HQG50" s="523"/>
      <c r="HQH50" s="523"/>
      <c r="HQI50" s="523"/>
      <c r="HQJ50" s="523"/>
      <c r="HQK50" s="523"/>
      <c r="HQL50" s="523"/>
      <c r="HQM50" s="523"/>
      <c r="HQN50" s="523"/>
      <c r="HQO50" s="523"/>
      <c r="HQP50" s="523"/>
      <c r="HQQ50" s="523"/>
      <c r="HQR50" s="523"/>
      <c r="HQS50" s="523"/>
      <c r="HQT50" s="523"/>
      <c r="HQU50" s="523"/>
      <c r="HQV50" s="523"/>
      <c r="HQW50" s="523"/>
      <c r="HQX50" s="523"/>
      <c r="HQY50" s="523"/>
      <c r="HQZ50" s="523"/>
      <c r="HRA50" s="523"/>
      <c r="HRB50" s="523"/>
      <c r="HRC50" s="523"/>
      <c r="HRD50" s="523"/>
      <c r="HRE50" s="523"/>
      <c r="HRF50" s="523"/>
      <c r="HRG50" s="523"/>
      <c r="HRH50" s="523"/>
      <c r="HRI50" s="523"/>
      <c r="HRJ50" s="523"/>
      <c r="HRK50" s="523"/>
      <c r="HRL50" s="523"/>
      <c r="HRM50" s="523"/>
      <c r="HRN50" s="523"/>
      <c r="HRO50" s="523"/>
      <c r="HRP50" s="523"/>
      <c r="HRQ50" s="523"/>
      <c r="HRR50" s="523"/>
      <c r="HRS50" s="523"/>
      <c r="HRT50" s="523"/>
      <c r="HRU50" s="523"/>
      <c r="HRV50" s="523"/>
      <c r="HRW50" s="523"/>
      <c r="HRX50" s="523"/>
      <c r="HRY50" s="523"/>
      <c r="HRZ50" s="523"/>
      <c r="HSA50" s="523"/>
      <c r="HSB50" s="523"/>
      <c r="HSC50" s="523"/>
      <c r="HSD50" s="523"/>
      <c r="HSE50" s="523"/>
      <c r="HSF50" s="523"/>
      <c r="HSG50" s="523"/>
      <c r="HSH50" s="523"/>
      <c r="HSI50" s="523"/>
      <c r="HSJ50" s="523"/>
      <c r="HSK50" s="523"/>
      <c r="HSL50" s="523"/>
      <c r="HSM50" s="523"/>
      <c r="HSN50" s="523"/>
      <c r="HSO50" s="523"/>
      <c r="HSP50" s="523"/>
      <c r="HSQ50" s="523"/>
      <c r="HSR50" s="523"/>
      <c r="HSS50" s="523"/>
      <c r="HST50" s="523"/>
      <c r="HSU50" s="523"/>
      <c r="HSV50" s="523"/>
      <c r="HSW50" s="523"/>
      <c r="HSX50" s="523"/>
      <c r="HSY50" s="523"/>
      <c r="HSZ50" s="523"/>
      <c r="HTA50" s="523"/>
      <c r="HTB50" s="523"/>
      <c r="HTC50" s="523"/>
      <c r="HTD50" s="523"/>
      <c r="HTE50" s="523"/>
      <c r="HTF50" s="523"/>
      <c r="HTG50" s="523"/>
      <c r="HTH50" s="523"/>
      <c r="HTI50" s="523"/>
      <c r="HTJ50" s="523"/>
      <c r="HTK50" s="523"/>
      <c r="HTL50" s="523"/>
      <c r="HTM50" s="523"/>
      <c r="HTN50" s="523"/>
      <c r="HTO50" s="523"/>
      <c r="HTP50" s="523"/>
      <c r="HTQ50" s="523"/>
      <c r="HTR50" s="523"/>
      <c r="HTS50" s="523"/>
      <c r="HTT50" s="523"/>
      <c r="HTU50" s="523"/>
      <c r="HTV50" s="523"/>
      <c r="HTW50" s="523"/>
      <c r="HTX50" s="523"/>
      <c r="HTY50" s="523"/>
      <c r="HTZ50" s="523"/>
      <c r="HUA50" s="523"/>
      <c r="HUB50" s="523"/>
      <c r="HUC50" s="523"/>
      <c r="HUD50" s="523"/>
      <c r="HUE50" s="523"/>
      <c r="HUF50" s="523"/>
      <c r="HUG50" s="523"/>
      <c r="HUH50" s="523"/>
      <c r="HUI50" s="523"/>
      <c r="HUJ50" s="523"/>
      <c r="HUK50" s="523"/>
      <c r="HUL50" s="523"/>
      <c r="HUM50" s="523"/>
      <c r="HUN50" s="523"/>
      <c r="HUO50" s="523"/>
      <c r="HUP50" s="523"/>
      <c r="HUQ50" s="523"/>
      <c r="HUR50" s="523"/>
      <c r="HUS50" s="523"/>
      <c r="HUT50" s="523"/>
      <c r="HUU50" s="523"/>
      <c r="HUV50" s="523"/>
      <c r="HUW50" s="523"/>
      <c r="HUX50" s="523"/>
      <c r="HUY50" s="523"/>
      <c r="HUZ50" s="523"/>
      <c r="HVA50" s="523"/>
      <c r="HVB50" s="523"/>
      <c r="HVC50" s="523"/>
      <c r="HVD50" s="523"/>
      <c r="HVE50" s="523"/>
      <c r="HVF50" s="523"/>
      <c r="HVG50" s="523"/>
      <c r="HVH50" s="523"/>
      <c r="HVI50" s="523"/>
      <c r="HVJ50" s="523"/>
      <c r="HVK50" s="523"/>
      <c r="HVL50" s="523"/>
      <c r="HVM50" s="523"/>
      <c r="HVN50" s="523"/>
      <c r="HVO50" s="523"/>
      <c r="HVP50" s="523"/>
      <c r="HVQ50" s="523"/>
      <c r="HVR50" s="523"/>
      <c r="HVS50" s="523"/>
      <c r="HVT50" s="523"/>
      <c r="HVU50" s="523"/>
      <c r="HVV50" s="523"/>
      <c r="HVW50" s="523"/>
      <c r="HVX50" s="523"/>
      <c r="HVY50" s="523"/>
      <c r="HVZ50" s="523"/>
      <c r="HWA50" s="523"/>
      <c r="HWB50" s="523"/>
      <c r="HWC50" s="523"/>
      <c r="HWD50" s="523"/>
      <c r="HWE50" s="523"/>
      <c r="HWF50" s="523"/>
      <c r="HWG50" s="523"/>
      <c r="HWH50" s="523"/>
      <c r="HWI50" s="523"/>
      <c r="HWJ50" s="523"/>
      <c r="HWK50" s="523"/>
      <c r="HWL50" s="523"/>
      <c r="HWM50" s="523"/>
      <c r="HWN50" s="523"/>
      <c r="HWO50" s="523"/>
      <c r="HWP50" s="523"/>
      <c r="HWQ50" s="523"/>
      <c r="HWR50" s="523"/>
      <c r="HWS50" s="523"/>
      <c r="HWT50" s="523"/>
      <c r="HWU50" s="523"/>
      <c r="HWV50" s="523"/>
      <c r="HWW50" s="523"/>
      <c r="HWX50" s="523"/>
      <c r="HWY50" s="523"/>
      <c r="HWZ50" s="523"/>
      <c r="HXA50" s="523"/>
      <c r="HXB50" s="523"/>
      <c r="HXC50" s="523"/>
      <c r="HXD50" s="523"/>
      <c r="HXE50" s="523"/>
      <c r="HXF50" s="523"/>
      <c r="HXG50" s="523"/>
      <c r="HXH50" s="523"/>
      <c r="HXI50" s="523"/>
      <c r="HXJ50" s="523"/>
      <c r="HXK50" s="523"/>
      <c r="HXL50" s="523"/>
      <c r="HXM50" s="523"/>
      <c r="HXN50" s="523"/>
      <c r="HXO50" s="523"/>
      <c r="HXP50" s="523"/>
      <c r="HXQ50" s="523"/>
      <c r="HXR50" s="523"/>
      <c r="HXS50" s="523"/>
      <c r="HXT50" s="523"/>
      <c r="HXU50" s="523"/>
      <c r="HXV50" s="523"/>
      <c r="HXW50" s="523"/>
      <c r="HXX50" s="523"/>
      <c r="HXY50" s="523"/>
      <c r="HXZ50" s="523"/>
      <c r="HYA50" s="523"/>
      <c r="HYB50" s="523"/>
      <c r="HYC50" s="523"/>
      <c r="HYD50" s="523"/>
      <c r="HYE50" s="523"/>
      <c r="HYF50" s="523"/>
      <c r="HYG50" s="523"/>
      <c r="HYH50" s="523"/>
      <c r="HYI50" s="523"/>
      <c r="HYJ50" s="523"/>
      <c r="HYK50" s="523"/>
      <c r="HYL50" s="523"/>
      <c r="HYM50" s="523"/>
      <c r="HYN50" s="523"/>
      <c r="HYO50" s="523"/>
      <c r="HYP50" s="523"/>
      <c r="HYQ50" s="523"/>
      <c r="HYR50" s="523"/>
      <c r="HYS50" s="523"/>
      <c r="HYT50" s="523"/>
      <c r="HYU50" s="523"/>
      <c r="HYV50" s="523"/>
      <c r="HYW50" s="523"/>
      <c r="HYX50" s="523"/>
      <c r="HYY50" s="523"/>
      <c r="HYZ50" s="523"/>
      <c r="HZA50" s="523"/>
      <c r="HZB50" s="523"/>
      <c r="HZC50" s="523"/>
      <c r="HZD50" s="523"/>
      <c r="HZE50" s="523"/>
      <c r="HZF50" s="523"/>
      <c r="HZG50" s="523"/>
      <c r="HZH50" s="523"/>
      <c r="HZI50" s="523"/>
      <c r="HZJ50" s="523"/>
      <c r="HZK50" s="523"/>
      <c r="HZL50" s="523"/>
      <c r="HZM50" s="523"/>
      <c r="HZN50" s="523"/>
      <c r="HZO50" s="523"/>
      <c r="HZP50" s="523"/>
      <c r="HZQ50" s="523"/>
      <c r="HZR50" s="523"/>
      <c r="HZS50" s="523"/>
      <c r="HZT50" s="523"/>
      <c r="HZU50" s="523"/>
      <c r="HZV50" s="523"/>
      <c r="HZW50" s="523"/>
      <c r="HZX50" s="523"/>
      <c r="HZY50" s="523"/>
      <c r="HZZ50" s="523"/>
      <c r="IAA50" s="523"/>
      <c r="IAB50" s="523"/>
      <c r="IAC50" s="523"/>
      <c r="IAD50" s="523"/>
      <c r="IAE50" s="523"/>
      <c r="IAF50" s="523"/>
      <c r="IAG50" s="523"/>
      <c r="IAH50" s="523"/>
      <c r="IAI50" s="523"/>
      <c r="IAJ50" s="523"/>
      <c r="IAK50" s="523"/>
      <c r="IAL50" s="523"/>
      <c r="IAM50" s="523"/>
      <c r="IAN50" s="523"/>
      <c r="IAO50" s="523"/>
      <c r="IAP50" s="523"/>
      <c r="IAQ50" s="523"/>
      <c r="IAR50" s="523"/>
      <c r="IAS50" s="523"/>
      <c r="IAT50" s="523"/>
      <c r="IAU50" s="523"/>
      <c r="IAV50" s="523"/>
      <c r="IAW50" s="523"/>
      <c r="IAX50" s="523"/>
      <c r="IAY50" s="523"/>
      <c r="IAZ50" s="523"/>
      <c r="IBA50" s="523"/>
      <c r="IBB50" s="523"/>
      <c r="IBC50" s="523"/>
      <c r="IBD50" s="523"/>
      <c r="IBE50" s="523"/>
      <c r="IBF50" s="523"/>
      <c r="IBG50" s="523"/>
      <c r="IBH50" s="523"/>
      <c r="IBI50" s="523"/>
      <c r="IBJ50" s="523"/>
      <c r="IBK50" s="523"/>
      <c r="IBL50" s="523"/>
      <c r="IBM50" s="523"/>
      <c r="IBN50" s="523"/>
      <c r="IBO50" s="523"/>
      <c r="IBP50" s="523"/>
      <c r="IBQ50" s="523"/>
      <c r="IBR50" s="523"/>
      <c r="IBS50" s="523"/>
      <c r="IBT50" s="523"/>
      <c r="IBU50" s="523"/>
      <c r="IBV50" s="523"/>
      <c r="IBW50" s="523"/>
      <c r="IBX50" s="523"/>
      <c r="IBY50" s="523"/>
      <c r="IBZ50" s="523"/>
      <c r="ICA50" s="523"/>
      <c r="ICB50" s="523"/>
      <c r="ICC50" s="523"/>
      <c r="ICD50" s="523"/>
      <c r="ICE50" s="523"/>
      <c r="ICF50" s="523"/>
      <c r="ICG50" s="523"/>
      <c r="ICH50" s="523"/>
      <c r="ICI50" s="523"/>
      <c r="ICJ50" s="523"/>
      <c r="ICK50" s="523"/>
      <c r="ICL50" s="523"/>
      <c r="ICM50" s="523"/>
      <c r="ICN50" s="523"/>
      <c r="ICO50" s="523"/>
      <c r="ICP50" s="523"/>
      <c r="ICQ50" s="523"/>
      <c r="ICR50" s="523"/>
      <c r="ICS50" s="523"/>
      <c r="ICT50" s="523"/>
      <c r="ICU50" s="523"/>
      <c r="ICV50" s="523"/>
      <c r="ICW50" s="523"/>
      <c r="ICX50" s="523"/>
      <c r="ICY50" s="523"/>
      <c r="ICZ50" s="523"/>
      <c r="IDA50" s="523"/>
      <c r="IDB50" s="523"/>
      <c r="IDC50" s="523"/>
      <c r="IDD50" s="523"/>
      <c r="IDE50" s="523"/>
      <c r="IDF50" s="523"/>
      <c r="IDG50" s="523"/>
      <c r="IDH50" s="523"/>
      <c r="IDI50" s="523"/>
      <c r="IDJ50" s="523"/>
      <c r="IDK50" s="523"/>
      <c r="IDL50" s="523"/>
      <c r="IDM50" s="523"/>
      <c r="IDN50" s="523"/>
      <c r="IDO50" s="523"/>
      <c r="IDP50" s="523"/>
      <c r="IDQ50" s="523"/>
      <c r="IDR50" s="523"/>
      <c r="IDS50" s="523"/>
      <c r="IDT50" s="523"/>
      <c r="IDU50" s="523"/>
      <c r="IDV50" s="523"/>
      <c r="IDW50" s="523"/>
      <c r="IDX50" s="523"/>
      <c r="IDY50" s="523"/>
      <c r="IDZ50" s="523"/>
      <c r="IEA50" s="523"/>
      <c r="IEB50" s="523"/>
      <c r="IEC50" s="523"/>
      <c r="IED50" s="523"/>
      <c r="IEE50" s="523"/>
      <c r="IEF50" s="523"/>
      <c r="IEG50" s="523"/>
      <c r="IEH50" s="523"/>
      <c r="IEI50" s="523"/>
      <c r="IEJ50" s="523"/>
      <c r="IEK50" s="523"/>
      <c r="IEL50" s="523"/>
      <c r="IEM50" s="523"/>
      <c r="IEN50" s="523"/>
      <c r="IEO50" s="523"/>
      <c r="IEP50" s="523"/>
      <c r="IEQ50" s="523"/>
      <c r="IER50" s="523"/>
      <c r="IES50" s="523"/>
      <c r="IET50" s="523"/>
      <c r="IEU50" s="523"/>
      <c r="IEV50" s="523"/>
      <c r="IEW50" s="523"/>
      <c r="IEX50" s="523"/>
      <c r="IEY50" s="523"/>
      <c r="IEZ50" s="523"/>
      <c r="IFA50" s="523"/>
      <c r="IFB50" s="523"/>
      <c r="IFC50" s="523"/>
      <c r="IFD50" s="523"/>
      <c r="IFE50" s="523"/>
      <c r="IFF50" s="523"/>
      <c r="IFG50" s="523"/>
      <c r="IFH50" s="523"/>
      <c r="IFI50" s="523"/>
      <c r="IFJ50" s="523"/>
      <c r="IFK50" s="523"/>
      <c r="IFL50" s="523"/>
      <c r="IFM50" s="523"/>
      <c r="IFN50" s="523"/>
      <c r="IFO50" s="523"/>
      <c r="IFP50" s="523"/>
      <c r="IFQ50" s="523"/>
      <c r="IFR50" s="523"/>
      <c r="IFS50" s="523"/>
      <c r="IFT50" s="523"/>
      <c r="IFU50" s="523"/>
      <c r="IFV50" s="523"/>
      <c r="IFW50" s="523"/>
      <c r="IFX50" s="523"/>
      <c r="IFY50" s="523"/>
      <c r="IFZ50" s="523"/>
      <c r="IGA50" s="523"/>
      <c r="IGB50" s="523"/>
      <c r="IGC50" s="523"/>
      <c r="IGD50" s="523"/>
      <c r="IGE50" s="523"/>
      <c r="IGF50" s="523"/>
      <c r="IGG50" s="523"/>
      <c r="IGH50" s="523"/>
      <c r="IGI50" s="523"/>
      <c r="IGJ50" s="523"/>
      <c r="IGK50" s="523"/>
      <c r="IGL50" s="523"/>
      <c r="IGM50" s="523"/>
      <c r="IGN50" s="523"/>
      <c r="IGO50" s="523"/>
      <c r="IGP50" s="523"/>
      <c r="IGQ50" s="523"/>
      <c r="IGR50" s="523"/>
      <c r="IGS50" s="523"/>
      <c r="IGT50" s="523"/>
      <c r="IGU50" s="523"/>
      <c r="IGV50" s="523"/>
      <c r="IGW50" s="523"/>
      <c r="IGX50" s="523"/>
      <c r="IGY50" s="523"/>
      <c r="IGZ50" s="523"/>
      <c r="IHA50" s="523"/>
      <c r="IHB50" s="523"/>
      <c r="IHC50" s="523"/>
      <c r="IHD50" s="523"/>
      <c r="IHE50" s="523"/>
      <c r="IHF50" s="523"/>
      <c r="IHG50" s="523"/>
      <c r="IHH50" s="523"/>
      <c r="IHI50" s="523"/>
      <c r="IHJ50" s="523"/>
      <c r="IHK50" s="523"/>
      <c r="IHL50" s="523"/>
      <c r="IHM50" s="523"/>
      <c r="IHN50" s="523"/>
      <c r="IHO50" s="523"/>
      <c r="IHP50" s="523"/>
      <c r="IHQ50" s="523"/>
      <c r="IHR50" s="523"/>
      <c r="IHS50" s="523"/>
      <c r="IHT50" s="523"/>
      <c r="IHU50" s="523"/>
      <c r="IHV50" s="523"/>
      <c r="IHW50" s="523"/>
      <c r="IHX50" s="523"/>
      <c r="IHY50" s="523"/>
      <c r="IHZ50" s="523"/>
      <c r="IIA50" s="523"/>
      <c r="IIB50" s="523"/>
      <c r="IIC50" s="523"/>
      <c r="IID50" s="523"/>
      <c r="IIE50" s="523"/>
      <c r="IIF50" s="523"/>
      <c r="IIG50" s="523"/>
      <c r="IIH50" s="523"/>
      <c r="III50" s="523"/>
      <c r="IIJ50" s="523"/>
      <c r="IIK50" s="523"/>
      <c r="IIL50" s="523"/>
      <c r="IIM50" s="523"/>
      <c r="IIN50" s="523"/>
      <c r="IIO50" s="523"/>
      <c r="IIP50" s="523"/>
      <c r="IIQ50" s="523"/>
      <c r="IIR50" s="523"/>
      <c r="IIS50" s="523"/>
      <c r="IIT50" s="523"/>
      <c r="IIU50" s="523"/>
      <c r="IIV50" s="523"/>
      <c r="IIW50" s="523"/>
      <c r="IIX50" s="523"/>
      <c r="IIY50" s="523"/>
      <c r="IIZ50" s="523"/>
      <c r="IJA50" s="523"/>
      <c r="IJB50" s="523"/>
      <c r="IJC50" s="523"/>
      <c r="IJD50" s="523"/>
      <c r="IJE50" s="523"/>
      <c r="IJF50" s="523"/>
      <c r="IJG50" s="523"/>
      <c r="IJH50" s="523"/>
      <c r="IJI50" s="523"/>
      <c r="IJJ50" s="523"/>
      <c r="IJK50" s="523"/>
      <c r="IJL50" s="523"/>
      <c r="IJM50" s="523"/>
      <c r="IJN50" s="523"/>
      <c r="IJO50" s="523"/>
      <c r="IJP50" s="523"/>
      <c r="IJQ50" s="523"/>
      <c r="IJR50" s="523"/>
      <c r="IJS50" s="523"/>
      <c r="IJT50" s="523"/>
      <c r="IJU50" s="523"/>
      <c r="IJV50" s="523"/>
      <c r="IJW50" s="523"/>
      <c r="IJX50" s="523"/>
      <c r="IJY50" s="523"/>
      <c r="IJZ50" s="523"/>
      <c r="IKA50" s="523"/>
      <c r="IKB50" s="523"/>
      <c r="IKC50" s="523"/>
      <c r="IKD50" s="523"/>
      <c r="IKE50" s="523"/>
      <c r="IKF50" s="523"/>
      <c r="IKG50" s="523"/>
      <c r="IKH50" s="523"/>
      <c r="IKI50" s="523"/>
      <c r="IKJ50" s="523"/>
      <c r="IKK50" s="523"/>
      <c r="IKL50" s="523"/>
      <c r="IKM50" s="523"/>
      <c r="IKN50" s="523"/>
      <c r="IKO50" s="523"/>
      <c r="IKP50" s="523"/>
      <c r="IKQ50" s="523"/>
      <c r="IKR50" s="523"/>
      <c r="IKS50" s="523"/>
      <c r="IKT50" s="523"/>
      <c r="IKU50" s="523"/>
      <c r="IKV50" s="523"/>
      <c r="IKW50" s="523"/>
      <c r="IKX50" s="523"/>
      <c r="IKY50" s="523"/>
      <c r="IKZ50" s="523"/>
      <c r="ILA50" s="523"/>
      <c r="ILB50" s="523"/>
      <c r="ILC50" s="523"/>
      <c r="ILD50" s="523"/>
      <c r="ILE50" s="523"/>
      <c r="ILF50" s="523"/>
      <c r="ILG50" s="523"/>
      <c r="ILH50" s="523"/>
      <c r="ILI50" s="523"/>
      <c r="ILJ50" s="523"/>
      <c r="ILK50" s="523"/>
      <c r="ILL50" s="523"/>
      <c r="ILM50" s="523"/>
      <c r="ILN50" s="523"/>
      <c r="ILO50" s="523"/>
      <c r="ILP50" s="523"/>
      <c r="ILQ50" s="523"/>
      <c r="ILR50" s="523"/>
      <c r="ILS50" s="523"/>
      <c r="ILT50" s="523"/>
      <c r="ILU50" s="523"/>
      <c r="ILV50" s="523"/>
      <c r="ILW50" s="523"/>
      <c r="ILX50" s="523"/>
      <c r="ILY50" s="523"/>
      <c r="ILZ50" s="523"/>
      <c r="IMA50" s="523"/>
      <c r="IMB50" s="523"/>
      <c r="IMC50" s="523"/>
      <c r="IMD50" s="523"/>
      <c r="IME50" s="523"/>
      <c r="IMF50" s="523"/>
      <c r="IMG50" s="523"/>
      <c r="IMH50" s="523"/>
      <c r="IMI50" s="523"/>
      <c r="IMJ50" s="523"/>
      <c r="IMK50" s="523"/>
      <c r="IML50" s="523"/>
      <c r="IMM50" s="523"/>
      <c r="IMN50" s="523"/>
      <c r="IMO50" s="523"/>
      <c r="IMP50" s="523"/>
      <c r="IMQ50" s="523"/>
      <c r="IMR50" s="523"/>
      <c r="IMS50" s="523"/>
      <c r="IMT50" s="523"/>
      <c r="IMU50" s="523"/>
      <c r="IMV50" s="523"/>
      <c r="IMW50" s="523"/>
      <c r="IMX50" s="523"/>
      <c r="IMY50" s="523"/>
      <c r="IMZ50" s="523"/>
      <c r="INA50" s="523"/>
      <c r="INB50" s="523"/>
      <c r="INC50" s="523"/>
      <c r="IND50" s="523"/>
      <c r="INE50" s="523"/>
      <c r="INF50" s="523"/>
      <c r="ING50" s="523"/>
      <c r="INH50" s="523"/>
      <c r="INI50" s="523"/>
      <c r="INJ50" s="523"/>
      <c r="INK50" s="523"/>
      <c r="INL50" s="523"/>
      <c r="INM50" s="523"/>
      <c r="INN50" s="523"/>
      <c r="INO50" s="523"/>
      <c r="INP50" s="523"/>
      <c r="INQ50" s="523"/>
      <c r="INR50" s="523"/>
      <c r="INS50" s="523"/>
      <c r="INT50" s="523"/>
      <c r="INU50" s="523"/>
      <c r="INV50" s="523"/>
      <c r="INW50" s="523"/>
      <c r="INX50" s="523"/>
      <c r="INY50" s="523"/>
      <c r="INZ50" s="523"/>
      <c r="IOA50" s="523"/>
      <c r="IOB50" s="523"/>
      <c r="IOC50" s="523"/>
      <c r="IOD50" s="523"/>
      <c r="IOE50" s="523"/>
      <c r="IOF50" s="523"/>
      <c r="IOG50" s="523"/>
      <c r="IOH50" s="523"/>
      <c r="IOI50" s="523"/>
      <c r="IOJ50" s="523"/>
      <c r="IOK50" s="523"/>
      <c r="IOL50" s="523"/>
      <c r="IOM50" s="523"/>
      <c r="ION50" s="523"/>
      <c r="IOO50" s="523"/>
      <c r="IOP50" s="523"/>
      <c r="IOQ50" s="523"/>
      <c r="IOR50" s="523"/>
      <c r="IOS50" s="523"/>
      <c r="IOT50" s="523"/>
      <c r="IOU50" s="523"/>
      <c r="IOV50" s="523"/>
      <c r="IOW50" s="523"/>
      <c r="IOX50" s="523"/>
      <c r="IOY50" s="523"/>
      <c r="IOZ50" s="523"/>
      <c r="IPA50" s="523"/>
      <c r="IPB50" s="523"/>
      <c r="IPC50" s="523"/>
      <c r="IPD50" s="523"/>
      <c r="IPE50" s="523"/>
      <c r="IPF50" s="523"/>
      <c r="IPG50" s="523"/>
      <c r="IPH50" s="523"/>
      <c r="IPI50" s="523"/>
      <c r="IPJ50" s="523"/>
      <c r="IPK50" s="523"/>
      <c r="IPL50" s="523"/>
      <c r="IPM50" s="523"/>
      <c r="IPN50" s="523"/>
      <c r="IPO50" s="523"/>
      <c r="IPP50" s="523"/>
      <c r="IPQ50" s="523"/>
      <c r="IPR50" s="523"/>
      <c r="IPS50" s="523"/>
      <c r="IPT50" s="523"/>
      <c r="IPU50" s="523"/>
      <c r="IPV50" s="523"/>
      <c r="IPW50" s="523"/>
      <c r="IPX50" s="523"/>
      <c r="IPY50" s="523"/>
      <c r="IPZ50" s="523"/>
      <c r="IQA50" s="523"/>
      <c r="IQB50" s="523"/>
      <c r="IQC50" s="523"/>
      <c r="IQD50" s="523"/>
      <c r="IQE50" s="523"/>
      <c r="IQF50" s="523"/>
      <c r="IQG50" s="523"/>
      <c r="IQH50" s="523"/>
      <c r="IQI50" s="523"/>
      <c r="IQJ50" s="523"/>
      <c r="IQK50" s="523"/>
      <c r="IQL50" s="523"/>
      <c r="IQM50" s="523"/>
      <c r="IQN50" s="523"/>
      <c r="IQO50" s="523"/>
      <c r="IQP50" s="523"/>
      <c r="IQQ50" s="523"/>
      <c r="IQR50" s="523"/>
      <c r="IQS50" s="523"/>
      <c r="IQT50" s="523"/>
      <c r="IQU50" s="523"/>
      <c r="IQV50" s="523"/>
      <c r="IQW50" s="523"/>
      <c r="IQX50" s="523"/>
      <c r="IQY50" s="523"/>
      <c r="IQZ50" s="523"/>
      <c r="IRA50" s="523"/>
      <c r="IRB50" s="523"/>
      <c r="IRC50" s="523"/>
      <c r="IRD50" s="523"/>
      <c r="IRE50" s="523"/>
      <c r="IRF50" s="523"/>
      <c r="IRG50" s="523"/>
      <c r="IRH50" s="523"/>
      <c r="IRI50" s="523"/>
      <c r="IRJ50" s="523"/>
      <c r="IRK50" s="523"/>
      <c r="IRL50" s="523"/>
      <c r="IRM50" s="523"/>
      <c r="IRN50" s="523"/>
      <c r="IRO50" s="523"/>
      <c r="IRP50" s="523"/>
      <c r="IRQ50" s="523"/>
      <c r="IRR50" s="523"/>
      <c r="IRS50" s="523"/>
      <c r="IRT50" s="523"/>
      <c r="IRU50" s="523"/>
      <c r="IRV50" s="523"/>
      <c r="IRW50" s="523"/>
      <c r="IRX50" s="523"/>
      <c r="IRY50" s="523"/>
      <c r="IRZ50" s="523"/>
      <c r="ISA50" s="523"/>
      <c r="ISB50" s="523"/>
      <c r="ISC50" s="523"/>
      <c r="ISD50" s="523"/>
      <c r="ISE50" s="523"/>
      <c r="ISF50" s="523"/>
      <c r="ISG50" s="523"/>
      <c r="ISH50" s="523"/>
      <c r="ISI50" s="523"/>
      <c r="ISJ50" s="523"/>
      <c r="ISK50" s="523"/>
      <c r="ISL50" s="523"/>
      <c r="ISM50" s="523"/>
      <c r="ISN50" s="523"/>
      <c r="ISO50" s="523"/>
      <c r="ISP50" s="523"/>
      <c r="ISQ50" s="523"/>
      <c r="ISR50" s="523"/>
      <c r="ISS50" s="523"/>
      <c r="IST50" s="523"/>
      <c r="ISU50" s="523"/>
      <c r="ISV50" s="523"/>
      <c r="ISW50" s="523"/>
      <c r="ISX50" s="523"/>
      <c r="ISY50" s="523"/>
      <c r="ISZ50" s="523"/>
      <c r="ITA50" s="523"/>
      <c r="ITB50" s="523"/>
      <c r="ITC50" s="523"/>
      <c r="ITD50" s="523"/>
      <c r="ITE50" s="523"/>
      <c r="ITF50" s="523"/>
      <c r="ITG50" s="523"/>
      <c r="ITH50" s="523"/>
      <c r="ITI50" s="523"/>
      <c r="ITJ50" s="523"/>
      <c r="ITK50" s="523"/>
      <c r="ITL50" s="523"/>
      <c r="ITM50" s="523"/>
      <c r="ITN50" s="523"/>
      <c r="ITO50" s="523"/>
      <c r="ITP50" s="523"/>
      <c r="ITQ50" s="523"/>
      <c r="ITR50" s="523"/>
      <c r="ITS50" s="523"/>
      <c r="ITT50" s="523"/>
      <c r="ITU50" s="523"/>
      <c r="ITV50" s="523"/>
      <c r="ITW50" s="523"/>
      <c r="ITX50" s="523"/>
      <c r="ITY50" s="523"/>
      <c r="ITZ50" s="523"/>
      <c r="IUA50" s="523"/>
      <c r="IUB50" s="523"/>
      <c r="IUC50" s="523"/>
      <c r="IUD50" s="523"/>
      <c r="IUE50" s="523"/>
      <c r="IUF50" s="523"/>
      <c r="IUG50" s="523"/>
      <c r="IUH50" s="523"/>
      <c r="IUI50" s="523"/>
      <c r="IUJ50" s="523"/>
      <c r="IUK50" s="523"/>
      <c r="IUL50" s="523"/>
      <c r="IUM50" s="523"/>
      <c r="IUN50" s="523"/>
      <c r="IUO50" s="523"/>
      <c r="IUP50" s="523"/>
      <c r="IUQ50" s="523"/>
      <c r="IUR50" s="523"/>
      <c r="IUS50" s="523"/>
      <c r="IUT50" s="523"/>
      <c r="IUU50" s="523"/>
      <c r="IUV50" s="523"/>
      <c r="IUW50" s="523"/>
      <c r="IUX50" s="523"/>
      <c r="IUY50" s="523"/>
      <c r="IUZ50" s="523"/>
      <c r="IVA50" s="523"/>
      <c r="IVB50" s="523"/>
      <c r="IVC50" s="523"/>
      <c r="IVD50" s="523"/>
      <c r="IVE50" s="523"/>
      <c r="IVF50" s="523"/>
      <c r="IVG50" s="523"/>
      <c r="IVH50" s="523"/>
      <c r="IVI50" s="523"/>
      <c r="IVJ50" s="523"/>
      <c r="IVK50" s="523"/>
      <c r="IVL50" s="523"/>
      <c r="IVM50" s="523"/>
      <c r="IVN50" s="523"/>
      <c r="IVO50" s="523"/>
      <c r="IVP50" s="523"/>
      <c r="IVQ50" s="523"/>
      <c r="IVR50" s="523"/>
      <c r="IVS50" s="523"/>
      <c r="IVT50" s="523"/>
      <c r="IVU50" s="523"/>
      <c r="IVV50" s="523"/>
      <c r="IVW50" s="523"/>
      <c r="IVX50" s="523"/>
      <c r="IVY50" s="523"/>
      <c r="IVZ50" s="523"/>
      <c r="IWA50" s="523"/>
      <c r="IWB50" s="523"/>
      <c r="IWC50" s="523"/>
      <c r="IWD50" s="523"/>
      <c r="IWE50" s="523"/>
      <c r="IWF50" s="523"/>
      <c r="IWG50" s="523"/>
      <c r="IWH50" s="523"/>
      <c r="IWI50" s="523"/>
      <c r="IWJ50" s="523"/>
      <c r="IWK50" s="523"/>
      <c r="IWL50" s="523"/>
      <c r="IWM50" s="523"/>
      <c r="IWN50" s="523"/>
      <c r="IWO50" s="523"/>
      <c r="IWP50" s="523"/>
      <c r="IWQ50" s="523"/>
      <c r="IWR50" s="523"/>
      <c r="IWS50" s="523"/>
      <c r="IWT50" s="523"/>
      <c r="IWU50" s="523"/>
      <c r="IWV50" s="523"/>
      <c r="IWW50" s="523"/>
      <c r="IWX50" s="523"/>
      <c r="IWY50" s="523"/>
      <c r="IWZ50" s="523"/>
      <c r="IXA50" s="523"/>
      <c r="IXB50" s="523"/>
      <c r="IXC50" s="523"/>
      <c r="IXD50" s="523"/>
      <c r="IXE50" s="523"/>
      <c r="IXF50" s="523"/>
      <c r="IXG50" s="523"/>
      <c r="IXH50" s="523"/>
      <c r="IXI50" s="523"/>
      <c r="IXJ50" s="523"/>
      <c r="IXK50" s="523"/>
      <c r="IXL50" s="523"/>
      <c r="IXM50" s="523"/>
      <c r="IXN50" s="523"/>
      <c r="IXO50" s="523"/>
      <c r="IXP50" s="523"/>
      <c r="IXQ50" s="523"/>
      <c r="IXR50" s="523"/>
      <c r="IXS50" s="523"/>
      <c r="IXT50" s="523"/>
      <c r="IXU50" s="523"/>
      <c r="IXV50" s="523"/>
      <c r="IXW50" s="523"/>
      <c r="IXX50" s="523"/>
      <c r="IXY50" s="523"/>
      <c r="IXZ50" s="523"/>
      <c r="IYA50" s="523"/>
      <c r="IYB50" s="523"/>
      <c r="IYC50" s="523"/>
      <c r="IYD50" s="523"/>
      <c r="IYE50" s="523"/>
      <c r="IYF50" s="523"/>
      <c r="IYG50" s="523"/>
      <c r="IYH50" s="523"/>
      <c r="IYI50" s="523"/>
      <c r="IYJ50" s="523"/>
      <c r="IYK50" s="523"/>
      <c r="IYL50" s="523"/>
      <c r="IYM50" s="523"/>
      <c r="IYN50" s="523"/>
      <c r="IYO50" s="523"/>
      <c r="IYP50" s="523"/>
      <c r="IYQ50" s="523"/>
      <c r="IYR50" s="523"/>
      <c r="IYS50" s="523"/>
      <c r="IYT50" s="523"/>
      <c r="IYU50" s="523"/>
      <c r="IYV50" s="523"/>
      <c r="IYW50" s="523"/>
      <c r="IYX50" s="523"/>
      <c r="IYY50" s="523"/>
      <c r="IYZ50" s="523"/>
      <c r="IZA50" s="523"/>
      <c r="IZB50" s="523"/>
      <c r="IZC50" s="523"/>
      <c r="IZD50" s="523"/>
      <c r="IZE50" s="523"/>
      <c r="IZF50" s="523"/>
      <c r="IZG50" s="523"/>
      <c r="IZH50" s="523"/>
      <c r="IZI50" s="523"/>
      <c r="IZJ50" s="523"/>
      <c r="IZK50" s="523"/>
      <c r="IZL50" s="523"/>
      <c r="IZM50" s="523"/>
      <c r="IZN50" s="523"/>
      <c r="IZO50" s="523"/>
      <c r="IZP50" s="523"/>
      <c r="IZQ50" s="523"/>
      <c r="IZR50" s="523"/>
      <c r="IZS50" s="523"/>
      <c r="IZT50" s="523"/>
      <c r="IZU50" s="523"/>
      <c r="IZV50" s="523"/>
      <c r="IZW50" s="523"/>
      <c r="IZX50" s="523"/>
      <c r="IZY50" s="523"/>
      <c r="IZZ50" s="523"/>
      <c r="JAA50" s="523"/>
      <c r="JAB50" s="523"/>
      <c r="JAC50" s="523"/>
      <c r="JAD50" s="523"/>
      <c r="JAE50" s="523"/>
      <c r="JAF50" s="523"/>
      <c r="JAG50" s="523"/>
      <c r="JAH50" s="523"/>
      <c r="JAI50" s="523"/>
      <c r="JAJ50" s="523"/>
      <c r="JAK50" s="523"/>
      <c r="JAL50" s="523"/>
      <c r="JAM50" s="523"/>
      <c r="JAN50" s="523"/>
      <c r="JAO50" s="523"/>
      <c r="JAP50" s="523"/>
      <c r="JAQ50" s="523"/>
      <c r="JAR50" s="523"/>
      <c r="JAS50" s="523"/>
      <c r="JAT50" s="523"/>
      <c r="JAU50" s="523"/>
      <c r="JAV50" s="523"/>
      <c r="JAW50" s="523"/>
      <c r="JAX50" s="523"/>
      <c r="JAY50" s="523"/>
      <c r="JAZ50" s="523"/>
      <c r="JBA50" s="523"/>
      <c r="JBB50" s="523"/>
      <c r="JBC50" s="523"/>
      <c r="JBD50" s="523"/>
      <c r="JBE50" s="523"/>
      <c r="JBF50" s="523"/>
      <c r="JBG50" s="523"/>
      <c r="JBH50" s="523"/>
      <c r="JBI50" s="523"/>
      <c r="JBJ50" s="523"/>
      <c r="JBK50" s="523"/>
      <c r="JBL50" s="523"/>
      <c r="JBM50" s="523"/>
      <c r="JBN50" s="523"/>
      <c r="JBO50" s="523"/>
      <c r="JBP50" s="523"/>
      <c r="JBQ50" s="523"/>
      <c r="JBR50" s="523"/>
      <c r="JBS50" s="523"/>
      <c r="JBT50" s="523"/>
      <c r="JBU50" s="523"/>
      <c r="JBV50" s="523"/>
      <c r="JBW50" s="523"/>
      <c r="JBX50" s="523"/>
      <c r="JBY50" s="523"/>
      <c r="JBZ50" s="523"/>
      <c r="JCA50" s="523"/>
      <c r="JCB50" s="523"/>
      <c r="JCC50" s="523"/>
      <c r="JCD50" s="523"/>
      <c r="JCE50" s="523"/>
      <c r="JCF50" s="523"/>
      <c r="JCG50" s="523"/>
      <c r="JCH50" s="523"/>
      <c r="JCI50" s="523"/>
      <c r="JCJ50" s="523"/>
      <c r="JCK50" s="523"/>
      <c r="JCL50" s="523"/>
      <c r="JCM50" s="523"/>
      <c r="JCN50" s="523"/>
      <c r="JCO50" s="523"/>
      <c r="JCP50" s="523"/>
      <c r="JCQ50" s="523"/>
      <c r="JCR50" s="523"/>
      <c r="JCS50" s="523"/>
      <c r="JCT50" s="523"/>
      <c r="JCU50" s="523"/>
      <c r="JCV50" s="523"/>
      <c r="JCW50" s="523"/>
      <c r="JCX50" s="523"/>
      <c r="JCY50" s="523"/>
      <c r="JCZ50" s="523"/>
      <c r="JDA50" s="523"/>
      <c r="JDB50" s="523"/>
      <c r="JDC50" s="523"/>
      <c r="JDD50" s="523"/>
      <c r="JDE50" s="523"/>
      <c r="JDF50" s="523"/>
      <c r="JDG50" s="523"/>
      <c r="JDH50" s="523"/>
      <c r="JDI50" s="523"/>
      <c r="JDJ50" s="523"/>
      <c r="JDK50" s="523"/>
      <c r="JDL50" s="523"/>
      <c r="JDM50" s="523"/>
      <c r="JDN50" s="523"/>
      <c r="JDO50" s="523"/>
      <c r="JDP50" s="523"/>
      <c r="JDQ50" s="523"/>
      <c r="JDR50" s="523"/>
      <c r="JDS50" s="523"/>
      <c r="JDT50" s="523"/>
      <c r="JDU50" s="523"/>
      <c r="JDV50" s="523"/>
      <c r="JDW50" s="523"/>
      <c r="JDX50" s="523"/>
      <c r="JDY50" s="523"/>
      <c r="JDZ50" s="523"/>
      <c r="JEA50" s="523"/>
      <c r="JEB50" s="523"/>
      <c r="JEC50" s="523"/>
      <c r="JED50" s="523"/>
      <c r="JEE50" s="523"/>
      <c r="JEF50" s="523"/>
      <c r="JEG50" s="523"/>
      <c r="JEH50" s="523"/>
      <c r="JEI50" s="523"/>
      <c r="JEJ50" s="523"/>
      <c r="JEK50" s="523"/>
      <c r="JEL50" s="523"/>
      <c r="JEM50" s="523"/>
      <c r="JEN50" s="523"/>
      <c r="JEO50" s="523"/>
      <c r="JEP50" s="523"/>
      <c r="JEQ50" s="523"/>
      <c r="JER50" s="523"/>
      <c r="JES50" s="523"/>
      <c r="JET50" s="523"/>
      <c r="JEU50" s="523"/>
      <c r="JEV50" s="523"/>
      <c r="JEW50" s="523"/>
      <c r="JEX50" s="523"/>
      <c r="JEY50" s="523"/>
      <c r="JEZ50" s="523"/>
      <c r="JFA50" s="523"/>
      <c r="JFB50" s="523"/>
      <c r="JFC50" s="523"/>
      <c r="JFD50" s="523"/>
      <c r="JFE50" s="523"/>
      <c r="JFF50" s="523"/>
      <c r="JFG50" s="523"/>
      <c r="JFH50" s="523"/>
      <c r="JFI50" s="523"/>
      <c r="JFJ50" s="523"/>
      <c r="JFK50" s="523"/>
      <c r="JFL50" s="523"/>
      <c r="JFM50" s="523"/>
      <c r="JFN50" s="523"/>
      <c r="JFO50" s="523"/>
      <c r="JFP50" s="523"/>
      <c r="JFQ50" s="523"/>
      <c r="JFR50" s="523"/>
      <c r="JFS50" s="523"/>
      <c r="JFT50" s="523"/>
      <c r="JFU50" s="523"/>
      <c r="JFV50" s="523"/>
      <c r="JFW50" s="523"/>
      <c r="JFX50" s="523"/>
      <c r="JFY50" s="523"/>
      <c r="JFZ50" s="523"/>
      <c r="JGA50" s="523"/>
      <c r="JGB50" s="523"/>
      <c r="JGC50" s="523"/>
      <c r="JGD50" s="523"/>
      <c r="JGE50" s="523"/>
      <c r="JGF50" s="523"/>
      <c r="JGG50" s="523"/>
      <c r="JGH50" s="523"/>
      <c r="JGI50" s="523"/>
      <c r="JGJ50" s="523"/>
      <c r="JGK50" s="523"/>
      <c r="JGL50" s="523"/>
      <c r="JGM50" s="523"/>
      <c r="JGN50" s="523"/>
      <c r="JGO50" s="523"/>
      <c r="JGP50" s="523"/>
      <c r="JGQ50" s="523"/>
      <c r="JGR50" s="523"/>
      <c r="JGS50" s="523"/>
      <c r="JGT50" s="523"/>
      <c r="JGU50" s="523"/>
      <c r="JGV50" s="523"/>
      <c r="JGW50" s="523"/>
      <c r="JGX50" s="523"/>
      <c r="JGY50" s="523"/>
      <c r="JGZ50" s="523"/>
      <c r="JHA50" s="523"/>
      <c r="JHB50" s="523"/>
      <c r="JHC50" s="523"/>
      <c r="JHD50" s="523"/>
      <c r="JHE50" s="523"/>
      <c r="JHF50" s="523"/>
      <c r="JHG50" s="523"/>
      <c r="JHH50" s="523"/>
      <c r="JHI50" s="523"/>
      <c r="JHJ50" s="523"/>
      <c r="JHK50" s="523"/>
      <c r="JHL50" s="523"/>
      <c r="JHM50" s="523"/>
      <c r="JHN50" s="523"/>
      <c r="JHO50" s="523"/>
      <c r="JHP50" s="523"/>
      <c r="JHQ50" s="523"/>
      <c r="JHR50" s="523"/>
      <c r="JHS50" s="523"/>
      <c r="JHT50" s="523"/>
      <c r="JHU50" s="523"/>
      <c r="JHV50" s="523"/>
      <c r="JHW50" s="523"/>
      <c r="JHX50" s="523"/>
      <c r="JHY50" s="523"/>
      <c r="JHZ50" s="523"/>
      <c r="JIA50" s="523"/>
      <c r="JIB50" s="523"/>
      <c r="JIC50" s="523"/>
      <c r="JID50" s="523"/>
      <c r="JIE50" s="523"/>
      <c r="JIF50" s="523"/>
      <c r="JIG50" s="523"/>
      <c r="JIH50" s="523"/>
      <c r="JII50" s="523"/>
      <c r="JIJ50" s="523"/>
      <c r="JIK50" s="523"/>
      <c r="JIL50" s="523"/>
      <c r="JIM50" s="523"/>
      <c r="JIN50" s="523"/>
      <c r="JIO50" s="523"/>
      <c r="JIP50" s="523"/>
      <c r="JIQ50" s="523"/>
      <c r="JIR50" s="523"/>
      <c r="JIS50" s="523"/>
      <c r="JIT50" s="523"/>
      <c r="JIU50" s="523"/>
      <c r="JIV50" s="523"/>
      <c r="JIW50" s="523"/>
      <c r="JIX50" s="523"/>
      <c r="JIY50" s="523"/>
      <c r="JIZ50" s="523"/>
      <c r="JJA50" s="523"/>
      <c r="JJB50" s="523"/>
      <c r="JJC50" s="523"/>
      <c r="JJD50" s="523"/>
      <c r="JJE50" s="523"/>
      <c r="JJF50" s="523"/>
      <c r="JJG50" s="523"/>
      <c r="JJH50" s="523"/>
      <c r="JJI50" s="523"/>
      <c r="JJJ50" s="523"/>
      <c r="JJK50" s="523"/>
      <c r="JJL50" s="523"/>
      <c r="JJM50" s="523"/>
      <c r="JJN50" s="523"/>
      <c r="JJO50" s="523"/>
      <c r="JJP50" s="523"/>
      <c r="JJQ50" s="523"/>
      <c r="JJR50" s="523"/>
      <c r="JJS50" s="523"/>
      <c r="JJT50" s="523"/>
      <c r="JJU50" s="523"/>
      <c r="JJV50" s="523"/>
      <c r="JJW50" s="523"/>
      <c r="JJX50" s="523"/>
      <c r="JJY50" s="523"/>
      <c r="JJZ50" s="523"/>
      <c r="JKA50" s="523"/>
      <c r="JKB50" s="523"/>
      <c r="JKC50" s="523"/>
      <c r="JKD50" s="523"/>
      <c r="JKE50" s="523"/>
      <c r="JKF50" s="523"/>
      <c r="JKG50" s="523"/>
      <c r="JKH50" s="523"/>
      <c r="JKI50" s="523"/>
      <c r="JKJ50" s="523"/>
      <c r="JKK50" s="523"/>
      <c r="JKL50" s="523"/>
      <c r="JKM50" s="523"/>
      <c r="JKN50" s="523"/>
      <c r="JKO50" s="523"/>
      <c r="JKP50" s="523"/>
      <c r="JKQ50" s="523"/>
      <c r="JKR50" s="523"/>
      <c r="JKS50" s="523"/>
      <c r="JKT50" s="523"/>
      <c r="JKU50" s="523"/>
      <c r="JKV50" s="523"/>
      <c r="JKW50" s="523"/>
      <c r="JKX50" s="523"/>
      <c r="JKY50" s="523"/>
      <c r="JKZ50" s="523"/>
      <c r="JLA50" s="523"/>
      <c r="JLB50" s="523"/>
      <c r="JLC50" s="523"/>
      <c r="JLD50" s="523"/>
      <c r="JLE50" s="523"/>
      <c r="JLF50" s="523"/>
      <c r="JLG50" s="523"/>
      <c r="JLH50" s="523"/>
      <c r="JLI50" s="523"/>
      <c r="JLJ50" s="523"/>
      <c r="JLK50" s="523"/>
      <c r="JLL50" s="523"/>
      <c r="JLM50" s="523"/>
      <c r="JLN50" s="523"/>
      <c r="JLO50" s="523"/>
      <c r="JLP50" s="523"/>
      <c r="JLQ50" s="523"/>
      <c r="JLR50" s="523"/>
      <c r="JLS50" s="523"/>
      <c r="JLT50" s="523"/>
      <c r="JLU50" s="523"/>
      <c r="JLV50" s="523"/>
      <c r="JLW50" s="523"/>
      <c r="JLX50" s="523"/>
      <c r="JLY50" s="523"/>
      <c r="JLZ50" s="523"/>
      <c r="JMA50" s="523"/>
      <c r="JMB50" s="523"/>
      <c r="JMC50" s="523"/>
      <c r="JMD50" s="523"/>
      <c r="JME50" s="523"/>
      <c r="JMF50" s="523"/>
      <c r="JMG50" s="523"/>
      <c r="JMH50" s="523"/>
      <c r="JMI50" s="523"/>
      <c r="JMJ50" s="523"/>
      <c r="JMK50" s="523"/>
      <c r="JML50" s="523"/>
      <c r="JMM50" s="523"/>
      <c r="JMN50" s="523"/>
      <c r="JMO50" s="523"/>
      <c r="JMP50" s="523"/>
      <c r="JMQ50" s="523"/>
      <c r="JMR50" s="523"/>
      <c r="JMS50" s="523"/>
      <c r="JMT50" s="523"/>
      <c r="JMU50" s="523"/>
      <c r="JMV50" s="523"/>
      <c r="JMW50" s="523"/>
      <c r="JMX50" s="523"/>
      <c r="JMY50" s="523"/>
      <c r="JMZ50" s="523"/>
      <c r="JNA50" s="523"/>
      <c r="JNB50" s="523"/>
      <c r="JNC50" s="523"/>
      <c r="JND50" s="523"/>
      <c r="JNE50" s="523"/>
      <c r="JNF50" s="523"/>
      <c r="JNG50" s="523"/>
      <c r="JNH50" s="523"/>
      <c r="JNI50" s="523"/>
      <c r="JNJ50" s="523"/>
      <c r="JNK50" s="523"/>
      <c r="JNL50" s="523"/>
      <c r="JNM50" s="523"/>
      <c r="JNN50" s="523"/>
      <c r="JNO50" s="523"/>
      <c r="JNP50" s="523"/>
      <c r="JNQ50" s="523"/>
      <c r="JNR50" s="523"/>
      <c r="JNS50" s="523"/>
      <c r="JNT50" s="523"/>
      <c r="JNU50" s="523"/>
      <c r="JNV50" s="523"/>
      <c r="JNW50" s="523"/>
      <c r="JNX50" s="523"/>
      <c r="JNY50" s="523"/>
      <c r="JNZ50" s="523"/>
      <c r="JOA50" s="523"/>
      <c r="JOB50" s="523"/>
      <c r="JOC50" s="523"/>
      <c r="JOD50" s="523"/>
      <c r="JOE50" s="523"/>
      <c r="JOF50" s="523"/>
      <c r="JOG50" s="523"/>
      <c r="JOH50" s="523"/>
      <c r="JOI50" s="523"/>
      <c r="JOJ50" s="523"/>
      <c r="JOK50" s="523"/>
      <c r="JOL50" s="523"/>
      <c r="JOM50" s="523"/>
      <c r="JON50" s="523"/>
      <c r="JOO50" s="523"/>
      <c r="JOP50" s="523"/>
      <c r="JOQ50" s="523"/>
      <c r="JOR50" s="523"/>
      <c r="JOS50" s="523"/>
      <c r="JOT50" s="523"/>
      <c r="JOU50" s="523"/>
      <c r="JOV50" s="523"/>
      <c r="JOW50" s="523"/>
      <c r="JOX50" s="523"/>
      <c r="JOY50" s="523"/>
      <c r="JOZ50" s="523"/>
      <c r="JPA50" s="523"/>
      <c r="JPB50" s="523"/>
      <c r="JPC50" s="523"/>
      <c r="JPD50" s="523"/>
      <c r="JPE50" s="523"/>
      <c r="JPF50" s="523"/>
      <c r="JPG50" s="523"/>
      <c r="JPH50" s="523"/>
      <c r="JPI50" s="523"/>
      <c r="JPJ50" s="523"/>
      <c r="JPK50" s="523"/>
      <c r="JPL50" s="523"/>
      <c r="JPM50" s="523"/>
      <c r="JPN50" s="523"/>
      <c r="JPO50" s="523"/>
      <c r="JPP50" s="523"/>
      <c r="JPQ50" s="523"/>
      <c r="JPR50" s="523"/>
      <c r="JPS50" s="523"/>
      <c r="JPT50" s="523"/>
      <c r="JPU50" s="523"/>
      <c r="JPV50" s="523"/>
      <c r="JPW50" s="523"/>
      <c r="JPX50" s="523"/>
      <c r="JPY50" s="523"/>
      <c r="JPZ50" s="523"/>
      <c r="JQA50" s="523"/>
      <c r="JQB50" s="523"/>
      <c r="JQC50" s="523"/>
      <c r="JQD50" s="523"/>
      <c r="JQE50" s="523"/>
      <c r="JQF50" s="523"/>
      <c r="JQG50" s="523"/>
      <c r="JQH50" s="523"/>
      <c r="JQI50" s="523"/>
      <c r="JQJ50" s="523"/>
      <c r="JQK50" s="523"/>
      <c r="JQL50" s="523"/>
      <c r="JQM50" s="523"/>
      <c r="JQN50" s="523"/>
      <c r="JQO50" s="523"/>
      <c r="JQP50" s="523"/>
      <c r="JQQ50" s="523"/>
      <c r="JQR50" s="523"/>
      <c r="JQS50" s="523"/>
      <c r="JQT50" s="523"/>
      <c r="JQU50" s="523"/>
      <c r="JQV50" s="523"/>
      <c r="JQW50" s="523"/>
      <c r="JQX50" s="523"/>
      <c r="JQY50" s="523"/>
      <c r="JQZ50" s="523"/>
      <c r="JRA50" s="523"/>
      <c r="JRB50" s="523"/>
      <c r="JRC50" s="523"/>
      <c r="JRD50" s="523"/>
      <c r="JRE50" s="523"/>
      <c r="JRF50" s="523"/>
      <c r="JRG50" s="523"/>
      <c r="JRH50" s="523"/>
      <c r="JRI50" s="523"/>
      <c r="JRJ50" s="523"/>
      <c r="JRK50" s="523"/>
      <c r="JRL50" s="523"/>
      <c r="JRM50" s="523"/>
      <c r="JRN50" s="523"/>
      <c r="JRO50" s="523"/>
      <c r="JRP50" s="523"/>
      <c r="JRQ50" s="523"/>
      <c r="JRR50" s="523"/>
      <c r="JRS50" s="523"/>
      <c r="JRT50" s="523"/>
      <c r="JRU50" s="523"/>
      <c r="JRV50" s="523"/>
      <c r="JRW50" s="523"/>
      <c r="JRX50" s="523"/>
      <c r="JRY50" s="523"/>
      <c r="JRZ50" s="523"/>
      <c r="JSA50" s="523"/>
      <c r="JSB50" s="523"/>
      <c r="JSC50" s="523"/>
      <c r="JSD50" s="523"/>
      <c r="JSE50" s="523"/>
      <c r="JSF50" s="523"/>
      <c r="JSG50" s="523"/>
      <c r="JSH50" s="523"/>
      <c r="JSI50" s="523"/>
      <c r="JSJ50" s="523"/>
      <c r="JSK50" s="523"/>
      <c r="JSL50" s="523"/>
      <c r="JSM50" s="523"/>
      <c r="JSN50" s="523"/>
      <c r="JSO50" s="523"/>
      <c r="JSP50" s="523"/>
      <c r="JSQ50" s="523"/>
      <c r="JSR50" s="523"/>
      <c r="JSS50" s="523"/>
      <c r="JST50" s="523"/>
      <c r="JSU50" s="523"/>
      <c r="JSV50" s="523"/>
      <c r="JSW50" s="523"/>
      <c r="JSX50" s="523"/>
      <c r="JSY50" s="523"/>
      <c r="JSZ50" s="523"/>
      <c r="JTA50" s="523"/>
      <c r="JTB50" s="523"/>
      <c r="JTC50" s="523"/>
      <c r="JTD50" s="523"/>
      <c r="JTE50" s="523"/>
      <c r="JTF50" s="523"/>
      <c r="JTG50" s="523"/>
      <c r="JTH50" s="523"/>
      <c r="JTI50" s="523"/>
      <c r="JTJ50" s="523"/>
      <c r="JTK50" s="523"/>
      <c r="JTL50" s="523"/>
      <c r="JTM50" s="523"/>
      <c r="JTN50" s="523"/>
      <c r="JTO50" s="523"/>
      <c r="JTP50" s="523"/>
      <c r="JTQ50" s="523"/>
      <c r="JTR50" s="523"/>
      <c r="JTS50" s="523"/>
      <c r="JTT50" s="523"/>
      <c r="JTU50" s="523"/>
      <c r="JTV50" s="523"/>
      <c r="JTW50" s="523"/>
      <c r="JTX50" s="523"/>
      <c r="JTY50" s="523"/>
      <c r="JTZ50" s="523"/>
      <c r="JUA50" s="523"/>
      <c r="JUB50" s="523"/>
      <c r="JUC50" s="523"/>
      <c r="JUD50" s="523"/>
      <c r="JUE50" s="523"/>
      <c r="JUF50" s="523"/>
      <c r="JUG50" s="523"/>
      <c r="JUH50" s="523"/>
      <c r="JUI50" s="523"/>
      <c r="JUJ50" s="523"/>
      <c r="JUK50" s="523"/>
      <c r="JUL50" s="523"/>
      <c r="JUM50" s="523"/>
      <c r="JUN50" s="523"/>
      <c r="JUO50" s="523"/>
      <c r="JUP50" s="523"/>
      <c r="JUQ50" s="523"/>
      <c r="JUR50" s="523"/>
      <c r="JUS50" s="523"/>
      <c r="JUT50" s="523"/>
      <c r="JUU50" s="523"/>
      <c r="JUV50" s="523"/>
      <c r="JUW50" s="523"/>
      <c r="JUX50" s="523"/>
      <c r="JUY50" s="523"/>
      <c r="JUZ50" s="523"/>
      <c r="JVA50" s="523"/>
      <c r="JVB50" s="523"/>
      <c r="JVC50" s="523"/>
      <c r="JVD50" s="523"/>
      <c r="JVE50" s="523"/>
      <c r="JVF50" s="523"/>
      <c r="JVG50" s="523"/>
      <c r="JVH50" s="523"/>
      <c r="JVI50" s="523"/>
      <c r="JVJ50" s="523"/>
      <c r="JVK50" s="523"/>
      <c r="JVL50" s="523"/>
      <c r="JVM50" s="523"/>
      <c r="JVN50" s="523"/>
      <c r="JVO50" s="523"/>
      <c r="JVP50" s="523"/>
      <c r="JVQ50" s="523"/>
      <c r="JVR50" s="523"/>
      <c r="JVS50" s="523"/>
      <c r="JVT50" s="523"/>
      <c r="JVU50" s="523"/>
      <c r="JVV50" s="523"/>
      <c r="JVW50" s="523"/>
      <c r="JVX50" s="523"/>
      <c r="JVY50" s="523"/>
      <c r="JVZ50" s="523"/>
      <c r="JWA50" s="523"/>
      <c r="JWB50" s="523"/>
      <c r="JWC50" s="523"/>
      <c r="JWD50" s="523"/>
      <c r="JWE50" s="523"/>
      <c r="JWF50" s="523"/>
      <c r="JWG50" s="523"/>
      <c r="JWH50" s="523"/>
      <c r="JWI50" s="523"/>
      <c r="JWJ50" s="523"/>
      <c r="JWK50" s="523"/>
      <c r="JWL50" s="523"/>
      <c r="JWM50" s="523"/>
      <c r="JWN50" s="523"/>
      <c r="JWO50" s="523"/>
      <c r="JWP50" s="523"/>
      <c r="JWQ50" s="523"/>
      <c r="JWR50" s="523"/>
      <c r="JWS50" s="523"/>
      <c r="JWT50" s="523"/>
      <c r="JWU50" s="523"/>
      <c r="JWV50" s="523"/>
      <c r="JWW50" s="523"/>
      <c r="JWX50" s="523"/>
      <c r="JWY50" s="523"/>
      <c r="JWZ50" s="523"/>
      <c r="JXA50" s="523"/>
      <c r="JXB50" s="523"/>
      <c r="JXC50" s="523"/>
      <c r="JXD50" s="523"/>
      <c r="JXE50" s="523"/>
      <c r="JXF50" s="523"/>
      <c r="JXG50" s="523"/>
      <c r="JXH50" s="523"/>
      <c r="JXI50" s="523"/>
      <c r="JXJ50" s="523"/>
      <c r="JXK50" s="523"/>
      <c r="JXL50" s="523"/>
      <c r="JXM50" s="523"/>
      <c r="JXN50" s="523"/>
      <c r="JXO50" s="523"/>
      <c r="JXP50" s="523"/>
      <c r="JXQ50" s="523"/>
      <c r="JXR50" s="523"/>
      <c r="JXS50" s="523"/>
      <c r="JXT50" s="523"/>
      <c r="JXU50" s="523"/>
      <c r="JXV50" s="523"/>
      <c r="JXW50" s="523"/>
      <c r="JXX50" s="523"/>
      <c r="JXY50" s="523"/>
      <c r="JXZ50" s="523"/>
      <c r="JYA50" s="523"/>
      <c r="JYB50" s="523"/>
      <c r="JYC50" s="523"/>
      <c r="JYD50" s="523"/>
      <c r="JYE50" s="523"/>
      <c r="JYF50" s="523"/>
      <c r="JYG50" s="523"/>
      <c r="JYH50" s="523"/>
      <c r="JYI50" s="523"/>
      <c r="JYJ50" s="523"/>
      <c r="JYK50" s="523"/>
      <c r="JYL50" s="523"/>
      <c r="JYM50" s="523"/>
      <c r="JYN50" s="523"/>
      <c r="JYO50" s="523"/>
      <c r="JYP50" s="523"/>
      <c r="JYQ50" s="523"/>
      <c r="JYR50" s="523"/>
      <c r="JYS50" s="523"/>
      <c r="JYT50" s="523"/>
      <c r="JYU50" s="523"/>
      <c r="JYV50" s="523"/>
      <c r="JYW50" s="523"/>
      <c r="JYX50" s="523"/>
      <c r="JYY50" s="523"/>
      <c r="JYZ50" s="523"/>
      <c r="JZA50" s="523"/>
      <c r="JZB50" s="523"/>
      <c r="JZC50" s="523"/>
      <c r="JZD50" s="523"/>
      <c r="JZE50" s="523"/>
      <c r="JZF50" s="523"/>
      <c r="JZG50" s="523"/>
      <c r="JZH50" s="523"/>
      <c r="JZI50" s="523"/>
      <c r="JZJ50" s="523"/>
      <c r="JZK50" s="523"/>
      <c r="JZL50" s="523"/>
      <c r="JZM50" s="523"/>
      <c r="JZN50" s="523"/>
      <c r="JZO50" s="523"/>
      <c r="JZP50" s="523"/>
      <c r="JZQ50" s="523"/>
      <c r="JZR50" s="523"/>
      <c r="JZS50" s="523"/>
      <c r="JZT50" s="523"/>
      <c r="JZU50" s="523"/>
      <c r="JZV50" s="523"/>
      <c r="JZW50" s="523"/>
      <c r="JZX50" s="523"/>
      <c r="JZY50" s="523"/>
      <c r="JZZ50" s="523"/>
      <c r="KAA50" s="523"/>
      <c r="KAB50" s="523"/>
      <c r="KAC50" s="523"/>
      <c r="KAD50" s="523"/>
      <c r="KAE50" s="523"/>
      <c r="KAF50" s="523"/>
      <c r="KAG50" s="523"/>
      <c r="KAH50" s="523"/>
      <c r="KAI50" s="523"/>
      <c r="KAJ50" s="523"/>
      <c r="KAK50" s="523"/>
      <c r="KAL50" s="523"/>
      <c r="KAM50" s="523"/>
      <c r="KAN50" s="523"/>
      <c r="KAO50" s="523"/>
      <c r="KAP50" s="523"/>
      <c r="KAQ50" s="523"/>
      <c r="KAR50" s="523"/>
      <c r="KAS50" s="523"/>
      <c r="KAT50" s="523"/>
      <c r="KAU50" s="523"/>
      <c r="KAV50" s="523"/>
      <c r="KAW50" s="523"/>
      <c r="KAX50" s="523"/>
      <c r="KAY50" s="523"/>
      <c r="KAZ50" s="523"/>
      <c r="KBA50" s="523"/>
      <c r="KBB50" s="523"/>
      <c r="KBC50" s="523"/>
      <c r="KBD50" s="523"/>
      <c r="KBE50" s="523"/>
      <c r="KBF50" s="523"/>
      <c r="KBG50" s="523"/>
      <c r="KBH50" s="523"/>
      <c r="KBI50" s="523"/>
      <c r="KBJ50" s="523"/>
      <c r="KBK50" s="523"/>
      <c r="KBL50" s="523"/>
      <c r="KBM50" s="523"/>
      <c r="KBN50" s="523"/>
      <c r="KBO50" s="523"/>
      <c r="KBP50" s="523"/>
      <c r="KBQ50" s="523"/>
      <c r="KBR50" s="523"/>
      <c r="KBS50" s="523"/>
      <c r="KBT50" s="523"/>
      <c r="KBU50" s="523"/>
      <c r="KBV50" s="523"/>
      <c r="KBW50" s="523"/>
      <c r="KBX50" s="523"/>
      <c r="KBY50" s="523"/>
      <c r="KBZ50" s="523"/>
      <c r="KCA50" s="523"/>
      <c r="KCB50" s="523"/>
      <c r="KCC50" s="523"/>
      <c r="KCD50" s="523"/>
      <c r="KCE50" s="523"/>
      <c r="KCF50" s="523"/>
      <c r="KCG50" s="523"/>
      <c r="KCH50" s="523"/>
      <c r="KCI50" s="523"/>
      <c r="KCJ50" s="523"/>
      <c r="KCK50" s="523"/>
      <c r="KCL50" s="523"/>
      <c r="KCM50" s="523"/>
      <c r="KCN50" s="523"/>
      <c r="KCO50" s="523"/>
      <c r="KCP50" s="523"/>
      <c r="KCQ50" s="523"/>
      <c r="KCR50" s="523"/>
      <c r="KCS50" s="523"/>
      <c r="KCT50" s="523"/>
      <c r="KCU50" s="523"/>
      <c r="KCV50" s="523"/>
      <c r="KCW50" s="523"/>
      <c r="KCX50" s="523"/>
      <c r="KCY50" s="523"/>
      <c r="KCZ50" s="523"/>
      <c r="KDA50" s="523"/>
      <c r="KDB50" s="523"/>
      <c r="KDC50" s="523"/>
      <c r="KDD50" s="523"/>
      <c r="KDE50" s="523"/>
      <c r="KDF50" s="523"/>
      <c r="KDG50" s="523"/>
      <c r="KDH50" s="523"/>
      <c r="KDI50" s="523"/>
      <c r="KDJ50" s="523"/>
      <c r="KDK50" s="523"/>
      <c r="KDL50" s="523"/>
      <c r="KDM50" s="523"/>
      <c r="KDN50" s="523"/>
      <c r="KDO50" s="523"/>
      <c r="KDP50" s="523"/>
      <c r="KDQ50" s="523"/>
      <c r="KDR50" s="523"/>
      <c r="KDS50" s="523"/>
      <c r="KDT50" s="523"/>
      <c r="KDU50" s="523"/>
      <c r="KDV50" s="523"/>
      <c r="KDW50" s="523"/>
      <c r="KDX50" s="523"/>
      <c r="KDY50" s="523"/>
      <c r="KDZ50" s="523"/>
      <c r="KEA50" s="523"/>
      <c r="KEB50" s="523"/>
      <c r="KEC50" s="523"/>
      <c r="KED50" s="523"/>
      <c r="KEE50" s="523"/>
      <c r="KEF50" s="523"/>
      <c r="KEG50" s="523"/>
      <c r="KEH50" s="523"/>
      <c r="KEI50" s="523"/>
      <c r="KEJ50" s="523"/>
      <c r="KEK50" s="523"/>
      <c r="KEL50" s="523"/>
      <c r="KEM50" s="523"/>
      <c r="KEN50" s="523"/>
      <c r="KEO50" s="523"/>
      <c r="KEP50" s="523"/>
      <c r="KEQ50" s="523"/>
      <c r="KER50" s="523"/>
      <c r="KES50" s="523"/>
      <c r="KET50" s="523"/>
      <c r="KEU50" s="523"/>
      <c r="KEV50" s="523"/>
      <c r="KEW50" s="523"/>
      <c r="KEX50" s="523"/>
      <c r="KEY50" s="523"/>
      <c r="KEZ50" s="523"/>
      <c r="KFA50" s="523"/>
      <c r="KFB50" s="523"/>
      <c r="KFC50" s="523"/>
      <c r="KFD50" s="523"/>
      <c r="KFE50" s="523"/>
      <c r="KFF50" s="523"/>
      <c r="KFG50" s="523"/>
      <c r="KFH50" s="523"/>
      <c r="KFI50" s="523"/>
      <c r="KFJ50" s="523"/>
      <c r="KFK50" s="523"/>
      <c r="KFL50" s="523"/>
      <c r="KFM50" s="523"/>
      <c r="KFN50" s="523"/>
      <c r="KFO50" s="523"/>
      <c r="KFP50" s="523"/>
      <c r="KFQ50" s="523"/>
      <c r="KFR50" s="523"/>
      <c r="KFS50" s="523"/>
      <c r="KFT50" s="523"/>
      <c r="KFU50" s="523"/>
      <c r="KFV50" s="523"/>
      <c r="KFW50" s="523"/>
      <c r="KFX50" s="523"/>
      <c r="KFY50" s="523"/>
      <c r="KFZ50" s="523"/>
      <c r="KGA50" s="523"/>
      <c r="KGB50" s="523"/>
      <c r="KGC50" s="523"/>
      <c r="KGD50" s="523"/>
      <c r="KGE50" s="523"/>
      <c r="KGF50" s="523"/>
      <c r="KGG50" s="523"/>
      <c r="KGH50" s="523"/>
      <c r="KGI50" s="523"/>
      <c r="KGJ50" s="523"/>
      <c r="KGK50" s="523"/>
      <c r="KGL50" s="523"/>
      <c r="KGM50" s="523"/>
      <c r="KGN50" s="523"/>
      <c r="KGO50" s="523"/>
      <c r="KGP50" s="523"/>
      <c r="KGQ50" s="523"/>
      <c r="KGR50" s="523"/>
      <c r="KGS50" s="523"/>
      <c r="KGT50" s="523"/>
      <c r="KGU50" s="523"/>
      <c r="KGV50" s="523"/>
      <c r="KGW50" s="523"/>
      <c r="KGX50" s="523"/>
      <c r="KGY50" s="523"/>
      <c r="KGZ50" s="523"/>
      <c r="KHA50" s="523"/>
      <c r="KHB50" s="523"/>
      <c r="KHC50" s="523"/>
      <c r="KHD50" s="523"/>
      <c r="KHE50" s="523"/>
      <c r="KHF50" s="523"/>
      <c r="KHG50" s="523"/>
      <c r="KHH50" s="523"/>
      <c r="KHI50" s="523"/>
      <c r="KHJ50" s="523"/>
      <c r="KHK50" s="523"/>
      <c r="KHL50" s="523"/>
      <c r="KHM50" s="523"/>
      <c r="KHN50" s="523"/>
      <c r="KHO50" s="523"/>
      <c r="KHP50" s="523"/>
      <c r="KHQ50" s="523"/>
      <c r="KHR50" s="523"/>
      <c r="KHS50" s="523"/>
      <c r="KHT50" s="523"/>
      <c r="KHU50" s="523"/>
      <c r="KHV50" s="523"/>
      <c r="KHW50" s="523"/>
      <c r="KHX50" s="523"/>
      <c r="KHY50" s="523"/>
      <c r="KHZ50" s="523"/>
      <c r="KIA50" s="523"/>
      <c r="KIB50" s="523"/>
      <c r="KIC50" s="523"/>
      <c r="KID50" s="523"/>
      <c r="KIE50" s="523"/>
      <c r="KIF50" s="523"/>
      <c r="KIG50" s="523"/>
      <c r="KIH50" s="523"/>
      <c r="KII50" s="523"/>
      <c r="KIJ50" s="523"/>
      <c r="KIK50" s="523"/>
      <c r="KIL50" s="523"/>
      <c r="KIM50" s="523"/>
      <c r="KIN50" s="523"/>
      <c r="KIO50" s="523"/>
      <c r="KIP50" s="523"/>
      <c r="KIQ50" s="523"/>
      <c r="KIR50" s="523"/>
      <c r="KIS50" s="523"/>
      <c r="KIT50" s="523"/>
      <c r="KIU50" s="523"/>
      <c r="KIV50" s="523"/>
      <c r="KIW50" s="523"/>
      <c r="KIX50" s="523"/>
      <c r="KIY50" s="523"/>
      <c r="KIZ50" s="523"/>
      <c r="KJA50" s="523"/>
      <c r="KJB50" s="523"/>
      <c r="KJC50" s="523"/>
      <c r="KJD50" s="523"/>
      <c r="KJE50" s="523"/>
      <c r="KJF50" s="523"/>
      <c r="KJG50" s="523"/>
      <c r="KJH50" s="523"/>
      <c r="KJI50" s="523"/>
      <c r="KJJ50" s="523"/>
      <c r="KJK50" s="523"/>
      <c r="KJL50" s="523"/>
      <c r="KJM50" s="523"/>
      <c r="KJN50" s="523"/>
      <c r="KJO50" s="523"/>
      <c r="KJP50" s="523"/>
      <c r="KJQ50" s="523"/>
      <c r="KJR50" s="523"/>
      <c r="KJS50" s="523"/>
      <c r="KJT50" s="523"/>
      <c r="KJU50" s="523"/>
      <c r="KJV50" s="523"/>
      <c r="KJW50" s="523"/>
      <c r="KJX50" s="523"/>
      <c r="KJY50" s="523"/>
      <c r="KJZ50" s="523"/>
      <c r="KKA50" s="523"/>
      <c r="KKB50" s="523"/>
      <c r="KKC50" s="523"/>
      <c r="KKD50" s="523"/>
      <c r="KKE50" s="523"/>
      <c r="KKF50" s="523"/>
      <c r="KKG50" s="523"/>
      <c r="KKH50" s="523"/>
      <c r="KKI50" s="523"/>
      <c r="KKJ50" s="523"/>
      <c r="KKK50" s="523"/>
      <c r="KKL50" s="523"/>
      <c r="KKM50" s="523"/>
      <c r="KKN50" s="523"/>
      <c r="KKO50" s="523"/>
      <c r="KKP50" s="523"/>
      <c r="KKQ50" s="523"/>
      <c r="KKR50" s="523"/>
      <c r="KKS50" s="523"/>
      <c r="KKT50" s="523"/>
      <c r="KKU50" s="523"/>
      <c r="KKV50" s="523"/>
      <c r="KKW50" s="523"/>
      <c r="KKX50" s="523"/>
      <c r="KKY50" s="523"/>
      <c r="KKZ50" s="523"/>
      <c r="KLA50" s="523"/>
      <c r="KLB50" s="523"/>
      <c r="KLC50" s="523"/>
      <c r="KLD50" s="523"/>
      <c r="KLE50" s="523"/>
      <c r="KLF50" s="523"/>
      <c r="KLG50" s="523"/>
      <c r="KLH50" s="523"/>
      <c r="KLI50" s="523"/>
      <c r="KLJ50" s="523"/>
      <c r="KLK50" s="523"/>
      <c r="KLL50" s="523"/>
      <c r="KLM50" s="523"/>
      <c r="KLN50" s="523"/>
      <c r="KLO50" s="523"/>
      <c r="KLP50" s="523"/>
      <c r="KLQ50" s="523"/>
      <c r="KLR50" s="523"/>
      <c r="KLS50" s="523"/>
      <c r="KLT50" s="523"/>
      <c r="KLU50" s="523"/>
      <c r="KLV50" s="523"/>
      <c r="KLW50" s="523"/>
      <c r="KLX50" s="523"/>
      <c r="KLY50" s="523"/>
      <c r="KLZ50" s="523"/>
      <c r="KMA50" s="523"/>
      <c r="KMB50" s="523"/>
      <c r="KMC50" s="523"/>
      <c r="KMD50" s="523"/>
      <c r="KME50" s="523"/>
      <c r="KMF50" s="523"/>
      <c r="KMG50" s="523"/>
      <c r="KMH50" s="523"/>
      <c r="KMI50" s="523"/>
      <c r="KMJ50" s="523"/>
      <c r="KMK50" s="523"/>
      <c r="KML50" s="523"/>
      <c r="KMM50" s="523"/>
      <c r="KMN50" s="523"/>
      <c r="KMO50" s="523"/>
      <c r="KMP50" s="523"/>
      <c r="KMQ50" s="523"/>
      <c r="KMR50" s="523"/>
      <c r="KMS50" s="523"/>
      <c r="KMT50" s="523"/>
      <c r="KMU50" s="523"/>
      <c r="KMV50" s="523"/>
      <c r="KMW50" s="523"/>
      <c r="KMX50" s="523"/>
      <c r="KMY50" s="523"/>
      <c r="KMZ50" s="523"/>
      <c r="KNA50" s="523"/>
      <c r="KNB50" s="523"/>
      <c r="KNC50" s="523"/>
      <c r="KND50" s="523"/>
      <c r="KNE50" s="523"/>
      <c r="KNF50" s="523"/>
      <c r="KNG50" s="523"/>
      <c r="KNH50" s="523"/>
      <c r="KNI50" s="523"/>
      <c r="KNJ50" s="523"/>
      <c r="KNK50" s="523"/>
      <c r="KNL50" s="523"/>
      <c r="KNM50" s="523"/>
      <c r="KNN50" s="523"/>
      <c r="KNO50" s="523"/>
      <c r="KNP50" s="523"/>
      <c r="KNQ50" s="523"/>
      <c r="KNR50" s="523"/>
      <c r="KNS50" s="523"/>
      <c r="KNT50" s="523"/>
      <c r="KNU50" s="523"/>
      <c r="KNV50" s="523"/>
      <c r="KNW50" s="523"/>
      <c r="KNX50" s="523"/>
      <c r="KNY50" s="523"/>
      <c r="KNZ50" s="523"/>
      <c r="KOA50" s="523"/>
      <c r="KOB50" s="523"/>
      <c r="KOC50" s="523"/>
      <c r="KOD50" s="523"/>
      <c r="KOE50" s="523"/>
      <c r="KOF50" s="523"/>
      <c r="KOG50" s="523"/>
      <c r="KOH50" s="523"/>
      <c r="KOI50" s="523"/>
      <c r="KOJ50" s="523"/>
      <c r="KOK50" s="523"/>
      <c r="KOL50" s="523"/>
      <c r="KOM50" s="523"/>
      <c r="KON50" s="523"/>
      <c r="KOO50" s="523"/>
      <c r="KOP50" s="523"/>
      <c r="KOQ50" s="523"/>
      <c r="KOR50" s="523"/>
      <c r="KOS50" s="523"/>
      <c r="KOT50" s="523"/>
      <c r="KOU50" s="523"/>
      <c r="KOV50" s="523"/>
      <c r="KOW50" s="523"/>
      <c r="KOX50" s="523"/>
      <c r="KOY50" s="523"/>
      <c r="KOZ50" s="523"/>
      <c r="KPA50" s="523"/>
      <c r="KPB50" s="523"/>
      <c r="KPC50" s="523"/>
      <c r="KPD50" s="523"/>
      <c r="KPE50" s="523"/>
      <c r="KPF50" s="523"/>
      <c r="KPG50" s="523"/>
      <c r="KPH50" s="523"/>
      <c r="KPI50" s="523"/>
      <c r="KPJ50" s="523"/>
      <c r="KPK50" s="523"/>
      <c r="KPL50" s="523"/>
      <c r="KPM50" s="523"/>
      <c r="KPN50" s="523"/>
      <c r="KPO50" s="523"/>
      <c r="KPP50" s="523"/>
      <c r="KPQ50" s="523"/>
      <c r="KPR50" s="523"/>
      <c r="KPS50" s="523"/>
      <c r="KPT50" s="523"/>
      <c r="KPU50" s="523"/>
      <c r="KPV50" s="523"/>
      <c r="KPW50" s="523"/>
      <c r="KPX50" s="523"/>
      <c r="KPY50" s="523"/>
      <c r="KPZ50" s="523"/>
      <c r="KQA50" s="523"/>
      <c r="KQB50" s="523"/>
      <c r="KQC50" s="523"/>
      <c r="KQD50" s="523"/>
      <c r="KQE50" s="523"/>
      <c r="KQF50" s="523"/>
      <c r="KQG50" s="523"/>
      <c r="KQH50" s="523"/>
      <c r="KQI50" s="523"/>
      <c r="KQJ50" s="523"/>
      <c r="KQK50" s="523"/>
      <c r="KQL50" s="523"/>
      <c r="KQM50" s="523"/>
      <c r="KQN50" s="523"/>
      <c r="KQO50" s="523"/>
      <c r="KQP50" s="523"/>
      <c r="KQQ50" s="523"/>
      <c r="KQR50" s="523"/>
      <c r="KQS50" s="523"/>
      <c r="KQT50" s="523"/>
      <c r="KQU50" s="523"/>
      <c r="KQV50" s="523"/>
      <c r="KQW50" s="523"/>
      <c r="KQX50" s="523"/>
      <c r="KQY50" s="523"/>
      <c r="KQZ50" s="523"/>
      <c r="KRA50" s="523"/>
      <c r="KRB50" s="523"/>
      <c r="KRC50" s="523"/>
      <c r="KRD50" s="523"/>
      <c r="KRE50" s="523"/>
      <c r="KRF50" s="523"/>
      <c r="KRG50" s="523"/>
      <c r="KRH50" s="523"/>
      <c r="KRI50" s="523"/>
      <c r="KRJ50" s="523"/>
      <c r="KRK50" s="523"/>
      <c r="KRL50" s="523"/>
      <c r="KRM50" s="523"/>
      <c r="KRN50" s="523"/>
      <c r="KRO50" s="523"/>
      <c r="KRP50" s="523"/>
      <c r="KRQ50" s="523"/>
      <c r="KRR50" s="523"/>
      <c r="KRS50" s="523"/>
      <c r="KRT50" s="523"/>
      <c r="KRU50" s="523"/>
      <c r="KRV50" s="523"/>
      <c r="KRW50" s="523"/>
      <c r="KRX50" s="523"/>
      <c r="KRY50" s="523"/>
      <c r="KRZ50" s="523"/>
      <c r="KSA50" s="523"/>
      <c r="KSB50" s="523"/>
      <c r="KSC50" s="523"/>
      <c r="KSD50" s="523"/>
      <c r="KSE50" s="523"/>
      <c r="KSF50" s="523"/>
      <c r="KSG50" s="523"/>
      <c r="KSH50" s="523"/>
      <c r="KSI50" s="523"/>
      <c r="KSJ50" s="523"/>
      <c r="KSK50" s="523"/>
      <c r="KSL50" s="523"/>
      <c r="KSM50" s="523"/>
      <c r="KSN50" s="523"/>
      <c r="KSO50" s="523"/>
      <c r="KSP50" s="523"/>
      <c r="KSQ50" s="523"/>
      <c r="KSR50" s="523"/>
      <c r="KSS50" s="523"/>
      <c r="KST50" s="523"/>
      <c r="KSU50" s="523"/>
      <c r="KSV50" s="523"/>
      <c r="KSW50" s="523"/>
      <c r="KSX50" s="523"/>
      <c r="KSY50" s="523"/>
      <c r="KSZ50" s="523"/>
      <c r="KTA50" s="523"/>
      <c r="KTB50" s="523"/>
      <c r="KTC50" s="523"/>
      <c r="KTD50" s="523"/>
      <c r="KTE50" s="523"/>
      <c r="KTF50" s="523"/>
      <c r="KTG50" s="523"/>
      <c r="KTH50" s="523"/>
      <c r="KTI50" s="523"/>
      <c r="KTJ50" s="523"/>
      <c r="KTK50" s="523"/>
      <c r="KTL50" s="523"/>
      <c r="KTM50" s="523"/>
      <c r="KTN50" s="523"/>
      <c r="KTO50" s="523"/>
      <c r="KTP50" s="523"/>
      <c r="KTQ50" s="523"/>
      <c r="KTR50" s="523"/>
      <c r="KTS50" s="523"/>
      <c r="KTT50" s="523"/>
      <c r="KTU50" s="523"/>
      <c r="KTV50" s="523"/>
      <c r="KTW50" s="523"/>
      <c r="KTX50" s="523"/>
      <c r="KTY50" s="523"/>
      <c r="KTZ50" s="523"/>
      <c r="KUA50" s="523"/>
      <c r="KUB50" s="523"/>
      <c r="KUC50" s="523"/>
      <c r="KUD50" s="523"/>
      <c r="KUE50" s="523"/>
      <c r="KUF50" s="523"/>
      <c r="KUG50" s="523"/>
      <c r="KUH50" s="523"/>
      <c r="KUI50" s="523"/>
      <c r="KUJ50" s="523"/>
      <c r="KUK50" s="523"/>
      <c r="KUL50" s="523"/>
      <c r="KUM50" s="523"/>
      <c r="KUN50" s="523"/>
      <c r="KUO50" s="523"/>
      <c r="KUP50" s="523"/>
      <c r="KUQ50" s="523"/>
      <c r="KUR50" s="523"/>
      <c r="KUS50" s="523"/>
      <c r="KUT50" s="523"/>
      <c r="KUU50" s="523"/>
      <c r="KUV50" s="523"/>
      <c r="KUW50" s="523"/>
      <c r="KUX50" s="523"/>
      <c r="KUY50" s="523"/>
      <c r="KUZ50" s="523"/>
      <c r="KVA50" s="523"/>
      <c r="KVB50" s="523"/>
      <c r="KVC50" s="523"/>
      <c r="KVD50" s="523"/>
      <c r="KVE50" s="523"/>
      <c r="KVF50" s="523"/>
      <c r="KVG50" s="523"/>
      <c r="KVH50" s="523"/>
      <c r="KVI50" s="523"/>
      <c r="KVJ50" s="523"/>
      <c r="KVK50" s="523"/>
      <c r="KVL50" s="523"/>
      <c r="KVM50" s="523"/>
      <c r="KVN50" s="523"/>
      <c r="KVO50" s="523"/>
      <c r="KVP50" s="523"/>
      <c r="KVQ50" s="523"/>
      <c r="KVR50" s="523"/>
      <c r="KVS50" s="523"/>
      <c r="KVT50" s="523"/>
      <c r="KVU50" s="523"/>
      <c r="KVV50" s="523"/>
      <c r="KVW50" s="523"/>
      <c r="KVX50" s="523"/>
      <c r="KVY50" s="523"/>
      <c r="KVZ50" s="523"/>
      <c r="KWA50" s="523"/>
      <c r="KWB50" s="523"/>
      <c r="KWC50" s="523"/>
      <c r="KWD50" s="523"/>
      <c r="KWE50" s="523"/>
      <c r="KWF50" s="523"/>
      <c r="KWG50" s="523"/>
      <c r="KWH50" s="523"/>
      <c r="KWI50" s="523"/>
      <c r="KWJ50" s="523"/>
      <c r="KWK50" s="523"/>
      <c r="KWL50" s="523"/>
      <c r="KWM50" s="523"/>
      <c r="KWN50" s="523"/>
      <c r="KWO50" s="523"/>
      <c r="KWP50" s="523"/>
      <c r="KWQ50" s="523"/>
      <c r="KWR50" s="523"/>
      <c r="KWS50" s="523"/>
      <c r="KWT50" s="523"/>
      <c r="KWU50" s="523"/>
      <c r="KWV50" s="523"/>
      <c r="KWW50" s="523"/>
      <c r="KWX50" s="523"/>
      <c r="KWY50" s="523"/>
      <c r="KWZ50" s="523"/>
      <c r="KXA50" s="523"/>
      <c r="KXB50" s="523"/>
      <c r="KXC50" s="523"/>
      <c r="KXD50" s="523"/>
      <c r="KXE50" s="523"/>
      <c r="KXF50" s="523"/>
      <c r="KXG50" s="523"/>
      <c r="KXH50" s="523"/>
      <c r="KXI50" s="523"/>
      <c r="KXJ50" s="523"/>
      <c r="KXK50" s="523"/>
      <c r="KXL50" s="523"/>
      <c r="KXM50" s="523"/>
      <c r="KXN50" s="523"/>
      <c r="KXO50" s="523"/>
      <c r="KXP50" s="523"/>
      <c r="KXQ50" s="523"/>
      <c r="KXR50" s="523"/>
      <c r="KXS50" s="523"/>
      <c r="KXT50" s="523"/>
      <c r="KXU50" s="523"/>
      <c r="KXV50" s="523"/>
      <c r="KXW50" s="523"/>
      <c r="KXX50" s="523"/>
      <c r="KXY50" s="523"/>
      <c r="KXZ50" s="523"/>
      <c r="KYA50" s="523"/>
      <c r="KYB50" s="523"/>
      <c r="KYC50" s="523"/>
      <c r="KYD50" s="523"/>
      <c r="KYE50" s="523"/>
      <c r="KYF50" s="523"/>
      <c r="KYG50" s="523"/>
      <c r="KYH50" s="523"/>
      <c r="KYI50" s="523"/>
      <c r="KYJ50" s="523"/>
      <c r="KYK50" s="523"/>
      <c r="KYL50" s="523"/>
      <c r="KYM50" s="523"/>
      <c r="KYN50" s="523"/>
      <c r="KYO50" s="523"/>
      <c r="KYP50" s="523"/>
      <c r="KYQ50" s="523"/>
      <c r="KYR50" s="523"/>
      <c r="KYS50" s="523"/>
      <c r="KYT50" s="523"/>
      <c r="KYU50" s="523"/>
      <c r="KYV50" s="523"/>
      <c r="KYW50" s="523"/>
      <c r="KYX50" s="523"/>
      <c r="KYY50" s="523"/>
      <c r="KYZ50" s="523"/>
      <c r="KZA50" s="523"/>
      <c r="KZB50" s="523"/>
      <c r="KZC50" s="523"/>
      <c r="KZD50" s="523"/>
      <c r="KZE50" s="523"/>
      <c r="KZF50" s="523"/>
      <c r="KZG50" s="523"/>
      <c r="KZH50" s="523"/>
      <c r="KZI50" s="523"/>
      <c r="KZJ50" s="523"/>
      <c r="KZK50" s="523"/>
      <c r="KZL50" s="523"/>
      <c r="KZM50" s="523"/>
      <c r="KZN50" s="523"/>
      <c r="KZO50" s="523"/>
      <c r="KZP50" s="523"/>
      <c r="KZQ50" s="523"/>
      <c r="KZR50" s="523"/>
      <c r="KZS50" s="523"/>
      <c r="KZT50" s="523"/>
      <c r="KZU50" s="523"/>
      <c r="KZV50" s="523"/>
      <c r="KZW50" s="523"/>
      <c r="KZX50" s="523"/>
      <c r="KZY50" s="523"/>
      <c r="KZZ50" s="523"/>
      <c r="LAA50" s="523"/>
      <c r="LAB50" s="523"/>
      <c r="LAC50" s="523"/>
      <c r="LAD50" s="523"/>
      <c r="LAE50" s="523"/>
      <c r="LAF50" s="523"/>
      <c r="LAG50" s="523"/>
      <c r="LAH50" s="523"/>
      <c r="LAI50" s="523"/>
      <c r="LAJ50" s="523"/>
      <c r="LAK50" s="523"/>
      <c r="LAL50" s="523"/>
      <c r="LAM50" s="523"/>
      <c r="LAN50" s="523"/>
      <c r="LAO50" s="523"/>
      <c r="LAP50" s="523"/>
      <c r="LAQ50" s="523"/>
      <c r="LAR50" s="523"/>
      <c r="LAS50" s="523"/>
      <c r="LAT50" s="523"/>
      <c r="LAU50" s="523"/>
      <c r="LAV50" s="523"/>
      <c r="LAW50" s="523"/>
      <c r="LAX50" s="523"/>
      <c r="LAY50" s="523"/>
      <c r="LAZ50" s="523"/>
      <c r="LBA50" s="523"/>
      <c r="LBB50" s="523"/>
      <c r="LBC50" s="523"/>
      <c r="LBD50" s="523"/>
      <c r="LBE50" s="523"/>
      <c r="LBF50" s="523"/>
      <c r="LBG50" s="523"/>
      <c r="LBH50" s="523"/>
      <c r="LBI50" s="523"/>
      <c r="LBJ50" s="523"/>
      <c r="LBK50" s="523"/>
      <c r="LBL50" s="523"/>
      <c r="LBM50" s="523"/>
      <c r="LBN50" s="523"/>
      <c r="LBO50" s="523"/>
      <c r="LBP50" s="523"/>
      <c r="LBQ50" s="523"/>
      <c r="LBR50" s="523"/>
      <c r="LBS50" s="523"/>
      <c r="LBT50" s="523"/>
      <c r="LBU50" s="523"/>
      <c r="LBV50" s="523"/>
      <c r="LBW50" s="523"/>
      <c r="LBX50" s="523"/>
      <c r="LBY50" s="523"/>
      <c r="LBZ50" s="523"/>
      <c r="LCA50" s="523"/>
      <c r="LCB50" s="523"/>
      <c r="LCC50" s="523"/>
      <c r="LCD50" s="523"/>
      <c r="LCE50" s="523"/>
      <c r="LCF50" s="523"/>
      <c r="LCG50" s="523"/>
      <c r="LCH50" s="523"/>
      <c r="LCI50" s="523"/>
      <c r="LCJ50" s="523"/>
      <c r="LCK50" s="523"/>
      <c r="LCL50" s="523"/>
      <c r="LCM50" s="523"/>
      <c r="LCN50" s="523"/>
      <c r="LCO50" s="523"/>
      <c r="LCP50" s="523"/>
      <c r="LCQ50" s="523"/>
      <c r="LCR50" s="523"/>
      <c r="LCS50" s="523"/>
      <c r="LCT50" s="523"/>
      <c r="LCU50" s="523"/>
      <c r="LCV50" s="523"/>
      <c r="LCW50" s="523"/>
      <c r="LCX50" s="523"/>
      <c r="LCY50" s="523"/>
      <c r="LCZ50" s="523"/>
      <c r="LDA50" s="523"/>
      <c r="LDB50" s="523"/>
      <c r="LDC50" s="523"/>
      <c r="LDD50" s="523"/>
      <c r="LDE50" s="523"/>
      <c r="LDF50" s="523"/>
      <c r="LDG50" s="523"/>
      <c r="LDH50" s="523"/>
      <c r="LDI50" s="523"/>
      <c r="LDJ50" s="523"/>
      <c r="LDK50" s="523"/>
      <c r="LDL50" s="523"/>
      <c r="LDM50" s="523"/>
      <c r="LDN50" s="523"/>
      <c r="LDO50" s="523"/>
      <c r="LDP50" s="523"/>
      <c r="LDQ50" s="523"/>
      <c r="LDR50" s="523"/>
      <c r="LDS50" s="523"/>
      <c r="LDT50" s="523"/>
      <c r="LDU50" s="523"/>
      <c r="LDV50" s="523"/>
      <c r="LDW50" s="523"/>
      <c r="LDX50" s="523"/>
      <c r="LDY50" s="523"/>
      <c r="LDZ50" s="523"/>
      <c r="LEA50" s="523"/>
      <c r="LEB50" s="523"/>
      <c r="LEC50" s="523"/>
      <c r="LED50" s="523"/>
      <c r="LEE50" s="523"/>
      <c r="LEF50" s="523"/>
      <c r="LEG50" s="523"/>
      <c r="LEH50" s="523"/>
      <c r="LEI50" s="523"/>
      <c r="LEJ50" s="523"/>
      <c r="LEK50" s="523"/>
      <c r="LEL50" s="523"/>
      <c r="LEM50" s="523"/>
      <c r="LEN50" s="523"/>
      <c r="LEO50" s="523"/>
      <c r="LEP50" s="523"/>
      <c r="LEQ50" s="523"/>
      <c r="LER50" s="523"/>
      <c r="LES50" s="523"/>
      <c r="LET50" s="523"/>
      <c r="LEU50" s="523"/>
      <c r="LEV50" s="523"/>
      <c r="LEW50" s="523"/>
      <c r="LEX50" s="523"/>
      <c r="LEY50" s="523"/>
      <c r="LEZ50" s="523"/>
      <c r="LFA50" s="523"/>
      <c r="LFB50" s="523"/>
      <c r="LFC50" s="523"/>
      <c r="LFD50" s="523"/>
      <c r="LFE50" s="523"/>
      <c r="LFF50" s="523"/>
      <c r="LFG50" s="523"/>
      <c r="LFH50" s="523"/>
      <c r="LFI50" s="523"/>
      <c r="LFJ50" s="523"/>
      <c r="LFK50" s="523"/>
      <c r="LFL50" s="523"/>
      <c r="LFM50" s="523"/>
      <c r="LFN50" s="523"/>
      <c r="LFO50" s="523"/>
      <c r="LFP50" s="523"/>
      <c r="LFQ50" s="523"/>
      <c r="LFR50" s="523"/>
      <c r="LFS50" s="523"/>
      <c r="LFT50" s="523"/>
      <c r="LFU50" s="523"/>
      <c r="LFV50" s="523"/>
      <c r="LFW50" s="523"/>
      <c r="LFX50" s="523"/>
      <c r="LFY50" s="523"/>
      <c r="LFZ50" s="523"/>
      <c r="LGA50" s="523"/>
      <c r="LGB50" s="523"/>
      <c r="LGC50" s="523"/>
      <c r="LGD50" s="523"/>
      <c r="LGE50" s="523"/>
      <c r="LGF50" s="523"/>
      <c r="LGG50" s="523"/>
      <c r="LGH50" s="523"/>
      <c r="LGI50" s="523"/>
      <c r="LGJ50" s="523"/>
      <c r="LGK50" s="523"/>
      <c r="LGL50" s="523"/>
      <c r="LGM50" s="523"/>
      <c r="LGN50" s="523"/>
      <c r="LGO50" s="523"/>
      <c r="LGP50" s="523"/>
      <c r="LGQ50" s="523"/>
      <c r="LGR50" s="523"/>
      <c r="LGS50" s="523"/>
      <c r="LGT50" s="523"/>
      <c r="LGU50" s="523"/>
      <c r="LGV50" s="523"/>
      <c r="LGW50" s="523"/>
      <c r="LGX50" s="523"/>
      <c r="LGY50" s="523"/>
      <c r="LGZ50" s="523"/>
      <c r="LHA50" s="523"/>
      <c r="LHB50" s="523"/>
      <c r="LHC50" s="523"/>
      <c r="LHD50" s="523"/>
      <c r="LHE50" s="523"/>
      <c r="LHF50" s="523"/>
      <c r="LHG50" s="523"/>
      <c r="LHH50" s="523"/>
      <c r="LHI50" s="523"/>
      <c r="LHJ50" s="523"/>
      <c r="LHK50" s="523"/>
      <c r="LHL50" s="523"/>
      <c r="LHM50" s="523"/>
      <c r="LHN50" s="523"/>
      <c r="LHO50" s="523"/>
      <c r="LHP50" s="523"/>
      <c r="LHQ50" s="523"/>
      <c r="LHR50" s="523"/>
      <c r="LHS50" s="523"/>
      <c r="LHT50" s="523"/>
      <c r="LHU50" s="523"/>
      <c r="LHV50" s="523"/>
      <c r="LHW50" s="523"/>
      <c r="LHX50" s="523"/>
      <c r="LHY50" s="523"/>
      <c r="LHZ50" s="523"/>
      <c r="LIA50" s="523"/>
      <c r="LIB50" s="523"/>
      <c r="LIC50" s="523"/>
      <c r="LID50" s="523"/>
      <c r="LIE50" s="523"/>
      <c r="LIF50" s="523"/>
      <c r="LIG50" s="523"/>
      <c r="LIH50" s="523"/>
      <c r="LII50" s="523"/>
      <c r="LIJ50" s="523"/>
      <c r="LIK50" s="523"/>
      <c r="LIL50" s="523"/>
      <c r="LIM50" s="523"/>
      <c r="LIN50" s="523"/>
      <c r="LIO50" s="523"/>
      <c r="LIP50" s="523"/>
      <c r="LIQ50" s="523"/>
      <c r="LIR50" s="523"/>
      <c r="LIS50" s="523"/>
      <c r="LIT50" s="523"/>
      <c r="LIU50" s="523"/>
      <c r="LIV50" s="523"/>
      <c r="LIW50" s="523"/>
      <c r="LIX50" s="523"/>
      <c r="LIY50" s="523"/>
      <c r="LIZ50" s="523"/>
      <c r="LJA50" s="523"/>
      <c r="LJB50" s="523"/>
      <c r="LJC50" s="523"/>
      <c r="LJD50" s="523"/>
      <c r="LJE50" s="523"/>
      <c r="LJF50" s="523"/>
      <c r="LJG50" s="523"/>
      <c r="LJH50" s="523"/>
      <c r="LJI50" s="523"/>
      <c r="LJJ50" s="523"/>
      <c r="LJK50" s="523"/>
      <c r="LJL50" s="523"/>
      <c r="LJM50" s="523"/>
      <c r="LJN50" s="523"/>
      <c r="LJO50" s="523"/>
      <c r="LJP50" s="523"/>
      <c r="LJQ50" s="523"/>
      <c r="LJR50" s="523"/>
      <c r="LJS50" s="523"/>
      <c r="LJT50" s="523"/>
      <c r="LJU50" s="523"/>
      <c r="LJV50" s="523"/>
      <c r="LJW50" s="523"/>
      <c r="LJX50" s="523"/>
      <c r="LJY50" s="523"/>
      <c r="LJZ50" s="523"/>
      <c r="LKA50" s="523"/>
      <c r="LKB50" s="523"/>
      <c r="LKC50" s="523"/>
      <c r="LKD50" s="523"/>
      <c r="LKE50" s="523"/>
      <c r="LKF50" s="523"/>
      <c r="LKG50" s="523"/>
      <c r="LKH50" s="523"/>
      <c r="LKI50" s="523"/>
      <c r="LKJ50" s="523"/>
      <c r="LKK50" s="523"/>
      <c r="LKL50" s="523"/>
      <c r="LKM50" s="523"/>
      <c r="LKN50" s="523"/>
      <c r="LKO50" s="523"/>
      <c r="LKP50" s="523"/>
      <c r="LKQ50" s="523"/>
      <c r="LKR50" s="523"/>
      <c r="LKS50" s="523"/>
      <c r="LKT50" s="523"/>
      <c r="LKU50" s="523"/>
      <c r="LKV50" s="523"/>
      <c r="LKW50" s="523"/>
      <c r="LKX50" s="523"/>
      <c r="LKY50" s="523"/>
      <c r="LKZ50" s="523"/>
      <c r="LLA50" s="523"/>
      <c r="LLB50" s="523"/>
      <c r="LLC50" s="523"/>
      <c r="LLD50" s="523"/>
      <c r="LLE50" s="523"/>
      <c r="LLF50" s="523"/>
      <c r="LLG50" s="523"/>
      <c r="LLH50" s="523"/>
      <c r="LLI50" s="523"/>
      <c r="LLJ50" s="523"/>
      <c r="LLK50" s="523"/>
      <c r="LLL50" s="523"/>
      <c r="LLM50" s="523"/>
      <c r="LLN50" s="523"/>
      <c r="LLO50" s="523"/>
      <c r="LLP50" s="523"/>
      <c r="LLQ50" s="523"/>
      <c r="LLR50" s="523"/>
      <c r="LLS50" s="523"/>
      <c r="LLT50" s="523"/>
      <c r="LLU50" s="523"/>
      <c r="LLV50" s="523"/>
      <c r="LLW50" s="523"/>
      <c r="LLX50" s="523"/>
      <c r="LLY50" s="523"/>
      <c r="LLZ50" s="523"/>
      <c r="LMA50" s="523"/>
      <c r="LMB50" s="523"/>
      <c r="LMC50" s="523"/>
      <c r="LMD50" s="523"/>
      <c r="LME50" s="523"/>
      <c r="LMF50" s="523"/>
      <c r="LMG50" s="523"/>
      <c r="LMH50" s="523"/>
      <c r="LMI50" s="523"/>
      <c r="LMJ50" s="523"/>
      <c r="LMK50" s="523"/>
      <c r="LML50" s="523"/>
      <c r="LMM50" s="523"/>
      <c r="LMN50" s="523"/>
      <c r="LMO50" s="523"/>
      <c r="LMP50" s="523"/>
      <c r="LMQ50" s="523"/>
      <c r="LMR50" s="523"/>
      <c r="LMS50" s="523"/>
      <c r="LMT50" s="523"/>
      <c r="LMU50" s="523"/>
      <c r="LMV50" s="523"/>
      <c r="LMW50" s="523"/>
      <c r="LMX50" s="523"/>
      <c r="LMY50" s="523"/>
      <c r="LMZ50" s="523"/>
      <c r="LNA50" s="523"/>
      <c r="LNB50" s="523"/>
      <c r="LNC50" s="523"/>
      <c r="LND50" s="523"/>
      <c r="LNE50" s="523"/>
      <c r="LNF50" s="523"/>
      <c r="LNG50" s="523"/>
      <c r="LNH50" s="523"/>
      <c r="LNI50" s="523"/>
      <c r="LNJ50" s="523"/>
      <c r="LNK50" s="523"/>
      <c r="LNL50" s="523"/>
      <c r="LNM50" s="523"/>
      <c r="LNN50" s="523"/>
      <c r="LNO50" s="523"/>
      <c r="LNP50" s="523"/>
      <c r="LNQ50" s="523"/>
      <c r="LNR50" s="523"/>
      <c r="LNS50" s="523"/>
      <c r="LNT50" s="523"/>
      <c r="LNU50" s="523"/>
      <c r="LNV50" s="523"/>
      <c r="LNW50" s="523"/>
      <c r="LNX50" s="523"/>
      <c r="LNY50" s="523"/>
      <c r="LNZ50" s="523"/>
      <c r="LOA50" s="523"/>
      <c r="LOB50" s="523"/>
      <c r="LOC50" s="523"/>
      <c r="LOD50" s="523"/>
      <c r="LOE50" s="523"/>
      <c r="LOF50" s="523"/>
      <c r="LOG50" s="523"/>
      <c r="LOH50" s="523"/>
      <c r="LOI50" s="523"/>
      <c r="LOJ50" s="523"/>
      <c r="LOK50" s="523"/>
      <c r="LOL50" s="523"/>
      <c r="LOM50" s="523"/>
      <c r="LON50" s="523"/>
      <c r="LOO50" s="523"/>
      <c r="LOP50" s="523"/>
      <c r="LOQ50" s="523"/>
      <c r="LOR50" s="523"/>
      <c r="LOS50" s="523"/>
      <c r="LOT50" s="523"/>
      <c r="LOU50" s="523"/>
      <c r="LOV50" s="523"/>
      <c r="LOW50" s="523"/>
      <c r="LOX50" s="523"/>
      <c r="LOY50" s="523"/>
      <c r="LOZ50" s="523"/>
      <c r="LPA50" s="523"/>
      <c r="LPB50" s="523"/>
      <c r="LPC50" s="523"/>
      <c r="LPD50" s="523"/>
      <c r="LPE50" s="523"/>
      <c r="LPF50" s="523"/>
      <c r="LPG50" s="523"/>
      <c r="LPH50" s="523"/>
      <c r="LPI50" s="523"/>
      <c r="LPJ50" s="523"/>
      <c r="LPK50" s="523"/>
      <c r="LPL50" s="523"/>
      <c r="LPM50" s="523"/>
      <c r="LPN50" s="523"/>
      <c r="LPO50" s="523"/>
      <c r="LPP50" s="523"/>
      <c r="LPQ50" s="523"/>
      <c r="LPR50" s="523"/>
      <c r="LPS50" s="523"/>
      <c r="LPT50" s="523"/>
      <c r="LPU50" s="523"/>
      <c r="LPV50" s="523"/>
      <c r="LPW50" s="523"/>
      <c r="LPX50" s="523"/>
      <c r="LPY50" s="523"/>
      <c r="LPZ50" s="523"/>
      <c r="LQA50" s="523"/>
      <c r="LQB50" s="523"/>
      <c r="LQC50" s="523"/>
      <c r="LQD50" s="523"/>
      <c r="LQE50" s="523"/>
      <c r="LQF50" s="523"/>
      <c r="LQG50" s="523"/>
      <c r="LQH50" s="523"/>
      <c r="LQI50" s="523"/>
      <c r="LQJ50" s="523"/>
      <c r="LQK50" s="523"/>
      <c r="LQL50" s="523"/>
      <c r="LQM50" s="523"/>
      <c r="LQN50" s="523"/>
      <c r="LQO50" s="523"/>
      <c r="LQP50" s="523"/>
      <c r="LQQ50" s="523"/>
      <c r="LQR50" s="523"/>
      <c r="LQS50" s="523"/>
      <c r="LQT50" s="523"/>
      <c r="LQU50" s="523"/>
      <c r="LQV50" s="523"/>
      <c r="LQW50" s="523"/>
      <c r="LQX50" s="523"/>
      <c r="LQY50" s="523"/>
      <c r="LQZ50" s="523"/>
      <c r="LRA50" s="523"/>
      <c r="LRB50" s="523"/>
      <c r="LRC50" s="523"/>
      <c r="LRD50" s="523"/>
      <c r="LRE50" s="523"/>
      <c r="LRF50" s="523"/>
      <c r="LRG50" s="523"/>
      <c r="LRH50" s="523"/>
      <c r="LRI50" s="523"/>
      <c r="LRJ50" s="523"/>
      <c r="LRK50" s="523"/>
      <c r="LRL50" s="523"/>
      <c r="LRM50" s="523"/>
      <c r="LRN50" s="523"/>
      <c r="LRO50" s="523"/>
      <c r="LRP50" s="523"/>
      <c r="LRQ50" s="523"/>
      <c r="LRR50" s="523"/>
      <c r="LRS50" s="523"/>
      <c r="LRT50" s="523"/>
      <c r="LRU50" s="523"/>
      <c r="LRV50" s="523"/>
      <c r="LRW50" s="523"/>
      <c r="LRX50" s="523"/>
      <c r="LRY50" s="523"/>
      <c r="LRZ50" s="523"/>
      <c r="LSA50" s="523"/>
      <c r="LSB50" s="523"/>
      <c r="LSC50" s="523"/>
      <c r="LSD50" s="523"/>
      <c r="LSE50" s="523"/>
      <c r="LSF50" s="523"/>
      <c r="LSG50" s="523"/>
      <c r="LSH50" s="523"/>
      <c r="LSI50" s="523"/>
      <c r="LSJ50" s="523"/>
      <c r="LSK50" s="523"/>
      <c r="LSL50" s="523"/>
      <c r="LSM50" s="523"/>
      <c r="LSN50" s="523"/>
      <c r="LSO50" s="523"/>
      <c r="LSP50" s="523"/>
      <c r="LSQ50" s="523"/>
      <c r="LSR50" s="523"/>
      <c r="LSS50" s="523"/>
      <c r="LST50" s="523"/>
      <c r="LSU50" s="523"/>
      <c r="LSV50" s="523"/>
      <c r="LSW50" s="523"/>
      <c r="LSX50" s="523"/>
      <c r="LSY50" s="523"/>
      <c r="LSZ50" s="523"/>
      <c r="LTA50" s="523"/>
      <c r="LTB50" s="523"/>
      <c r="LTC50" s="523"/>
      <c r="LTD50" s="523"/>
      <c r="LTE50" s="523"/>
      <c r="LTF50" s="523"/>
      <c r="LTG50" s="523"/>
      <c r="LTH50" s="523"/>
      <c r="LTI50" s="523"/>
      <c r="LTJ50" s="523"/>
      <c r="LTK50" s="523"/>
      <c r="LTL50" s="523"/>
      <c r="LTM50" s="523"/>
      <c r="LTN50" s="523"/>
      <c r="LTO50" s="523"/>
      <c r="LTP50" s="523"/>
      <c r="LTQ50" s="523"/>
      <c r="LTR50" s="523"/>
      <c r="LTS50" s="523"/>
      <c r="LTT50" s="523"/>
      <c r="LTU50" s="523"/>
      <c r="LTV50" s="523"/>
      <c r="LTW50" s="523"/>
      <c r="LTX50" s="523"/>
      <c r="LTY50" s="523"/>
      <c r="LTZ50" s="523"/>
      <c r="LUA50" s="523"/>
      <c r="LUB50" s="523"/>
      <c r="LUC50" s="523"/>
      <c r="LUD50" s="523"/>
      <c r="LUE50" s="523"/>
      <c r="LUF50" s="523"/>
      <c r="LUG50" s="523"/>
      <c r="LUH50" s="523"/>
      <c r="LUI50" s="523"/>
      <c r="LUJ50" s="523"/>
      <c r="LUK50" s="523"/>
      <c r="LUL50" s="523"/>
      <c r="LUM50" s="523"/>
      <c r="LUN50" s="523"/>
      <c r="LUO50" s="523"/>
      <c r="LUP50" s="523"/>
      <c r="LUQ50" s="523"/>
      <c r="LUR50" s="523"/>
      <c r="LUS50" s="523"/>
      <c r="LUT50" s="523"/>
      <c r="LUU50" s="523"/>
      <c r="LUV50" s="523"/>
      <c r="LUW50" s="523"/>
      <c r="LUX50" s="523"/>
      <c r="LUY50" s="523"/>
      <c r="LUZ50" s="523"/>
      <c r="LVA50" s="523"/>
      <c r="LVB50" s="523"/>
      <c r="LVC50" s="523"/>
      <c r="LVD50" s="523"/>
      <c r="LVE50" s="523"/>
      <c r="LVF50" s="523"/>
      <c r="LVG50" s="523"/>
      <c r="LVH50" s="523"/>
      <c r="LVI50" s="523"/>
      <c r="LVJ50" s="523"/>
      <c r="LVK50" s="523"/>
      <c r="LVL50" s="523"/>
      <c r="LVM50" s="523"/>
      <c r="LVN50" s="523"/>
      <c r="LVO50" s="523"/>
      <c r="LVP50" s="523"/>
      <c r="LVQ50" s="523"/>
      <c r="LVR50" s="523"/>
      <c r="LVS50" s="523"/>
      <c r="LVT50" s="523"/>
      <c r="LVU50" s="523"/>
      <c r="LVV50" s="523"/>
      <c r="LVW50" s="523"/>
      <c r="LVX50" s="523"/>
      <c r="LVY50" s="523"/>
      <c r="LVZ50" s="523"/>
      <c r="LWA50" s="523"/>
      <c r="LWB50" s="523"/>
      <c r="LWC50" s="523"/>
      <c r="LWD50" s="523"/>
      <c r="LWE50" s="523"/>
      <c r="LWF50" s="523"/>
      <c r="LWG50" s="523"/>
      <c r="LWH50" s="523"/>
      <c r="LWI50" s="523"/>
      <c r="LWJ50" s="523"/>
      <c r="LWK50" s="523"/>
      <c r="LWL50" s="523"/>
      <c r="LWM50" s="523"/>
      <c r="LWN50" s="523"/>
      <c r="LWO50" s="523"/>
      <c r="LWP50" s="523"/>
      <c r="LWQ50" s="523"/>
      <c r="LWR50" s="523"/>
      <c r="LWS50" s="523"/>
      <c r="LWT50" s="523"/>
      <c r="LWU50" s="523"/>
      <c r="LWV50" s="523"/>
      <c r="LWW50" s="523"/>
      <c r="LWX50" s="523"/>
      <c r="LWY50" s="523"/>
      <c r="LWZ50" s="523"/>
      <c r="LXA50" s="523"/>
      <c r="LXB50" s="523"/>
      <c r="LXC50" s="523"/>
      <c r="LXD50" s="523"/>
      <c r="LXE50" s="523"/>
      <c r="LXF50" s="523"/>
      <c r="LXG50" s="523"/>
      <c r="LXH50" s="523"/>
      <c r="LXI50" s="523"/>
      <c r="LXJ50" s="523"/>
      <c r="LXK50" s="523"/>
      <c r="LXL50" s="523"/>
      <c r="LXM50" s="523"/>
      <c r="LXN50" s="523"/>
      <c r="LXO50" s="523"/>
      <c r="LXP50" s="523"/>
      <c r="LXQ50" s="523"/>
      <c r="LXR50" s="523"/>
      <c r="LXS50" s="523"/>
      <c r="LXT50" s="523"/>
      <c r="LXU50" s="523"/>
      <c r="LXV50" s="523"/>
      <c r="LXW50" s="523"/>
      <c r="LXX50" s="523"/>
      <c r="LXY50" s="523"/>
      <c r="LXZ50" s="523"/>
      <c r="LYA50" s="523"/>
      <c r="LYB50" s="523"/>
      <c r="LYC50" s="523"/>
      <c r="LYD50" s="523"/>
      <c r="LYE50" s="523"/>
      <c r="LYF50" s="523"/>
      <c r="LYG50" s="523"/>
      <c r="LYH50" s="523"/>
      <c r="LYI50" s="523"/>
      <c r="LYJ50" s="523"/>
      <c r="LYK50" s="523"/>
      <c r="LYL50" s="523"/>
      <c r="LYM50" s="523"/>
      <c r="LYN50" s="523"/>
      <c r="LYO50" s="523"/>
      <c r="LYP50" s="523"/>
      <c r="LYQ50" s="523"/>
      <c r="LYR50" s="523"/>
      <c r="LYS50" s="523"/>
      <c r="LYT50" s="523"/>
      <c r="LYU50" s="523"/>
      <c r="LYV50" s="523"/>
      <c r="LYW50" s="523"/>
      <c r="LYX50" s="523"/>
      <c r="LYY50" s="523"/>
      <c r="LYZ50" s="523"/>
      <c r="LZA50" s="523"/>
      <c r="LZB50" s="523"/>
      <c r="LZC50" s="523"/>
      <c r="LZD50" s="523"/>
      <c r="LZE50" s="523"/>
      <c r="LZF50" s="523"/>
      <c r="LZG50" s="523"/>
      <c r="LZH50" s="523"/>
      <c r="LZI50" s="523"/>
      <c r="LZJ50" s="523"/>
      <c r="LZK50" s="523"/>
      <c r="LZL50" s="523"/>
      <c r="LZM50" s="523"/>
      <c r="LZN50" s="523"/>
      <c r="LZO50" s="523"/>
      <c r="LZP50" s="523"/>
      <c r="LZQ50" s="523"/>
      <c r="LZR50" s="523"/>
      <c r="LZS50" s="523"/>
      <c r="LZT50" s="523"/>
      <c r="LZU50" s="523"/>
      <c r="LZV50" s="523"/>
      <c r="LZW50" s="523"/>
      <c r="LZX50" s="523"/>
      <c r="LZY50" s="523"/>
      <c r="LZZ50" s="523"/>
      <c r="MAA50" s="523"/>
      <c r="MAB50" s="523"/>
      <c r="MAC50" s="523"/>
      <c r="MAD50" s="523"/>
      <c r="MAE50" s="523"/>
      <c r="MAF50" s="523"/>
      <c r="MAG50" s="523"/>
      <c r="MAH50" s="523"/>
      <c r="MAI50" s="523"/>
      <c r="MAJ50" s="523"/>
      <c r="MAK50" s="523"/>
      <c r="MAL50" s="523"/>
      <c r="MAM50" s="523"/>
      <c r="MAN50" s="523"/>
      <c r="MAO50" s="523"/>
      <c r="MAP50" s="523"/>
      <c r="MAQ50" s="523"/>
      <c r="MAR50" s="523"/>
      <c r="MAS50" s="523"/>
      <c r="MAT50" s="523"/>
      <c r="MAU50" s="523"/>
      <c r="MAV50" s="523"/>
      <c r="MAW50" s="523"/>
      <c r="MAX50" s="523"/>
      <c r="MAY50" s="523"/>
      <c r="MAZ50" s="523"/>
      <c r="MBA50" s="523"/>
      <c r="MBB50" s="523"/>
      <c r="MBC50" s="523"/>
      <c r="MBD50" s="523"/>
      <c r="MBE50" s="523"/>
      <c r="MBF50" s="523"/>
      <c r="MBG50" s="523"/>
      <c r="MBH50" s="523"/>
      <c r="MBI50" s="523"/>
      <c r="MBJ50" s="523"/>
      <c r="MBK50" s="523"/>
      <c r="MBL50" s="523"/>
      <c r="MBM50" s="523"/>
      <c r="MBN50" s="523"/>
      <c r="MBO50" s="523"/>
      <c r="MBP50" s="523"/>
      <c r="MBQ50" s="523"/>
      <c r="MBR50" s="523"/>
      <c r="MBS50" s="523"/>
      <c r="MBT50" s="523"/>
      <c r="MBU50" s="523"/>
      <c r="MBV50" s="523"/>
      <c r="MBW50" s="523"/>
      <c r="MBX50" s="523"/>
      <c r="MBY50" s="523"/>
      <c r="MBZ50" s="523"/>
      <c r="MCA50" s="523"/>
      <c r="MCB50" s="523"/>
      <c r="MCC50" s="523"/>
      <c r="MCD50" s="523"/>
      <c r="MCE50" s="523"/>
      <c r="MCF50" s="523"/>
      <c r="MCG50" s="523"/>
      <c r="MCH50" s="523"/>
      <c r="MCI50" s="523"/>
      <c r="MCJ50" s="523"/>
      <c r="MCK50" s="523"/>
      <c r="MCL50" s="523"/>
      <c r="MCM50" s="523"/>
      <c r="MCN50" s="523"/>
      <c r="MCO50" s="523"/>
      <c r="MCP50" s="523"/>
      <c r="MCQ50" s="523"/>
      <c r="MCR50" s="523"/>
      <c r="MCS50" s="523"/>
      <c r="MCT50" s="523"/>
      <c r="MCU50" s="523"/>
      <c r="MCV50" s="523"/>
      <c r="MCW50" s="523"/>
      <c r="MCX50" s="523"/>
      <c r="MCY50" s="523"/>
      <c r="MCZ50" s="523"/>
      <c r="MDA50" s="523"/>
      <c r="MDB50" s="523"/>
      <c r="MDC50" s="523"/>
      <c r="MDD50" s="523"/>
      <c r="MDE50" s="523"/>
      <c r="MDF50" s="523"/>
      <c r="MDG50" s="523"/>
      <c r="MDH50" s="523"/>
      <c r="MDI50" s="523"/>
      <c r="MDJ50" s="523"/>
      <c r="MDK50" s="523"/>
      <c r="MDL50" s="523"/>
      <c r="MDM50" s="523"/>
      <c r="MDN50" s="523"/>
      <c r="MDO50" s="523"/>
      <c r="MDP50" s="523"/>
      <c r="MDQ50" s="523"/>
      <c r="MDR50" s="523"/>
      <c r="MDS50" s="523"/>
      <c r="MDT50" s="523"/>
      <c r="MDU50" s="523"/>
      <c r="MDV50" s="523"/>
      <c r="MDW50" s="523"/>
      <c r="MDX50" s="523"/>
      <c r="MDY50" s="523"/>
      <c r="MDZ50" s="523"/>
      <c r="MEA50" s="523"/>
      <c r="MEB50" s="523"/>
      <c r="MEC50" s="523"/>
      <c r="MED50" s="523"/>
      <c r="MEE50" s="523"/>
      <c r="MEF50" s="523"/>
      <c r="MEG50" s="523"/>
      <c r="MEH50" s="523"/>
      <c r="MEI50" s="523"/>
      <c r="MEJ50" s="523"/>
      <c r="MEK50" s="523"/>
      <c r="MEL50" s="523"/>
      <c r="MEM50" s="523"/>
      <c r="MEN50" s="523"/>
      <c r="MEO50" s="523"/>
      <c r="MEP50" s="523"/>
      <c r="MEQ50" s="523"/>
      <c r="MER50" s="523"/>
      <c r="MES50" s="523"/>
      <c r="MET50" s="523"/>
      <c r="MEU50" s="523"/>
      <c r="MEV50" s="523"/>
      <c r="MEW50" s="523"/>
      <c r="MEX50" s="523"/>
      <c r="MEY50" s="523"/>
      <c r="MEZ50" s="523"/>
      <c r="MFA50" s="523"/>
      <c r="MFB50" s="523"/>
      <c r="MFC50" s="523"/>
      <c r="MFD50" s="523"/>
      <c r="MFE50" s="523"/>
      <c r="MFF50" s="523"/>
      <c r="MFG50" s="523"/>
      <c r="MFH50" s="523"/>
      <c r="MFI50" s="523"/>
      <c r="MFJ50" s="523"/>
      <c r="MFK50" s="523"/>
      <c r="MFL50" s="523"/>
      <c r="MFM50" s="523"/>
      <c r="MFN50" s="523"/>
      <c r="MFO50" s="523"/>
      <c r="MFP50" s="523"/>
      <c r="MFQ50" s="523"/>
      <c r="MFR50" s="523"/>
      <c r="MFS50" s="523"/>
      <c r="MFT50" s="523"/>
      <c r="MFU50" s="523"/>
      <c r="MFV50" s="523"/>
      <c r="MFW50" s="523"/>
      <c r="MFX50" s="523"/>
      <c r="MFY50" s="523"/>
      <c r="MFZ50" s="523"/>
      <c r="MGA50" s="523"/>
      <c r="MGB50" s="523"/>
      <c r="MGC50" s="523"/>
      <c r="MGD50" s="523"/>
      <c r="MGE50" s="523"/>
      <c r="MGF50" s="523"/>
      <c r="MGG50" s="523"/>
      <c r="MGH50" s="523"/>
      <c r="MGI50" s="523"/>
      <c r="MGJ50" s="523"/>
      <c r="MGK50" s="523"/>
      <c r="MGL50" s="523"/>
      <c r="MGM50" s="523"/>
      <c r="MGN50" s="523"/>
      <c r="MGO50" s="523"/>
      <c r="MGP50" s="523"/>
      <c r="MGQ50" s="523"/>
      <c r="MGR50" s="523"/>
      <c r="MGS50" s="523"/>
      <c r="MGT50" s="523"/>
      <c r="MGU50" s="523"/>
      <c r="MGV50" s="523"/>
      <c r="MGW50" s="523"/>
      <c r="MGX50" s="523"/>
      <c r="MGY50" s="523"/>
      <c r="MGZ50" s="523"/>
      <c r="MHA50" s="523"/>
      <c r="MHB50" s="523"/>
      <c r="MHC50" s="523"/>
      <c r="MHD50" s="523"/>
      <c r="MHE50" s="523"/>
      <c r="MHF50" s="523"/>
      <c r="MHG50" s="523"/>
      <c r="MHH50" s="523"/>
      <c r="MHI50" s="523"/>
      <c r="MHJ50" s="523"/>
      <c r="MHK50" s="523"/>
      <c r="MHL50" s="523"/>
      <c r="MHM50" s="523"/>
      <c r="MHN50" s="523"/>
      <c r="MHO50" s="523"/>
      <c r="MHP50" s="523"/>
      <c r="MHQ50" s="523"/>
      <c r="MHR50" s="523"/>
      <c r="MHS50" s="523"/>
      <c r="MHT50" s="523"/>
      <c r="MHU50" s="523"/>
      <c r="MHV50" s="523"/>
      <c r="MHW50" s="523"/>
      <c r="MHX50" s="523"/>
      <c r="MHY50" s="523"/>
      <c r="MHZ50" s="523"/>
      <c r="MIA50" s="523"/>
      <c r="MIB50" s="523"/>
      <c r="MIC50" s="523"/>
      <c r="MID50" s="523"/>
      <c r="MIE50" s="523"/>
      <c r="MIF50" s="523"/>
      <c r="MIG50" s="523"/>
      <c r="MIH50" s="523"/>
      <c r="MII50" s="523"/>
      <c r="MIJ50" s="523"/>
      <c r="MIK50" s="523"/>
      <c r="MIL50" s="523"/>
      <c r="MIM50" s="523"/>
      <c r="MIN50" s="523"/>
      <c r="MIO50" s="523"/>
      <c r="MIP50" s="523"/>
      <c r="MIQ50" s="523"/>
      <c r="MIR50" s="523"/>
      <c r="MIS50" s="523"/>
      <c r="MIT50" s="523"/>
      <c r="MIU50" s="523"/>
      <c r="MIV50" s="523"/>
      <c r="MIW50" s="523"/>
      <c r="MIX50" s="523"/>
      <c r="MIY50" s="523"/>
      <c r="MIZ50" s="523"/>
      <c r="MJA50" s="523"/>
      <c r="MJB50" s="523"/>
      <c r="MJC50" s="523"/>
      <c r="MJD50" s="523"/>
      <c r="MJE50" s="523"/>
      <c r="MJF50" s="523"/>
      <c r="MJG50" s="523"/>
      <c r="MJH50" s="523"/>
      <c r="MJI50" s="523"/>
      <c r="MJJ50" s="523"/>
      <c r="MJK50" s="523"/>
      <c r="MJL50" s="523"/>
      <c r="MJM50" s="523"/>
      <c r="MJN50" s="523"/>
      <c r="MJO50" s="523"/>
      <c r="MJP50" s="523"/>
      <c r="MJQ50" s="523"/>
      <c r="MJR50" s="523"/>
      <c r="MJS50" s="523"/>
      <c r="MJT50" s="523"/>
      <c r="MJU50" s="523"/>
      <c r="MJV50" s="523"/>
      <c r="MJW50" s="523"/>
      <c r="MJX50" s="523"/>
      <c r="MJY50" s="523"/>
      <c r="MJZ50" s="523"/>
      <c r="MKA50" s="523"/>
      <c r="MKB50" s="523"/>
      <c r="MKC50" s="523"/>
      <c r="MKD50" s="523"/>
      <c r="MKE50" s="523"/>
      <c r="MKF50" s="523"/>
      <c r="MKG50" s="523"/>
      <c r="MKH50" s="523"/>
      <c r="MKI50" s="523"/>
      <c r="MKJ50" s="523"/>
      <c r="MKK50" s="523"/>
      <c r="MKL50" s="523"/>
      <c r="MKM50" s="523"/>
      <c r="MKN50" s="523"/>
      <c r="MKO50" s="523"/>
      <c r="MKP50" s="523"/>
      <c r="MKQ50" s="523"/>
      <c r="MKR50" s="523"/>
      <c r="MKS50" s="523"/>
      <c r="MKT50" s="523"/>
      <c r="MKU50" s="523"/>
      <c r="MKV50" s="523"/>
      <c r="MKW50" s="523"/>
      <c r="MKX50" s="523"/>
      <c r="MKY50" s="523"/>
      <c r="MKZ50" s="523"/>
      <c r="MLA50" s="523"/>
      <c r="MLB50" s="523"/>
      <c r="MLC50" s="523"/>
      <c r="MLD50" s="523"/>
      <c r="MLE50" s="523"/>
      <c r="MLF50" s="523"/>
      <c r="MLG50" s="523"/>
      <c r="MLH50" s="523"/>
      <c r="MLI50" s="523"/>
      <c r="MLJ50" s="523"/>
      <c r="MLK50" s="523"/>
      <c r="MLL50" s="523"/>
      <c r="MLM50" s="523"/>
      <c r="MLN50" s="523"/>
      <c r="MLO50" s="523"/>
      <c r="MLP50" s="523"/>
      <c r="MLQ50" s="523"/>
      <c r="MLR50" s="523"/>
      <c r="MLS50" s="523"/>
      <c r="MLT50" s="523"/>
      <c r="MLU50" s="523"/>
      <c r="MLV50" s="523"/>
      <c r="MLW50" s="523"/>
      <c r="MLX50" s="523"/>
      <c r="MLY50" s="523"/>
      <c r="MLZ50" s="523"/>
      <c r="MMA50" s="523"/>
      <c r="MMB50" s="523"/>
      <c r="MMC50" s="523"/>
      <c r="MMD50" s="523"/>
      <c r="MME50" s="523"/>
      <c r="MMF50" s="523"/>
      <c r="MMG50" s="523"/>
      <c r="MMH50" s="523"/>
      <c r="MMI50" s="523"/>
      <c r="MMJ50" s="523"/>
      <c r="MMK50" s="523"/>
      <c r="MML50" s="523"/>
      <c r="MMM50" s="523"/>
      <c r="MMN50" s="523"/>
      <c r="MMO50" s="523"/>
      <c r="MMP50" s="523"/>
      <c r="MMQ50" s="523"/>
      <c r="MMR50" s="523"/>
      <c r="MMS50" s="523"/>
      <c r="MMT50" s="523"/>
      <c r="MMU50" s="523"/>
      <c r="MMV50" s="523"/>
      <c r="MMW50" s="523"/>
      <c r="MMX50" s="523"/>
      <c r="MMY50" s="523"/>
      <c r="MMZ50" s="523"/>
      <c r="MNA50" s="523"/>
      <c r="MNB50" s="523"/>
      <c r="MNC50" s="523"/>
      <c r="MND50" s="523"/>
      <c r="MNE50" s="523"/>
      <c r="MNF50" s="523"/>
      <c r="MNG50" s="523"/>
      <c r="MNH50" s="523"/>
      <c r="MNI50" s="523"/>
      <c r="MNJ50" s="523"/>
      <c r="MNK50" s="523"/>
      <c r="MNL50" s="523"/>
      <c r="MNM50" s="523"/>
      <c r="MNN50" s="523"/>
      <c r="MNO50" s="523"/>
      <c r="MNP50" s="523"/>
      <c r="MNQ50" s="523"/>
      <c r="MNR50" s="523"/>
      <c r="MNS50" s="523"/>
      <c r="MNT50" s="523"/>
      <c r="MNU50" s="523"/>
      <c r="MNV50" s="523"/>
      <c r="MNW50" s="523"/>
      <c r="MNX50" s="523"/>
      <c r="MNY50" s="523"/>
      <c r="MNZ50" s="523"/>
      <c r="MOA50" s="523"/>
      <c r="MOB50" s="523"/>
      <c r="MOC50" s="523"/>
      <c r="MOD50" s="523"/>
      <c r="MOE50" s="523"/>
      <c r="MOF50" s="523"/>
      <c r="MOG50" s="523"/>
      <c r="MOH50" s="523"/>
      <c r="MOI50" s="523"/>
      <c r="MOJ50" s="523"/>
      <c r="MOK50" s="523"/>
      <c r="MOL50" s="523"/>
      <c r="MOM50" s="523"/>
      <c r="MON50" s="523"/>
      <c r="MOO50" s="523"/>
      <c r="MOP50" s="523"/>
      <c r="MOQ50" s="523"/>
      <c r="MOR50" s="523"/>
      <c r="MOS50" s="523"/>
      <c r="MOT50" s="523"/>
      <c r="MOU50" s="523"/>
      <c r="MOV50" s="523"/>
      <c r="MOW50" s="523"/>
      <c r="MOX50" s="523"/>
      <c r="MOY50" s="523"/>
      <c r="MOZ50" s="523"/>
      <c r="MPA50" s="523"/>
      <c r="MPB50" s="523"/>
      <c r="MPC50" s="523"/>
      <c r="MPD50" s="523"/>
      <c r="MPE50" s="523"/>
      <c r="MPF50" s="523"/>
      <c r="MPG50" s="523"/>
      <c r="MPH50" s="523"/>
      <c r="MPI50" s="523"/>
      <c r="MPJ50" s="523"/>
      <c r="MPK50" s="523"/>
      <c r="MPL50" s="523"/>
      <c r="MPM50" s="523"/>
      <c r="MPN50" s="523"/>
      <c r="MPO50" s="523"/>
      <c r="MPP50" s="523"/>
      <c r="MPQ50" s="523"/>
      <c r="MPR50" s="523"/>
      <c r="MPS50" s="523"/>
      <c r="MPT50" s="523"/>
      <c r="MPU50" s="523"/>
      <c r="MPV50" s="523"/>
      <c r="MPW50" s="523"/>
      <c r="MPX50" s="523"/>
      <c r="MPY50" s="523"/>
      <c r="MPZ50" s="523"/>
      <c r="MQA50" s="523"/>
      <c r="MQB50" s="523"/>
      <c r="MQC50" s="523"/>
      <c r="MQD50" s="523"/>
      <c r="MQE50" s="523"/>
      <c r="MQF50" s="523"/>
      <c r="MQG50" s="523"/>
      <c r="MQH50" s="523"/>
      <c r="MQI50" s="523"/>
      <c r="MQJ50" s="523"/>
      <c r="MQK50" s="523"/>
      <c r="MQL50" s="523"/>
      <c r="MQM50" s="523"/>
      <c r="MQN50" s="523"/>
      <c r="MQO50" s="523"/>
      <c r="MQP50" s="523"/>
      <c r="MQQ50" s="523"/>
      <c r="MQR50" s="523"/>
      <c r="MQS50" s="523"/>
      <c r="MQT50" s="523"/>
      <c r="MQU50" s="523"/>
      <c r="MQV50" s="523"/>
      <c r="MQW50" s="523"/>
      <c r="MQX50" s="523"/>
      <c r="MQY50" s="523"/>
      <c r="MQZ50" s="523"/>
      <c r="MRA50" s="523"/>
      <c r="MRB50" s="523"/>
      <c r="MRC50" s="523"/>
      <c r="MRD50" s="523"/>
      <c r="MRE50" s="523"/>
      <c r="MRF50" s="523"/>
      <c r="MRG50" s="523"/>
      <c r="MRH50" s="523"/>
      <c r="MRI50" s="523"/>
      <c r="MRJ50" s="523"/>
      <c r="MRK50" s="523"/>
      <c r="MRL50" s="523"/>
      <c r="MRM50" s="523"/>
      <c r="MRN50" s="523"/>
      <c r="MRO50" s="523"/>
      <c r="MRP50" s="523"/>
      <c r="MRQ50" s="523"/>
      <c r="MRR50" s="523"/>
      <c r="MRS50" s="523"/>
      <c r="MRT50" s="523"/>
      <c r="MRU50" s="523"/>
      <c r="MRV50" s="523"/>
      <c r="MRW50" s="523"/>
      <c r="MRX50" s="523"/>
      <c r="MRY50" s="523"/>
      <c r="MRZ50" s="523"/>
      <c r="MSA50" s="523"/>
      <c r="MSB50" s="523"/>
      <c r="MSC50" s="523"/>
      <c r="MSD50" s="523"/>
      <c r="MSE50" s="523"/>
      <c r="MSF50" s="523"/>
      <c r="MSG50" s="523"/>
      <c r="MSH50" s="523"/>
      <c r="MSI50" s="523"/>
      <c r="MSJ50" s="523"/>
      <c r="MSK50" s="523"/>
      <c r="MSL50" s="523"/>
      <c r="MSM50" s="523"/>
      <c r="MSN50" s="523"/>
      <c r="MSO50" s="523"/>
      <c r="MSP50" s="523"/>
      <c r="MSQ50" s="523"/>
      <c r="MSR50" s="523"/>
      <c r="MSS50" s="523"/>
      <c r="MST50" s="523"/>
      <c r="MSU50" s="523"/>
      <c r="MSV50" s="523"/>
      <c r="MSW50" s="523"/>
      <c r="MSX50" s="523"/>
      <c r="MSY50" s="523"/>
      <c r="MSZ50" s="523"/>
      <c r="MTA50" s="523"/>
      <c r="MTB50" s="523"/>
      <c r="MTC50" s="523"/>
      <c r="MTD50" s="523"/>
      <c r="MTE50" s="523"/>
      <c r="MTF50" s="523"/>
      <c r="MTG50" s="523"/>
      <c r="MTH50" s="523"/>
      <c r="MTI50" s="523"/>
      <c r="MTJ50" s="523"/>
      <c r="MTK50" s="523"/>
      <c r="MTL50" s="523"/>
      <c r="MTM50" s="523"/>
      <c r="MTN50" s="523"/>
      <c r="MTO50" s="523"/>
      <c r="MTP50" s="523"/>
      <c r="MTQ50" s="523"/>
      <c r="MTR50" s="523"/>
      <c r="MTS50" s="523"/>
      <c r="MTT50" s="523"/>
      <c r="MTU50" s="523"/>
      <c r="MTV50" s="523"/>
      <c r="MTW50" s="523"/>
      <c r="MTX50" s="523"/>
      <c r="MTY50" s="523"/>
      <c r="MTZ50" s="523"/>
      <c r="MUA50" s="523"/>
      <c r="MUB50" s="523"/>
      <c r="MUC50" s="523"/>
      <c r="MUD50" s="523"/>
      <c r="MUE50" s="523"/>
      <c r="MUF50" s="523"/>
      <c r="MUG50" s="523"/>
      <c r="MUH50" s="523"/>
      <c r="MUI50" s="523"/>
      <c r="MUJ50" s="523"/>
      <c r="MUK50" s="523"/>
      <c r="MUL50" s="523"/>
      <c r="MUM50" s="523"/>
      <c r="MUN50" s="523"/>
      <c r="MUO50" s="523"/>
      <c r="MUP50" s="523"/>
      <c r="MUQ50" s="523"/>
      <c r="MUR50" s="523"/>
      <c r="MUS50" s="523"/>
      <c r="MUT50" s="523"/>
      <c r="MUU50" s="523"/>
      <c r="MUV50" s="523"/>
      <c r="MUW50" s="523"/>
      <c r="MUX50" s="523"/>
      <c r="MUY50" s="523"/>
      <c r="MUZ50" s="523"/>
      <c r="MVA50" s="523"/>
      <c r="MVB50" s="523"/>
      <c r="MVC50" s="523"/>
      <c r="MVD50" s="523"/>
      <c r="MVE50" s="523"/>
      <c r="MVF50" s="523"/>
      <c r="MVG50" s="523"/>
      <c r="MVH50" s="523"/>
      <c r="MVI50" s="523"/>
      <c r="MVJ50" s="523"/>
      <c r="MVK50" s="523"/>
      <c r="MVL50" s="523"/>
      <c r="MVM50" s="523"/>
      <c r="MVN50" s="523"/>
      <c r="MVO50" s="523"/>
      <c r="MVP50" s="523"/>
      <c r="MVQ50" s="523"/>
      <c r="MVR50" s="523"/>
      <c r="MVS50" s="523"/>
      <c r="MVT50" s="523"/>
      <c r="MVU50" s="523"/>
      <c r="MVV50" s="523"/>
      <c r="MVW50" s="523"/>
      <c r="MVX50" s="523"/>
      <c r="MVY50" s="523"/>
      <c r="MVZ50" s="523"/>
      <c r="MWA50" s="523"/>
      <c r="MWB50" s="523"/>
      <c r="MWC50" s="523"/>
      <c r="MWD50" s="523"/>
      <c r="MWE50" s="523"/>
      <c r="MWF50" s="523"/>
      <c r="MWG50" s="523"/>
      <c r="MWH50" s="523"/>
      <c r="MWI50" s="523"/>
      <c r="MWJ50" s="523"/>
      <c r="MWK50" s="523"/>
      <c r="MWL50" s="523"/>
      <c r="MWM50" s="523"/>
      <c r="MWN50" s="523"/>
      <c r="MWO50" s="523"/>
      <c r="MWP50" s="523"/>
      <c r="MWQ50" s="523"/>
      <c r="MWR50" s="523"/>
      <c r="MWS50" s="523"/>
      <c r="MWT50" s="523"/>
      <c r="MWU50" s="523"/>
      <c r="MWV50" s="523"/>
      <c r="MWW50" s="523"/>
      <c r="MWX50" s="523"/>
      <c r="MWY50" s="523"/>
      <c r="MWZ50" s="523"/>
      <c r="MXA50" s="523"/>
      <c r="MXB50" s="523"/>
      <c r="MXC50" s="523"/>
      <c r="MXD50" s="523"/>
      <c r="MXE50" s="523"/>
      <c r="MXF50" s="523"/>
      <c r="MXG50" s="523"/>
      <c r="MXH50" s="523"/>
      <c r="MXI50" s="523"/>
      <c r="MXJ50" s="523"/>
      <c r="MXK50" s="523"/>
      <c r="MXL50" s="523"/>
      <c r="MXM50" s="523"/>
      <c r="MXN50" s="523"/>
      <c r="MXO50" s="523"/>
      <c r="MXP50" s="523"/>
      <c r="MXQ50" s="523"/>
      <c r="MXR50" s="523"/>
      <c r="MXS50" s="523"/>
      <c r="MXT50" s="523"/>
      <c r="MXU50" s="523"/>
      <c r="MXV50" s="523"/>
      <c r="MXW50" s="523"/>
      <c r="MXX50" s="523"/>
      <c r="MXY50" s="523"/>
      <c r="MXZ50" s="523"/>
      <c r="MYA50" s="523"/>
      <c r="MYB50" s="523"/>
      <c r="MYC50" s="523"/>
      <c r="MYD50" s="523"/>
      <c r="MYE50" s="523"/>
      <c r="MYF50" s="523"/>
      <c r="MYG50" s="523"/>
      <c r="MYH50" s="523"/>
      <c r="MYI50" s="523"/>
      <c r="MYJ50" s="523"/>
      <c r="MYK50" s="523"/>
      <c r="MYL50" s="523"/>
      <c r="MYM50" s="523"/>
      <c r="MYN50" s="523"/>
      <c r="MYO50" s="523"/>
      <c r="MYP50" s="523"/>
      <c r="MYQ50" s="523"/>
      <c r="MYR50" s="523"/>
      <c r="MYS50" s="523"/>
      <c r="MYT50" s="523"/>
      <c r="MYU50" s="523"/>
      <c r="MYV50" s="523"/>
      <c r="MYW50" s="523"/>
      <c r="MYX50" s="523"/>
      <c r="MYY50" s="523"/>
      <c r="MYZ50" s="523"/>
      <c r="MZA50" s="523"/>
      <c r="MZB50" s="523"/>
      <c r="MZC50" s="523"/>
      <c r="MZD50" s="523"/>
      <c r="MZE50" s="523"/>
      <c r="MZF50" s="523"/>
      <c r="MZG50" s="523"/>
      <c r="MZH50" s="523"/>
      <c r="MZI50" s="523"/>
      <c r="MZJ50" s="523"/>
      <c r="MZK50" s="523"/>
      <c r="MZL50" s="523"/>
      <c r="MZM50" s="523"/>
      <c r="MZN50" s="523"/>
      <c r="MZO50" s="523"/>
      <c r="MZP50" s="523"/>
      <c r="MZQ50" s="523"/>
      <c r="MZR50" s="523"/>
      <c r="MZS50" s="523"/>
      <c r="MZT50" s="523"/>
      <c r="MZU50" s="523"/>
      <c r="MZV50" s="523"/>
      <c r="MZW50" s="523"/>
      <c r="MZX50" s="523"/>
      <c r="MZY50" s="523"/>
      <c r="MZZ50" s="523"/>
      <c r="NAA50" s="523"/>
      <c r="NAB50" s="523"/>
      <c r="NAC50" s="523"/>
      <c r="NAD50" s="523"/>
      <c r="NAE50" s="523"/>
      <c r="NAF50" s="523"/>
      <c r="NAG50" s="523"/>
      <c r="NAH50" s="523"/>
      <c r="NAI50" s="523"/>
      <c r="NAJ50" s="523"/>
      <c r="NAK50" s="523"/>
      <c r="NAL50" s="523"/>
      <c r="NAM50" s="523"/>
      <c r="NAN50" s="523"/>
      <c r="NAO50" s="523"/>
      <c r="NAP50" s="523"/>
      <c r="NAQ50" s="523"/>
      <c r="NAR50" s="523"/>
      <c r="NAS50" s="523"/>
      <c r="NAT50" s="523"/>
      <c r="NAU50" s="523"/>
      <c r="NAV50" s="523"/>
      <c r="NAW50" s="523"/>
      <c r="NAX50" s="523"/>
      <c r="NAY50" s="523"/>
      <c r="NAZ50" s="523"/>
      <c r="NBA50" s="523"/>
      <c r="NBB50" s="523"/>
      <c r="NBC50" s="523"/>
      <c r="NBD50" s="523"/>
      <c r="NBE50" s="523"/>
      <c r="NBF50" s="523"/>
      <c r="NBG50" s="523"/>
      <c r="NBH50" s="523"/>
      <c r="NBI50" s="523"/>
      <c r="NBJ50" s="523"/>
      <c r="NBK50" s="523"/>
      <c r="NBL50" s="523"/>
      <c r="NBM50" s="523"/>
      <c r="NBN50" s="523"/>
      <c r="NBO50" s="523"/>
      <c r="NBP50" s="523"/>
      <c r="NBQ50" s="523"/>
      <c r="NBR50" s="523"/>
      <c r="NBS50" s="523"/>
      <c r="NBT50" s="523"/>
      <c r="NBU50" s="523"/>
      <c r="NBV50" s="523"/>
      <c r="NBW50" s="523"/>
      <c r="NBX50" s="523"/>
      <c r="NBY50" s="523"/>
      <c r="NBZ50" s="523"/>
      <c r="NCA50" s="523"/>
      <c r="NCB50" s="523"/>
      <c r="NCC50" s="523"/>
      <c r="NCD50" s="523"/>
      <c r="NCE50" s="523"/>
      <c r="NCF50" s="523"/>
      <c r="NCG50" s="523"/>
      <c r="NCH50" s="523"/>
      <c r="NCI50" s="523"/>
      <c r="NCJ50" s="523"/>
      <c r="NCK50" s="523"/>
      <c r="NCL50" s="523"/>
      <c r="NCM50" s="523"/>
      <c r="NCN50" s="523"/>
      <c r="NCO50" s="523"/>
      <c r="NCP50" s="523"/>
      <c r="NCQ50" s="523"/>
      <c r="NCR50" s="523"/>
      <c r="NCS50" s="523"/>
      <c r="NCT50" s="523"/>
      <c r="NCU50" s="523"/>
      <c r="NCV50" s="523"/>
      <c r="NCW50" s="523"/>
      <c r="NCX50" s="523"/>
      <c r="NCY50" s="523"/>
      <c r="NCZ50" s="523"/>
      <c r="NDA50" s="523"/>
      <c r="NDB50" s="523"/>
      <c r="NDC50" s="523"/>
      <c r="NDD50" s="523"/>
      <c r="NDE50" s="523"/>
      <c r="NDF50" s="523"/>
      <c r="NDG50" s="523"/>
      <c r="NDH50" s="523"/>
      <c r="NDI50" s="523"/>
      <c r="NDJ50" s="523"/>
      <c r="NDK50" s="523"/>
      <c r="NDL50" s="523"/>
      <c r="NDM50" s="523"/>
      <c r="NDN50" s="523"/>
      <c r="NDO50" s="523"/>
      <c r="NDP50" s="523"/>
      <c r="NDQ50" s="523"/>
      <c r="NDR50" s="523"/>
      <c r="NDS50" s="523"/>
      <c r="NDT50" s="523"/>
      <c r="NDU50" s="523"/>
      <c r="NDV50" s="523"/>
      <c r="NDW50" s="523"/>
      <c r="NDX50" s="523"/>
      <c r="NDY50" s="523"/>
      <c r="NDZ50" s="523"/>
      <c r="NEA50" s="523"/>
      <c r="NEB50" s="523"/>
      <c r="NEC50" s="523"/>
      <c r="NED50" s="523"/>
      <c r="NEE50" s="523"/>
      <c r="NEF50" s="523"/>
      <c r="NEG50" s="523"/>
      <c r="NEH50" s="523"/>
      <c r="NEI50" s="523"/>
      <c r="NEJ50" s="523"/>
      <c r="NEK50" s="523"/>
      <c r="NEL50" s="523"/>
      <c r="NEM50" s="523"/>
      <c r="NEN50" s="523"/>
      <c r="NEO50" s="523"/>
      <c r="NEP50" s="523"/>
      <c r="NEQ50" s="523"/>
      <c r="NER50" s="523"/>
      <c r="NES50" s="523"/>
      <c r="NET50" s="523"/>
      <c r="NEU50" s="523"/>
      <c r="NEV50" s="523"/>
      <c r="NEW50" s="523"/>
      <c r="NEX50" s="523"/>
      <c r="NEY50" s="523"/>
      <c r="NEZ50" s="523"/>
      <c r="NFA50" s="523"/>
      <c r="NFB50" s="523"/>
      <c r="NFC50" s="523"/>
      <c r="NFD50" s="523"/>
      <c r="NFE50" s="523"/>
      <c r="NFF50" s="523"/>
      <c r="NFG50" s="523"/>
      <c r="NFH50" s="523"/>
      <c r="NFI50" s="523"/>
      <c r="NFJ50" s="523"/>
      <c r="NFK50" s="523"/>
      <c r="NFL50" s="523"/>
      <c r="NFM50" s="523"/>
      <c r="NFN50" s="523"/>
      <c r="NFO50" s="523"/>
      <c r="NFP50" s="523"/>
      <c r="NFQ50" s="523"/>
      <c r="NFR50" s="523"/>
      <c r="NFS50" s="523"/>
      <c r="NFT50" s="523"/>
      <c r="NFU50" s="523"/>
      <c r="NFV50" s="523"/>
      <c r="NFW50" s="523"/>
      <c r="NFX50" s="523"/>
      <c r="NFY50" s="523"/>
      <c r="NFZ50" s="523"/>
      <c r="NGA50" s="523"/>
      <c r="NGB50" s="523"/>
      <c r="NGC50" s="523"/>
      <c r="NGD50" s="523"/>
      <c r="NGE50" s="523"/>
      <c r="NGF50" s="523"/>
      <c r="NGG50" s="523"/>
      <c r="NGH50" s="523"/>
      <c r="NGI50" s="523"/>
      <c r="NGJ50" s="523"/>
      <c r="NGK50" s="523"/>
      <c r="NGL50" s="523"/>
      <c r="NGM50" s="523"/>
      <c r="NGN50" s="523"/>
      <c r="NGO50" s="523"/>
      <c r="NGP50" s="523"/>
      <c r="NGQ50" s="523"/>
      <c r="NGR50" s="523"/>
      <c r="NGS50" s="523"/>
      <c r="NGT50" s="523"/>
      <c r="NGU50" s="523"/>
      <c r="NGV50" s="523"/>
      <c r="NGW50" s="523"/>
      <c r="NGX50" s="523"/>
      <c r="NGY50" s="523"/>
      <c r="NGZ50" s="523"/>
      <c r="NHA50" s="523"/>
      <c r="NHB50" s="523"/>
      <c r="NHC50" s="523"/>
      <c r="NHD50" s="523"/>
      <c r="NHE50" s="523"/>
      <c r="NHF50" s="523"/>
      <c r="NHG50" s="523"/>
      <c r="NHH50" s="523"/>
      <c r="NHI50" s="523"/>
      <c r="NHJ50" s="523"/>
      <c r="NHK50" s="523"/>
      <c r="NHL50" s="523"/>
      <c r="NHM50" s="523"/>
      <c r="NHN50" s="523"/>
      <c r="NHO50" s="523"/>
      <c r="NHP50" s="523"/>
      <c r="NHQ50" s="523"/>
      <c r="NHR50" s="523"/>
      <c r="NHS50" s="523"/>
      <c r="NHT50" s="523"/>
      <c r="NHU50" s="523"/>
      <c r="NHV50" s="523"/>
      <c r="NHW50" s="523"/>
      <c r="NHX50" s="523"/>
      <c r="NHY50" s="523"/>
      <c r="NHZ50" s="523"/>
      <c r="NIA50" s="523"/>
      <c r="NIB50" s="523"/>
      <c r="NIC50" s="523"/>
      <c r="NID50" s="523"/>
      <c r="NIE50" s="523"/>
      <c r="NIF50" s="523"/>
      <c r="NIG50" s="523"/>
      <c r="NIH50" s="523"/>
      <c r="NII50" s="523"/>
      <c r="NIJ50" s="523"/>
      <c r="NIK50" s="523"/>
      <c r="NIL50" s="523"/>
      <c r="NIM50" s="523"/>
      <c r="NIN50" s="523"/>
      <c r="NIO50" s="523"/>
      <c r="NIP50" s="523"/>
      <c r="NIQ50" s="523"/>
      <c r="NIR50" s="523"/>
      <c r="NIS50" s="523"/>
      <c r="NIT50" s="523"/>
      <c r="NIU50" s="523"/>
      <c r="NIV50" s="523"/>
      <c r="NIW50" s="523"/>
      <c r="NIX50" s="523"/>
      <c r="NIY50" s="523"/>
      <c r="NIZ50" s="523"/>
      <c r="NJA50" s="523"/>
      <c r="NJB50" s="523"/>
      <c r="NJC50" s="523"/>
      <c r="NJD50" s="523"/>
      <c r="NJE50" s="523"/>
      <c r="NJF50" s="523"/>
      <c r="NJG50" s="523"/>
      <c r="NJH50" s="523"/>
      <c r="NJI50" s="523"/>
      <c r="NJJ50" s="523"/>
      <c r="NJK50" s="523"/>
      <c r="NJL50" s="523"/>
      <c r="NJM50" s="523"/>
      <c r="NJN50" s="523"/>
      <c r="NJO50" s="523"/>
      <c r="NJP50" s="523"/>
      <c r="NJQ50" s="523"/>
      <c r="NJR50" s="523"/>
      <c r="NJS50" s="523"/>
      <c r="NJT50" s="523"/>
      <c r="NJU50" s="523"/>
      <c r="NJV50" s="523"/>
      <c r="NJW50" s="523"/>
      <c r="NJX50" s="523"/>
      <c r="NJY50" s="523"/>
      <c r="NJZ50" s="523"/>
      <c r="NKA50" s="523"/>
      <c r="NKB50" s="523"/>
      <c r="NKC50" s="523"/>
      <c r="NKD50" s="523"/>
      <c r="NKE50" s="523"/>
      <c r="NKF50" s="523"/>
      <c r="NKG50" s="523"/>
      <c r="NKH50" s="523"/>
      <c r="NKI50" s="523"/>
      <c r="NKJ50" s="523"/>
      <c r="NKK50" s="523"/>
      <c r="NKL50" s="523"/>
      <c r="NKM50" s="523"/>
      <c r="NKN50" s="523"/>
      <c r="NKO50" s="523"/>
      <c r="NKP50" s="523"/>
      <c r="NKQ50" s="523"/>
      <c r="NKR50" s="523"/>
      <c r="NKS50" s="523"/>
      <c r="NKT50" s="523"/>
      <c r="NKU50" s="523"/>
      <c r="NKV50" s="523"/>
      <c r="NKW50" s="523"/>
      <c r="NKX50" s="523"/>
      <c r="NKY50" s="523"/>
      <c r="NKZ50" s="523"/>
      <c r="NLA50" s="523"/>
      <c r="NLB50" s="523"/>
      <c r="NLC50" s="523"/>
      <c r="NLD50" s="523"/>
      <c r="NLE50" s="523"/>
      <c r="NLF50" s="523"/>
      <c r="NLG50" s="523"/>
      <c r="NLH50" s="523"/>
      <c r="NLI50" s="523"/>
      <c r="NLJ50" s="523"/>
      <c r="NLK50" s="523"/>
      <c r="NLL50" s="523"/>
      <c r="NLM50" s="523"/>
      <c r="NLN50" s="523"/>
      <c r="NLO50" s="523"/>
      <c r="NLP50" s="523"/>
      <c r="NLQ50" s="523"/>
      <c r="NLR50" s="523"/>
      <c r="NLS50" s="523"/>
      <c r="NLT50" s="523"/>
      <c r="NLU50" s="523"/>
      <c r="NLV50" s="523"/>
      <c r="NLW50" s="523"/>
      <c r="NLX50" s="523"/>
      <c r="NLY50" s="523"/>
      <c r="NLZ50" s="523"/>
      <c r="NMA50" s="523"/>
      <c r="NMB50" s="523"/>
      <c r="NMC50" s="523"/>
      <c r="NMD50" s="523"/>
      <c r="NME50" s="523"/>
      <c r="NMF50" s="523"/>
      <c r="NMG50" s="523"/>
      <c r="NMH50" s="523"/>
      <c r="NMI50" s="523"/>
      <c r="NMJ50" s="523"/>
      <c r="NMK50" s="523"/>
      <c r="NML50" s="523"/>
      <c r="NMM50" s="523"/>
      <c r="NMN50" s="523"/>
      <c r="NMO50" s="523"/>
      <c r="NMP50" s="523"/>
      <c r="NMQ50" s="523"/>
      <c r="NMR50" s="523"/>
      <c r="NMS50" s="523"/>
      <c r="NMT50" s="523"/>
      <c r="NMU50" s="523"/>
      <c r="NMV50" s="523"/>
      <c r="NMW50" s="523"/>
      <c r="NMX50" s="523"/>
      <c r="NMY50" s="523"/>
      <c r="NMZ50" s="523"/>
      <c r="NNA50" s="523"/>
      <c r="NNB50" s="523"/>
      <c r="NNC50" s="523"/>
      <c r="NND50" s="523"/>
      <c r="NNE50" s="523"/>
      <c r="NNF50" s="523"/>
      <c r="NNG50" s="523"/>
      <c r="NNH50" s="523"/>
      <c r="NNI50" s="523"/>
      <c r="NNJ50" s="523"/>
      <c r="NNK50" s="523"/>
      <c r="NNL50" s="523"/>
      <c r="NNM50" s="523"/>
      <c r="NNN50" s="523"/>
      <c r="NNO50" s="523"/>
      <c r="NNP50" s="523"/>
      <c r="NNQ50" s="523"/>
      <c r="NNR50" s="523"/>
      <c r="NNS50" s="523"/>
      <c r="NNT50" s="523"/>
      <c r="NNU50" s="523"/>
      <c r="NNV50" s="523"/>
      <c r="NNW50" s="523"/>
      <c r="NNX50" s="523"/>
      <c r="NNY50" s="523"/>
      <c r="NNZ50" s="523"/>
      <c r="NOA50" s="523"/>
      <c r="NOB50" s="523"/>
      <c r="NOC50" s="523"/>
      <c r="NOD50" s="523"/>
      <c r="NOE50" s="523"/>
      <c r="NOF50" s="523"/>
      <c r="NOG50" s="523"/>
      <c r="NOH50" s="523"/>
      <c r="NOI50" s="523"/>
      <c r="NOJ50" s="523"/>
      <c r="NOK50" s="523"/>
      <c r="NOL50" s="523"/>
      <c r="NOM50" s="523"/>
      <c r="NON50" s="523"/>
      <c r="NOO50" s="523"/>
      <c r="NOP50" s="523"/>
      <c r="NOQ50" s="523"/>
      <c r="NOR50" s="523"/>
      <c r="NOS50" s="523"/>
      <c r="NOT50" s="523"/>
      <c r="NOU50" s="523"/>
      <c r="NOV50" s="523"/>
      <c r="NOW50" s="523"/>
      <c r="NOX50" s="523"/>
      <c r="NOY50" s="523"/>
      <c r="NOZ50" s="523"/>
      <c r="NPA50" s="523"/>
      <c r="NPB50" s="523"/>
      <c r="NPC50" s="523"/>
      <c r="NPD50" s="523"/>
      <c r="NPE50" s="523"/>
      <c r="NPF50" s="523"/>
      <c r="NPG50" s="523"/>
      <c r="NPH50" s="523"/>
      <c r="NPI50" s="523"/>
      <c r="NPJ50" s="523"/>
      <c r="NPK50" s="523"/>
      <c r="NPL50" s="523"/>
      <c r="NPM50" s="523"/>
      <c r="NPN50" s="523"/>
      <c r="NPO50" s="523"/>
      <c r="NPP50" s="523"/>
      <c r="NPQ50" s="523"/>
      <c r="NPR50" s="523"/>
      <c r="NPS50" s="523"/>
      <c r="NPT50" s="523"/>
      <c r="NPU50" s="523"/>
      <c r="NPV50" s="523"/>
      <c r="NPW50" s="523"/>
      <c r="NPX50" s="523"/>
      <c r="NPY50" s="523"/>
      <c r="NPZ50" s="523"/>
      <c r="NQA50" s="523"/>
      <c r="NQB50" s="523"/>
      <c r="NQC50" s="523"/>
      <c r="NQD50" s="523"/>
      <c r="NQE50" s="523"/>
      <c r="NQF50" s="523"/>
      <c r="NQG50" s="523"/>
      <c r="NQH50" s="523"/>
      <c r="NQI50" s="523"/>
      <c r="NQJ50" s="523"/>
      <c r="NQK50" s="523"/>
      <c r="NQL50" s="523"/>
      <c r="NQM50" s="523"/>
      <c r="NQN50" s="523"/>
      <c r="NQO50" s="523"/>
      <c r="NQP50" s="523"/>
      <c r="NQQ50" s="523"/>
      <c r="NQR50" s="523"/>
      <c r="NQS50" s="523"/>
      <c r="NQT50" s="523"/>
      <c r="NQU50" s="523"/>
      <c r="NQV50" s="523"/>
      <c r="NQW50" s="523"/>
      <c r="NQX50" s="523"/>
      <c r="NQY50" s="523"/>
      <c r="NQZ50" s="523"/>
      <c r="NRA50" s="523"/>
      <c r="NRB50" s="523"/>
      <c r="NRC50" s="523"/>
      <c r="NRD50" s="523"/>
      <c r="NRE50" s="523"/>
      <c r="NRF50" s="523"/>
      <c r="NRG50" s="523"/>
      <c r="NRH50" s="523"/>
      <c r="NRI50" s="523"/>
      <c r="NRJ50" s="523"/>
      <c r="NRK50" s="523"/>
      <c r="NRL50" s="523"/>
      <c r="NRM50" s="523"/>
      <c r="NRN50" s="523"/>
      <c r="NRO50" s="523"/>
      <c r="NRP50" s="523"/>
      <c r="NRQ50" s="523"/>
      <c r="NRR50" s="523"/>
      <c r="NRS50" s="523"/>
      <c r="NRT50" s="523"/>
      <c r="NRU50" s="523"/>
      <c r="NRV50" s="523"/>
      <c r="NRW50" s="523"/>
      <c r="NRX50" s="523"/>
      <c r="NRY50" s="523"/>
      <c r="NRZ50" s="523"/>
      <c r="NSA50" s="523"/>
      <c r="NSB50" s="523"/>
      <c r="NSC50" s="523"/>
      <c r="NSD50" s="523"/>
      <c r="NSE50" s="523"/>
      <c r="NSF50" s="523"/>
      <c r="NSG50" s="523"/>
      <c r="NSH50" s="523"/>
      <c r="NSI50" s="523"/>
      <c r="NSJ50" s="523"/>
      <c r="NSK50" s="523"/>
      <c r="NSL50" s="523"/>
      <c r="NSM50" s="523"/>
      <c r="NSN50" s="523"/>
      <c r="NSO50" s="523"/>
      <c r="NSP50" s="523"/>
      <c r="NSQ50" s="523"/>
      <c r="NSR50" s="523"/>
      <c r="NSS50" s="523"/>
      <c r="NST50" s="523"/>
      <c r="NSU50" s="523"/>
      <c r="NSV50" s="523"/>
      <c r="NSW50" s="523"/>
      <c r="NSX50" s="523"/>
      <c r="NSY50" s="523"/>
      <c r="NSZ50" s="523"/>
      <c r="NTA50" s="523"/>
      <c r="NTB50" s="523"/>
      <c r="NTC50" s="523"/>
      <c r="NTD50" s="523"/>
      <c r="NTE50" s="523"/>
      <c r="NTF50" s="523"/>
      <c r="NTG50" s="523"/>
      <c r="NTH50" s="523"/>
      <c r="NTI50" s="523"/>
      <c r="NTJ50" s="523"/>
      <c r="NTK50" s="523"/>
      <c r="NTL50" s="523"/>
      <c r="NTM50" s="523"/>
      <c r="NTN50" s="523"/>
      <c r="NTO50" s="523"/>
      <c r="NTP50" s="523"/>
      <c r="NTQ50" s="523"/>
      <c r="NTR50" s="523"/>
      <c r="NTS50" s="523"/>
      <c r="NTT50" s="523"/>
      <c r="NTU50" s="523"/>
      <c r="NTV50" s="523"/>
      <c r="NTW50" s="523"/>
      <c r="NTX50" s="523"/>
      <c r="NTY50" s="523"/>
      <c r="NTZ50" s="523"/>
      <c r="NUA50" s="523"/>
      <c r="NUB50" s="523"/>
      <c r="NUC50" s="523"/>
      <c r="NUD50" s="523"/>
      <c r="NUE50" s="523"/>
      <c r="NUF50" s="523"/>
      <c r="NUG50" s="523"/>
      <c r="NUH50" s="523"/>
      <c r="NUI50" s="523"/>
      <c r="NUJ50" s="523"/>
      <c r="NUK50" s="523"/>
      <c r="NUL50" s="523"/>
      <c r="NUM50" s="523"/>
      <c r="NUN50" s="523"/>
      <c r="NUO50" s="523"/>
      <c r="NUP50" s="523"/>
      <c r="NUQ50" s="523"/>
      <c r="NUR50" s="523"/>
      <c r="NUS50" s="523"/>
      <c r="NUT50" s="523"/>
      <c r="NUU50" s="523"/>
      <c r="NUV50" s="523"/>
      <c r="NUW50" s="523"/>
      <c r="NUX50" s="523"/>
      <c r="NUY50" s="523"/>
      <c r="NUZ50" s="523"/>
      <c r="NVA50" s="523"/>
      <c r="NVB50" s="523"/>
      <c r="NVC50" s="523"/>
      <c r="NVD50" s="523"/>
      <c r="NVE50" s="523"/>
      <c r="NVF50" s="523"/>
      <c r="NVG50" s="523"/>
      <c r="NVH50" s="523"/>
      <c r="NVI50" s="523"/>
      <c r="NVJ50" s="523"/>
      <c r="NVK50" s="523"/>
      <c r="NVL50" s="523"/>
      <c r="NVM50" s="523"/>
      <c r="NVN50" s="523"/>
      <c r="NVO50" s="523"/>
      <c r="NVP50" s="523"/>
      <c r="NVQ50" s="523"/>
      <c r="NVR50" s="523"/>
      <c r="NVS50" s="523"/>
      <c r="NVT50" s="523"/>
      <c r="NVU50" s="523"/>
      <c r="NVV50" s="523"/>
      <c r="NVW50" s="523"/>
      <c r="NVX50" s="523"/>
      <c r="NVY50" s="523"/>
      <c r="NVZ50" s="523"/>
      <c r="NWA50" s="523"/>
      <c r="NWB50" s="523"/>
      <c r="NWC50" s="523"/>
      <c r="NWD50" s="523"/>
      <c r="NWE50" s="523"/>
      <c r="NWF50" s="523"/>
      <c r="NWG50" s="523"/>
      <c r="NWH50" s="523"/>
      <c r="NWI50" s="523"/>
      <c r="NWJ50" s="523"/>
      <c r="NWK50" s="523"/>
      <c r="NWL50" s="523"/>
      <c r="NWM50" s="523"/>
      <c r="NWN50" s="523"/>
      <c r="NWO50" s="523"/>
      <c r="NWP50" s="523"/>
      <c r="NWQ50" s="523"/>
      <c r="NWR50" s="523"/>
      <c r="NWS50" s="523"/>
      <c r="NWT50" s="523"/>
      <c r="NWU50" s="523"/>
      <c r="NWV50" s="523"/>
      <c r="NWW50" s="523"/>
      <c r="NWX50" s="523"/>
      <c r="NWY50" s="523"/>
      <c r="NWZ50" s="523"/>
      <c r="NXA50" s="523"/>
      <c r="NXB50" s="523"/>
      <c r="NXC50" s="523"/>
      <c r="NXD50" s="523"/>
      <c r="NXE50" s="523"/>
      <c r="NXF50" s="523"/>
      <c r="NXG50" s="523"/>
      <c r="NXH50" s="523"/>
      <c r="NXI50" s="523"/>
      <c r="NXJ50" s="523"/>
      <c r="NXK50" s="523"/>
      <c r="NXL50" s="523"/>
      <c r="NXM50" s="523"/>
      <c r="NXN50" s="523"/>
      <c r="NXO50" s="523"/>
      <c r="NXP50" s="523"/>
      <c r="NXQ50" s="523"/>
      <c r="NXR50" s="523"/>
      <c r="NXS50" s="523"/>
      <c r="NXT50" s="523"/>
      <c r="NXU50" s="523"/>
      <c r="NXV50" s="523"/>
      <c r="NXW50" s="523"/>
      <c r="NXX50" s="523"/>
      <c r="NXY50" s="523"/>
      <c r="NXZ50" s="523"/>
      <c r="NYA50" s="523"/>
      <c r="NYB50" s="523"/>
      <c r="NYC50" s="523"/>
      <c r="NYD50" s="523"/>
      <c r="NYE50" s="523"/>
      <c r="NYF50" s="523"/>
      <c r="NYG50" s="523"/>
      <c r="NYH50" s="523"/>
      <c r="NYI50" s="523"/>
      <c r="NYJ50" s="523"/>
      <c r="NYK50" s="523"/>
      <c r="NYL50" s="523"/>
      <c r="NYM50" s="523"/>
      <c r="NYN50" s="523"/>
      <c r="NYO50" s="523"/>
      <c r="NYP50" s="523"/>
      <c r="NYQ50" s="523"/>
      <c r="NYR50" s="523"/>
      <c r="NYS50" s="523"/>
      <c r="NYT50" s="523"/>
      <c r="NYU50" s="523"/>
      <c r="NYV50" s="523"/>
      <c r="NYW50" s="523"/>
      <c r="NYX50" s="523"/>
      <c r="NYY50" s="523"/>
      <c r="NYZ50" s="523"/>
      <c r="NZA50" s="523"/>
      <c r="NZB50" s="523"/>
      <c r="NZC50" s="523"/>
      <c r="NZD50" s="523"/>
      <c r="NZE50" s="523"/>
      <c r="NZF50" s="523"/>
      <c r="NZG50" s="523"/>
      <c r="NZH50" s="523"/>
      <c r="NZI50" s="523"/>
      <c r="NZJ50" s="523"/>
      <c r="NZK50" s="523"/>
      <c r="NZL50" s="523"/>
      <c r="NZM50" s="523"/>
      <c r="NZN50" s="523"/>
      <c r="NZO50" s="523"/>
      <c r="NZP50" s="523"/>
      <c r="NZQ50" s="523"/>
      <c r="NZR50" s="523"/>
      <c r="NZS50" s="523"/>
      <c r="NZT50" s="523"/>
      <c r="NZU50" s="523"/>
      <c r="NZV50" s="523"/>
      <c r="NZW50" s="523"/>
      <c r="NZX50" s="523"/>
      <c r="NZY50" s="523"/>
      <c r="NZZ50" s="523"/>
      <c r="OAA50" s="523"/>
      <c r="OAB50" s="523"/>
      <c r="OAC50" s="523"/>
      <c r="OAD50" s="523"/>
      <c r="OAE50" s="523"/>
      <c r="OAF50" s="523"/>
      <c r="OAG50" s="523"/>
      <c r="OAH50" s="523"/>
      <c r="OAI50" s="523"/>
      <c r="OAJ50" s="523"/>
      <c r="OAK50" s="523"/>
      <c r="OAL50" s="523"/>
      <c r="OAM50" s="523"/>
      <c r="OAN50" s="523"/>
      <c r="OAO50" s="523"/>
      <c r="OAP50" s="523"/>
      <c r="OAQ50" s="523"/>
      <c r="OAR50" s="523"/>
      <c r="OAS50" s="523"/>
      <c r="OAT50" s="523"/>
      <c r="OAU50" s="523"/>
      <c r="OAV50" s="523"/>
      <c r="OAW50" s="523"/>
      <c r="OAX50" s="523"/>
      <c r="OAY50" s="523"/>
      <c r="OAZ50" s="523"/>
      <c r="OBA50" s="523"/>
      <c r="OBB50" s="523"/>
      <c r="OBC50" s="523"/>
      <c r="OBD50" s="523"/>
      <c r="OBE50" s="523"/>
      <c r="OBF50" s="523"/>
      <c r="OBG50" s="523"/>
      <c r="OBH50" s="523"/>
      <c r="OBI50" s="523"/>
      <c r="OBJ50" s="523"/>
      <c r="OBK50" s="523"/>
      <c r="OBL50" s="523"/>
      <c r="OBM50" s="523"/>
      <c r="OBN50" s="523"/>
      <c r="OBO50" s="523"/>
      <c r="OBP50" s="523"/>
      <c r="OBQ50" s="523"/>
      <c r="OBR50" s="523"/>
      <c r="OBS50" s="523"/>
      <c r="OBT50" s="523"/>
      <c r="OBU50" s="523"/>
      <c r="OBV50" s="523"/>
      <c r="OBW50" s="523"/>
      <c r="OBX50" s="523"/>
      <c r="OBY50" s="523"/>
      <c r="OBZ50" s="523"/>
      <c r="OCA50" s="523"/>
      <c r="OCB50" s="523"/>
      <c r="OCC50" s="523"/>
      <c r="OCD50" s="523"/>
      <c r="OCE50" s="523"/>
      <c r="OCF50" s="523"/>
      <c r="OCG50" s="523"/>
      <c r="OCH50" s="523"/>
      <c r="OCI50" s="523"/>
      <c r="OCJ50" s="523"/>
      <c r="OCK50" s="523"/>
      <c r="OCL50" s="523"/>
      <c r="OCM50" s="523"/>
      <c r="OCN50" s="523"/>
      <c r="OCO50" s="523"/>
      <c r="OCP50" s="523"/>
      <c r="OCQ50" s="523"/>
      <c r="OCR50" s="523"/>
      <c r="OCS50" s="523"/>
      <c r="OCT50" s="523"/>
      <c r="OCU50" s="523"/>
      <c r="OCV50" s="523"/>
      <c r="OCW50" s="523"/>
      <c r="OCX50" s="523"/>
      <c r="OCY50" s="523"/>
      <c r="OCZ50" s="523"/>
      <c r="ODA50" s="523"/>
      <c r="ODB50" s="523"/>
      <c r="ODC50" s="523"/>
      <c r="ODD50" s="523"/>
      <c r="ODE50" s="523"/>
      <c r="ODF50" s="523"/>
      <c r="ODG50" s="523"/>
      <c r="ODH50" s="523"/>
      <c r="ODI50" s="523"/>
      <c r="ODJ50" s="523"/>
      <c r="ODK50" s="523"/>
      <c r="ODL50" s="523"/>
      <c r="ODM50" s="523"/>
      <c r="ODN50" s="523"/>
      <c r="ODO50" s="523"/>
      <c r="ODP50" s="523"/>
      <c r="ODQ50" s="523"/>
      <c r="ODR50" s="523"/>
      <c r="ODS50" s="523"/>
      <c r="ODT50" s="523"/>
      <c r="ODU50" s="523"/>
      <c r="ODV50" s="523"/>
      <c r="ODW50" s="523"/>
      <c r="ODX50" s="523"/>
      <c r="ODY50" s="523"/>
      <c r="ODZ50" s="523"/>
      <c r="OEA50" s="523"/>
      <c r="OEB50" s="523"/>
      <c r="OEC50" s="523"/>
      <c r="OED50" s="523"/>
      <c r="OEE50" s="523"/>
      <c r="OEF50" s="523"/>
      <c r="OEG50" s="523"/>
      <c r="OEH50" s="523"/>
      <c r="OEI50" s="523"/>
      <c r="OEJ50" s="523"/>
      <c r="OEK50" s="523"/>
      <c r="OEL50" s="523"/>
      <c r="OEM50" s="523"/>
      <c r="OEN50" s="523"/>
      <c r="OEO50" s="523"/>
      <c r="OEP50" s="523"/>
      <c r="OEQ50" s="523"/>
      <c r="OER50" s="523"/>
      <c r="OES50" s="523"/>
      <c r="OET50" s="523"/>
      <c r="OEU50" s="523"/>
      <c r="OEV50" s="523"/>
      <c r="OEW50" s="523"/>
      <c r="OEX50" s="523"/>
      <c r="OEY50" s="523"/>
      <c r="OEZ50" s="523"/>
      <c r="OFA50" s="523"/>
      <c r="OFB50" s="523"/>
      <c r="OFC50" s="523"/>
      <c r="OFD50" s="523"/>
      <c r="OFE50" s="523"/>
      <c r="OFF50" s="523"/>
      <c r="OFG50" s="523"/>
      <c r="OFH50" s="523"/>
      <c r="OFI50" s="523"/>
      <c r="OFJ50" s="523"/>
      <c r="OFK50" s="523"/>
      <c r="OFL50" s="523"/>
      <c r="OFM50" s="523"/>
      <c r="OFN50" s="523"/>
      <c r="OFO50" s="523"/>
      <c r="OFP50" s="523"/>
      <c r="OFQ50" s="523"/>
      <c r="OFR50" s="523"/>
      <c r="OFS50" s="523"/>
      <c r="OFT50" s="523"/>
      <c r="OFU50" s="523"/>
      <c r="OFV50" s="523"/>
      <c r="OFW50" s="523"/>
      <c r="OFX50" s="523"/>
      <c r="OFY50" s="523"/>
      <c r="OFZ50" s="523"/>
      <c r="OGA50" s="523"/>
      <c r="OGB50" s="523"/>
      <c r="OGC50" s="523"/>
      <c r="OGD50" s="523"/>
      <c r="OGE50" s="523"/>
      <c r="OGF50" s="523"/>
      <c r="OGG50" s="523"/>
      <c r="OGH50" s="523"/>
      <c r="OGI50" s="523"/>
      <c r="OGJ50" s="523"/>
      <c r="OGK50" s="523"/>
      <c r="OGL50" s="523"/>
      <c r="OGM50" s="523"/>
      <c r="OGN50" s="523"/>
      <c r="OGO50" s="523"/>
      <c r="OGP50" s="523"/>
      <c r="OGQ50" s="523"/>
      <c r="OGR50" s="523"/>
      <c r="OGS50" s="523"/>
      <c r="OGT50" s="523"/>
      <c r="OGU50" s="523"/>
      <c r="OGV50" s="523"/>
      <c r="OGW50" s="523"/>
      <c r="OGX50" s="523"/>
      <c r="OGY50" s="523"/>
      <c r="OGZ50" s="523"/>
      <c r="OHA50" s="523"/>
      <c r="OHB50" s="523"/>
      <c r="OHC50" s="523"/>
      <c r="OHD50" s="523"/>
      <c r="OHE50" s="523"/>
      <c r="OHF50" s="523"/>
      <c r="OHG50" s="523"/>
      <c r="OHH50" s="523"/>
      <c r="OHI50" s="523"/>
      <c r="OHJ50" s="523"/>
      <c r="OHK50" s="523"/>
      <c r="OHL50" s="523"/>
      <c r="OHM50" s="523"/>
      <c r="OHN50" s="523"/>
      <c r="OHO50" s="523"/>
      <c r="OHP50" s="523"/>
      <c r="OHQ50" s="523"/>
      <c r="OHR50" s="523"/>
      <c r="OHS50" s="523"/>
      <c r="OHT50" s="523"/>
      <c r="OHU50" s="523"/>
      <c r="OHV50" s="523"/>
      <c r="OHW50" s="523"/>
      <c r="OHX50" s="523"/>
      <c r="OHY50" s="523"/>
      <c r="OHZ50" s="523"/>
      <c r="OIA50" s="523"/>
      <c r="OIB50" s="523"/>
      <c r="OIC50" s="523"/>
      <c r="OID50" s="523"/>
      <c r="OIE50" s="523"/>
      <c r="OIF50" s="523"/>
      <c r="OIG50" s="523"/>
      <c r="OIH50" s="523"/>
      <c r="OII50" s="523"/>
      <c r="OIJ50" s="523"/>
      <c r="OIK50" s="523"/>
      <c r="OIL50" s="523"/>
      <c r="OIM50" s="523"/>
      <c r="OIN50" s="523"/>
      <c r="OIO50" s="523"/>
      <c r="OIP50" s="523"/>
      <c r="OIQ50" s="523"/>
      <c r="OIR50" s="523"/>
      <c r="OIS50" s="523"/>
      <c r="OIT50" s="523"/>
      <c r="OIU50" s="523"/>
      <c r="OIV50" s="523"/>
      <c r="OIW50" s="523"/>
      <c r="OIX50" s="523"/>
      <c r="OIY50" s="523"/>
      <c r="OIZ50" s="523"/>
      <c r="OJA50" s="523"/>
      <c r="OJB50" s="523"/>
      <c r="OJC50" s="523"/>
      <c r="OJD50" s="523"/>
      <c r="OJE50" s="523"/>
      <c r="OJF50" s="523"/>
      <c r="OJG50" s="523"/>
      <c r="OJH50" s="523"/>
      <c r="OJI50" s="523"/>
      <c r="OJJ50" s="523"/>
      <c r="OJK50" s="523"/>
      <c r="OJL50" s="523"/>
      <c r="OJM50" s="523"/>
      <c r="OJN50" s="523"/>
      <c r="OJO50" s="523"/>
      <c r="OJP50" s="523"/>
      <c r="OJQ50" s="523"/>
      <c r="OJR50" s="523"/>
      <c r="OJS50" s="523"/>
      <c r="OJT50" s="523"/>
      <c r="OJU50" s="523"/>
      <c r="OJV50" s="523"/>
      <c r="OJW50" s="523"/>
      <c r="OJX50" s="523"/>
      <c r="OJY50" s="523"/>
      <c r="OJZ50" s="523"/>
      <c r="OKA50" s="523"/>
      <c r="OKB50" s="523"/>
      <c r="OKC50" s="523"/>
      <c r="OKD50" s="523"/>
      <c r="OKE50" s="523"/>
      <c r="OKF50" s="523"/>
      <c r="OKG50" s="523"/>
      <c r="OKH50" s="523"/>
      <c r="OKI50" s="523"/>
      <c r="OKJ50" s="523"/>
      <c r="OKK50" s="523"/>
      <c r="OKL50" s="523"/>
      <c r="OKM50" s="523"/>
      <c r="OKN50" s="523"/>
      <c r="OKO50" s="523"/>
      <c r="OKP50" s="523"/>
      <c r="OKQ50" s="523"/>
      <c r="OKR50" s="523"/>
      <c r="OKS50" s="523"/>
      <c r="OKT50" s="523"/>
      <c r="OKU50" s="523"/>
      <c r="OKV50" s="523"/>
      <c r="OKW50" s="523"/>
      <c r="OKX50" s="523"/>
      <c r="OKY50" s="523"/>
      <c r="OKZ50" s="523"/>
      <c r="OLA50" s="523"/>
      <c r="OLB50" s="523"/>
      <c r="OLC50" s="523"/>
      <c r="OLD50" s="523"/>
      <c r="OLE50" s="523"/>
      <c r="OLF50" s="523"/>
      <c r="OLG50" s="523"/>
      <c r="OLH50" s="523"/>
      <c r="OLI50" s="523"/>
      <c r="OLJ50" s="523"/>
      <c r="OLK50" s="523"/>
      <c r="OLL50" s="523"/>
      <c r="OLM50" s="523"/>
      <c r="OLN50" s="523"/>
      <c r="OLO50" s="523"/>
      <c r="OLP50" s="523"/>
      <c r="OLQ50" s="523"/>
      <c r="OLR50" s="523"/>
      <c r="OLS50" s="523"/>
      <c r="OLT50" s="523"/>
      <c r="OLU50" s="523"/>
      <c r="OLV50" s="523"/>
      <c r="OLW50" s="523"/>
      <c r="OLX50" s="523"/>
      <c r="OLY50" s="523"/>
      <c r="OLZ50" s="523"/>
      <c r="OMA50" s="523"/>
      <c r="OMB50" s="523"/>
      <c r="OMC50" s="523"/>
      <c r="OMD50" s="523"/>
      <c r="OME50" s="523"/>
      <c r="OMF50" s="523"/>
      <c r="OMG50" s="523"/>
      <c r="OMH50" s="523"/>
      <c r="OMI50" s="523"/>
      <c r="OMJ50" s="523"/>
      <c r="OMK50" s="523"/>
      <c r="OML50" s="523"/>
      <c r="OMM50" s="523"/>
      <c r="OMN50" s="523"/>
      <c r="OMO50" s="523"/>
      <c r="OMP50" s="523"/>
      <c r="OMQ50" s="523"/>
      <c r="OMR50" s="523"/>
      <c r="OMS50" s="523"/>
      <c r="OMT50" s="523"/>
      <c r="OMU50" s="523"/>
      <c r="OMV50" s="523"/>
      <c r="OMW50" s="523"/>
      <c r="OMX50" s="523"/>
      <c r="OMY50" s="523"/>
      <c r="OMZ50" s="523"/>
      <c r="ONA50" s="523"/>
      <c r="ONB50" s="523"/>
      <c r="ONC50" s="523"/>
      <c r="OND50" s="523"/>
      <c r="ONE50" s="523"/>
      <c r="ONF50" s="523"/>
      <c r="ONG50" s="523"/>
      <c r="ONH50" s="523"/>
      <c r="ONI50" s="523"/>
      <c r="ONJ50" s="523"/>
      <c r="ONK50" s="523"/>
      <c r="ONL50" s="523"/>
      <c r="ONM50" s="523"/>
      <c r="ONN50" s="523"/>
      <c r="ONO50" s="523"/>
      <c r="ONP50" s="523"/>
      <c r="ONQ50" s="523"/>
      <c r="ONR50" s="523"/>
      <c r="ONS50" s="523"/>
      <c r="ONT50" s="523"/>
      <c r="ONU50" s="523"/>
      <c r="ONV50" s="523"/>
      <c r="ONW50" s="523"/>
      <c r="ONX50" s="523"/>
      <c r="ONY50" s="523"/>
      <c r="ONZ50" s="523"/>
      <c r="OOA50" s="523"/>
      <c r="OOB50" s="523"/>
      <c r="OOC50" s="523"/>
      <c r="OOD50" s="523"/>
      <c r="OOE50" s="523"/>
      <c r="OOF50" s="523"/>
      <c r="OOG50" s="523"/>
      <c r="OOH50" s="523"/>
      <c r="OOI50" s="523"/>
      <c r="OOJ50" s="523"/>
      <c r="OOK50" s="523"/>
      <c r="OOL50" s="523"/>
      <c r="OOM50" s="523"/>
      <c r="OON50" s="523"/>
      <c r="OOO50" s="523"/>
      <c r="OOP50" s="523"/>
      <c r="OOQ50" s="523"/>
      <c r="OOR50" s="523"/>
      <c r="OOS50" s="523"/>
      <c r="OOT50" s="523"/>
      <c r="OOU50" s="523"/>
      <c r="OOV50" s="523"/>
      <c r="OOW50" s="523"/>
      <c r="OOX50" s="523"/>
      <c r="OOY50" s="523"/>
      <c r="OOZ50" s="523"/>
      <c r="OPA50" s="523"/>
      <c r="OPB50" s="523"/>
      <c r="OPC50" s="523"/>
      <c r="OPD50" s="523"/>
      <c r="OPE50" s="523"/>
      <c r="OPF50" s="523"/>
      <c r="OPG50" s="523"/>
      <c r="OPH50" s="523"/>
      <c r="OPI50" s="523"/>
      <c r="OPJ50" s="523"/>
      <c r="OPK50" s="523"/>
      <c r="OPL50" s="523"/>
      <c r="OPM50" s="523"/>
      <c r="OPN50" s="523"/>
      <c r="OPO50" s="523"/>
      <c r="OPP50" s="523"/>
      <c r="OPQ50" s="523"/>
      <c r="OPR50" s="523"/>
      <c r="OPS50" s="523"/>
      <c r="OPT50" s="523"/>
      <c r="OPU50" s="523"/>
      <c r="OPV50" s="523"/>
      <c r="OPW50" s="523"/>
      <c r="OPX50" s="523"/>
      <c r="OPY50" s="523"/>
      <c r="OPZ50" s="523"/>
      <c r="OQA50" s="523"/>
      <c r="OQB50" s="523"/>
      <c r="OQC50" s="523"/>
      <c r="OQD50" s="523"/>
      <c r="OQE50" s="523"/>
      <c r="OQF50" s="523"/>
      <c r="OQG50" s="523"/>
      <c r="OQH50" s="523"/>
      <c r="OQI50" s="523"/>
      <c r="OQJ50" s="523"/>
      <c r="OQK50" s="523"/>
      <c r="OQL50" s="523"/>
      <c r="OQM50" s="523"/>
      <c r="OQN50" s="523"/>
      <c r="OQO50" s="523"/>
      <c r="OQP50" s="523"/>
      <c r="OQQ50" s="523"/>
      <c r="OQR50" s="523"/>
      <c r="OQS50" s="523"/>
      <c r="OQT50" s="523"/>
      <c r="OQU50" s="523"/>
      <c r="OQV50" s="523"/>
      <c r="OQW50" s="523"/>
      <c r="OQX50" s="523"/>
      <c r="OQY50" s="523"/>
      <c r="OQZ50" s="523"/>
      <c r="ORA50" s="523"/>
      <c r="ORB50" s="523"/>
      <c r="ORC50" s="523"/>
      <c r="ORD50" s="523"/>
      <c r="ORE50" s="523"/>
      <c r="ORF50" s="523"/>
      <c r="ORG50" s="523"/>
      <c r="ORH50" s="523"/>
      <c r="ORI50" s="523"/>
      <c r="ORJ50" s="523"/>
      <c r="ORK50" s="523"/>
      <c r="ORL50" s="523"/>
      <c r="ORM50" s="523"/>
      <c r="ORN50" s="523"/>
      <c r="ORO50" s="523"/>
      <c r="ORP50" s="523"/>
      <c r="ORQ50" s="523"/>
      <c r="ORR50" s="523"/>
      <c r="ORS50" s="523"/>
      <c r="ORT50" s="523"/>
      <c r="ORU50" s="523"/>
      <c r="ORV50" s="523"/>
      <c r="ORW50" s="523"/>
      <c r="ORX50" s="523"/>
      <c r="ORY50" s="523"/>
      <c r="ORZ50" s="523"/>
      <c r="OSA50" s="523"/>
      <c r="OSB50" s="523"/>
      <c r="OSC50" s="523"/>
      <c r="OSD50" s="523"/>
      <c r="OSE50" s="523"/>
      <c r="OSF50" s="523"/>
      <c r="OSG50" s="523"/>
      <c r="OSH50" s="523"/>
      <c r="OSI50" s="523"/>
      <c r="OSJ50" s="523"/>
      <c r="OSK50" s="523"/>
      <c r="OSL50" s="523"/>
      <c r="OSM50" s="523"/>
      <c r="OSN50" s="523"/>
      <c r="OSO50" s="523"/>
      <c r="OSP50" s="523"/>
      <c r="OSQ50" s="523"/>
      <c r="OSR50" s="523"/>
      <c r="OSS50" s="523"/>
      <c r="OST50" s="523"/>
      <c r="OSU50" s="523"/>
      <c r="OSV50" s="523"/>
      <c r="OSW50" s="523"/>
      <c r="OSX50" s="523"/>
      <c r="OSY50" s="523"/>
      <c r="OSZ50" s="523"/>
      <c r="OTA50" s="523"/>
      <c r="OTB50" s="523"/>
      <c r="OTC50" s="523"/>
      <c r="OTD50" s="523"/>
      <c r="OTE50" s="523"/>
      <c r="OTF50" s="523"/>
      <c r="OTG50" s="523"/>
      <c r="OTH50" s="523"/>
      <c r="OTI50" s="523"/>
      <c r="OTJ50" s="523"/>
      <c r="OTK50" s="523"/>
      <c r="OTL50" s="523"/>
      <c r="OTM50" s="523"/>
      <c r="OTN50" s="523"/>
      <c r="OTO50" s="523"/>
      <c r="OTP50" s="523"/>
      <c r="OTQ50" s="523"/>
      <c r="OTR50" s="523"/>
      <c r="OTS50" s="523"/>
      <c r="OTT50" s="523"/>
      <c r="OTU50" s="523"/>
      <c r="OTV50" s="523"/>
      <c r="OTW50" s="523"/>
      <c r="OTX50" s="523"/>
      <c r="OTY50" s="523"/>
      <c r="OTZ50" s="523"/>
      <c r="OUA50" s="523"/>
      <c r="OUB50" s="523"/>
      <c r="OUC50" s="523"/>
      <c r="OUD50" s="523"/>
      <c r="OUE50" s="523"/>
      <c r="OUF50" s="523"/>
      <c r="OUG50" s="523"/>
      <c r="OUH50" s="523"/>
      <c r="OUI50" s="523"/>
      <c r="OUJ50" s="523"/>
      <c r="OUK50" s="523"/>
      <c r="OUL50" s="523"/>
      <c r="OUM50" s="523"/>
      <c r="OUN50" s="523"/>
      <c r="OUO50" s="523"/>
      <c r="OUP50" s="523"/>
      <c r="OUQ50" s="523"/>
      <c r="OUR50" s="523"/>
      <c r="OUS50" s="523"/>
      <c r="OUT50" s="523"/>
      <c r="OUU50" s="523"/>
      <c r="OUV50" s="523"/>
      <c r="OUW50" s="523"/>
      <c r="OUX50" s="523"/>
      <c r="OUY50" s="523"/>
      <c r="OUZ50" s="523"/>
      <c r="OVA50" s="523"/>
      <c r="OVB50" s="523"/>
      <c r="OVC50" s="523"/>
      <c r="OVD50" s="523"/>
      <c r="OVE50" s="523"/>
      <c r="OVF50" s="523"/>
      <c r="OVG50" s="523"/>
      <c r="OVH50" s="523"/>
      <c r="OVI50" s="523"/>
      <c r="OVJ50" s="523"/>
      <c r="OVK50" s="523"/>
      <c r="OVL50" s="523"/>
      <c r="OVM50" s="523"/>
      <c r="OVN50" s="523"/>
      <c r="OVO50" s="523"/>
      <c r="OVP50" s="523"/>
      <c r="OVQ50" s="523"/>
      <c r="OVR50" s="523"/>
      <c r="OVS50" s="523"/>
      <c r="OVT50" s="523"/>
      <c r="OVU50" s="523"/>
      <c r="OVV50" s="523"/>
      <c r="OVW50" s="523"/>
      <c r="OVX50" s="523"/>
      <c r="OVY50" s="523"/>
      <c r="OVZ50" s="523"/>
      <c r="OWA50" s="523"/>
      <c r="OWB50" s="523"/>
      <c r="OWC50" s="523"/>
      <c r="OWD50" s="523"/>
      <c r="OWE50" s="523"/>
      <c r="OWF50" s="523"/>
      <c r="OWG50" s="523"/>
      <c r="OWH50" s="523"/>
      <c r="OWI50" s="523"/>
      <c r="OWJ50" s="523"/>
      <c r="OWK50" s="523"/>
      <c r="OWL50" s="523"/>
      <c r="OWM50" s="523"/>
      <c r="OWN50" s="523"/>
      <c r="OWO50" s="523"/>
      <c r="OWP50" s="523"/>
      <c r="OWQ50" s="523"/>
      <c r="OWR50" s="523"/>
      <c r="OWS50" s="523"/>
      <c r="OWT50" s="523"/>
      <c r="OWU50" s="523"/>
      <c r="OWV50" s="523"/>
      <c r="OWW50" s="523"/>
      <c r="OWX50" s="523"/>
      <c r="OWY50" s="523"/>
      <c r="OWZ50" s="523"/>
      <c r="OXA50" s="523"/>
      <c r="OXB50" s="523"/>
      <c r="OXC50" s="523"/>
      <c r="OXD50" s="523"/>
      <c r="OXE50" s="523"/>
      <c r="OXF50" s="523"/>
      <c r="OXG50" s="523"/>
      <c r="OXH50" s="523"/>
      <c r="OXI50" s="523"/>
      <c r="OXJ50" s="523"/>
      <c r="OXK50" s="523"/>
      <c r="OXL50" s="523"/>
      <c r="OXM50" s="523"/>
      <c r="OXN50" s="523"/>
      <c r="OXO50" s="523"/>
      <c r="OXP50" s="523"/>
      <c r="OXQ50" s="523"/>
      <c r="OXR50" s="523"/>
      <c r="OXS50" s="523"/>
      <c r="OXT50" s="523"/>
      <c r="OXU50" s="523"/>
      <c r="OXV50" s="523"/>
      <c r="OXW50" s="523"/>
      <c r="OXX50" s="523"/>
      <c r="OXY50" s="523"/>
      <c r="OXZ50" s="523"/>
      <c r="OYA50" s="523"/>
      <c r="OYB50" s="523"/>
      <c r="OYC50" s="523"/>
      <c r="OYD50" s="523"/>
      <c r="OYE50" s="523"/>
      <c r="OYF50" s="523"/>
      <c r="OYG50" s="523"/>
      <c r="OYH50" s="523"/>
      <c r="OYI50" s="523"/>
      <c r="OYJ50" s="523"/>
      <c r="OYK50" s="523"/>
      <c r="OYL50" s="523"/>
      <c r="OYM50" s="523"/>
      <c r="OYN50" s="523"/>
      <c r="OYO50" s="523"/>
      <c r="OYP50" s="523"/>
      <c r="OYQ50" s="523"/>
      <c r="OYR50" s="523"/>
      <c r="OYS50" s="523"/>
      <c r="OYT50" s="523"/>
      <c r="OYU50" s="523"/>
      <c r="OYV50" s="523"/>
      <c r="OYW50" s="523"/>
      <c r="OYX50" s="523"/>
      <c r="OYY50" s="523"/>
      <c r="OYZ50" s="523"/>
      <c r="OZA50" s="523"/>
      <c r="OZB50" s="523"/>
      <c r="OZC50" s="523"/>
      <c r="OZD50" s="523"/>
      <c r="OZE50" s="523"/>
      <c r="OZF50" s="523"/>
      <c r="OZG50" s="523"/>
      <c r="OZH50" s="523"/>
      <c r="OZI50" s="523"/>
      <c r="OZJ50" s="523"/>
      <c r="OZK50" s="523"/>
      <c r="OZL50" s="523"/>
      <c r="OZM50" s="523"/>
      <c r="OZN50" s="523"/>
      <c r="OZO50" s="523"/>
      <c r="OZP50" s="523"/>
      <c r="OZQ50" s="523"/>
      <c r="OZR50" s="523"/>
      <c r="OZS50" s="523"/>
      <c r="OZT50" s="523"/>
      <c r="OZU50" s="523"/>
      <c r="OZV50" s="523"/>
      <c r="OZW50" s="523"/>
      <c r="OZX50" s="523"/>
      <c r="OZY50" s="523"/>
      <c r="OZZ50" s="523"/>
      <c r="PAA50" s="523"/>
      <c r="PAB50" s="523"/>
      <c r="PAC50" s="523"/>
      <c r="PAD50" s="523"/>
      <c r="PAE50" s="523"/>
      <c r="PAF50" s="523"/>
      <c r="PAG50" s="523"/>
      <c r="PAH50" s="523"/>
      <c r="PAI50" s="523"/>
      <c r="PAJ50" s="523"/>
      <c r="PAK50" s="523"/>
      <c r="PAL50" s="523"/>
      <c r="PAM50" s="523"/>
      <c r="PAN50" s="523"/>
      <c r="PAO50" s="523"/>
      <c r="PAP50" s="523"/>
      <c r="PAQ50" s="523"/>
      <c r="PAR50" s="523"/>
      <c r="PAS50" s="523"/>
      <c r="PAT50" s="523"/>
      <c r="PAU50" s="523"/>
      <c r="PAV50" s="523"/>
      <c r="PAW50" s="523"/>
      <c r="PAX50" s="523"/>
      <c r="PAY50" s="523"/>
      <c r="PAZ50" s="523"/>
      <c r="PBA50" s="523"/>
      <c r="PBB50" s="523"/>
      <c r="PBC50" s="523"/>
      <c r="PBD50" s="523"/>
      <c r="PBE50" s="523"/>
      <c r="PBF50" s="523"/>
      <c r="PBG50" s="523"/>
      <c r="PBH50" s="523"/>
      <c r="PBI50" s="523"/>
      <c r="PBJ50" s="523"/>
      <c r="PBK50" s="523"/>
      <c r="PBL50" s="523"/>
      <c r="PBM50" s="523"/>
      <c r="PBN50" s="523"/>
      <c r="PBO50" s="523"/>
      <c r="PBP50" s="523"/>
      <c r="PBQ50" s="523"/>
      <c r="PBR50" s="523"/>
      <c r="PBS50" s="523"/>
      <c r="PBT50" s="523"/>
      <c r="PBU50" s="523"/>
      <c r="PBV50" s="523"/>
      <c r="PBW50" s="523"/>
      <c r="PBX50" s="523"/>
      <c r="PBY50" s="523"/>
      <c r="PBZ50" s="523"/>
      <c r="PCA50" s="523"/>
      <c r="PCB50" s="523"/>
      <c r="PCC50" s="523"/>
      <c r="PCD50" s="523"/>
      <c r="PCE50" s="523"/>
      <c r="PCF50" s="523"/>
      <c r="PCG50" s="523"/>
      <c r="PCH50" s="523"/>
      <c r="PCI50" s="523"/>
      <c r="PCJ50" s="523"/>
      <c r="PCK50" s="523"/>
      <c r="PCL50" s="523"/>
      <c r="PCM50" s="523"/>
      <c r="PCN50" s="523"/>
      <c r="PCO50" s="523"/>
      <c r="PCP50" s="523"/>
      <c r="PCQ50" s="523"/>
      <c r="PCR50" s="523"/>
      <c r="PCS50" s="523"/>
      <c r="PCT50" s="523"/>
      <c r="PCU50" s="523"/>
      <c r="PCV50" s="523"/>
      <c r="PCW50" s="523"/>
      <c r="PCX50" s="523"/>
      <c r="PCY50" s="523"/>
      <c r="PCZ50" s="523"/>
      <c r="PDA50" s="523"/>
      <c r="PDB50" s="523"/>
      <c r="PDC50" s="523"/>
      <c r="PDD50" s="523"/>
      <c r="PDE50" s="523"/>
      <c r="PDF50" s="523"/>
      <c r="PDG50" s="523"/>
      <c r="PDH50" s="523"/>
      <c r="PDI50" s="523"/>
      <c r="PDJ50" s="523"/>
      <c r="PDK50" s="523"/>
      <c r="PDL50" s="523"/>
      <c r="PDM50" s="523"/>
      <c r="PDN50" s="523"/>
      <c r="PDO50" s="523"/>
      <c r="PDP50" s="523"/>
      <c r="PDQ50" s="523"/>
      <c r="PDR50" s="523"/>
      <c r="PDS50" s="523"/>
      <c r="PDT50" s="523"/>
      <c r="PDU50" s="523"/>
      <c r="PDV50" s="523"/>
      <c r="PDW50" s="523"/>
      <c r="PDX50" s="523"/>
      <c r="PDY50" s="523"/>
      <c r="PDZ50" s="523"/>
      <c r="PEA50" s="523"/>
      <c r="PEB50" s="523"/>
      <c r="PEC50" s="523"/>
      <c r="PED50" s="523"/>
      <c r="PEE50" s="523"/>
      <c r="PEF50" s="523"/>
      <c r="PEG50" s="523"/>
      <c r="PEH50" s="523"/>
      <c r="PEI50" s="523"/>
      <c r="PEJ50" s="523"/>
      <c r="PEK50" s="523"/>
      <c r="PEL50" s="523"/>
      <c r="PEM50" s="523"/>
      <c r="PEN50" s="523"/>
      <c r="PEO50" s="523"/>
      <c r="PEP50" s="523"/>
      <c r="PEQ50" s="523"/>
      <c r="PER50" s="523"/>
      <c r="PES50" s="523"/>
      <c r="PET50" s="523"/>
      <c r="PEU50" s="523"/>
      <c r="PEV50" s="523"/>
      <c r="PEW50" s="523"/>
      <c r="PEX50" s="523"/>
      <c r="PEY50" s="523"/>
      <c r="PEZ50" s="523"/>
      <c r="PFA50" s="523"/>
      <c r="PFB50" s="523"/>
      <c r="PFC50" s="523"/>
      <c r="PFD50" s="523"/>
      <c r="PFE50" s="523"/>
      <c r="PFF50" s="523"/>
      <c r="PFG50" s="523"/>
      <c r="PFH50" s="523"/>
      <c r="PFI50" s="523"/>
      <c r="PFJ50" s="523"/>
      <c r="PFK50" s="523"/>
      <c r="PFL50" s="523"/>
      <c r="PFM50" s="523"/>
      <c r="PFN50" s="523"/>
      <c r="PFO50" s="523"/>
      <c r="PFP50" s="523"/>
      <c r="PFQ50" s="523"/>
      <c r="PFR50" s="523"/>
      <c r="PFS50" s="523"/>
      <c r="PFT50" s="523"/>
      <c r="PFU50" s="523"/>
      <c r="PFV50" s="523"/>
      <c r="PFW50" s="523"/>
      <c r="PFX50" s="523"/>
      <c r="PFY50" s="523"/>
      <c r="PFZ50" s="523"/>
      <c r="PGA50" s="523"/>
      <c r="PGB50" s="523"/>
      <c r="PGC50" s="523"/>
      <c r="PGD50" s="523"/>
      <c r="PGE50" s="523"/>
      <c r="PGF50" s="523"/>
      <c r="PGG50" s="523"/>
      <c r="PGH50" s="523"/>
      <c r="PGI50" s="523"/>
      <c r="PGJ50" s="523"/>
      <c r="PGK50" s="523"/>
      <c r="PGL50" s="523"/>
      <c r="PGM50" s="523"/>
      <c r="PGN50" s="523"/>
      <c r="PGO50" s="523"/>
      <c r="PGP50" s="523"/>
      <c r="PGQ50" s="523"/>
      <c r="PGR50" s="523"/>
      <c r="PGS50" s="523"/>
      <c r="PGT50" s="523"/>
      <c r="PGU50" s="523"/>
      <c r="PGV50" s="523"/>
      <c r="PGW50" s="523"/>
      <c r="PGX50" s="523"/>
      <c r="PGY50" s="523"/>
      <c r="PGZ50" s="523"/>
      <c r="PHA50" s="523"/>
      <c r="PHB50" s="523"/>
      <c r="PHC50" s="523"/>
      <c r="PHD50" s="523"/>
      <c r="PHE50" s="523"/>
      <c r="PHF50" s="523"/>
      <c r="PHG50" s="523"/>
      <c r="PHH50" s="523"/>
      <c r="PHI50" s="523"/>
      <c r="PHJ50" s="523"/>
      <c r="PHK50" s="523"/>
      <c r="PHL50" s="523"/>
      <c r="PHM50" s="523"/>
      <c r="PHN50" s="523"/>
      <c r="PHO50" s="523"/>
      <c r="PHP50" s="523"/>
      <c r="PHQ50" s="523"/>
      <c r="PHR50" s="523"/>
      <c r="PHS50" s="523"/>
      <c r="PHT50" s="523"/>
      <c r="PHU50" s="523"/>
      <c r="PHV50" s="523"/>
      <c r="PHW50" s="523"/>
      <c r="PHX50" s="523"/>
      <c r="PHY50" s="523"/>
      <c r="PHZ50" s="523"/>
      <c r="PIA50" s="523"/>
      <c r="PIB50" s="523"/>
      <c r="PIC50" s="523"/>
      <c r="PID50" s="523"/>
      <c r="PIE50" s="523"/>
      <c r="PIF50" s="523"/>
      <c r="PIG50" s="523"/>
      <c r="PIH50" s="523"/>
      <c r="PII50" s="523"/>
      <c r="PIJ50" s="523"/>
      <c r="PIK50" s="523"/>
      <c r="PIL50" s="523"/>
      <c r="PIM50" s="523"/>
      <c r="PIN50" s="523"/>
      <c r="PIO50" s="523"/>
      <c r="PIP50" s="523"/>
      <c r="PIQ50" s="523"/>
      <c r="PIR50" s="523"/>
      <c r="PIS50" s="523"/>
      <c r="PIT50" s="523"/>
      <c r="PIU50" s="523"/>
      <c r="PIV50" s="523"/>
      <c r="PIW50" s="523"/>
      <c r="PIX50" s="523"/>
      <c r="PIY50" s="523"/>
      <c r="PIZ50" s="523"/>
      <c r="PJA50" s="523"/>
      <c r="PJB50" s="523"/>
      <c r="PJC50" s="523"/>
      <c r="PJD50" s="523"/>
      <c r="PJE50" s="523"/>
      <c r="PJF50" s="523"/>
      <c r="PJG50" s="523"/>
      <c r="PJH50" s="523"/>
      <c r="PJI50" s="523"/>
      <c r="PJJ50" s="523"/>
      <c r="PJK50" s="523"/>
      <c r="PJL50" s="523"/>
      <c r="PJM50" s="523"/>
      <c r="PJN50" s="523"/>
      <c r="PJO50" s="523"/>
      <c r="PJP50" s="523"/>
      <c r="PJQ50" s="523"/>
      <c r="PJR50" s="523"/>
      <c r="PJS50" s="523"/>
      <c r="PJT50" s="523"/>
      <c r="PJU50" s="523"/>
      <c r="PJV50" s="523"/>
      <c r="PJW50" s="523"/>
      <c r="PJX50" s="523"/>
      <c r="PJY50" s="523"/>
      <c r="PJZ50" s="523"/>
      <c r="PKA50" s="523"/>
      <c r="PKB50" s="523"/>
      <c r="PKC50" s="523"/>
      <c r="PKD50" s="523"/>
      <c r="PKE50" s="523"/>
      <c r="PKF50" s="523"/>
      <c r="PKG50" s="523"/>
      <c r="PKH50" s="523"/>
      <c r="PKI50" s="523"/>
      <c r="PKJ50" s="523"/>
      <c r="PKK50" s="523"/>
      <c r="PKL50" s="523"/>
      <c r="PKM50" s="523"/>
      <c r="PKN50" s="523"/>
      <c r="PKO50" s="523"/>
      <c r="PKP50" s="523"/>
      <c r="PKQ50" s="523"/>
      <c r="PKR50" s="523"/>
      <c r="PKS50" s="523"/>
      <c r="PKT50" s="523"/>
      <c r="PKU50" s="523"/>
      <c r="PKV50" s="523"/>
      <c r="PKW50" s="523"/>
      <c r="PKX50" s="523"/>
      <c r="PKY50" s="523"/>
      <c r="PKZ50" s="523"/>
      <c r="PLA50" s="523"/>
      <c r="PLB50" s="523"/>
      <c r="PLC50" s="523"/>
      <c r="PLD50" s="523"/>
      <c r="PLE50" s="523"/>
      <c r="PLF50" s="523"/>
      <c r="PLG50" s="523"/>
      <c r="PLH50" s="523"/>
      <c r="PLI50" s="523"/>
      <c r="PLJ50" s="523"/>
      <c r="PLK50" s="523"/>
      <c r="PLL50" s="523"/>
      <c r="PLM50" s="523"/>
      <c r="PLN50" s="523"/>
      <c r="PLO50" s="523"/>
      <c r="PLP50" s="523"/>
      <c r="PLQ50" s="523"/>
      <c r="PLR50" s="523"/>
      <c r="PLS50" s="523"/>
      <c r="PLT50" s="523"/>
      <c r="PLU50" s="523"/>
      <c r="PLV50" s="523"/>
      <c r="PLW50" s="523"/>
      <c r="PLX50" s="523"/>
      <c r="PLY50" s="523"/>
      <c r="PLZ50" s="523"/>
      <c r="PMA50" s="523"/>
      <c r="PMB50" s="523"/>
      <c r="PMC50" s="523"/>
      <c r="PMD50" s="523"/>
      <c r="PME50" s="523"/>
      <c r="PMF50" s="523"/>
      <c r="PMG50" s="523"/>
      <c r="PMH50" s="523"/>
      <c r="PMI50" s="523"/>
      <c r="PMJ50" s="523"/>
      <c r="PMK50" s="523"/>
      <c r="PML50" s="523"/>
      <c r="PMM50" s="523"/>
      <c r="PMN50" s="523"/>
      <c r="PMO50" s="523"/>
      <c r="PMP50" s="523"/>
      <c r="PMQ50" s="523"/>
      <c r="PMR50" s="523"/>
      <c r="PMS50" s="523"/>
      <c r="PMT50" s="523"/>
      <c r="PMU50" s="523"/>
      <c r="PMV50" s="523"/>
      <c r="PMW50" s="523"/>
      <c r="PMX50" s="523"/>
      <c r="PMY50" s="523"/>
      <c r="PMZ50" s="523"/>
      <c r="PNA50" s="523"/>
      <c r="PNB50" s="523"/>
      <c r="PNC50" s="523"/>
      <c r="PND50" s="523"/>
      <c r="PNE50" s="523"/>
      <c r="PNF50" s="523"/>
      <c r="PNG50" s="523"/>
      <c r="PNH50" s="523"/>
      <c r="PNI50" s="523"/>
      <c r="PNJ50" s="523"/>
      <c r="PNK50" s="523"/>
      <c r="PNL50" s="523"/>
      <c r="PNM50" s="523"/>
      <c r="PNN50" s="523"/>
      <c r="PNO50" s="523"/>
      <c r="PNP50" s="523"/>
      <c r="PNQ50" s="523"/>
      <c r="PNR50" s="523"/>
      <c r="PNS50" s="523"/>
      <c r="PNT50" s="523"/>
      <c r="PNU50" s="523"/>
      <c r="PNV50" s="523"/>
      <c r="PNW50" s="523"/>
      <c r="PNX50" s="523"/>
      <c r="PNY50" s="523"/>
      <c r="PNZ50" s="523"/>
      <c r="POA50" s="523"/>
      <c r="POB50" s="523"/>
      <c r="POC50" s="523"/>
      <c r="POD50" s="523"/>
      <c r="POE50" s="523"/>
      <c r="POF50" s="523"/>
      <c r="POG50" s="523"/>
      <c r="POH50" s="523"/>
      <c r="POI50" s="523"/>
      <c r="POJ50" s="523"/>
      <c r="POK50" s="523"/>
      <c r="POL50" s="523"/>
      <c r="POM50" s="523"/>
      <c r="PON50" s="523"/>
      <c r="POO50" s="523"/>
      <c r="POP50" s="523"/>
      <c r="POQ50" s="523"/>
      <c r="POR50" s="523"/>
      <c r="POS50" s="523"/>
      <c r="POT50" s="523"/>
      <c r="POU50" s="523"/>
      <c r="POV50" s="523"/>
      <c r="POW50" s="523"/>
      <c r="POX50" s="523"/>
      <c r="POY50" s="523"/>
      <c r="POZ50" s="523"/>
      <c r="PPA50" s="523"/>
      <c r="PPB50" s="523"/>
      <c r="PPC50" s="523"/>
      <c r="PPD50" s="523"/>
      <c r="PPE50" s="523"/>
      <c r="PPF50" s="523"/>
      <c r="PPG50" s="523"/>
      <c r="PPH50" s="523"/>
      <c r="PPI50" s="523"/>
      <c r="PPJ50" s="523"/>
      <c r="PPK50" s="523"/>
      <c r="PPL50" s="523"/>
      <c r="PPM50" s="523"/>
      <c r="PPN50" s="523"/>
      <c r="PPO50" s="523"/>
      <c r="PPP50" s="523"/>
      <c r="PPQ50" s="523"/>
      <c r="PPR50" s="523"/>
      <c r="PPS50" s="523"/>
      <c r="PPT50" s="523"/>
      <c r="PPU50" s="523"/>
      <c r="PPV50" s="523"/>
      <c r="PPW50" s="523"/>
      <c r="PPX50" s="523"/>
      <c r="PPY50" s="523"/>
      <c r="PPZ50" s="523"/>
      <c r="PQA50" s="523"/>
      <c r="PQB50" s="523"/>
      <c r="PQC50" s="523"/>
      <c r="PQD50" s="523"/>
      <c r="PQE50" s="523"/>
      <c r="PQF50" s="523"/>
      <c r="PQG50" s="523"/>
      <c r="PQH50" s="523"/>
      <c r="PQI50" s="523"/>
      <c r="PQJ50" s="523"/>
      <c r="PQK50" s="523"/>
      <c r="PQL50" s="523"/>
      <c r="PQM50" s="523"/>
      <c r="PQN50" s="523"/>
      <c r="PQO50" s="523"/>
      <c r="PQP50" s="523"/>
      <c r="PQQ50" s="523"/>
      <c r="PQR50" s="523"/>
      <c r="PQS50" s="523"/>
      <c r="PQT50" s="523"/>
      <c r="PQU50" s="523"/>
      <c r="PQV50" s="523"/>
      <c r="PQW50" s="523"/>
      <c r="PQX50" s="523"/>
      <c r="PQY50" s="523"/>
      <c r="PQZ50" s="523"/>
      <c r="PRA50" s="523"/>
      <c r="PRB50" s="523"/>
      <c r="PRC50" s="523"/>
      <c r="PRD50" s="523"/>
      <c r="PRE50" s="523"/>
      <c r="PRF50" s="523"/>
      <c r="PRG50" s="523"/>
      <c r="PRH50" s="523"/>
      <c r="PRI50" s="523"/>
      <c r="PRJ50" s="523"/>
      <c r="PRK50" s="523"/>
      <c r="PRL50" s="523"/>
      <c r="PRM50" s="523"/>
      <c r="PRN50" s="523"/>
      <c r="PRO50" s="523"/>
      <c r="PRP50" s="523"/>
      <c r="PRQ50" s="523"/>
      <c r="PRR50" s="523"/>
      <c r="PRS50" s="523"/>
      <c r="PRT50" s="523"/>
      <c r="PRU50" s="523"/>
      <c r="PRV50" s="523"/>
      <c r="PRW50" s="523"/>
      <c r="PRX50" s="523"/>
      <c r="PRY50" s="523"/>
      <c r="PRZ50" s="523"/>
      <c r="PSA50" s="523"/>
      <c r="PSB50" s="523"/>
      <c r="PSC50" s="523"/>
      <c r="PSD50" s="523"/>
      <c r="PSE50" s="523"/>
      <c r="PSF50" s="523"/>
      <c r="PSG50" s="523"/>
      <c r="PSH50" s="523"/>
      <c r="PSI50" s="523"/>
      <c r="PSJ50" s="523"/>
      <c r="PSK50" s="523"/>
      <c r="PSL50" s="523"/>
      <c r="PSM50" s="523"/>
      <c r="PSN50" s="523"/>
      <c r="PSO50" s="523"/>
      <c r="PSP50" s="523"/>
      <c r="PSQ50" s="523"/>
      <c r="PSR50" s="523"/>
      <c r="PSS50" s="523"/>
      <c r="PST50" s="523"/>
      <c r="PSU50" s="523"/>
      <c r="PSV50" s="523"/>
      <c r="PSW50" s="523"/>
      <c r="PSX50" s="523"/>
      <c r="PSY50" s="523"/>
      <c r="PSZ50" s="523"/>
      <c r="PTA50" s="523"/>
      <c r="PTB50" s="523"/>
      <c r="PTC50" s="523"/>
      <c r="PTD50" s="523"/>
      <c r="PTE50" s="523"/>
      <c r="PTF50" s="523"/>
      <c r="PTG50" s="523"/>
      <c r="PTH50" s="523"/>
      <c r="PTI50" s="523"/>
      <c r="PTJ50" s="523"/>
      <c r="PTK50" s="523"/>
      <c r="PTL50" s="523"/>
      <c r="PTM50" s="523"/>
      <c r="PTN50" s="523"/>
      <c r="PTO50" s="523"/>
      <c r="PTP50" s="523"/>
      <c r="PTQ50" s="523"/>
      <c r="PTR50" s="523"/>
      <c r="PTS50" s="523"/>
      <c r="PTT50" s="523"/>
      <c r="PTU50" s="523"/>
      <c r="PTV50" s="523"/>
      <c r="PTW50" s="523"/>
      <c r="PTX50" s="523"/>
      <c r="PTY50" s="523"/>
      <c r="PTZ50" s="523"/>
      <c r="PUA50" s="523"/>
      <c r="PUB50" s="523"/>
      <c r="PUC50" s="523"/>
      <c r="PUD50" s="523"/>
      <c r="PUE50" s="523"/>
      <c r="PUF50" s="523"/>
      <c r="PUG50" s="523"/>
      <c r="PUH50" s="523"/>
      <c r="PUI50" s="523"/>
      <c r="PUJ50" s="523"/>
      <c r="PUK50" s="523"/>
      <c r="PUL50" s="523"/>
      <c r="PUM50" s="523"/>
      <c r="PUN50" s="523"/>
      <c r="PUO50" s="523"/>
      <c r="PUP50" s="523"/>
      <c r="PUQ50" s="523"/>
      <c r="PUR50" s="523"/>
      <c r="PUS50" s="523"/>
      <c r="PUT50" s="523"/>
      <c r="PUU50" s="523"/>
      <c r="PUV50" s="523"/>
      <c r="PUW50" s="523"/>
      <c r="PUX50" s="523"/>
      <c r="PUY50" s="523"/>
      <c r="PUZ50" s="523"/>
      <c r="PVA50" s="523"/>
      <c r="PVB50" s="523"/>
      <c r="PVC50" s="523"/>
      <c r="PVD50" s="523"/>
      <c r="PVE50" s="523"/>
      <c r="PVF50" s="523"/>
      <c r="PVG50" s="523"/>
      <c r="PVH50" s="523"/>
      <c r="PVI50" s="523"/>
      <c r="PVJ50" s="523"/>
      <c r="PVK50" s="523"/>
      <c r="PVL50" s="523"/>
      <c r="PVM50" s="523"/>
      <c r="PVN50" s="523"/>
      <c r="PVO50" s="523"/>
      <c r="PVP50" s="523"/>
      <c r="PVQ50" s="523"/>
      <c r="PVR50" s="523"/>
      <c r="PVS50" s="523"/>
      <c r="PVT50" s="523"/>
      <c r="PVU50" s="523"/>
      <c r="PVV50" s="523"/>
      <c r="PVW50" s="523"/>
      <c r="PVX50" s="523"/>
      <c r="PVY50" s="523"/>
      <c r="PVZ50" s="523"/>
      <c r="PWA50" s="523"/>
      <c r="PWB50" s="523"/>
      <c r="PWC50" s="523"/>
      <c r="PWD50" s="523"/>
      <c r="PWE50" s="523"/>
      <c r="PWF50" s="523"/>
      <c r="PWG50" s="523"/>
      <c r="PWH50" s="523"/>
      <c r="PWI50" s="523"/>
      <c r="PWJ50" s="523"/>
      <c r="PWK50" s="523"/>
      <c r="PWL50" s="523"/>
      <c r="PWM50" s="523"/>
      <c r="PWN50" s="523"/>
      <c r="PWO50" s="523"/>
      <c r="PWP50" s="523"/>
      <c r="PWQ50" s="523"/>
      <c r="PWR50" s="523"/>
      <c r="PWS50" s="523"/>
      <c r="PWT50" s="523"/>
      <c r="PWU50" s="523"/>
      <c r="PWV50" s="523"/>
      <c r="PWW50" s="523"/>
      <c r="PWX50" s="523"/>
      <c r="PWY50" s="523"/>
      <c r="PWZ50" s="523"/>
      <c r="PXA50" s="523"/>
      <c r="PXB50" s="523"/>
      <c r="PXC50" s="523"/>
      <c r="PXD50" s="523"/>
      <c r="PXE50" s="523"/>
      <c r="PXF50" s="523"/>
      <c r="PXG50" s="523"/>
      <c r="PXH50" s="523"/>
      <c r="PXI50" s="523"/>
      <c r="PXJ50" s="523"/>
      <c r="PXK50" s="523"/>
      <c r="PXL50" s="523"/>
      <c r="PXM50" s="523"/>
      <c r="PXN50" s="523"/>
      <c r="PXO50" s="523"/>
      <c r="PXP50" s="523"/>
      <c r="PXQ50" s="523"/>
      <c r="PXR50" s="523"/>
      <c r="PXS50" s="523"/>
      <c r="PXT50" s="523"/>
      <c r="PXU50" s="523"/>
      <c r="PXV50" s="523"/>
      <c r="PXW50" s="523"/>
      <c r="PXX50" s="523"/>
      <c r="PXY50" s="523"/>
      <c r="PXZ50" s="523"/>
      <c r="PYA50" s="523"/>
      <c r="PYB50" s="523"/>
      <c r="PYC50" s="523"/>
      <c r="PYD50" s="523"/>
      <c r="PYE50" s="523"/>
      <c r="PYF50" s="523"/>
      <c r="PYG50" s="523"/>
      <c r="PYH50" s="523"/>
      <c r="PYI50" s="523"/>
      <c r="PYJ50" s="523"/>
      <c r="PYK50" s="523"/>
      <c r="PYL50" s="523"/>
      <c r="PYM50" s="523"/>
      <c r="PYN50" s="523"/>
      <c r="PYO50" s="523"/>
      <c r="PYP50" s="523"/>
      <c r="PYQ50" s="523"/>
      <c r="PYR50" s="523"/>
      <c r="PYS50" s="523"/>
      <c r="PYT50" s="523"/>
      <c r="PYU50" s="523"/>
      <c r="PYV50" s="523"/>
      <c r="PYW50" s="523"/>
      <c r="PYX50" s="523"/>
      <c r="PYY50" s="523"/>
      <c r="PYZ50" s="523"/>
      <c r="PZA50" s="523"/>
      <c r="PZB50" s="523"/>
      <c r="PZC50" s="523"/>
      <c r="PZD50" s="523"/>
      <c r="PZE50" s="523"/>
      <c r="PZF50" s="523"/>
      <c r="PZG50" s="523"/>
      <c r="PZH50" s="523"/>
      <c r="PZI50" s="523"/>
      <c r="PZJ50" s="523"/>
      <c r="PZK50" s="523"/>
      <c r="PZL50" s="523"/>
      <c r="PZM50" s="523"/>
      <c r="PZN50" s="523"/>
      <c r="PZO50" s="523"/>
      <c r="PZP50" s="523"/>
      <c r="PZQ50" s="523"/>
      <c r="PZR50" s="523"/>
      <c r="PZS50" s="523"/>
      <c r="PZT50" s="523"/>
      <c r="PZU50" s="523"/>
      <c r="PZV50" s="523"/>
      <c r="PZW50" s="523"/>
      <c r="PZX50" s="523"/>
      <c r="PZY50" s="523"/>
      <c r="PZZ50" s="523"/>
      <c r="QAA50" s="523"/>
      <c r="QAB50" s="523"/>
      <c r="QAC50" s="523"/>
      <c r="QAD50" s="523"/>
      <c r="QAE50" s="523"/>
      <c r="QAF50" s="523"/>
      <c r="QAG50" s="523"/>
      <c r="QAH50" s="523"/>
      <c r="QAI50" s="523"/>
      <c r="QAJ50" s="523"/>
      <c r="QAK50" s="523"/>
      <c r="QAL50" s="523"/>
      <c r="QAM50" s="523"/>
      <c r="QAN50" s="523"/>
      <c r="QAO50" s="523"/>
      <c r="QAP50" s="523"/>
      <c r="QAQ50" s="523"/>
      <c r="QAR50" s="523"/>
      <c r="QAS50" s="523"/>
      <c r="QAT50" s="523"/>
      <c r="QAU50" s="523"/>
      <c r="QAV50" s="523"/>
      <c r="QAW50" s="523"/>
      <c r="QAX50" s="523"/>
      <c r="QAY50" s="523"/>
      <c r="QAZ50" s="523"/>
      <c r="QBA50" s="523"/>
      <c r="QBB50" s="523"/>
      <c r="QBC50" s="523"/>
      <c r="QBD50" s="523"/>
      <c r="QBE50" s="523"/>
      <c r="QBF50" s="523"/>
      <c r="QBG50" s="523"/>
      <c r="QBH50" s="523"/>
      <c r="QBI50" s="523"/>
      <c r="QBJ50" s="523"/>
      <c r="QBK50" s="523"/>
      <c r="QBL50" s="523"/>
      <c r="QBM50" s="523"/>
      <c r="QBN50" s="523"/>
      <c r="QBO50" s="523"/>
      <c r="QBP50" s="523"/>
      <c r="QBQ50" s="523"/>
      <c r="QBR50" s="523"/>
      <c r="QBS50" s="523"/>
      <c r="QBT50" s="523"/>
      <c r="QBU50" s="523"/>
      <c r="QBV50" s="523"/>
      <c r="QBW50" s="523"/>
      <c r="QBX50" s="523"/>
      <c r="QBY50" s="523"/>
      <c r="QBZ50" s="523"/>
      <c r="QCA50" s="523"/>
      <c r="QCB50" s="523"/>
      <c r="QCC50" s="523"/>
      <c r="QCD50" s="523"/>
      <c r="QCE50" s="523"/>
      <c r="QCF50" s="523"/>
      <c r="QCG50" s="523"/>
      <c r="QCH50" s="523"/>
      <c r="QCI50" s="523"/>
      <c r="QCJ50" s="523"/>
      <c r="QCK50" s="523"/>
      <c r="QCL50" s="523"/>
      <c r="QCM50" s="523"/>
      <c r="QCN50" s="523"/>
      <c r="QCO50" s="523"/>
      <c r="QCP50" s="523"/>
      <c r="QCQ50" s="523"/>
      <c r="QCR50" s="523"/>
      <c r="QCS50" s="523"/>
      <c r="QCT50" s="523"/>
      <c r="QCU50" s="523"/>
      <c r="QCV50" s="523"/>
      <c r="QCW50" s="523"/>
      <c r="QCX50" s="523"/>
      <c r="QCY50" s="523"/>
      <c r="QCZ50" s="523"/>
      <c r="QDA50" s="523"/>
      <c r="QDB50" s="523"/>
      <c r="QDC50" s="523"/>
      <c r="QDD50" s="523"/>
      <c r="QDE50" s="523"/>
      <c r="QDF50" s="523"/>
      <c r="QDG50" s="523"/>
      <c r="QDH50" s="523"/>
      <c r="QDI50" s="523"/>
      <c r="QDJ50" s="523"/>
      <c r="QDK50" s="523"/>
      <c r="QDL50" s="523"/>
      <c r="QDM50" s="523"/>
      <c r="QDN50" s="523"/>
      <c r="QDO50" s="523"/>
      <c r="QDP50" s="523"/>
      <c r="QDQ50" s="523"/>
      <c r="QDR50" s="523"/>
      <c r="QDS50" s="523"/>
      <c r="QDT50" s="523"/>
      <c r="QDU50" s="523"/>
      <c r="QDV50" s="523"/>
      <c r="QDW50" s="523"/>
      <c r="QDX50" s="523"/>
      <c r="QDY50" s="523"/>
      <c r="QDZ50" s="523"/>
      <c r="QEA50" s="523"/>
      <c r="QEB50" s="523"/>
      <c r="QEC50" s="523"/>
      <c r="QED50" s="523"/>
      <c r="QEE50" s="523"/>
      <c r="QEF50" s="523"/>
      <c r="QEG50" s="523"/>
      <c r="QEH50" s="523"/>
      <c r="QEI50" s="523"/>
      <c r="QEJ50" s="523"/>
      <c r="QEK50" s="523"/>
      <c r="QEL50" s="523"/>
      <c r="QEM50" s="523"/>
      <c r="QEN50" s="523"/>
      <c r="QEO50" s="523"/>
      <c r="QEP50" s="523"/>
      <c r="QEQ50" s="523"/>
      <c r="QER50" s="523"/>
      <c r="QES50" s="523"/>
      <c r="QET50" s="523"/>
      <c r="QEU50" s="523"/>
      <c r="QEV50" s="523"/>
      <c r="QEW50" s="523"/>
      <c r="QEX50" s="523"/>
      <c r="QEY50" s="523"/>
      <c r="QEZ50" s="523"/>
      <c r="QFA50" s="523"/>
      <c r="QFB50" s="523"/>
      <c r="QFC50" s="523"/>
      <c r="QFD50" s="523"/>
      <c r="QFE50" s="523"/>
      <c r="QFF50" s="523"/>
      <c r="QFG50" s="523"/>
      <c r="QFH50" s="523"/>
      <c r="QFI50" s="523"/>
      <c r="QFJ50" s="523"/>
      <c r="QFK50" s="523"/>
      <c r="QFL50" s="523"/>
      <c r="QFM50" s="523"/>
      <c r="QFN50" s="523"/>
      <c r="QFO50" s="523"/>
      <c r="QFP50" s="523"/>
      <c r="QFQ50" s="523"/>
      <c r="QFR50" s="523"/>
      <c r="QFS50" s="523"/>
      <c r="QFT50" s="523"/>
      <c r="QFU50" s="523"/>
      <c r="QFV50" s="523"/>
      <c r="QFW50" s="523"/>
      <c r="QFX50" s="523"/>
      <c r="QFY50" s="523"/>
      <c r="QFZ50" s="523"/>
      <c r="QGA50" s="523"/>
      <c r="QGB50" s="523"/>
      <c r="QGC50" s="523"/>
      <c r="QGD50" s="523"/>
      <c r="QGE50" s="523"/>
      <c r="QGF50" s="523"/>
      <c r="QGG50" s="523"/>
      <c r="QGH50" s="523"/>
      <c r="QGI50" s="523"/>
      <c r="QGJ50" s="523"/>
      <c r="QGK50" s="523"/>
      <c r="QGL50" s="523"/>
      <c r="QGM50" s="523"/>
      <c r="QGN50" s="523"/>
      <c r="QGO50" s="523"/>
      <c r="QGP50" s="523"/>
      <c r="QGQ50" s="523"/>
      <c r="QGR50" s="523"/>
      <c r="QGS50" s="523"/>
      <c r="QGT50" s="523"/>
      <c r="QGU50" s="523"/>
      <c r="QGV50" s="523"/>
      <c r="QGW50" s="523"/>
      <c r="QGX50" s="523"/>
      <c r="QGY50" s="523"/>
      <c r="QGZ50" s="523"/>
      <c r="QHA50" s="523"/>
      <c r="QHB50" s="523"/>
      <c r="QHC50" s="523"/>
      <c r="QHD50" s="523"/>
      <c r="QHE50" s="523"/>
      <c r="QHF50" s="523"/>
      <c r="QHG50" s="523"/>
      <c r="QHH50" s="523"/>
      <c r="QHI50" s="523"/>
      <c r="QHJ50" s="523"/>
      <c r="QHK50" s="523"/>
      <c r="QHL50" s="523"/>
      <c r="QHM50" s="523"/>
      <c r="QHN50" s="523"/>
      <c r="QHO50" s="523"/>
      <c r="QHP50" s="523"/>
      <c r="QHQ50" s="523"/>
      <c r="QHR50" s="523"/>
      <c r="QHS50" s="523"/>
      <c r="QHT50" s="523"/>
      <c r="QHU50" s="523"/>
      <c r="QHV50" s="523"/>
      <c r="QHW50" s="523"/>
      <c r="QHX50" s="523"/>
      <c r="QHY50" s="523"/>
      <c r="QHZ50" s="523"/>
      <c r="QIA50" s="523"/>
      <c r="QIB50" s="523"/>
      <c r="QIC50" s="523"/>
      <c r="QID50" s="523"/>
      <c r="QIE50" s="523"/>
      <c r="QIF50" s="523"/>
      <c r="QIG50" s="523"/>
      <c r="QIH50" s="523"/>
      <c r="QII50" s="523"/>
      <c r="QIJ50" s="523"/>
      <c r="QIK50" s="523"/>
      <c r="QIL50" s="523"/>
      <c r="QIM50" s="523"/>
      <c r="QIN50" s="523"/>
      <c r="QIO50" s="523"/>
      <c r="QIP50" s="523"/>
      <c r="QIQ50" s="523"/>
      <c r="QIR50" s="523"/>
      <c r="QIS50" s="523"/>
      <c r="QIT50" s="523"/>
      <c r="QIU50" s="523"/>
      <c r="QIV50" s="523"/>
      <c r="QIW50" s="523"/>
      <c r="QIX50" s="523"/>
      <c r="QIY50" s="523"/>
      <c r="QIZ50" s="523"/>
      <c r="QJA50" s="523"/>
      <c r="QJB50" s="523"/>
      <c r="QJC50" s="523"/>
      <c r="QJD50" s="523"/>
      <c r="QJE50" s="523"/>
      <c r="QJF50" s="523"/>
      <c r="QJG50" s="523"/>
      <c r="QJH50" s="523"/>
      <c r="QJI50" s="523"/>
      <c r="QJJ50" s="523"/>
      <c r="QJK50" s="523"/>
      <c r="QJL50" s="523"/>
      <c r="QJM50" s="523"/>
      <c r="QJN50" s="523"/>
      <c r="QJO50" s="523"/>
      <c r="QJP50" s="523"/>
      <c r="QJQ50" s="523"/>
      <c r="QJR50" s="523"/>
      <c r="QJS50" s="523"/>
      <c r="QJT50" s="523"/>
      <c r="QJU50" s="523"/>
      <c r="QJV50" s="523"/>
      <c r="QJW50" s="523"/>
      <c r="QJX50" s="523"/>
      <c r="QJY50" s="523"/>
      <c r="QJZ50" s="523"/>
      <c r="QKA50" s="523"/>
      <c r="QKB50" s="523"/>
      <c r="QKC50" s="523"/>
      <c r="QKD50" s="523"/>
      <c r="QKE50" s="523"/>
      <c r="QKF50" s="523"/>
      <c r="QKG50" s="523"/>
      <c r="QKH50" s="523"/>
      <c r="QKI50" s="523"/>
      <c r="QKJ50" s="523"/>
      <c r="QKK50" s="523"/>
      <c r="QKL50" s="523"/>
      <c r="QKM50" s="523"/>
      <c r="QKN50" s="523"/>
      <c r="QKO50" s="523"/>
      <c r="QKP50" s="523"/>
      <c r="QKQ50" s="523"/>
      <c r="QKR50" s="523"/>
      <c r="QKS50" s="523"/>
      <c r="QKT50" s="523"/>
      <c r="QKU50" s="523"/>
      <c r="QKV50" s="523"/>
      <c r="QKW50" s="523"/>
      <c r="QKX50" s="523"/>
      <c r="QKY50" s="523"/>
      <c r="QKZ50" s="523"/>
      <c r="QLA50" s="523"/>
      <c r="QLB50" s="523"/>
      <c r="QLC50" s="523"/>
      <c r="QLD50" s="523"/>
      <c r="QLE50" s="523"/>
      <c r="QLF50" s="523"/>
      <c r="QLG50" s="523"/>
      <c r="QLH50" s="523"/>
      <c r="QLI50" s="523"/>
      <c r="QLJ50" s="523"/>
      <c r="QLK50" s="523"/>
      <c r="QLL50" s="523"/>
      <c r="QLM50" s="523"/>
      <c r="QLN50" s="523"/>
      <c r="QLO50" s="523"/>
      <c r="QLP50" s="523"/>
      <c r="QLQ50" s="523"/>
      <c r="QLR50" s="523"/>
      <c r="QLS50" s="523"/>
      <c r="QLT50" s="523"/>
      <c r="QLU50" s="523"/>
      <c r="QLV50" s="523"/>
      <c r="QLW50" s="523"/>
      <c r="QLX50" s="523"/>
      <c r="QLY50" s="523"/>
      <c r="QLZ50" s="523"/>
      <c r="QMA50" s="523"/>
      <c r="QMB50" s="523"/>
      <c r="QMC50" s="523"/>
      <c r="QMD50" s="523"/>
      <c r="QME50" s="523"/>
      <c r="QMF50" s="523"/>
      <c r="QMG50" s="523"/>
      <c r="QMH50" s="523"/>
      <c r="QMI50" s="523"/>
      <c r="QMJ50" s="523"/>
      <c r="QMK50" s="523"/>
      <c r="QML50" s="523"/>
      <c r="QMM50" s="523"/>
      <c r="QMN50" s="523"/>
      <c r="QMO50" s="523"/>
      <c r="QMP50" s="523"/>
      <c r="QMQ50" s="523"/>
      <c r="QMR50" s="523"/>
      <c r="QMS50" s="523"/>
      <c r="QMT50" s="523"/>
      <c r="QMU50" s="523"/>
      <c r="QMV50" s="523"/>
      <c r="QMW50" s="523"/>
      <c r="QMX50" s="523"/>
      <c r="QMY50" s="523"/>
      <c r="QMZ50" s="523"/>
      <c r="QNA50" s="523"/>
      <c r="QNB50" s="523"/>
      <c r="QNC50" s="523"/>
      <c r="QND50" s="523"/>
      <c r="QNE50" s="523"/>
      <c r="QNF50" s="523"/>
      <c r="QNG50" s="523"/>
      <c r="QNH50" s="523"/>
      <c r="QNI50" s="523"/>
      <c r="QNJ50" s="523"/>
      <c r="QNK50" s="523"/>
      <c r="QNL50" s="523"/>
      <c r="QNM50" s="523"/>
      <c r="QNN50" s="523"/>
      <c r="QNO50" s="523"/>
      <c r="QNP50" s="523"/>
      <c r="QNQ50" s="523"/>
      <c r="QNR50" s="523"/>
      <c r="QNS50" s="523"/>
      <c r="QNT50" s="523"/>
      <c r="QNU50" s="523"/>
      <c r="QNV50" s="523"/>
      <c r="QNW50" s="523"/>
      <c r="QNX50" s="523"/>
      <c r="QNY50" s="523"/>
      <c r="QNZ50" s="523"/>
      <c r="QOA50" s="523"/>
      <c r="QOB50" s="523"/>
      <c r="QOC50" s="523"/>
      <c r="QOD50" s="523"/>
      <c r="QOE50" s="523"/>
      <c r="QOF50" s="523"/>
      <c r="QOG50" s="523"/>
      <c r="QOH50" s="523"/>
      <c r="QOI50" s="523"/>
      <c r="QOJ50" s="523"/>
      <c r="QOK50" s="523"/>
      <c r="QOL50" s="523"/>
      <c r="QOM50" s="523"/>
      <c r="QON50" s="523"/>
      <c r="QOO50" s="523"/>
      <c r="QOP50" s="523"/>
      <c r="QOQ50" s="523"/>
      <c r="QOR50" s="523"/>
      <c r="QOS50" s="523"/>
      <c r="QOT50" s="523"/>
      <c r="QOU50" s="523"/>
      <c r="QOV50" s="523"/>
      <c r="QOW50" s="523"/>
      <c r="QOX50" s="523"/>
      <c r="QOY50" s="523"/>
      <c r="QOZ50" s="523"/>
      <c r="QPA50" s="523"/>
      <c r="QPB50" s="523"/>
      <c r="QPC50" s="523"/>
      <c r="QPD50" s="523"/>
      <c r="QPE50" s="523"/>
      <c r="QPF50" s="523"/>
      <c r="QPG50" s="523"/>
      <c r="QPH50" s="523"/>
      <c r="QPI50" s="523"/>
      <c r="QPJ50" s="523"/>
      <c r="QPK50" s="523"/>
      <c r="QPL50" s="523"/>
      <c r="QPM50" s="523"/>
      <c r="QPN50" s="523"/>
      <c r="QPO50" s="523"/>
      <c r="QPP50" s="523"/>
      <c r="QPQ50" s="523"/>
      <c r="QPR50" s="523"/>
      <c r="QPS50" s="523"/>
      <c r="QPT50" s="523"/>
      <c r="QPU50" s="523"/>
      <c r="QPV50" s="523"/>
      <c r="QPW50" s="523"/>
      <c r="QPX50" s="523"/>
      <c r="QPY50" s="523"/>
      <c r="QPZ50" s="523"/>
      <c r="QQA50" s="523"/>
      <c r="QQB50" s="523"/>
      <c r="QQC50" s="523"/>
      <c r="QQD50" s="523"/>
      <c r="QQE50" s="523"/>
      <c r="QQF50" s="523"/>
      <c r="QQG50" s="523"/>
      <c r="QQH50" s="523"/>
      <c r="QQI50" s="523"/>
      <c r="QQJ50" s="523"/>
      <c r="QQK50" s="523"/>
      <c r="QQL50" s="523"/>
      <c r="QQM50" s="523"/>
      <c r="QQN50" s="523"/>
      <c r="QQO50" s="523"/>
      <c r="QQP50" s="523"/>
      <c r="QQQ50" s="523"/>
      <c r="QQR50" s="523"/>
      <c r="QQS50" s="523"/>
      <c r="QQT50" s="523"/>
      <c r="QQU50" s="523"/>
      <c r="QQV50" s="523"/>
      <c r="QQW50" s="523"/>
      <c r="QQX50" s="523"/>
      <c r="QQY50" s="523"/>
      <c r="QQZ50" s="523"/>
      <c r="QRA50" s="523"/>
      <c r="QRB50" s="523"/>
      <c r="QRC50" s="523"/>
      <c r="QRD50" s="523"/>
      <c r="QRE50" s="523"/>
      <c r="QRF50" s="523"/>
      <c r="QRG50" s="523"/>
      <c r="QRH50" s="523"/>
      <c r="QRI50" s="523"/>
      <c r="QRJ50" s="523"/>
      <c r="QRK50" s="523"/>
      <c r="QRL50" s="523"/>
      <c r="QRM50" s="523"/>
      <c r="QRN50" s="523"/>
      <c r="QRO50" s="523"/>
      <c r="QRP50" s="523"/>
      <c r="QRQ50" s="523"/>
      <c r="QRR50" s="523"/>
      <c r="QRS50" s="523"/>
      <c r="QRT50" s="523"/>
      <c r="QRU50" s="523"/>
      <c r="QRV50" s="523"/>
      <c r="QRW50" s="523"/>
      <c r="QRX50" s="523"/>
      <c r="QRY50" s="523"/>
      <c r="QRZ50" s="523"/>
      <c r="QSA50" s="523"/>
      <c r="QSB50" s="523"/>
      <c r="QSC50" s="523"/>
      <c r="QSD50" s="523"/>
      <c r="QSE50" s="523"/>
      <c r="QSF50" s="523"/>
      <c r="QSG50" s="523"/>
      <c r="QSH50" s="523"/>
      <c r="QSI50" s="523"/>
      <c r="QSJ50" s="523"/>
      <c r="QSK50" s="523"/>
      <c r="QSL50" s="523"/>
      <c r="QSM50" s="523"/>
      <c r="QSN50" s="523"/>
      <c r="QSO50" s="523"/>
      <c r="QSP50" s="523"/>
      <c r="QSQ50" s="523"/>
      <c r="QSR50" s="523"/>
      <c r="QSS50" s="523"/>
      <c r="QST50" s="523"/>
      <c r="QSU50" s="523"/>
      <c r="QSV50" s="523"/>
      <c r="QSW50" s="523"/>
      <c r="QSX50" s="523"/>
      <c r="QSY50" s="523"/>
      <c r="QSZ50" s="523"/>
      <c r="QTA50" s="523"/>
      <c r="QTB50" s="523"/>
      <c r="QTC50" s="523"/>
      <c r="QTD50" s="523"/>
      <c r="QTE50" s="523"/>
      <c r="QTF50" s="523"/>
      <c r="QTG50" s="523"/>
      <c r="QTH50" s="523"/>
      <c r="QTI50" s="523"/>
      <c r="QTJ50" s="523"/>
      <c r="QTK50" s="523"/>
      <c r="QTL50" s="523"/>
      <c r="QTM50" s="523"/>
      <c r="QTN50" s="523"/>
      <c r="QTO50" s="523"/>
      <c r="QTP50" s="523"/>
      <c r="QTQ50" s="523"/>
      <c r="QTR50" s="523"/>
      <c r="QTS50" s="523"/>
      <c r="QTT50" s="523"/>
      <c r="QTU50" s="523"/>
      <c r="QTV50" s="523"/>
      <c r="QTW50" s="523"/>
      <c r="QTX50" s="523"/>
      <c r="QTY50" s="523"/>
      <c r="QTZ50" s="523"/>
      <c r="QUA50" s="523"/>
      <c r="QUB50" s="523"/>
      <c r="QUC50" s="523"/>
      <c r="QUD50" s="523"/>
      <c r="QUE50" s="523"/>
      <c r="QUF50" s="523"/>
      <c r="QUG50" s="523"/>
      <c r="QUH50" s="523"/>
      <c r="QUI50" s="523"/>
      <c r="QUJ50" s="523"/>
      <c r="QUK50" s="523"/>
      <c r="QUL50" s="523"/>
      <c r="QUM50" s="523"/>
      <c r="QUN50" s="523"/>
      <c r="QUO50" s="523"/>
      <c r="QUP50" s="523"/>
      <c r="QUQ50" s="523"/>
      <c r="QUR50" s="523"/>
      <c r="QUS50" s="523"/>
      <c r="QUT50" s="523"/>
      <c r="QUU50" s="523"/>
      <c r="QUV50" s="523"/>
      <c r="QUW50" s="523"/>
      <c r="QUX50" s="523"/>
      <c r="QUY50" s="523"/>
      <c r="QUZ50" s="523"/>
      <c r="QVA50" s="523"/>
      <c r="QVB50" s="523"/>
      <c r="QVC50" s="523"/>
      <c r="QVD50" s="523"/>
      <c r="QVE50" s="523"/>
      <c r="QVF50" s="523"/>
      <c r="QVG50" s="523"/>
      <c r="QVH50" s="523"/>
      <c r="QVI50" s="523"/>
      <c r="QVJ50" s="523"/>
      <c r="QVK50" s="523"/>
      <c r="QVL50" s="523"/>
      <c r="QVM50" s="523"/>
      <c r="QVN50" s="523"/>
      <c r="QVO50" s="523"/>
      <c r="QVP50" s="523"/>
      <c r="QVQ50" s="523"/>
      <c r="QVR50" s="523"/>
      <c r="QVS50" s="523"/>
      <c r="QVT50" s="523"/>
      <c r="QVU50" s="523"/>
      <c r="QVV50" s="523"/>
      <c r="QVW50" s="523"/>
      <c r="QVX50" s="523"/>
      <c r="QVY50" s="523"/>
      <c r="QVZ50" s="523"/>
      <c r="QWA50" s="523"/>
      <c r="QWB50" s="523"/>
      <c r="QWC50" s="523"/>
      <c r="QWD50" s="523"/>
      <c r="QWE50" s="523"/>
      <c r="QWF50" s="523"/>
      <c r="QWG50" s="523"/>
      <c r="QWH50" s="523"/>
      <c r="QWI50" s="523"/>
      <c r="QWJ50" s="523"/>
      <c r="QWK50" s="523"/>
      <c r="QWL50" s="523"/>
      <c r="QWM50" s="523"/>
      <c r="QWN50" s="523"/>
      <c r="QWO50" s="523"/>
      <c r="QWP50" s="523"/>
      <c r="QWQ50" s="523"/>
      <c r="QWR50" s="523"/>
      <c r="QWS50" s="523"/>
      <c r="QWT50" s="523"/>
      <c r="QWU50" s="523"/>
      <c r="QWV50" s="523"/>
      <c r="QWW50" s="523"/>
      <c r="QWX50" s="523"/>
      <c r="QWY50" s="523"/>
      <c r="QWZ50" s="523"/>
      <c r="QXA50" s="523"/>
      <c r="QXB50" s="523"/>
      <c r="QXC50" s="523"/>
      <c r="QXD50" s="523"/>
      <c r="QXE50" s="523"/>
      <c r="QXF50" s="523"/>
      <c r="QXG50" s="523"/>
      <c r="QXH50" s="523"/>
      <c r="QXI50" s="523"/>
      <c r="QXJ50" s="523"/>
      <c r="QXK50" s="523"/>
      <c r="QXL50" s="523"/>
      <c r="QXM50" s="523"/>
      <c r="QXN50" s="523"/>
      <c r="QXO50" s="523"/>
      <c r="QXP50" s="523"/>
      <c r="QXQ50" s="523"/>
      <c r="QXR50" s="523"/>
      <c r="QXS50" s="523"/>
      <c r="QXT50" s="523"/>
      <c r="QXU50" s="523"/>
      <c r="QXV50" s="523"/>
      <c r="QXW50" s="523"/>
      <c r="QXX50" s="523"/>
      <c r="QXY50" s="523"/>
      <c r="QXZ50" s="523"/>
      <c r="QYA50" s="523"/>
      <c r="QYB50" s="523"/>
      <c r="QYC50" s="523"/>
      <c r="QYD50" s="523"/>
      <c r="QYE50" s="523"/>
      <c r="QYF50" s="523"/>
      <c r="QYG50" s="523"/>
      <c r="QYH50" s="523"/>
      <c r="QYI50" s="523"/>
      <c r="QYJ50" s="523"/>
      <c r="QYK50" s="523"/>
      <c r="QYL50" s="523"/>
      <c r="QYM50" s="523"/>
      <c r="QYN50" s="523"/>
      <c r="QYO50" s="523"/>
      <c r="QYP50" s="523"/>
      <c r="QYQ50" s="523"/>
      <c r="QYR50" s="523"/>
      <c r="QYS50" s="523"/>
      <c r="QYT50" s="523"/>
      <c r="QYU50" s="523"/>
      <c r="QYV50" s="523"/>
      <c r="QYW50" s="523"/>
      <c r="QYX50" s="523"/>
      <c r="QYY50" s="523"/>
      <c r="QYZ50" s="523"/>
      <c r="QZA50" s="523"/>
      <c r="QZB50" s="523"/>
      <c r="QZC50" s="523"/>
      <c r="QZD50" s="523"/>
      <c r="QZE50" s="523"/>
      <c r="QZF50" s="523"/>
      <c r="QZG50" s="523"/>
      <c r="QZH50" s="523"/>
      <c r="QZI50" s="523"/>
      <c r="QZJ50" s="523"/>
      <c r="QZK50" s="523"/>
      <c r="QZL50" s="523"/>
      <c r="QZM50" s="523"/>
      <c r="QZN50" s="523"/>
      <c r="QZO50" s="523"/>
      <c r="QZP50" s="523"/>
      <c r="QZQ50" s="523"/>
      <c r="QZR50" s="523"/>
      <c r="QZS50" s="523"/>
      <c r="QZT50" s="523"/>
      <c r="QZU50" s="523"/>
      <c r="QZV50" s="523"/>
      <c r="QZW50" s="523"/>
      <c r="QZX50" s="523"/>
      <c r="QZY50" s="523"/>
      <c r="QZZ50" s="523"/>
      <c r="RAA50" s="523"/>
      <c r="RAB50" s="523"/>
      <c r="RAC50" s="523"/>
      <c r="RAD50" s="523"/>
      <c r="RAE50" s="523"/>
      <c r="RAF50" s="523"/>
      <c r="RAG50" s="523"/>
      <c r="RAH50" s="523"/>
      <c r="RAI50" s="523"/>
      <c r="RAJ50" s="523"/>
      <c r="RAK50" s="523"/>
      <c r="RAL50" s="523"/>
      <c r="RAM50" s="523"/>
      <c r="RAN50" s="523"/>
      <c r="RAO50" s="523"/>
      <c r="RAP50" s="523"/>
      <c r="RAQ50" s="523"/>
      <c r="RAR50" s="523"/>
      <c r="RAS50" s="523"/>
      <c r="RAT50" s="523"/>
      <c r="RAU50" s="523"/>
      <c r="RAV50" s="523"/>
      <c r="RAW50" s="523"/>
      <c r="RAX50" s="523"/>
      <c r="RAY50" s="523"/>
      <c r="RAZ50" s="523"/>
      <c r="RBA50" s="523"/>
      <c r="RBB50" s="523"/>
      <c r="RBC50" s="523"/>
      <c r="RBD50" s="523"/>
      <c r="RBE50" s="523"/>
      <c r="RBF50" s="523"/>
      <c r="RBG50" s="523"/>
      <c r="RBH50" s="523"/>
      <c r="RBI50" s="523"/>
      <c r="RBJ50" s="523"/>
      <c r="RBK50" s="523"/>
      <c r="RBL50" s="523"/>
      <c r="RBM50" s="523"/>
      <c r="RBN50" s="523"/>
      <c r="RBO50" s="523"/>
      <c r="RBP50" s="523"/>
      <c r="RBQ50" s="523"/>
      <c r="RBR50" s="523"/>
      <c r="RBS50" s="523"/>
      <c r="RBT50" s="523"/>
      <c r="RBU50" s="523"/>
      <c r="RBV50" s="523"/>
      <c r="RBW50" s="523"/>
      <c r="RBX50" s="523"/>
      <c r="RBY50" s="523"/>
      <c r="RBZ50" s="523"/>
      <c r="RCA50" s="523"/>
      <c r="RCB50" s="523"/>
      <c r="RCC50" s="523"/>
      <c r="RCD50" s="523"/>
      <c r="RCE50" s="523"/>
      <c r="RCF50" s="523"/>
      <c r="RCG50" s="523"/>
      <c r="RCH50" s="523"/>
      <c r="RCI50" s="523"/>
      <c r="RCJ50" s="523"/>
      <c r="RCK50" s="523"/>
      <c r="RCL50" s="523"/>
      <c r="RCM50" s="523"/>
      <c r="RCN50" s="523"/>
      <c r="RCO50" s="523"/>
      <c r="RCP50" s="523"/>
      <c r="RCQ50" s="523"/>
      <c r="RCR50" s="523"/>
      <c r="RCS50" s="523"/>
      <c r="RCT50" s="523"/>
      <c r="RCU50" s="523"/>
      <c r="RCV50" s="523"/>
      <c r="RCW50" s="523"/>
      <c r="RCX50" s="523"/>
      <c r="RCY50" s="523"/>
      <c r="RCZ50" s="523"/>
      <c r="RDA50" s="523"/>
      <c r="RDB50" s="523"/>
      <c r="RDC50" s="523"/>
      <c r="RDD50" s="523"/>
      <c r="RDE50" s="523"/>
      <c r="RDF50" s="523"/>
      <c r="RDG50" s="523"/>
      <c r="RDH50" s="523"/>
      <c r="RDI50" s="523"/>
      <c r="RDJ50" s="523"/>
      <c r="RDK50" s="523"/>
      <c r="RDL50" s="523"/>
      <c r="RDM50" s="523"/>
      <c r="RDN50" s="523"/>
      <c r="RDO50" s="523"/>
      <c r="RDP50" s="523"/>
      <c r="RDQ50" s="523"/>
      <c r="RDR50" s="523"/>
      <c r="RDS50" s="523"/>
      <c r="RDT50" s="523"/>
      <c r="RDU50" s="523"/>
      <c r="RDV50" s="523"/>
      <c r="RDW50" s="523"/>
      <c r="RDX50" s="523"/>
      <c r="RDY50" s="523"/>
      <c r="RDZ50" s="523"/>
      <c r="REA50" s="523"/>
      <c r="REB50" s="523"/>
      <c r="REC50" s="523"/>
      <c r="RED50" s="523"/>
      <c r="REE50" s="523"/>
      <c r="REF50" s="523"/>
      <c r="REG50" s="523"/>
      <c r="REH50" s="523"/>
      <c r="REI50" s="523"/>
      <c r="REJ50" s="523"/>
      <c r="REK50" s="523"/>
      <c r="REL50" s="523"/>
      <c r="REM50" s="523"/>
      <c r="REN50" s="523"/>
      <c r="REO50" s="523"/>
      <c r="REP50" s="523"/>
      <c r="REQ50" s="523"/>
      <c r="RER50" s="523"/>
      <c r="RES50" s="523"/>
      <c r="RET50" s="523"/>
      <c r="REU50" s="523"/>
      <c r="REV50" s="523"/>
      <c r="REW50" s="523"/>
      <c r="REX50" s="523"/>
      <c r="REY50" s="523"/>
      <c r="REZ50" s="523"/>
      <c r="RFA50" s="523"/>
      <c r="RFB50" s="523"/>
      <c r="RFC50" s="523"/>
      <c r="RFD50" s="523"/>
      <c r="RFE50" s="523"/>
      <c r="RFF50" s="523"/>
      <c r="RFG50" s="523"/>
      <c r="RFH50" s="523"/>
      <c r="RFI50" s="523"/>
      <c r="RFJ50" s="523"/>
      <c r="RFK50" s="523"/>
      <c r="RFL50" s="523"/>
      <c r="RFM50" s="523"/>
      <c r="RFN50" s="523"/>
      <c r="RFO50" s="523"/>
      <c r="RFP50" s="523"/>
      <c r="RFQ50" s="523"/>
      <c r="RFR50" s="523"/>
      <c r="RFS50" s="523"/>
      <c r="RFT50" s="523"/>
      <c r="RFU50" s="523"/>
      <c r="RFV50" s="523"/>
      <c r="RFW50" s="523"/>
      <c r="RFX50" s="523"/>
      <c r="RFY50" s="523"/>
      <c r="RFZ50" s="523"/>
      <c r="RGA50" s="523"/>
      <c r="RGB50" s="523"/>
      <c r="RGC50" s="523"/>
      <c r="RGD50" s="523"/>
      <c r="RGE50" s="523"/>
      <c r="RGF50" s="523"/>
      <c r="RGG50" s="523"/>
      <c r="RGH50" s="523"/>
      <c r="RGI50" s="523"/>
      <c r="RGJ50" s="523"/>
      <c r="RGK50" s="523"/>
      <c r="RGL50" s="523"/>
      <c r="RGM50" s="523"/>
      <c r="RGN50" s="523"/>
      <c r="RGO50" s="523"/>
      <c r="RGP50" s="523"/>
      <c r="RGQ50" s="523"/>
      <c r="RGR50" s="523"/>
      <c r="RGS50" s="523"/>
      <c r="RGT50" s="523"/>
      <c r="RGU50" s="523"/>
      <c r="RGV50" s="523"/>
      <c r="RGW50" s="523"/>
      <c r="RGX50" s="523"/>
      <c r="RGY50" s="523"/>
      <c r="RGZ50" s="523"/>
      <c r="RHA50" s="523"/>
      <c r="RHB50" s="523"/>
      <c r="RHC50" s="523"/>
      <c r="RHD50" s="523"/>
      <c r="RHE50" s="523"/>
      <c r="RHF50" s="523"/>
      <c r="RHG50" s="523"/>
      <c r="RHH50" s="523"/>
      <c r="RHI50" s="523"/>
      <c r="RHJ50" s="523"/>
      <c r="RHK50" s="523"/>
      <c r="RHL50" s="523"/>
      <c r="RHM50" s="523"/>
      <c r="RHN50" s="523"/>
      <c r="RHO50" s="523"/>
      <c r="RHP50" s="523"/>
      <c r="RHQ50" s="523"/>
      <c r="RHR50" s="523"/>
      <c r="RHS50" s="523"/>
      <c r="RHT50" s="523"/>
      <c r="RHU50" s="523"/>
      <c r="RHV50" s="523"/>
      <c r="RHW50" s="523"/>
      <c r="RHX50" s="523"/>
      <c r="RHY50" s="523"/>
      <c r="RHZ50" s="523"/>
      <c r="RIA50" s="523"/>
      <c r="RIB50" s="523"/>
      <c r="RIC50" s="523"/>
      <c r="RID50" s="523"/>
      <c r="RIE50" s="523"/>
      <c r="RIF50" s="523"/>
      <c r="RIG50" s="523"/>
      <c r="RIH50" s="523"/>
      <c r="RII50" s="523"/>
      <c r="RIJ50" s="523"/>
      <c r="RIK50" s="523"/>
      <c r="RIL50" s="523"/>
      <c r="RIM50" s="523"/>
      <c r="RIN50" s="523"/>
      <c r="RIO50" s="523"/>
      <c r="RIP50" s="523"/>
      <c r="RIQ50" s="523"/>
      <c r="RIR50" s="523"/>
      <c r="RIS50" s="523"/>
      <c r="RIT50" s="523"/>
      <c r="RIU50" s="523"/>
      <c r="RIV50" s="523"/>
      <c r="RIW50" s="523"/>
      <c r="RIX50" s="523"/>
      <c r="RIY50" s="523"/>
      <c r="RIZ50" s="523"/>
      <c r="RJA50" s="523"/>
      <c r="RJB50" s="523"/>
      <c r="RJC50" s="523"/>
      <c r="RJD50" s="523"/>
      <c r="RJE50" s="523"/>
      <c r="RJF50" s="523"/>
      <c r="RJG50" s="523"/>
      <c r="RJH50" s="523"/>
      <c r="RJI50" s="523"/>
      <c r="RJJ50" s="523"/>
      <c r="RJK50" s="523"/>
      <c r="RJL50" s="523"/>
      <c r="RJM50" s="523"/>
      <c r="RJN50" s="523"/>
      <c r="RJO50" s="523"/>
      <c r="RJP50" s="523"/>
      <c r="RJQ50" s="523"/>
      <c r="RJR50" s="523"/>
      <c r="RJS50" s="523"/>
      <c r="RJT50" s="523"/>
      <c r="RJU50" s="523"/>
      <c r="RJV50" s="523"/>
      <c r="RJW50" s="523"/>
      <c r="RJX50" s="523"/>
      <c r="RJY50" s="523"/>
      <c r="RJZ50" s="523"/>
      <c r="RKA50" s="523"/>
      <c r="RKB50" s="523"/>
      <c r="RKC50" s="523"/>
      <c r="RKD50" s="523"/>
      <c r="RKE50" s="523"/>
      <c r="RKF50" s="523"/>
      <c r="RKG50" s="523"/>
      <c r="RKH50" s="523"/>
      <c r="RKI50" s="523"/>
      <c r="RKJ50" s="523"/>
      <c r="RKK50" s="523"/>
      <c r="RKL50" s="523"/>
      <c r="RKM50" s="523"/>
      <c r="RKN50" s="523"/>
      <c r="RKO50" s="523"/>
      <c r="RKP50" s="523"/>
      <c r="RKQ50" s="523"/>
      <c r="RKR50" s="523"/>
      <c r="RKS50" s="523"/>
      <c r="RKT50" s="523"/>
      <c r="RKU50" s="523"/>
      <c r="RKV50" s="523"/>
      <c r="RKW50" s="523"/>
      <c r="RKX50" s="523"/>
      <c r="RKY50" s="523"/>
      <c r="RKZ50" s="523"/>
      <c r="RLA50" s="523"/>
      <c r="RLB50" s="523"/>
      <c r="RLC50" s="523"/>
      <c r="RLD50" s="523"/>
      <c r="RLE50" s="523"/>
      <c r="RLF50" s="523"/>
      <c r="RLG50" s="523"/>
      <c r="RLH50" s="523"/>
      <c r="RLI50" s="523"/>
      <c r="RLJ50" s="523"/>
      <c r="RLK50" s="523"/>
      <c r="RLL50" s="523"/>
      <c r="RLM50" s="523"/>
      <c r="RLN50" s="523"/>
      <c r="RLO50" s="523"/>
      <c r="RLP50" s="523"/>
      <c r="RLQ50" s="523"/>
      <c r="RLR50" s="523"/>
      <c r="RLS50" s="523"/>
      <c r="RLT50" s="523"/>
      <c r="RLU50" s="523"/>
      <c r="RLV50" s="523"/>
      <c r="RLW50" s="523"/>
      <c r="RLX50" s="523"/>
      <c r="RLY50" s="523"/>
      <c r="RLZ50" s="523"/>
      <c r="RMA50" s="523"/>
      <c r="RMB50" s="523"/>
      <c r="RMC50" s="523"/>
      <c r="RMD50" s="523"/>
      <c r="RME50" s="523"/>
      <c r="RMF50" s="523"/>
      <c r="RMG50" s="523"/>
      <c r="RMH50" s="523"/>
      <c r="RMI50" s="523"/>
      <c r="RMJ50" s="523"/>
      <c r="RMK50" s="523"/>
      <c r="RML50" s="523"/>
      <c r="RMM50" s="523"/>
      <c r="RMN50" s="523"/>
      <c r="RMO50" s="523"/>
      <c r="RMP50" s="523"/>
      <c r="RMQ50" s="523"/>
      <c r="RMR50" s="523"/>
      <c r="RMS50" s="523"/>
      <c r="RMT50" s="523"/>
      <c r="RMU50" s="523"/>
      <c r="RMV50" s="523"/>
      <c r="RMW50" s="523"/>
      <c r="RMX50" s="523"/>
      <c r="RMY50" s="523"/>
      <c r="RMZ50" s="523"/>
      <c r="RNA50" s="523"/>
      <c r="RNB50" s="523"/>
      <c r="RNC50" s="523"/>
      <c r="RND50" s="523"/>
      <c r="RNE50" s="523"/>
      <c r="RNF50" s="523"/>
      <c r="RNG50" s="523"/>
      <c r="RNH50" s="523"/>
      <c r="RNI50" s="523"/>
      <c r="RNJ50" s="523"/>
      <c r="RNK50" s="523"/>
      <c r="RNL50" s="523"/>
      <c r="RNM50" s="523"/>
      <c r="RNN50" s="523"/>
      <c r="RNO50" s="523"/>
      <c r="RNP50" s="523"/>
      <c r="RNQ50" s="523"/>
      <c r="RNR50" s="523"/>
      <c r="RNS50" s="523"/>
      <c r="RNT50" s="523"/>
      <c r="RNU50" s="523"/>
      <c r="RNV50" s="523"/>
      <c r="RNW50" s="523"/>
      <c r="RNX50" s="523"/>
      <c r="RNY50" s="523"/>
      <c r="RNZ50" s="523"/>
      <c r="ROA50" s="523"/>
      <c r="ROB50" s="523"/>
      <c r="ROC50" s="523"/>
      <c r="ROD50" s="523"/>
      <c r="ROE50" s="523"/>
      <c r="ROF50" s="523"/>
      <c r="ROG50" s="523"/>
      <c r="ROH50" s="523"/>
      <c r="ROI50" s="523"/>
      <c r="ROJ50" s="523"/>
      <c r="ROK50" s="523"/>
      <c r="ROL50" s="523"/>
      <c r="ROM50" s="523"/>
      <c r="RON50" s="523"/>
      <c r="ROO50" s="523"/>
      <c r="ROP50" s="523"/>
      <c r="ROQ50" s="523"/>
      <c r="ROR50" s="523"/>
      <c r="ROS50" s="523"/>
      <c r="ROT50" s="523"/>
      <c r="ROU50" s="523"/>
      <c r="ROV50" s="523"/>
      <c r="ROW50" s="523"/>
      <c r="ROX50" s="523"/>
      <c r="ROY50" s="523"/>
      <c r="ROZ50" s="523"/>
      <c r="RPA50" s="523"/>
      <c r="RPB50" s="523"/>
      <c r="RPC50" s="523"/>
      <c r="RPD50" s="523"/>
      <c r="RPE50" s="523"/>
      <c r="RPF50" s="523"/>
      <c r="RPG50" s="523"/>
      <c r="RPH50" s="523"/>
      <c r="RPI50" s="523"/>
      <c r="RPJ50" s="523"/>
      <c r="RPK50" s="523"/>
      <c r="RPL50" s="523"/>
      <c r="RPM50" s="523"/>
      <c r="RPN50" s="523"/>
      <c r="RPO50" s="523"/>
      <c r="RPP50" s="523"/>
      <c r="RPQ50" s="523"/>
      <c r="RPR50" s="523"/>
      <c r="RPS50" s="523"/>
      <c r="RPT50" s="523"/>
      <c r="RPU50" s="523"/>
      <c r="RPV50" s="523"/>
      <c r="RPW50" s="523"/>
      <c r="RPX50" s="523"/>
      <c r="RPY50" s="523"/>
      <c r="RPZ50" s="523"/>
      <c r="RQA50" s="523"/>
      <c r="RQB50" s="523"/>
      <c r="RQC50" s="523"/>
      <c r="RQD50" s="523"/>
      <c r="RQE50" s="523"/>
      <c r="RQF50" s="523"/>
      <c r="RQG50" s="523"/>
      <c r="RQH50" s="523"/>
      <c r="RQI50" s="523"/>
      <c r="RQJ50" s="523"/>
      <c r="RQK50" s="523"/>
      <c r="RQL50" s="523"/>
      <c r="RQM50" s="523"/>
      <c r="RQN50" s="523"/>
      <c r="RQO50" s="523"/>
      <c r="RQP50" s="523"/>
      <c r="RQQ50" s="523"/>
      <c r="RQR50" s="523"/>
      <c r="RQS50" s="523"/>
      <c r="RQT50" s="523"/>
      <c r="RQU50" s="523"/>
      <c r="RQV50" s="523"/>
      <c r="RQW50" s="523"/>
      <c r="RQX50" s="523"/>
      <c r="RQY50" s="523"/>
      <c r="RQZ50" s="523"/>
      <c r="RRA50" s="523"/>
      <c r="RRB50" s="523"/>
      <c r="RRC50" s="523"/>
      <c r="RRD50" s="523"/>
      <c r="RRE50" s="523"/>
      <c r="RRF50" s="523"/>
      <c r="RRG50" s="523"/>
      <c r="RRH50" s="523"/>
      <c r="RRI50" s="523"/>
      <c r="RRJ50" s="523"/>
      <c r="RRK50" s="523"/>
      <c r="RRL50" s="523"/>
      <c r="RRM50" s="523"/>
      <c r="RRN50" s="523"/>
      <c r="RRO50" s="523"/>
      <c r="RRP50" s="523"/>
      <c r="RRQ50" s="523"/>
      <c r="RRR50" s="523"/>
      <c r="RRS50" s="523"/>
      <c r="RRT50" s="523"/>
      <c r="RRU50" s="523"/>
      <c r="RRV50" s="523"/>
      <c r="RRW50" s="523"/>
      <c r="RRX50" s="523"/>
      <c r="RRY50" s="523"/>
      <c r="RRZ50" s="523"/>
      <c r="RSA50" s="523"/>
      <c r="RSB50" s="523"/>
      <c r="RSC50" s="523"/>
      <c r="RSD50" s="523"/>
      <c r="RSE50" s="523"/>
      <c r="RSF50" s="523"/>
      <c r="RSG50" s="523"/>
      <c r="RSH50" s="523"/>
      <c r="RSI50" s="523"/>
      <c r="RSJ50" s="523"/>
      <c r="RSK50" s="523"/>
      <c r="RSL50" s="523"/>
      <c r="RSM50" s="523"/>
      <c r="RSN50" s="523"/>
      <c r="RSO50" s="523"/>
      <c r="RSP50" s="523"/>
      <c r="RSQ50" s="523"/>
      <c r="RSR50" s="523"/>
      <c r="RSS50" s="523"/>
      <c r="RST50" s="523"/>
      <c r="RSU50" s="523"/>
      <c r="RSV50" s="523"/>
      <c r="RSW50" s="523"/>
      <c r="RSX50" s="523"/>
      <c r="RSY50" s="523"/>
      <c r="RSZ50" s="523"/>
      <c r="RTA50" s="523"/>
      <c r="RTB50" s="523"/>
      <c r="RTC50" s="523"/>
      <c r="RTD50" s="523"/>
      <c r="RTE50" s="523"/>
      <c r="RTF50" s="523"/>
      <c r="RTG50" s="523"/>
      <c r="RTH50" s="523"/>
      <c r="RTI50" s="523"/>
      <c r="RTJ50" s="523"/>
      <c r="RTK50" s="523"/>
      <c r="RTL50" s="523"/>
      <c r="RTM50" s="523"/>
      <c r="RTN50" s="523"/>
      <c r="RTO50" s="523"/>
      <c r="RTP50" s="523"/>
      <c r="RTQ50" s="523"/>
      <c r="RTR50" s="523"/>
      <c r="RTS50" s="523"/>
      <c r="RTT50" s="523"/>
      <c r="RTU50" s="523"/>
      <c r="RTV50" s="523"/>
      <c r="RTW50" s="523"/>
      <c r="RTX50" s="523"/>
      <c r="RTY50" s="523"/>
      <c r="RTZ50" s="523"/>
      <c r="RUA50" s="523"/>
      <c r="RUB50" s="523"/>
      <c r="RUC50" s="523"/>
      <c r="RUD50" s="523"/>
      <c r="RUE50" s="523"/>
      <c r="RUF50" s="523"/>
      <c r="RUG50" s="523"/>
      <c r="RUH50" s="523"/>
      <c r="RUI50" s="523"/>
      <c r="RUJ50" s="523"/>
      <c r="RUK50" s="523"/>
      <c r="RUL50" s="523"/>
      <c r="RUM50" s="523"/>
      <c r="RUN50" s="523"/>
      <c r="RUO50" s="523"/>
      <c r="RUP50" s="523"/>
      <c r="RUQ50" s="523"/>
      <c r="RUR50" s="523"/>
      <c r="RUS50" s="523"/>
      <c r="RUT50" s="523"/>
      <c r="RUU50" s="523"/>
      <c r="RUV50" s="523"/>
      <c r="RUW50" s="523"/>
      <c r="RUX50" s="523"/>
      <c r="RUY50" s="523"/>
      <c r="RUZ50" s="523"/>
      <c r="RVA50" s="523"/>
      <c r="RVB50" s="523"/>
      <c r="RVC50" s="523"/>
      <c r="RVD50" s="523"/>
      <c r="RVE50" s="523"/>
      <c r="RVF50" s="523"/>
      <c r="RVG50" s="523"/>
      <c r="RVH50" s="523"/>
      <c r="RVI50" s="523"/>
      <c r="RVJ50" s="523"/>
      <c r="RVK50" s="523"/>
      <c r="RVL50" s="523"/>
      <c r="RVM50" s="523"/>
      <c r="RVN50" s="523"/>
      <c r="RVO50" s="523"/>
      <c r="RVP50" s="523"/>
      <c r="RVQ50" s="523"/>
      <c r="RVR50" s="523"/>
      <c r="RVS50" s="523"/>
      <c r="RVT50" s="523"/>
      <c r="RVU50" s="523"/>
      <c r="RVV50" s="523"/>
      <c r="RVW50" s="523"/>
      <c r="RVX50" s="523"/>
      <c r="RVY50" s="523"/>
      <c r="RVZ50" s="523"/>
      <c r="RWA50" s="523"/>
      <c r="RWB50" s="523"/>
      <c r="RWC50" s="523"/>
      <c r="RWD50" s="523"/>
      <c r="RWE50" s="523"/>
      <c r="RWF50" s="523"/>
      <c r="RWG50" s="523"/>
      <c r="RWH50" s="523"/>
      <c r="RWI50" s="523"/>
      <c r="RWJ50" s="523"/>
      <c r="RWK50" s="523"/>
      <c r="RWL50" s="523"/>
      <c r="RWM50" s="523"/>
      <c r="RWN50" s="523"/>
      <c r="RWO50" s="523"/>
      <c r="RWP50" s="523"/>
      <c r="RWQ50" s="523"/>
      <c r="RWR50" s="523"/>
      <c r="RWS50" s="523"/>
      <c r="RWT50" s="523"/>
      <c r="RWU50" s="523"/>
      <c r="RWV50" s="523"/>
      <c r="RWW50" s="523"/>
      <c r="RWX50" s="523"/>
      <c r="RWY50" s="523"/>
      <c r="RWZ50" s="523"/>
      <c r="RXA50" s="523"/>
      <c r="RXB50" s="523"/>
      <c r="RXC50" s="523"/>
      <c r="RXD50" s="523"/>
      <c r="RXE50" s="523"/>
      <c r="RXF50" s="523"/>
      <c r="RXG50" s="523"/>
      <c r="RXH50" s="523"/>
      <c r="RXI50" s="523"/>
      <c r="RXJ50" s="523"/>
      <c r="RXK50" s="523"/>
      <c r="RXL50" s="523"/>
      <c r="RXM50" s="523"/>
      <c r="RXN50" s="523"/>
      <c r="RXO50" s="523"/>
      <c r="RXP50" s="523"/>
      <c r="RXQ50" s="523"/>
      <c r="RXR50" s="523"/>
      <c r="RXS50" s="523"/>
      <c r="RXT50" s="523"/>
      <c r="RXU50" s="523"/>
      <c r="RXV50" s="523"/>
      <c r="RXW50" s="523"/>
      <c r="RXX50" s="523"/>
      <c r="RXY50" s="523"/>
      <c r="RXZ50" s="523"/>
      <c r="RYA50" s="523"/>
      <c r="RYB50" s="523"/>
      <c r="RYC50" s="523"/>
      <c r="RYD50" s="523"/>
      <c r="RYE50" s="523"/>
      <c r="RYF50" s="523"/>
      <c r="RYG50" s="523"/>
      <c r="RYH50" s="523"/>
      <c r="RYI50" s="523"/>
      <c r="RYJ50" s="523"/>
      <c r="RYK50" s="523"/>
      <c r="RYL50" s="523"/>
      <c r="RYM50" s="523"/>
      <c r="RYN50" s="523"/>
      <c r="RYO50" s="523"/>
      <c r="RYP50" s="523"/>
      <c r="RYQ50" s="523"/>
      <c r="RYR50" s="523"/>
      <c r="RYS50" s="523"/>
      <c r="RYT50" s="523"/>
      <c r="RYU50" s="523"/>
      <c r="RYV50" s="523"/>
      <c r="RYW50" s="523"/>
      <c r="RYX50" s="523"/>
      <c r="RYY50" s="523"/>
      <c r="RYZ50" s="523"/>
      <c r="RZA50" s="523"/>
      <c r="RZB50" s="523"/>
      <c r="RZC50" s="523"/>
      <c r="RZD50" s="523"/>
      <c r="RZE50" s="523"/>
      <c r="RZF50" s="523"/>
      <c r="RZG50" s="523"/>
      <c r="RZH50" s="523"/>
      <c r="RZI50" s="523"/>
      <c r="RZJ50" s="523"/>
      <c r="RZK50" s="523"/>
      <c r="RZL50" s="523"/>
      <c r="RZM50" s="523"/>
      <c r="RZN50" s="523"/>
      <c r="RZO50" s="523"/>
      <c r="RZP50" s="523"/>
      <c r="RZQ50" s="523"/>
      <c r="RZR50" s="523"/>
      <c r="RZS50" s="523"/>
      <c r="RZT50" s="523"/>
      <c r="RZU50" s="523"/>
      <c r="RZV50" s="523"/>
      <c r="RZW50" s="523"/>
      <c r="RZX50" s="523"/>
      <c r="RZY50" s="523"/>
      <c r="RZZ50" s="523"/>
      <c r="SAA50" s="523"/>
      <c r="SAB50" s="523"/>
      <c r="SAC50" s="523"/>
      <c r="SAD50" s="523"/>
      <c r="SAE50" s="523"/>
      <c r="SAF50" s="523"/>
      <c r="SAG50" s="523"/>
      <c r="SAH50" s="523"/>
      <c r="SAI50" s="523"/>
      <c r="SAJ50" s="523"/>
      <c r="SAK50" s="523"/>
      <c r="SAL50" s="523"/>
      <c r="SAM50" s="523"/>
      <c r="SAN50" s="523"/>
      <c r="SAO50" s="523"/>
      <c r="SAP50" s="523"/>
      <c r="SAQ50" s="523"/>
      <c r="SAR50" s="523"/>
      <c r="SAS50" s="523"/>
      <c r="SAT50" s="523"/>
      <c r="SAU50" s="523"/>
      <c r="SAV50" s="523"/>
      <c r="SAW50" s="523"/>
      <c r="SAX50" s="523"/>
      <c r="SAY50" s="523"/>
      <c r="SAZ50" s="523"/>
      <c r="SBA50" s="523"/>
      <c r="SBB50" s="523"/>
      <c r="SBC50" s="523"/>
      <c r="SBD50" s="523"/>
      <c r="SBE50" s="523"/>
      <c r="SBF50" s="523"/>
      <c r="SBG50" s="523"/>
      <c r="SBH50" s="523"/>
      <c r="SBI50" s="523"/>
      <c r="SBJ50" s="523"/>
      <c r="SBK50" s="523"/>
      <c r="SBL50" s="523"/>
      <c r="SBM50" s="523"/>
      <c r="SBN50" s="523"/>
      <c r="SBO50" s="523"/>
      <c r="SBP50" s="523"/>
      <c r="SBQ50" s="523"/>
      <c r="SBR50" s="523"/>
      <c r="SBS50" s="523"/>
      <c r="SBT50" s="523"/>
      <c r="SBU50" s="523"/>
      <c r="SBV50" s="523"/>
      <c r="SBW50" s="523"/>
      <c r="SBX50" s="523"/>
      <c r="SBY50" s="523"/>
      <c r="SBZ50" s="523"/>
      <c r="SCA50" s="523"/>
      <c r="SCB50" s="523"/>
      <c r="SCC50" s="523"/>
      <c r="SCD50" s="523"/>
      <c r="SCE50" s="523"/>
      <c r="SCF50" s="523"/>
      <c r="SCG50" s="523"/>
      <c r="SCH50" s="523"/>
      <c r="SCI50" s="523"/>
      <c r="SCJ50" s="523"/>
      <c r="SCK50" s="523"/>
      <c r="SCL50" s="523"/>
      <c r="SCM50" s="523"/>
      <c r="SCN50" s="523"/>
      <c r="SCO50" s="523"/>
      <c r="SCP50" s="523"/>
      <c r="SCQ50" s="523"/>
      <c r="SCR50" s="523"/>
      <c r="SCS50" s="523"/>
      <c r="SCT50" s="523"/>
      <c r="SCU50" s="523"/>
      <c r="SCV50" s="523"/>
      <c r="SCW50" s="523"/>
      <c r="SCX50" s="523"/>
      <c r="SCY50" s="523"/>
      <c r="SCZ50" s="523"/>
      <c r="SDA50" s="523"/>
      <c r="SDB50" s="523"/>
      <c r="SDC50" s="523"/>
      <c r="SDD50" s="523"/>
      <c r="SDE50" s="523"/>
      <c r="SDF50" s="523"/>
      <c r="SDG50" s="523"/>
      <c r="SDH50" s="523"/>
      <c r="SDI50" s="523"/>
      <c r="SDJ50" s="523"/>
      <c r="SDK50" s="523"/>
      <c r="SDL50" s="523"/>
      <c r="SDM50" s="523"/>
      <c r="SDN50" s="523"/>
      <c r="SDO50" s="523"/>
      <c r="SDP50" s="523"/>
      <c r="SDQ50" s="523"/>
      <c r="SDR50" s="523"/>
      <c r="SDS50" s="523"/>
      <c r="SDT50" s="523"/>
      <c r="SDU50" s="523"/>
      <c r="SDV50" s="523"/>
      <c r="SDW50" s="523"/>
      <c r="SDX50" s="523"/>
      <c r="SDY50" s="523"/>
      <c r="SDZ50" s="523"/>
      <c r="SEA50" s="523"/>
      <c r="SEB50" s="523"/>
      <c r="SEC50" s="523"/>
      <c r="SED50" s="523"/>
      <c r="SEE50" s="523"/>
      <c r="SEF50" s="523"/>
      <c r="SEG50" s="523"/>
      <c r="SEH50" s="523"/>
      <c r="SEI50" s="523"/>
      <c r="SEJ50" s="523"/>
      <c r="SEK50" s="523"/>
      <c r="SEL50" s="523"/>
      <c r="SEM50" s="523"/>
      <c r="SEN50" s="523"/>
      <c r="SEO50" s="523"/>
      <c r="SEP50" s="523"/>
      <c r="SEQ50" s="523"/>
      <c r="SER50" s="523"/>
      <c r="SES50" s="523"/>
      <c r="SET50" s="523"/>
      <c r="SEU50" s="523"/>
      <c r="SEV50" s="523"/>
      <c r="SEW50" s="523"/>
      <c r="SEX50" s="523"/>
      <c r="SEY50" s="523"/>
      <c r="SEZ50" s="523"/>
      <c r="SFA50" s="523"/>
      <c r="SFB50" s="523"/>
      <c r="SFC50" s="523"/>
      <c r="SFD50" s="523"/>
      <c r="SFE50" s="523"/>
      <c r="SFF50" s="523"/>
      <c r="SFG50" s="523"/>
      <c r="SFH50" s="523"/>
      <c r="SFI50" s="523"/>
      <c r="SFJ50" s="523"/>
      <c r="SFK50" s="523"/>
      <c r="SFL50" s="523"/>
      <c r="SFM50" s="523"/>
      <c r="SFN50" s="523"/>
      <c r="SFO50" s="523"/>
      <c r="SFP50" s="523"/>
      <c r="SFQ50" s="523"/>
      <c r="SFR50" s="523"/>
      <c r="SFS50" s="523"/>
      <c r="SFT50" s="523"/>
      <c r="SFU50" s="523"/>
      <c r="SFV50" s="523"/>
      <c r="SFW50" s="523"/>
      <c r="SFX50" s="523"/>
      <c r="SFY50" s="523"/>
      <c r="SFZ50" s="523"/>
      <c r="SGA50" s="523"/>
      <c r="SGB50" s="523"/>
      <c r="SGC50" s="523"/>
      <c r="SGD50" s="523"/>
      <c r="SGE50" s="523"/>
      <c r="SGF50" s="523"/>
      <c r="SGG50" s="523"/>
      <c r="SGH50" s="523"/>
      <c r="SGI50" s="523"/>
      <c r="SGJ50" s="523"/>
      <c r="SGK50" s="523"/>
      <c r="SGL50" s="523"/>
      <c r="SGM50" s="523"/>
      <c r="SGN50" s="523"/>
      <c r="SGO50" s="523"/>
      <c r="SGP50" s="523"/>
      <c r="SGQ50" s="523"/>
      <c r="SGR50" s="523"/>
      <c r="SGS50" s="523"/>
      <c r="SGT50" s="523"/>
      <c r="SGU50" s="523"/>
      <c r="SGV50" s="523"/>
      <c r="SGW50" s="523"/>
      <c r="SGX50" s="523"/>
      <c r="SGY50" s="523"/>
      <c r="SGZ50" s="523"/>
      <c r="SHA50" s="523"/>
      <c r="SHB50" s="523"/>
      <c r="SHC50" s="523"/>
      <c r="SHD50" s="523"/>
      <c r="SHE50" s="523"/>
      <c r="SHF50" s="523"/>
      <c r="SHG50" s="523"/>
      <c r="SHH50" s="523"/>
      <c r="SHI50" s="523"/>
      <c r="SHJ50" s="523"/>
      <c r="SHK50" s="523"/>
      <c r="SHL50" s="523"/>
      <c r="SHM50" s="523"/>
      <c r="SHN50" s="523"/>
      <c r="SHO50" s="523"/>
      <c r="SHP50" s="523"/>
      <c r="SHQ50" s="523"/>
      <c r="SHR50" s="523"/>
      <c r="SHS50" s="523"/>
      <c r="SHT50" s="523"/>
      <c r="SHU50" s="523"/>
      <c r="SHV50" s="523"/>
      <c r="SHW50" s="523"/>
      <c r="SHX50" s="523"/>
      <c r="SHY50" s="523"/>
      <c r="SHZ50" s="523"/>
      <c r="SIA50" s="523"/>
      <c r="SIB50" s="523"/>
      <c r="SIC50" s="523"/>
      <c r="SID50" s="523"/>
      <c r="SIE50" s="523"/>
      <c r="SIF50" s="523"/>
      <c r="SIG50" s="523"/>
      <c r="SIH50" s="523"/>
      <c r="SII50" s="523"/>
      <c r="SIJ50" s="523"/>
      <c r="SIK50" s="523"/>
      <c r="SIL50" s="523"/>
      <c r="SIM50" s="523"/>
      <c r="SIN50" s="523"/>
      <c r="SIO50" s="523"/>
      <c r="SIP50" s="523"/>
      <c r="SIQ50" s="523"/>
      <c r="SIR50" s="523"/>
      <c r="SIS50" s="523"/>
      <c r="SIT50" s="523"/>
      <c r="SIU50" s="523"/>
      <c r="SIV50" s="523"/>
      <c r="SIW50" s="523"/>
      <c r="SIX50" s="523"/>
      <c r="SIY50" s="523"/>
      <c r="SIZ50" s="523"/>
      <c r="SJA50" s="523"/>
      <c r="SJB50" s="523"/>
      <c r="SJC50" s="523"/>
      <c r="SJD50" s="523"/>
      <c r="SJE50" s="523"/>
      <c r="SJF50" s="523"/>
      <c r="SJG50" s="523"/>
      <c r="SJH50" s="523"/>
      <c r="SJI50" s="523"/>
      <c r="SJJ50" s="523"/>
      <c r="SJK50" s="523"/>
      <c r="SJL50" s="523"/>
      <c r="SJM50" s="523"/>
      <c r="SJN50" s="523"/>
      <c r="SJO50" s="523"/>
      <c r="SJP50" s="523"/>
      <c r="SJQ50" s="523"/>
      <c r="SJR50" s="523"/>
      <c r="SJS50" s="523"/>
      <c r="SJT50" s="523"/>
      <c r="SJU50" s="523"/>
      <c r="SJV50" s="523"/>
      <c r="SJW50" s="523"/>
      <c r="SJX50" s="523"/>
      <c r="SJY50" s="523"/>
      <c r="SJZ50" s="523"/>
      <c r="SKA50" s="523"/>
      <c r="SKB50" s="523"/>
      <c r="SKC50" s="523"/>
      <c r="SKD50" s="523"/>
      <c r="SKE50" s="523"/>
      <c r="SKF50" s="523"/>
      <c r="SKG50" s="523"/>
      <c r="SKH50" s="523"/>
      <c r="SKI50" s="523"/>
      <c r="SKJ50" s="523"/>
      <c r="SKK50" s="523"/>
      <c r="SKL50" s="523"/>
      <c r="SKM50" s="523"/>
      <c r="SKN50" s="523"/>
      <c r="SKO50" s="523"/>
      <c r="SKP50" s="523"/>
      <c r="SKQ50" s="523"/>
      <c r="SKR50" s="523"/>
      <c r="SKS50" s="523"/>
      <c r="SKT50" s="523"/>
      <c r="SKU50" s="523"/>
      <c r="SKV50" s="523"/>
      <c r="SKW50" s="523"/>
      <c r="SKX50" s="523"/>
      <c r="SKY50" s="523"/>
      <c r="SKZ50" s="523"/>
      <c r="SLA50" s="523"/>
      <c r="SLB50" s="523"/>
      <c r="SLC50" s="523"/>
      <c r="SLD50" s="523"/>
      <c r="SLE50" s="523"/>
      <c r="SLF50" s="523"/>
      <c r="SLG50" s="523"/>
      <c r="SLH50" s="523"/>
      <c r="SLI50" s="523"/>
      <c r="SLJ50" s="523"/>
      <c r="SLK50" s="523"/>
      <c r="SLL50" s="523"/>
      <c r="SLM50" s="523"/>
      <c r="SLN50" s="523"/>
      <c r="SLO50" s="523"/>
      <c r="SLP50" s="523"/>
      <c r="SLQ50" s="523"/>
      <c r="SLR50" s="523"/>
      <c r="SLS50" s="523"/>
      <c r="SLT50" s="523"/>
      <c r="SLU50" s="523"/>
      <c r="SLV50" s="523"/>
      <c r="SLW50" s="523"/>
      <c r="SLX50" s="523"/>
      <c r="SLY50" s="523"/>
      <c r="SLZ50" s="523"/>
      <c r="SMA50" s="523"/>
      <c r="SMB50" s="523"/>
      <c r="SMC50" s="523"/>
      <c r="SMD50" s="523"/>
      <c r="SME50" s="523"/>
      <c r="SMF50" s="523"/>
      <c r="SMG50" s="523"/>
      <c r="SMH50" s="523"/>
      <c r="SMI50" s="523"/>
      <c r="SMJ50" s="523"/>
      <c r="SMK50" s="523"/>
      <c r="SML50" s="523"/>
      <c r="SMM50" s="523"/>
      <c r="SMN50" s="523"/>
      <c r="SMO50" s="523"/>
      <c r="SMP50" s="523"/>
      <c r="SMQ50" s="523"/>
      <c r="SMR50" s="523"/>
      <c r="SMS50" s="523"/>
      <c r="SMT50" s="523"/>
      <c r="SMU50" s="523"/>
      <c r="SMV50" s="523"/>
      <c r="SMW50" s="523"/>
      <c r="SMX50" s="523"/>
      <c r="SMY50" s="523"/>
      <c r="SMZ50" s="523"/>
      <c r="SNA50" s="523"/>
      <c r="SNB50" s="523"/>
      <c r="SNC50" s="523"/>
      <c r="SND50" s="523"/>
      <c r="SNE50" s="523"/>
      <c r="SNF50" s="523"/>
      <c r="SNG50" s="523"/>
      <c r="SNH50" s="523"/>
      <c r="SNI50" s="523"/>
      <c r="SNJ50" s="523"/>
      <c r="SNK50" s="523"/>
      <c r="SNL50" s="523"/>
      <c r="SNM50" s="523"/>
      <c r="SNN50" s="523"/>
      <c r="SNO50" s="523"/>
      <c r="SNP50" s="523"/>
      <c r="SNQ50" s="523"/>
      <c r="SNR50" s="523"/>
      <c r="SNS50" s="523"/>
      <c r="SNT50" s="523"/>
      <c r="SNU50" s="523"/>
      <c r="SNV50" s="523"/>
      <c r="SNW50" s="523"/>
      <c r="SNX50" s="523"/>
      <c r="SNY50" s="523"/>
      <c r="SNZ50" s="523"/>
      <c r="SOA50" s="523"/>
      <c r="SOB50" s="523"/>
      <c r="SOC50" s="523"/>
      <c r="SOD50" s="523"/>
      <c r="SOE50" s="523"/>
      <c r="SOF50" s="523"/>
      <c r="SOG50" s="523"/>
      <c r="SOH50" s="523"/>
      <c r="SOI50" s="523"/>
      <c r="SOJ50" s="523"/>
      <c r="SOK50" s="523"/>
      <c r="SOL50" s="523"/>
      <c r="SOM50" s="523"/>
      <c r="SON50" s="523"/>
      <c r="SOO50" s="523"/>
      <c r="SOP50" s="523"/>
      <c r="SOQ50" s="523"/>
      <c r="SOR50" s="523"/>
      <c r="SOS50" s="523"/>
      <c r="SOT50" s="523"/>
      <c r="SOU50" s="523"/>
      <c r="SOV50" s="523"/>
      <c r="SOW50" s="523"/>
      <c r="SOX50" s="523"/>
      <c r="SOY50" s="523"/>
      <c r="SOZ50" s="523"/>
      <c r="SPA50" s="523"/>
      <c r="SPB50" s="523"/>
      <c r="SPC50" s="523"/>
      <c r="SPD50" s="523"/>
      <c r="SPE50" s="523"/>
      <c r="SPF50" s="523"/>
      <c r="SPG50" s="523"/>
      <c r="SPH50" s="523"/>
      <c r="SPI50" s="523"/>
      <c r="SPJ50" s="523"/>
      <c r="SPK50" s="523"/>
      <c r="SPL50" s="523"/>
      <c r="SPM50" s="523"/>
      <c r="SPN50" s="523"/>
      <c r="SPO50" s="523"/>
      <c r="SPP50" s="523"/>
      <c r="SPQ50" s="523"/>
      <c r="SPR50" s="523"/>
      <c r="SPS50" s="523"/>
      <c r="SPT50" s="523"/>
      <c r="SPU50" s="523"/>
      <c r="SPV50" s="523"/>
      <c r="SPW50" s="523"/>
      <c r="SPX50" s="523"/>
      <c r="SPY50" s="523"/>
      <c r="SPZ50" s="523"/>
      <c r="SQA50" s="523"/>
      <c r="SQB50" s="523"/>
      <c r="SQC50" s="523"/>
      <c r="SQD50" s="523"/>
      <c r="SQE50" s="523"/>
      <c r="SQF50" s="523"/>
      <c r="SQG50" s="523"/>
      <c r="SQH50" s="523"/>
      <c r="SQI50" s="523"/>
      <c r="SQJ50" s="523"/>
      <c r="SQK50" s="523"/>
      <c r="SQL50" s="523"/>
      <c r="SQM50" s="523"/>
      <c r="SQN50" s="523"/>
      <c r="SQO50" s="523"/>
      <c r="SQP50" s="523"/>
      <c r="SQQ50" s="523"/>
      <c r="SQR50" s="523"/>
      <c r="SQS50" s="523"/>
      <c r="SQT50" s="523"/>
      <c r="SQU50" s="523"/>
      <c r="SQV50" s="523"/>
      <c r="SQW50" s="523"/>
      <c r="SQX50" s="523"/>
      <c r="SQY50" s="523"/>
      <c r="SQZ50" s="523"/>
      <c r="SRA50" s="523"/>
      <c r="SRB50" s="523"/>
      <c r="SRC50" s="523"/>
      <c r="SRD50" s="523"/>
      <c r="SRE50" s="523"/>
      <c r="SRF50" s="523"/>
      <c r="SRG50" s="523"/>
      <c r="SRH50" s="523"/>
      <c r="SRI50" s="523"/>
      <c r="SRJ50" s="523"/>
      <c r="SRK50" s="523"/>
      <c r="SRL50" s="523"/>
      <c r="SRM50" s="523"/>
      <c r="SRN50" s="523"/>
      <c r="SRO50" s="523"/>
      <c r="SRP50" s="523"/>
      <c r="SRQ50" s="523"/>
      <c r="SRR50" s="523"/>
      <c r="SRS50" s="523"/>
      <c r="SRT50" s="523"/>
      <c r="SRU50" s="523"/>
      <c r="SRV50" s="523"/>
      <c r="SRW50" s="523"/>
      <c r="SRX50" s="523"/>
      <c r="SRY50" s="523"/>
      <c r="SRZ50" s="523"/>
      <c r="SSA50" s="523"/>
      <c r="SSB50" s="523"/>
      <c r="SSC50" s="523"/>
      <c r="SSD50" s="523"/>
      <c r="SSE50" s="523"/>
      <c r="SSF50" s="523"/>
      <c r="SSG50" s="523"/>
      <c r="SSH50" s="523"/>
      <c r="SSI50" s="523"/>
      <c r="SSJ50" s="523"/>
      <c r="SSK50" s="523"/>
      <c r="SSL50" s="523"/>
      <c r="SSM50" s="523"/>
      <c r="SSN50" s="523"/>
      <c r="SSO50" s="523"/>
      <c r="SSP50" s="523"/>
      <c r="SSQ50" s="523"/>
      <c r="SSR50" s="523"/>
      <c r="SSS50" s="523"/>
      <c r="SST50" s="523"/>
      <c r="SSU50" s="523"/>
      <c r="SSV50" s="523"/>
      <c r="SSW50" s="523"/>
      <c r="SSX50" s="523"/>
      <c r="SSY50" s="523"/>
      <c r="SSZ50" s="523"/>
      <c r="STA50" s="523"/>
      <c r="STB50" s="523"/>
      <c r="STC50" s="523"/>
      <c r="STD50" s="523"/>
      <c r="STE50" s="523"/>
      <c r="STF50" s="523"/>
      <c r="STG50" s="523"/>
      <c r="STH50" s="523"/>
      <c r="STI50" s="523"/>
      <c r="STJ50" s="523"/>
      <c r="STK50" s="523"/>
      <c r="STL50" s="523"/>
      <c r="STM50" s="523"/>
      <c r="STN50" s="523"/>
      <c r="STO50" s="523"/>
      <c r="STP50" s="523"/>
      <c r="STQ50" s="523"/>
      <c r="STR50" s="523"/>
      <c r="STS50" s="523"/>
      <c r="STT50" s="523"/>
      <c r="STU50" s="523"/>
      <c r="STV50" s="523"/>
      <c r="STW50" s="523"/>
      <c r="STX50" s="523"/>
      <c r="STY50" s="523"/>
      <c r="STZ50" s="523"/>
      <c r="SUA50" s="523"/>
      <c r="SUB50" s="523"/>
      <c r="SUC50" s="523"/>
      <c r="SUD50" s="523"/>
      <c r="SUE50" s="523"/>
      <c r="SUF50" s="523"/>
      <c r="SUG50" s="523"/>
      <c r="SUH50" s="523"/>
      <c r="SUI50" s="523"/>
      <c r="SUJ50" s="523"/>
      <c r="SUK50" s="523"/>
      <c r="SUL50" s="523"/>
      <c r="SUM50" s="523"/>
      <c r="SUN50" s="523"/>
      <c r="SUO50" s="523"/>
      <c r="SUP50" s="523"/>
      <c r="SUQ50" s="523"/>
      <c r="SUR50" s="523"/>
      <c r="SUS50" s="523"/>
      <c r="SUT50" s="523"/>
      <c r="SUU50" s="523"/>
      <c r="SUV50" s="523"/>
      <c r="SUW50" s="523"/>
      <c r="SUX50" s="523"/>
      <c r="SUY50" s="523"/>
      <c r="SUZ50" s="523"/>
      <c r="SVA50" s="523"/>
      <c r="SVB50" s="523"/>
      <c r="SVC50" s="523"/>
      <c r="SVD50" s="523"/>
      <c r="SVE50" s="523"/>
      <c r="SVF50" s="523"/>
      <c r="SVG50" s="523"/>
      <c r="SVH50" s="523"/>
      <c r="SVI50" s="523"/>
      <c r="SVJ50" s="523"/>
      <c r="SVK50" s="523"/>
      <c r="SVL50" s="523"/>
      <c r="SVM50" s="523"/>
      <c r="SVN50" s="523"/>
      <c r="SVO50" s="523"/>
      <c r="SVP50" s="523"/>
      <c r="SVQ50" s="523"/>
      <c r="SVR50" s="523"/>
      <c r="SVS50" s="523"/>
      <c r="SVT50" s="523"/>
      <c r="SVU50" s="523"/>
      <c r="SVV50" s="523"/>
      <c r="SVW50" s="523"/>
      <c r="SVX50" s="523"/>
      <c r="SVY50" s="523"/>
      <c r="SVZ50" s="523"/>
      <c r="SWA50" s="523"/>
      <c r="SWB50" s="523"/>
      <c r="SWC50" s="523"/>
      <c r="SWD50" s="523"/>
      <c r="SWE50" s="523"/>
      <c r="SWF50" s="523"/>
      <c r="SWG50" s="523"/>
      <c r="SWH50" s="523"/>
      <c r="SWI50" s="523"/>
      <c r="SWJ50" s="523"/>
      <c r="SWK50" s="523"/>
      <c r="SWL50" s="523"/>
      <c r="SWM50" s="523"/>
      <c r="SWN50" s="523"/>
      <c r="SWO50" s="523"/>
      <c r="SWP50" s="523"/>
      <c r="SWQ50" s="523"/>
      <c r="SWR50" s="523"/>
      <c r="SWS50" s="523"/>
      <c r="SWT50" s="523"/>
      <c r="SWU50" s="523"/>
      <c r="SWV50" s="523"/>
      <c r="SWW50" s="523"/>
      <c r="SWX50" s="523"/>
      <c r="SWY50" s="523"/>
      <c r="SWZ50" s="523"/>
      <c r="SXA50" s="523"/>
      <c r="SXB50" s="523"/>
      <c r="SXC50" s="523"/>
      <c r="SXD50" s="523"/>
      <c r="SXE50" s="523"/>
      <c r="SXF50" s="523"/>
      <c r="SXG50" s="523"/>
      <c r="SXH50" s="523"/>
      <c r="SXI50" s="523"/>
      <c r="SXJ50" s="523"/>
      <c r="SXK50" s="523"/>
      <c r="SXL50" s="523"/>
      <c r="SXM50" s="523"/>
      <c r="SXN50" s="523"/>
      <c r="SXO50" s="523"/>
      <c r="SXP50" s="523"/>
      <c r="SXQ50" s="523"/>
      <c r="SXR50" s="523"/>
      <c r="SXS50" s="523"/>
      <c r="SXT50" s="523"/>
      <c r="SXU50" s="523"/>
      <c r="SXV50" s="523"/>
      <c r="SXW50" s="523"/>
      <c r="SXX50" s="523"/>
      <c r="SXY50" s="523"/>
      <c r="SXZ50" s="523"/>
      <c r="SYA50" s="523"/>
      <c r="SYB50" s="523"/>
      <c r="SYC50" s="523"/>
      <c r="SYD50" s="523"/>
      <c r="SYE50" s="523"/>
      <c r="SYF50" s="523"/>
      <c r="SYG50" s="523"/>
      <c r="SYH50" s="523"/>
      <c r="SYI50" s="523"/>
      <c r="SYJ50" s="523"/>
      <c r="SYK50" s="523"/>
      <c r="SYL50" s="523"/>
      <c r="SYM50" s="523"/>
      <c r="SYN50" s="523"/>
      <c r="SYO50" s="523"/>
      <c r="SYP50" s="523"/>
      <c r="SYQ50" s="523"/>
      <c r="SYR50" s="523"/>
      <c r="SYS50" s="523"/>
      <c r="SYT50" s="523"/>
      <c r="SYU50" s="523"/>
      <c r="SYV50" s="523"/>
      <c r="SYW50" s="523"/>
      <c r="SYX50" s="523"/>
      <c r="SYY50" s="523"/>
      <c r="SYZ50" s="523"/>
      <c r="SZA50" s="523"/>
      <c r="SZB50" s="523"/>
      <c r="SZC50" s="523"/>
      <c r="SZD50" s="523"/>
      <c r="SZE50" s="523"/>
      <c r="SZF50" s="523"/>
      <c r="SZG50" s="523"/>
      <c r="SZH50" s="523"/>
      <c r="SZI50" s="523"/>
      <c r="SZJ50" s="523"/>
      <c r="SZK50" s="523"/>
      <c r="SZL50" s="523"/>
      <c r="SZM50" s="523"/>
      <c r="SZN50" s="523"/>
      <c r="SZO50" s="523"/>
      <c r="SZP50" s="523"/>
      <c r="SZQ50" s="523"/>
      <c r="SZR50" s="523"/>
      <c r="SZS50" s="523"/>
      <c r="SZT50" s="523"/>
      <c r="SZU50" s="523"/>
      <c r="SZV50" s="523"/>
      <c r="SZW50" s="523"/>
      <c r="SZX50" s="523"/>
      <c r="SZY50" s="523"/>
      <c r="SZZ50" s="523"/>
      <c r="TAA50" s="523"/>
      <c r="TAB50" s="523"/>
      <c r="TAC50" s="523"/>
      <c r="TAD50" s="523"/>
      <c r="TAE50" s="523"/>
      <c r="TAF50" s="523"/>
      <c r="TAG50" s="523"/>
      <c r="TAH50" s="523"/>
      <c r="TAI50" s="523"/>
      <c r="TAJ50" s="523"/>
      <c r="TAK50" s="523"/>
      <c r="TAL50" s="523"/>
      <c r="TAM50" s="523"/>
      <c r="TAN50" s="523"/>
      <c r="TAO50" s="523"/>
      <c r="TAP50" s="523"/>
      <c r="TAQ50" s="523"/>
      <c r="TAR50" s="523"/>
      <c r="TAS50" s="523"/>
      <c r="TAT50" s="523"/>
      <c r="TAU50" s="523"/>
      <c r="TAV50" s="523"/>
      <c r="TAW50" s="523"/>
      <c r="TAX50" s="523"/>
      <c r="TAY50" s="523"/>
      <c r="TAZ50" s="523"/>
      <c r="TBA50" s="523"/>
      <c r="TBB50" s="523"/>
      <c r="TBC50" s="523"/>
      <c r="TBD50" s="523"/>
      <c r="TBE50" s="523"/>
      <c r="TBF50" s="523"/>
      <c r="TBG50" s="523"/>
      <c r="TBH50" s="523"/>
      <c r="TBI50" s="523"/>
      <c r="TBJ50" s="523"/>
      <c r="TBK50" s="523"/>
      <c r="TBL50" s="523"/>
      <c r="TBM50" s="523"/>
      <c r="TBN50" s="523"/>
      <c r="TBO50" s="523"/>
      <c r="TBP50" s="523"/>
      <c r="TBQ50" s="523"/>
      <c r="TBR50" s="523"/>
      <c r="TBS50" s="523"/>
      <c r="TBT50" s="523"/>
      <c r="TBU50" s="523"/>
      <c r="TBV50" s="523"/>
      <c r="TBW50" s="523"/>
      <c r="TBX50" s="523"/>
      <c r="TBY50" s="523"/>
      <c r="TBZ50" s="523"/>
      <c r="TCA50" s="523"/>
      <c r="TCB50" s="523"/>
      <c r="TCC50" s="523"/>
      <c r="TCD50" s="523"/>
      <c r="TCE50" s="523"/>
      <c r="TCF50" s="523"/>
      <c r="TCG50" s="523"/>
      <c r="TCH50" s="523"/>
      <c r="TCI50" s="523"/>
      <c r="TCJ50" s="523"/>
      <c r="TCK50" s="523"/>
      <c r="TCL50" s="523"/>
      <c r="TCM50" s="523"/>
      <c r="TCN50" s="523"/>
      <c r="TCO50" s="523"/>
      <c r="TCP50" s="523"/>
      <c r="TCQ50" s="523"/>
      <c r="TCR50" s="523"/>
      <c r="TCS50" s="523"/>
      <c r="TCT50" s="523"/>
      <c r="TCU50" s="523"/>
      <c r="TCV50" s="523"/>
      <c r="TCW50" s="523"/>
      <c r="TCX50" s="523"/>
      <c r="TCY50" s="523"/>
      <c r="TCZ50" s="523"/>
      <c r="TDA50" s="523"/>
      <c r="TDB50" s="523"/>
      <c r="TDC50" s="523"/>
      <c r="TDD50" s="523"/>
      <c r="TDE50" s="523"/>
      <c r="TDF50" s="523"/>
      <c r="TDG50" s="523"/>
      <c r="TDH50" s="523"/>
      <c r="TDI50" s="523"/>
      <c r="TDJ50" s="523"/>
      <c r="TDK50" s="523"/>
      <c r="TDL50" s="523"/>
      <c r="TDM50" s="523"/>
      <c r="TDN50" s="523"/>
      <c r="TDO50" s="523"/>
      <c r="TDP50" s="523"/>
      <c r="TDQ50" s="523"/>
      <c r="TDR50" s="523"/>
      <c r="TDS50" s="523"/>
      <c r="TDT50" s="523"/>
      <c r="TDU50" s="523"/>
      <c r="TDV50" s="523"/>
      <c r="TDW50" s="523"/>
      <c r="TDX50" s="523"/>
      <c r="TDY50" s="523"/>
      <c r="TDZ50" s="523"/>
      <c r="TEA50" s="523"/>
      <c r="TEB50" s="523"/>
      <c r="TEC50" s="523"/>
      <c r="TED50" s="523"/>
      <c r="TEE50" s="523"/>
      <c r="TEF50" s="523"/>
      <c r="TEG50" s="523"/>
      <c r="TEH50" s="523"/>
      <c r="TEI50" s="523"/>
      <c r="TEJ50" s="523"/>
      <c r="TEK50" s="523"/>
      <c r="TEL50" s="523"/>
      <c r="TEM50" s="523"/>
      <c r="TEN50" s="523"/>
      <c r="TEO50" s="523"/>
      <c r="TEP50" s="523"/>
      <c r="TEQ50" s="523"/>
      <c r="TER50" s="523"/>
      <c r="TES50" s="523"/>
      <c r="TET50" s="523"/>
      <c r="TEU50" s="523"/>
      <c r="TEV50" s="523"/>
      <c r="TEW50" s="523"/>
      <c r="TEX50" s="523"/>
      <c r="TEY50" s="523"/>
      <c r="TEZ50" s="523"/>
      <c r="TFA50" s="523"/>
      <c r="TFB50" s="523"/>
      <c r="TFC50" s="523"/>
      <c r="TFD50" s="523"/>
      <c r="TFE50" s="523"/>
      <c r="TFF50" s="523"/>
      <c r="TFG50" s="523"/>
      <c r="TFH50" s="523"/>
      <c r="TFI50" s="523"/>
      <c r="TFJ50" s="523"/>
      <c r="TFK50" s="523"/>
      <c r="TFL50" s="523"/>
      <c r="TFM50" s="523"/>
      <c r="TFN50" s="523"/>
      <c r="TFO50" s="523"/>
      <c r="TFP50" s="523"/>
      <c r="TFQ50" s="523"/>
      <c r="TFR50" s="523"/>
      <c r="TFS50" s="523"/>
      <c r="TFT50" s="523"/>
      <c r="TFU50" s="523"/>
      <c r="TFV50" s="523"/>
      <c r="TFW50" s="523"/>
      <c r="TFX50" s="523"/>
      <c r="TFY50" s="523"/>
      <c r="TFZ50" s="523"/>
      <c r="TGA50" s="523"/>
      <c r="TGB50" s="523"/>
      <c r="TGC50" s="523"/>
      <c r="TGD50" s="523"/>
      <c r="TGE50" s="523"/>
      <c r="TGF50" s="523"/>
      <c r="TGG50" s="523"/>
      <c r="TGH50" s="523"/>
      <c r="TGI50" s="523"/>
      <c r="TGJ50" s="523"/>
      <c r="TGK50" s="523"/>
      <c r="TGL50" s="523"/>
      <c r="TGM50" s="523"/>
      <c r="TGN50" s="523"/>
      <c r="TGO50" s="523"/>
      <c r="TGP50" s="523"/>
      <c r="TGQ50" s="523"/>
      <c r="TGR50" s="523"/>
      <c r="TGS50" s="523"/>
      <c r="TGT50" s="523"/>
      <c r="TGU50" s="523"/>
      <c r="TGV50" s="523"/>
      <c r="TGW50" s="523"/>
      <c r="TGX50" s="523"/>
      <c r="TGY50" s="523"/>
      <c r="TGZ50" s="523"/>
      <c r="THA50" s="523"/>
      <c r="THB50" s="523"/>
      <c r="THC50" s="523"/>
      <c r="THD50" s="523"/>
      <c r="THE50" s="523"/>
      <c r="THF50" s="523"/>
      <c r="THG50" s="523"/>
      <c r="THH50" s="523"/>
      <c r="THI50" s="523"/>
      <c r="THJ50" s="523"/>
      <c r="THK50" s="523"/>
      <c r="THL50" s="523"/>
      <c r="THM50" s="523"/>
      <c r="THN50" s="523"/>
      <c r="THO50" s="523"/>
      <c r="THP50" s="523"/>
      <c r="THQ50" s="523"/>
      <c r="THR50" s="523"/>
      <c r="THS50" s="523"/>
      <c r="THT50" s="523"/>
      <c r="THU50" s="523"/>
      <c r="THV50" s="523"/>
      <c r="THW50" s="523"/>
      <c r="THX50" s="523"/>
      <c r="THY50" s="523"/>
      <c r="THZ50" s="523"/>
      <c r="TIA50" s="523"/>
      <c r="TIB50" s="523"/>
      <c r="TIC50" s="523"/>
      <c r="TID50" s="523"/>
      <c r="TIE50" s="523"/>
      <c r="TIF50" s="523"/>
      <c r="TIG50" s="523"/>
      <c r="TIH50" s="523"/>
      <c r="TII50" s="523"/>
      <c r="TIJ50" s="523"/>
      <c r="TIK50" s="523"/>
      <c r="TIL50" s="523"/>
      <c r="TIM50" s="523"/>
      <c r="TIN50" s="523"/>
      <c r="TIO50" s="523"/>
      <c r="TIP50" s="523"/>
      <c r="TIQ50" s="523"/>
      <c r="TIR50" s="523"/>
      <c r="TIS50" s="523"/>
      <c r="TIT50" s="523"/>
      <c r="TIU50" s="523"/>
      <c r="TIV50" s="523"/>
      <c r="TIW50" s="523"/>
      <c r="TIX50" s="523"/>
      <c r="TIY50" s="523"/>
      <c r="TIZ50" s="523"/>
      <c r="TJA50" s="523"/>
      <c r="TJB50" s="523"/>
      <c r="TJC50" s="523"/>
      <c r="TJD50" s="523"/>
      <c r="TJE50" s="523"/>
      <c r="TJF50" s="523"/>
      <c r="TJG50" s="523"/>
      <c r="TJH50" s="523"/>
      <c r="TJI50" s="523"/>
      <c r="TJJ50" s="523"/>
      <c r="TJK50" s="523"/>
      <c r="TJL50" s="523"/>
      <c r="TJM50" s="523"/>
      <c r="TJN50" s="523"/>
      <c r="TJO50" s="523"/>
      <c r="TJP50" s="523"/>
      <c r="TJQ50" s="523"/>
      <c r="TJR50" s="523"/>
      <c r="TJS50" s="523"/>
      <c r="TJT50" s="523"/>
      <c r="TJU50" s="523"/>
      <c r="TJV50" s="523"/>
      <c r="TJW50" s="523"/>
      <c r="TJX50" s="523"/>
      <c r="TJY50" s="523"/>
      <c r="TJZ50" s="523"/>
      <c r="TKA50" s="523"/>
      <c r="TKB50" s="523"/>
      <c r="TKC50" s="523"/>
      <c r="TKD50" s="523"/>
      <c r="TKE50" s="523"/>
      <c r="TKF50" s="523"/>
      <c r="TKG50" s="523"/>
      <c r="TKH50" s="523"/>
      <c r="TKI50" s="523"/>
      <c r="TKJ50" s="523"/>
      <c r="TKK50" s="523"/>
      <c r="TKL50" s="523"/>
      <c r="TKM50" s="523"/>
      <c r="TKN50" s="523"/>
      <c r="TKO50" s="523"/>
      <c r="TKP50" s="523"/>
      <c r="TKQ50" s="523"/>
      <c r="TKR50" s="523"/>
      <c r="TKS50" s="523"/>
      <c r="TKT50" s="523"/>
      <c r="TKU50" s="523"/>
      <c r="TKV50" s="523"/>
      <c r="TKW50" s="523"/>
      <c r="TKX50" s="523"/>
      <c r="TKY50" s="523"/>
      <c r="TKZ50" s="523"/>
      <c r="TLA50" s="523"/>
      <c r="TLB50" s="523"/>
      <c r="TLC50" s="523"/>
      <c r="TLD50" s="523"/>
      <c r="TLE50" s="523"/>
      <c r="TLF50" s="523"/>
      <c r="TLG50" s="523"/>
      <c r="TLH50" s="523"/>
      <c r="TLI50" s="523"/>
      <c r="TLJ50" s="523"/>
      <c r="TLK50" s="523"/>
      <c r="TLL50" s="523"/>
      <c r="TLM50" s="523"/>
      <c r="TLN50" s="523"/>
      <c r="TLO50" s="523"/>
      <c r="TLP50" s="523"/>
      <c r="TLQ50" s="523"/>
      <c r="TLR50" s="523"/>
      <c r="TLS50" s="523"/>
      <c r="TLT50" s="523"/>
      <c r="TLU50" s="523"/>
      <c r="TLV50" s="523"/>
      <c r="TLW50" s="523"/>
      <c r="TLX50" s="523"/>
      <c r="TLY50" s="523"/>
      <c r="TLZ50" s="523"/>
      <c r="TMA50" s="523"/>
      <c r="TMB50" s="523"/>
      <c r="TMC50" s="523"/>
      <c r="TMD50" s="523"/>
      <c r="TME50" s="523"/>
      <c r="TMF50" s="523"/>
      <c r="TMG50" s="523"/>
      <c r="TMH50" s="523"/>
      <c r="TMI50" s="523"/>
      <c r="TMJ50" s="523"/>
      <c r="TMK50" s="523"/>
      <c r="TML50" s="523"/>
      <c r="TMM50" s="523"/>
      <c r="TMN50" s="523"/>
      <c r="TMO50" s="523"/>
      <c r="TMP50" s="523"/>
      <c r="TMQ50" s="523"/>
      <c r="TMR50" s="523"/>
      <c r="TMS50" s="523"/>
      <c r="TMT50" s="523"/>
      <c r="TMU50" s="523"/>
      <c r="TMV50" s="523"/>
      <c r="TMW50" s="523"/>
      <c r="TMX50" s="523"/>
      <c r="TMY50" s="523"/>
      <c r="TMZ50" s="523"/>
      <c r="TNA50" s="523"/>
      <c r="TNB50" s="523"/>
      <c r="TNC50" s="523"/>
      <c r="TND50" s="523"/>
      <c r="TNE50" s="523"/>
      <c r="TNF50" s="523"/>
      <c r="TNG50" s="523"/>
      <c r="TNH50" s="523"/>
      <c r="TNI50" s="523"/>
      <c r="TNJ50" s="523"/>
      <c r="TNK50" s="523"/>
      <c r="TNL50" s="523"/>
      <c r="TNM50" s="523"/>
      <c r="TNN50" s="523"/>
      <c r="TNO50" s="523"/>
      <c r="TNP50" s="523"/>
      <c r="TNQ50" s="523"/>
      <c r="TNR50" s="523"/>
      <c r="TNS50" s="523"/>
      <c r="TNT50" s="523"/>
      <c r="TNU50" s="523"/>
      <c r="TNV50" s="523"/>
      <c r="TNW50" s="523"/>
      <c r="TNX50" s="523"/>
      <c r="TNY50" s="523"/>
      <c r="TNZ50" s="523"/>
      <c r="TOA50" s="523"/>
      <c r="TOB50" s="523"/>
      <c r="TOC50" s="523"/>
      <c r="TOD50" s="523"/>
      <c r="TOE50" s="523"/>
      <c r="TOF50" s="523"/>
      <c r="TOG50" s="523"/>
      <c r="TOH50" s="523"/>
      <c r="TOI50" s="523"/>
      <c r="TOJ50" s="523"/>
      <c r="TOK50" s="523"/>
      <c r="TOL50" s="523"/>
      <c r="TOM50" s="523"/>
      <c r="TON50" s="523"/>
      <c r="TOO50" s="523"/>
      <c r="TOP50" s="523"/>
      <c r="TOQ50" s="523"/>
      <c r="TOR50" s="523"/>
      <c r="TOS50" s="523"/>
      <c r="TOT50" s="523"/>
      <c r="TOU50" s="523"/>
      <c r="TOV50" s="523"/>
      <c r="TOW50" s="523"/>
      <c r="TOX50" s="523"/>
      <c r="TOY50" s="523"/>
      <c r="TOZ50" s="523"/>
      <c r="TPA50" s="523"/>
      <c r="TPB50" s="523"/>
      <c r="TPC50" s="523"/>
      <c r="TPD50" s="523"/>
      <c r="TPE50" s="523"/>
      <c r="TPF50" s="523"/>
      <c r="TPG50" s="523"/>
      <c r="TPH50" s="523"/>
      <c r="TPI50" s="523"/>
      <c r="TPJ50" s="523"/>
      <c r="TPK50" s="523"/>
      <c r="TPL50" s="523"/>
      <c r="TPM50" s="523"/>
      <c r="TPN50" s="523"/>
      <c r="TPO50" s="523"/>
      <c r="TPP50" s="523"/>
      <c r="TPQ50" s="523"/>
      <c r="TPR50" s="523"/>
      <c r="TPS50" s="523"/>
      <c r="TPT50" s="523"/>
      <c r="TPU50" s="523"/>
      <c r="TPV50" s="523"/>
      <c r="TPW50" s="523"/>
      <c r="TPX50" s="523"/>
      <c r="TPY50" s="523"/>
      <c r="TPZ50" s="523"/>
      <c r="TQA50" s="523"/>
      <c r="TQB50" s="523"/>
      <c r="TQC50" s="523"/>
      <c r="TQD50" s="523"/>
      <c r="TQE50" s="523"/>
      <c r="TQF50" s="523"/>
      <c r="TQG50" s="523"/>
      <c r="TQH50" s="523"/>
      <c r="TQI50" s="523"/>
      <c r="TQJ50" s="523"/>
      <c r="TQK50" s="523"/>
      <c r="TQL50" s="523"/>
      <c r="TQM50" s="523"/>
      <c r="TQN50" s="523"/>
      <c r="TQO50" s="523"/>
      <c r="TQP50" s="523"/>
      <c r="TQQ50" s="523"/>
      <c r="TQR50" s="523"/>
      <c r="TQS50" s="523"/>
      <c r="TQT50" s="523"/>
      <c r="TQU50" s="523"/>
      <c r="TQV50" s="523"/>
      <c r="TQW50" s="523"/>
      <c r="TQX50" s="523"/>
      <c r="TQY50" s="523"/>
      <c r="TQZ50" s="523"/>
      <c r="TRA50" s="523"/>
      <c r="TRB50" s="523"/>
      <c r="TRC50" s="523"/>
      <c r="TRD50" s="523"/>
      <c r="TRE50" s="523"/>
      <c r="TRF50" s="523"/>
      <c r="TRG50" s="523"/>
      <c r="TRH50" s="523"/>
      <c r="TRI50" s="523"/>
      <c r="TRJ50" s="523"/>
      <c r="TRK50" s="523"/>
      <c r="TRL50" s="523"/>
      <c r="TRM50" s="523"/>
      <c r="TRN50" s="523"/>
      <c r="TRO50" s="523"/>
      <c r="TRP50" s="523"/>
      <c r="TRQ50" s="523"/>
      <c r="TRR50" s="523"/>
      <c r="TRS50" s="523"/>
      <c r="TRT50" s="523"/>
      <c r="TRU50" s="523"/>
      <c r="TRV50" s="523"/>
      <c r="TRW50" s="523"/>
      <c r="TRX50" s="523"/>
      <c r="TRY50" s="523"/>
      <c r="TRZ50" s="523"/>
      <c r="TSA50" s="523"/>
      <c r="TSB50" s="523"/>
      <c r="TSC50" s="523"/>
      <c r="TSD50" s="523"/>
      <c r="TSE50" s="523"/>
      <c r="TSF50" s="523"/>
      <c r="TSG50" s="523"/>
      <c r="TSH50" s="523"/>
      <c r="TSI50" s="523"/>
      <c r="TSJ50" s="523"/>
      <c r="TSK50" s="523"/>
      <c r="TSL50" s="523"/>
      <c r="TSM50" s="523"/>
      <c r="TSN50" s="523"/>
      <c r="TSO50" s="523"/>
      <c r="TSP50" s="523"/>
      <c r="TSQ50" s="523"/>
      <c r="TSR50" s="523"/>
      <c r="TSS50" s="523"/>
      <c r="TST50" s="523"/>
      <c r="TSU50" s="523"/>
      <c r="TSV50" s="523"/>
      <c r="TSW50" s="523"/>
      <c r="TSX50" s="523"/>
      <c r="TSY50" s="523"/>
      <c r="TSZ50" s="523"/>
      <c r="TTA50" s="523"/>
      <c r="TTB50" s="523"/>
      <c r="TTC50" s="523"/>
      <c r="TTD50" s="523"/>
      <c r="TTE50" s="523"/>
      <c r="TTF50" s="523"/>
      <c r="TTG50" s="523"/>
      <c r="TTH50" s="523"/>
      <c r="TTI50" s="523"/>
      <c r="TTJ50" s="523"/>
      <c r="TTK50" s="523"/>
      <c r="TTL50" s="523"/>
      <c r="TTM50" s="523"/>
      <c r="TTN50" s="523"/>
      <c r="TTO50" s="523"/>
      <c r="TTP50" s="523"/>
      <c r="TTQ50" s="523"/>
      <c r="TTR50" s="523"/>
      <c r="TTS50" s="523"/>
      <c r="TTT50" s="523"/>
      <c r="TTU50" s="523"/>
      <c r="TTV50" s="523"/>
      <c r="TTW50" s="523"/>
      <c r="TTX50" s="523"/>
      <c r="TTY50" s="523"/>
      <c r="TTZ50" s="523"/>
      <c r="TUA50" s="523"/>
      <c r="TUB50" s="523"/>
      <c r="TUC50" s="523"/>
      <c r="TUD50" s="523"/>
      <c r="TUE50" s="523"/>
      <c r="TUF50" s="523"/>
      <c r="TUG50" s="523"/>
      <c r="TUH50" s="523"/>
      <c r="TUI50" s="523"/>
      <c r="TUJ50" s="523"/>
      <c r="TUK50" s="523"/>
      <c r="TUL50" s="523"/>
      <c r="TUM50" s="523"/>
      <c r="TUN50" s="523"/>
      <c r="TUO50" s="523"/>
      <c r="TUP50" s="523"/>
      <c r="TUQ50" s="523"/>
      <c r="TUR50" s="523"/>
      <c r="TUS50" s="523"/>
      <c r="TUT50" s="523"/>
      <c r="TUU50" s="523"/>
      <c r="TUV50" s="523"/>
      <c r="TUW50" s="523"/>
      <c r="TUX50" s="523"/>
      <c r="TUY50" s="523"/>
      <c r="TUZ50" s="523"/>
      <c r="TVA50" s="523"/>
      <c r="TVB50" s="523"/>
      <c r="TVC50" s="523"/>
      <c r="TVD50" s="523"/>
      <c r="TVE50" s="523"/>
      <c r="TVF50" s="523"/>
      <c r="TVG50" s="523"/>
      <c r="TVH50" s="523"/>
      <c r="TVI50" s="523"/>
      <c r="TVJ50" s="523"/>
      <c r="TVK50" s="523"/>
      <c r="TVL50" s="523"/>
      <c r="TVM50" s="523"/>
      <c r="TVN50" s="523"/>
      <c r="TVO50" s="523"/>
      <c r="TVP50" s="523"/>
      <c r="TVQ50" s="523"/>
      <c r="TVR50" s="523"/>
      <c r="TVS50" s="523"/>
      <c r="TVT50" s="523"/>
      <c r="TVU50" s="523"/>
      <c r="TVV50" s="523"/>
      <c r="TVW50" s="523"/>
      <c r="TVX50" s="523"/>
      <c r="TVY50" s="523"/>
      <c r="TVZ50" s="523"/>
      <c r="TWA50" s="523"/>
      <c r="TWB50" s="523"/>
      <c r="TWC50" s="523"/>
      <c r="TWD50" s="523"/>
      <c r="TWE50" s="523"/>
      <c r="TWF50" s="523"/>
      <c r="TWG50" s="523"/>
      <c r="TWH50" s="523"/>
      <c r="TWI50" s="523"/>
      <c r="TWJ50" s="523"/>
      <c r="TWK50" s="523"/>
      <c r="TWL50" s="523"/>
      <c r="TWM50" s="523"/>
      <c r="TWN50" s="523"/>
      <c r="TWO50" s="523"/>
      <c r="TWP50" s="523"/>
      <c r="TWQ50" s="523"/>
      <c r="TWR50" s="523"/>
      <c r="TWS50" s="523"/>
      <c r="TWT50" s="523"/>
      <c r="TWU50" s="523"/>
      <c r="TWV50" s="523"/>
      <c r="TWW50" s="523"/>
      <c r="TWX50" s="523"/>
      <c r="TWY50" s="523"/>
      <c r="TWZ50" s="523"/>
      <c r="TXA50" s="523"/>
      <c r="TXB50" s="523"/>
      <c r="TXC50" s="523"/>
      <c r="TXD50" s="523"/>
      <c r="TXE50" s="523"/>
      <c r="TXF50" s="523"/>
      <c r="TXG50" s="523"/>
      <c r="TXH50" s="523"/>
      <c r="TXI50" s="523"/>
      <c r="TXJ50" s="523"/>
      <c r="TXK50" s="523"/>
      <c r="TXL50" s="523"/>
      <c r="TXM50" s="523"/>
      <c r="TXN50" s="523"/>
      <c r="TXO50" s="523"/>
      <c r="TXP50" s="523"/>
      <c r="TXQ50" s="523"/>
      <c r="TXR50" s="523"/>
      <c r="TXS50" s="523"/>
      <c r="TXT50" s="523"/>
      <c r="TXU50" s="523"/>
      <c r="TXV50" s="523"/>
      <c r="TXW50" s="523"/>
      <c r="TXX50" s="523"/>
      <c r="TXY50" s="523"/>
      <c r="TXZ50" s="523"/>
      <c r="TYA50" s="523"/>
      <c r="TYB50" s="523"/>
      <c r="TYC50" s="523"/>
      <c r="TYD50" s="523"/>
      <c r="TYE50" s="523"/>
      <c r="TYF50" s="523"/>
      <c r="TYG50" s="523"/>
      <c r="TYH50" s="523"/>
      <c r="TYI50" s="523"/>
      <c r="TYJ50" s="523"/>
      <c r="TYK50" s="523"/>
      <c r="TYL50" s="523"/>
      <c r="TYM50" s="523"/>
      <c r="TYN50" s="523"/>
      <c r="TYO50" s="523"/>
      <c r="TYP50" s="523"/>
      <c r="TYQ50" s="523"/>
      <c r="TYR50" s="523"/>
      <c r="TYS50" s="523"/>
      <c r="TYT50" s="523"/>
      <c r="TYU50" s="523"/>
      <c r="TYV50" s="523"/>
      <c r="TYW50" s="523"/>
      <c r="TYX50" s="523"/>
      <c r="TYY50" s="523"/>
      <c r="TYZ50" s="523"/>
      <c r="TZA50" s="523"/>
      <c r="TZB50" s="523"/>
      <c r="TZC50" s="523"/>
      <c r="TZD50" s="523"/>
      <c r="TZE50" s="523"/>
      <c r="TZF50" s="523"/>
      <c r="TZG50" s="523"/>
      <c r="TZH50" s="523"/>
      <c r="TZI50" s="523"/>
      <c r="TZJ50" s="523"/>
      <c r="TZK50" s="523"/>
      <c r="TZL50" s="523"/>
      <c r="TZM50" s="523"/>
      <c r="TZN50" s="523"/>
      <c r="TZO50" s="523"/>
      <c r="TZP50" s="523"/>
      <c r="TZQ50" s="523"/>
      <c r="TZR50" s="523"/>
      <c r="TZS50" s="523"/>
      <c r="TZT50" s="523"/>
      <c r="TZU50" s="523"/>
      <c r="TZV50" s="523"/>
      <c r="TZW50" s="523"/>
      <c r="TZX50" s="523"/>
      <c r="TZY50" s="523"/>
      <c r="TZZ50" s="523"/>
      <c r="UAA50" s="523"/>
      <c r="UAB50" s="523"/>
      <c r="UAC50" s="523"/>
      <c r="UAD50" s="523"/>
      <c r="UAE50" s="523"/>
      <c r="UAF50" s="523"/>
      <c r="UAG50" s="523"/>
      <c r="UAH50" s="523"/>
      <c r="UAI50" s="523"/>
      <c r="UAJ50" s="523"/>
      <c r="UAK50" s="523"/>
      <c r="UAL50" s="523"/>
      <c r="UAM50" s="523"/>
      <c r="UAN50" s="523"/>
      <c r="UAO50" s="523"/>
      <c r="UAP50" s="523"/>
      <c r="UAQ50" s="523"/>
      <c r="UAR50" s="523"/>
      <c r="UAS50" s="523"/>
      <c r="UAT50" s="523"/>
      <c r="UAU50" s="523"/>
      <c r="UAV50" s="523"/>
      <c r="UAW50" s="523"/>
      <c r="UAX50" s="523"/>
      <c r="UAY50" s="523"/>
      <c r="UAZ50" s="523"/>
      <c r="UBA50" s="523"/>
      <c r="UBB50" s="523"/>
      <c r="UBC50" s="523"/>
      <c r="UBD50" s="523"/>
      <c r="UBE50" s="523"/>
      <c r="UBF50" s="523"/>
      <c r="UBG50" s="523"/>
      <c r="UBH50" s="523"/>
      <c r="UBI50" s="523"/>
      <c r="UBJ50" s="523"/>
      <c r="UBK50" s="523"/>
      <c r="UBL50" s="523"/>
      <c r="UBM50" s="523"/>
      <c r="UBN50" s="523"/>
      <c r="UBO50" s="523"/>
      <c r="UBP50" s="523"/>
      <c r="UBQ50" s="523"/>
      <c r="UBR50" s="523"/>
      <c r="UBS50" s="523"/>
      <c r="UBT50" s="523"/>
      <c r="UBU50" s="523"/>
      <c r="UBV50" s="523"/>
      <c r="UBW50" s="523"/>
      <c r="UBX50" s="523"/>
      <c r="UBY50" s="523"/>
      <c r="UBZ50" s="523"/>
      <c r="UCA50" s="523"/>
      <c r="UCB50" s="523"/>
      <c r="UCC50" s="523"/>
      <c r="UCD50" s="523"/>
      <c r="UCE50" s="523"/>
      <c r="UCF50" s="523"/>
      <c r="UCG50" s="523"/>
      <c r="UCH50" s="523"/>
      <c r="UCI50" s="523"/>
      <c r="UCJ50" s="523"/>
      <c r="UCK50" s="523"/>
      <c r="UCL50" s="523"/>
      <c r="UCM50" s="523"/>
      <c r="UCN50" s="523"/>
      <c r="UCO50" s="523"/>
      <c r="UCP50" s="523"/>
      <c r="UCQ50" s="523"/>
      <c r="UCR50" s="523"/>
      <c r="UCS50" s="523"/>
      <c r="UCT50" s="523"/>
      <c r="UCU50" s="523"/>
      <c r="UCV50" s="523"/>
      <c r="UCW50" s="523"/>
      <c r="UCX50" s="523"/>
      <c r="UCY50" s="523"/>
      <c r="UCZ50" s="523"/>
      <c r="UDA50" s="523"/>
      <c r="UDB50" s="523"/>
      <c r="UDC50" s="523"/>
      <c r="UDD50" s="523"/>
      <c r="UDE50" s="523"/>
      <c r="UDF50" s="523"/>
      <c r="UDG50" s="523"/>
      <c r="UDH50" s="523"/>
      <c r="UDI50" s="523"/>
      <c r="UDJ50" s="523"/>
      <c r="UDK50" s="523"/>
      <c r="UDL50" s="523"/>
      <c r="UDM50" s="523"/>
      <c r="UDN50" s="523"/>
      <c r="UDO50" s="523"/>
      <c r="UDP50" s="523"/>
      <c r="UDQ50" s="523"/>
      <c r="UDR50" s="523"/>
      <c r="UDS50" s="523"/>
      <c r="UDT50" s="523"/>
      <c r="UDU50" s="523"/>
      <c r="UDV50" s="523"/>
      <c r="UDW50" s="523"/>
      <c r="UDX50" s="523"/>
      <c r="UDY50" s="523"/>
      <c r="UDZ50" s="523"/>
      <c r="UEA50" s="523"/>
      <c r="UEB50" s="523"/>
      <c r="UEC50" s="523"/>
      <c r="UED50" s="523"/>
      <c r="UEE50" s="523"/>
      <c r="UEF50" s="523"/>
      <c r="UEG50" s="523"/>
      <c r="UEH50" s="523"/>
      <c r="UEI50" s="523"/>
      <c r="UEJ50" s="523"/>
      <c r="UEK50" s="523"/>
      <c r="UEL50" s="523"/>
      <c r="UEM50" s="523"/>
      <c r="UEN50" s="523"/>
      <c r="UEO50" s="523"/>
      <c r="UEP50" s="523"/>
      <c r="UEQ50" s="523"/>
      <c r="UER50" s="523"/>
      <c r="UES50" s="523"/>
      <c r="UET50" s="523"/>
      <c r="UEU50" s="523"/>
      <c r="UEV50" s="523"/>
      <c r="UEW50" s="523"/>
      <c r="UEX50" s="523"/>
      <c r="UEY50" s="523"/>
      <c r="UEZ50" s="523"/>
      <c r="UFA50" s="523"/>
      <c r="UFB50" s="523"/>
      <c r="UFC50" s="523"/>
      <c r="UFD50" s="523"/>
      <c r="UFE50" s="523"/>
      <c r="UFF50" s="523"/>
      <c r="UFG50" s="523"/>
      <c r="UFH50" s="523"/>
      <c r="UFI50" s="523"/>
      <c r="UFJ50" s="523"/>
      <c r="UFK50" s="523"/>
      <c r="UFL50" s="523"/>
      <c r="UFM50" s="523"/>
      <c r="UFN50" s="523"/>
      <c r="UFO50" s="523"/>
      <c r="UFP50" s="523"/>
      <c r="UFQ50" s="523"/>
      <c r="UFR50" s="523"/>
      <c r="UFS50" s="523"/>
      <c r="UFT50" s="523"/>
      <c r="UFU50" s="523"/>
      <c r="UFV50" s="523"/>
      <c r="UFW50" s="523"/>
      <c r="UFX50" s="523"/>
      <c r="UFY50" s="523"/>
      <c r="UFZ50" s="523"/>
      <c r="UGA50" s="523"/>
      <c r="UGB50" s="523"/>
      <c r="UGC50" s="523"/>
      <c r="UGD50" s="523"/>
      <c r="UGE50" s="523"/>
      <c r="UGF50" s="523"/>
      <c r="UGG50" s="523"/>
      <c r="UGH50" s="523"/>
      <c r="UGI50" s="523"/>
      <c r="UGJ50" s="523"/>
      <c r="UGK50" s="523"/>
      <c r="UGL50" s="523"/>
      <c r="UGM50" s="523"/>
      <c r="UGN50" s="523"/>
      <c r="UGO50" s="523"/>
      <c r="UGP50" s="523"/>
      <c r="UGQ50" s="523"/>
      <c r="UGR50" s="523"/>
      <c r="UGS50" s="523"/>
      <c r="UGT50" s="523"/>
      <c r="UGU50" s="523"/>
      <c r="UGV50" s="523"/>
      <c r="UGW50" s="523"/>
      <c r="UGX50" s="523"/>
      <c r="UGY50" s="523"/>
      <c r="UGZ50" s="523"/>
      <c r="UHA50" s="523"/>
      <c r="UHB50" s="523"/>
      <c r="UHC50" s="523"/>
      <c r="UHD50" s="523"/>
      <c r="UHE50" s="523"/>
      <c r="UHF50" s="523"/>
      <c r="UHG50" s="523"/>
      <c r="UHH50" s="523"/>
      <c r="UHI50" s="523"/>
      <c r="UHJ50" s="523"/>
      <c r="UHK50" s="523"/>
      <c r="UHL50" s="523"/>
      <c r="UHM50" s="523"/>
      <c r="UHN50" s="523"/>
      <c r="UHO50" s="523"/>
      <c r="UHP50" s="523"/>
      <c r="UHQ50" s="523"/>
      <c r="UHR50" s="523"/>
      <c r="UHS50" s="523"/>
      <c r="UHT50" s="523"/>
      <c r="UHU50" s="523"/>
      <c r="UHV50" s="523"/>
      <c r="UHW50" s="523"/>
      <c r="UHX50" s="523"/>
      <c r="UHY50" s="523"/>
      <c r="UHZ50" s="523"/>
      <c r="UIA50" s="523"/>
      <c r="UIB50" s="523"/>
      <c r="UIC50" s="523"/>
      <c r="UID50" s="523"/>
      <c r="UIE50" s="523"/>
      <c r="UIF50" s="523"/>
      <c r="UIG50" s="523"/>
      <c r="UIH50" s="523"/>
      <c r="UII50" s="523"/>
      <c r="UIJ50" s="523"/>
      <c r="UIK50" s="523"/>
      <c r="UIL50" s="523"/>
      <c r="UIM50" s="523"/>
      <c r="UIN50" s="523"/>
      <c r="UIO50" s="523"/>
      <c r="UIP50" s="523"/>
      <c r="UIQ50" s="523"/>
      <c r="UIR50" s="523"/>
      <c r="UIS50" s="523"/>
      <c r="UIT50" s="523"/>
      <c r="UIU50" s="523"/>
      <c r="UIV50" s="523"/>
      <c r="UIW50" s="523"/>
      <c r="UIX50" s="523"/>
      <c r="UIY50" s="523"/>
      <c r="UIZ50" s="523"/>
      <c r="UJA50" s="523"/>
      <c r="UJB50" s="523"/>
      <c r="UJC50" s="523"/>
      <c r="UJD50" s="523"/>
      <c r="UJE50" s="523"/>
      <c r="UJF50" s="523"/>
      <c r="UJG50" s="523"/>
      <c r="UJH50" s="523"/>
      <c r="UJI50" s="523"/>
      <c r="UJJ50" s="523"/>
      <c r="UJK50" s="523"/>
      <c r="UJL50" s="523"/>
      <c r="UJM50" s="523"/>
      <c r="UJN50" s="523"/>
      <c r="UJO50" s="523"/>
      <c r="UJP50" s="523"/>
      <c r="UJQ50" s="523"/>
      <c r="UJR50" s="523"/>
      <c r="UJS50" s="523"/>
      <c r="UJT50" s="523"/>
      <c r="UJU50" s="523"/>
      <c r="UJV50" s="523"/>
      <c r="UJW50" s="523"/>
      <c r="UJX50" s="523"/>
      <c r="UJY50" s="523"/>
      <c r="UJZ50" s="523"/>
      <c r="UKA50" s="523"/>
      <c r="UKB50" s="523"/>
      <c r="UKC50" s="523"/>
      <c r="UKD50" s="523"/>
      <c r="UKE50" s="523"/>
      <c r="UKF50" s="523"/>
      <c r="UKG50" s="523"/>
      <c r="UKH50" s="523"/>
      <c r="UKI50" s="523"/>
      <c r="UKJ50" s="523"/>
      <c r="UKK50" s="523"/>
      <c r="UKL50" s="523"/>
      <c r="UKM50" s="523"/>
      <c r="UKN50" s="523"/>
      <c r="UKO50" s="523"/>
      <c r="UKP50" s="523"/>
      <c r="UKQ50" s="523"/>
      <c r="UKR50" s="523"/>
      <c r="UKS50" s="523"/>
      <c r="UKT50" s="523"/>
      <c r="UKU50" s="523"/>
      <c r="UKV50" s="523"/>
      <c r="UKW50" s="523"/>
      <c r="UKX50" s="523"/>
      <c r="UKY50" s="523"/>
      <c r="UKZ50" s="523"/>
      <c r="ULA50" s="523"/>
      <c r="ULB50" s="523"/>
      <c r="ULC50" s="523"/>
      <c r="ULD50" s="523"/>
      <c r="ULE50" s="523"/>
      <c r="ULF50" s="523"/>
      <c r="ULG50" s="523"/>
      <c r="ULH50" s="523"/>
      <c r="ULI50" s="523"/>
      <c r="ULJ50" s="523"/>
      <c r="ULK50" s="523"/>
      <c r="ULL50" s="523"/>
      <c r="ULM50" s="523"/>
      <c r="ULN50" s="523"/>
      <c r="ULO50" s="523"/>
      <c r="ULP50" s="523"/>
      <c r="ULQ50" s="523"/>
      <c r="ULR50" s="523"/>
      <c r="ULS50" s="523"/>
      <c r="ULT50" s="523"/>
      <c r="ULU50" s="523"/>
      <c r="ULV50" s="523"/>
      <c r="ULW50" s="523"/>
      <c r="ULX50" s="523"/>
      <c r="ULY50" s="523"/>
      <c r="ULZ50" s="523"/>
      <c r="UMA50" s="523"/>
      <c r="UMB50" s="523"/>
      <c r="UMC50" s="523"/>
      <c r="UMD50" s="523"/>
      <c r="UME50" s="523"/>
      <c r="UMF50" s="523"/>
      <c r="UMG50" s="523"/>
      <c r="UMH50" s="523"/>
      <c r="UMI50" s="523"/>
      <c r="UMJ50" s="523"/>
      <c r="UMK50" s="523"/>
      <c r="UML50" s="523"/>
      <c r="UMM50" s="523"/>
      <c r="UMN50" s="523"/>
      <c r="UMO50" s="523"/>
      <c r="UMP50" s="523"/>
      <c r="UMQ50" s="523"/>
      <c r="UMR50" s="523"/>
      <c r="UMS50" s="523"/>
      <c r="UMT50" s="523"/>
      <c r="UMU50" s="523"/>
      <c r="UMV50" s="523"/>
      <c r="UMW50" s="523"/>
      <c r="UMX50" s="523"/>
      <c r="UMY50" s="523"/>
      <c r="UMZ50" s="523"/>
      <c r="UNA50" s="523"/>
      <c r="UNB50" s="523"/>
      <c r="UNC50" s="523"/>
      <c r="UND50" s="523"/>
      <c r="UNE50" s="523"/>
      <c r="UNF50" s="523"/>
      <c r="UNG50" s="523"/>
      <c r="UNH50" s="523"/>
      <c r="UNI50" s="523"/>
      <c r="UNJ50" s="523"/>
      <c r="UNK50" s="523"/>
      <c r="UNL50" s="523"/>
      <c r="UNM50" s="523"/>
      <c r="UNN50" s="523"/>
      <c r="UNO50" s="523"/>
      <c r="UNP50" s="523"/>
      <c r="UNQ50" s="523"/>
      <c r="UNR50" s="523"/>
      <c r="UNS50" s="523"/>
      <c r="UNT50" s="523"/>
      <c r="UNU50" s="523"/>
      <c r="UNV50" s="523"/>
      <c r="UNW50" s="523"/>
      <c r="UNX50" s="523"/>
      <c r="UNY50" s="523"/>
      <c r="UNZ50" s="523"/>
      <c r="UOA50" s="523"/>
      <c r="UOB50" s="523"/>
      <c r="UOC50" s="523"/>
      <c r="UOD50" s="523"/>
      <c r="UOE50" s="523"/>
      <c r="UOF50" s="523"/>
      <c r="UOG50" s="523"/>
      <c r="UOH50" s="523"/>
      <c r="UOI50" s="523"/>
      <c r="UOJ50" s="523"/>
      <c r="UOK50" s="523"/>
      <c r="UOL50" s="523"/>
      <c r="UOM50" s="523"/>
      <c r="UON50" s="523"/>
      <c r="UOO50" s="523"/>
      <c r="UOP50" s="523"/>
      <c r="UOQ50" s="523"/>
      <c r="UOR50" s="523"/>
      <c r="UOS50" s="523"/>
      <c r="UOT50" s="523"/>
      <c r="UOU50" s="523"/>
      <c r="UOV50" s="523"/>
      <c r="UOW50" s="523"/>
      <c r="UOX50" s="523"/>
      <c r="UOY50" s="523"/>
      <c r="UOZ50" s="523"/>
      <c r="UPA50" s="523"/>
      <c r="UPB50" s="523"/>
      <c r="UPC50" s="523"/>
      <c r="UPD50" s="523"/>
      <c r="UPE50" s="523"/>
      <c r="UPF50" s="523"/>
      <c r="UPG50" s="523"/>
      <c r="UPH50" s="523"/>
      <c r="UPI50" s="523"/>
      <c r="UPJ50" s="523"/>
      <c r="UPK50" s="523"/>
      <c r="UPL50" s="523"/>
      <c r="UPM50" s="523"/>
      <c r="UPN50" s="523"/>
      <c r="UPO50" s="523"/>
      <c r="UPP50" s="523"/>
      <c r="UPQ50" s="523"/>
      <c r="UPR50" s="523"/>
      <c r="UPS50" s="523"/>
      <c r="UPT50" s="523"/>
      <c r="UPU50" s="523"/>
      <c r="UPV50" s="523"/>
      <c r="UPW50" s="523"/>
      <c r="UPX50" s="523"/>
      <c r="UPY50" s="523"/>
      <c r="UPZ50" s="523"/>
      <c r="UQA50" s="523"/>
      <c r="UQB50" s="523"/>
      <c r="UQC50" s="523"/>
      <c r="UQD50" s="523"/>
      <c r="UQE50" s="523"/>
      <c r="UQF50" s="523"/>
      <c r="UQG50" s="523"/>
      <c r="UQH50" s="523"/>
      <c r="UQI50" s="523"/>
      <c r="UQJ50" s="523"/>
      <c r="UQK50" s="523"/>
      <c r="UQL50" s="523"/>
      <c r="UQM50" s="523"/>
      <c r="UQN50" s="523"/>
      <c r="UQO50" s="523"/>
      <c r="UQP50" s="523"/>
      <c r="UQQ50" s="523"/>
      <c r="UQR50" s="523"/>
      <c r="UQS50" s="523"/>
      <c r="UQT50" s="523"/>
      <c r="UQU50" s="523"/>
      <c r="UQV50" s="523"/>
      <c r="UQW50" s="523"/>
      <c r="UQX50" s="523"/>
      <c r="UQY50" s="523"/>
      <c r="UQZ50" s="523"/>
      <c r="URA50" s="523"/>
      <c r="URB50" s="523"/>
      <c r="URC50" s="523"/>
      <c r="URD50" s="523"/>
      <c r="URE50" s="523"/>
      <c r="URF50" s="523"/>
      <c r="URG50" s="523"/>
      <c r="URH50" s="523"/>
      <c r="URI50" s="523"/>
      <c r="URJ50" s="523"/>
      <c r="URK50" s="523"/>
      <c r="URL50" s="523"/>
      <c r="URM50" s="523"/>
      <c r="URN50" s="523"/>
      <c r="URO50" s="523"/>
      <c r="URP50" s="523"/>
      <c r="URQ50" s="523"/>
      <c r="URR50" s="523"/>
      <c r="URS50" s="523"/>
      <c r="URT50" s="523"/>
      <c r="URU50" s="523"/>
      <c r="URV50" s="523"/>
      <c r="URW50" s="523"/>
      <c r="URX50" s="523"/>
      <c r="URY50" s="523"/>
      <c r="URZ50" s="523"/>
      <c r="USA50" s="523"/>
      <c r="USB50" s="523"/>
      <c r="USC50" s="523"/>
      <c r="USD50" s="523"/>
      <c r="USE50" s="523"/>
      <c r="USF50" s="523"/>
      <c r="USG50" s="523"/>
      <c r="USH50" s="523"/>
      <c r="USI50" s="523"/>
      <c r="USJ50" s="523"/>
      <c r="USK50" s="523"/>
      <c r="USL50" s="523"/>
      <c r="USM50" s="523"/>
      <c r="USN50" s="523"/>
      <c r="USO50" s="523"/>
      <c r="USP50" s="523"/>
      <c r="USQ50" s="523"/>
      <c r="USR50" s="523"/>
      <c r="USS50" s="523"/>
      <c r="UST50" s="523"/>
      <c r="USU50" s="523"/>
      <c r="USV50" s="523"/>
      <c r="USW50" s="523"/>
      <c r="USX50" s="523"/>
      <c r="USY50" s="523"/>
      <c r="USZ50" s="523"/>
      <c r="UTA50" s="523"/>
      <c r="UTB50" s="523"/>
      <c r="UTC50" s="523"/>
      <c r="UTD50" s="523"/>
      <c r="UTE50" s="523"/>
      <c r="UTF50" s="523"/>
      <c r="UTG50" s="523"/>
      <c r="UTH50" s="523"/>
      <c r="UTI50" s="523"/>
      <c r="UTJ50" s="523"/>
      <c r="UTK50" s="523"/>
      <c r="UTL50" s="523"/>
      <c r="UTM50" s="523"/>
      <c r="UTN50" s="523"/>
      <c r="UTO50" s="523"/>
      <c r="UTP50" s="523"/>
      <c r="UTQ50" s="523"/>
      <c r="UTR50" s="523"/>
      <c r="UTS50" s="523"/>
      <c r="UTT50" s="523"/>
      <c r="UTU50" s="523"/>
      <c r="UTV50" s="523"/>
      <c r="UTW50" s="523"/>
      <c r="UTX50" s="523"/>
      <c r="UTY50" s="523"/>
      <c r="UTZ50" s="523"/>
      <c r="UUA50" s="523"/>
      <c r="UUB50" s="523"/>
      <c r="UUC50" s="523"/>
      <c r="UUD50" s="523"/>
      <c r="UUE50" s="523"/>
      <c r="UUF50" s="523"/>
      <c r="UUG50" s="523"/>
      <c r="UUH50" s="523"/>
      <c r="UUI50" s="523"/>
      <c r="UUJ50" s="523"/>
      <c r="UUK50" s="523"/>
      <c r="UUL50" s="523"/>
      <c r="UUM50" s="523"/>
      <c r="UUN50" s="523"/>
      <c r="UUO50" s="523"/>
      <c r="UUP50" s="523"/>
      <c r="UUQ50" s="523"/>
      <c r="UUR50" s="523"/>
      <c r="UUS50" s="523"/>
      <c r="UUT50" s="523"/>
      <c r="UUU50" s="523"/>
      <c r="UUV50" s="523"/>
      <c r="UUW50" s="523"/>
      <c r="UUX50" s="523"/>
      <c r="UUY50" s="523"/>
      <c r="UUZ50" s="523"/>
      <c r="UVA50" s="523"/>
      <c r="UVB50" s="523"/>
      <c r="UVC50" s="523"/>
      <c r="UVD50" s="523"/>
      <c r="UVE50" s="523"/>
      <c r="UVF50" s="523"/>
      <c r="UVG50" s="523"/>
      <c r="UVH50" s="523"/>
      <c r="UVI50" s="523"/>
      <c r="UVJ50" s="523"/>
      <c r="UVK50" s="523"/>
      <c r="UVL50" s="523"/>
      <c r="UVM50" s="523"/>
      <c r="UVN50" s="523"/>
      <c r="UVO50" s="523"/>
      <c r="UVP50" s="523"/>
      <c r="UVQ50" s="523"/>
      <c r="UVR50" s="523"/>
      <c r="UVS50" s="523"/>
      <c r="UVT50" s="523"/>
      <c r="UVU50" s="523"/>
      <c r="UVV50" s="523"/>
      <c r="UVW50" s="523"/>
      <c r="UVX50" s="523"/>
      <c r="UVY50" s="523"/>
      <c r="UVZ50" s="523"/>
      <c r="UWA50" s="523"/>
      <c r="UWB50" s="523"/>
      <c r="UWC50" s="523"/>
      <c r="UWD50" s="523"/>
      <c r="UWE50" s="523"/>
      <c r="UWF50" s="523"/>
      <c r="UWG50" s="523"/>
      <c r="UWH50" s="523"/>
      <c r="UWI50" s="523"/>
      <c r="UWJ50" s="523"/>
      <c r="UWK50" s="523"/>
      <c r="UWL50" s="523"/>
      <c r="UWM50" s="523"/>
      <c r="UWN50" s="523"/>
      <c r="UWO50" s="523"/>
      <c r="UWP50" s="523"/>
      <c r="UWQ50" s="523"/>
      <c r="UWR50" s="523"/>
      <c r="UWS50" s="523"/>
      <c r="UWT50" s="523"/>
      <c r="UWU50" s="523"/>
      <c r="UWV50" s="523"/>
      <c r="UWW50" s="523"/>
      <c r="UWX50" s="523"/>
      <c r="UWY50" s="523"/>
      <c r="UWZ50" s="523"/>
      <c r="UXA50" s="523"/>
      <c r="UXB50" s="523"/>
      <c r="UXC50" s="523"/>
      <c r="UXD50" s="523"/>
      <c r="UXE50" s="523"/>
      <c r="UXF50" s="523"/>
      <c r="UXG50" s="523"/>
      <c r="UXH50" s="523"/>
      <c r="UXI50" s="523"/>
      <c r="UXJ50" s="523"/>
      <c r="UXK50" s="523"/>
      <c r="UXL50" s="523"/>
      <c r="UXM50" s="523"/>
      <c r="UXN50" s="523"/>
      <c r="UXO50" s="523"/>
      <c r="UXP50" s="523"/>
      <c r="UXQ50" s="523"/>
      <c r="UXR50" s="523"/>
      <c r="UXS50" s="523"/>
      <c r="UXT50" s="523"/>
      <c r="UXU50" s="523"/>
      <c r="UXV50" s="523"/>
      <c r="UXW50" s="523"/>
      <c r="UXX50" s="523"/>
      <c r="UXY50" s="523"/>
      <c r="UXZ50" s="523"/>
      <c r="UYA50" s="523"/>
      <c r="UYB50" s="523"/>
      <c r="UYC50" s="523"/>
      <c r="UYD50" s="523"/>
      <c r="UYE50" s="523"/>
      <c r="UYF50" s="523"/>
      <c r="UYG50" s="523"/>
      <c r="UYH50" s="523"/>
      <c r="UYI50" s="523"/>
      <c r="UYJ50" s="523"/>
      <c r="UYK50" s="523"/>
      <c r="UYL50" s="523"/>
      <c r="UYM50" s="523"/>
      <c r="UYN50" s="523"/>
      <c r="UYO50" s="523"/>
      <c r="UYP50" s="523"/>
      <c r="UYQ50" s="523"/>
      <c r="UYR50" s="523"/>
      <c r="UYS50" s="523"/>
      <c r="UYT50" s="523"/>
      <c r="UYU50" s="523"/>
      <c r="UYV50" s="523"/>
      <c r="UYW50" s="523"/>
      <c r="UYX50" s="523"/>
      <c r="UYY50" s="523"/>
      <c r="UYZ50" s="523"/>
      <c r="UZA50" s="523"/>
      <c r="UZB50" s="523"/>
      <c r="UZC50" s="523"/>
      <c r="UZD50" s="523"/>
      <c r="UZE50" s="523"/>
      <c r="UZF50" s="523"/>
      <c r="UZG50" s="523"/>
      <c r="UZH50" s="523"/>
      <c r="UZI50" s="523"/>
      <c r="UZJ50" s="523"/>
      <c r="UZK50" s="523"/>
      <c r="UZL50" s="523"/>
      <c r="UZM50" s="523"/>
      <c r="UZN50" s="523"/>
      <c r="UZO50" s="523"/>
      <c r="UZP50" s="523"/>
      <c r="UZQ50" s="523"/>
      <c r="UZR50" s="523"/>
      <c r="UZS50" s="523"/>
      <c r="UZT50" s="523"/>
      <c r="UZU50" s="523"/>
      <c r="UZV50" s="523"/>
      <c r="UZW50" s="523"/>
      <c r="UZX50" s="523"/>
      <c r="UZY50" s="523"/>
      <c r="UZZ50" s="523"/>
      <c r="VAA50" s="523"/>
      <c r="VAB50" s="523"/>
      <c r="VAC50" s="523"/>
      <c r="VAD50" s="523"/>
      <c r="VAE50" s="523"/>
      <c r="VAF50" s="523"/>
      <c r="VAG50" s="523"/>
      <c r="VAH50" s="523"/>
      <c r="VAI50" s="523"/>
      <c r="VAJ50" s="523"/>
      <c r="VAK50" s="523"/>
      <c r="VAL50" s="523"/>
      <c r="VAM50" s="523"/>
      <c r="VAN50" s="523"/>
      <c r="VAO50" s="523"/>
      <c r="VAP50" s="523"/>
      <c r="VAQ50" s="523"/>
      <c r="VAR50" s="523"/>
      <c r="VAS50" s="523"/>
      <c r="VAT50" s="523"/>
      <c r="VAU50" s="523"/>
      <c r="VAV50" s="523"/>
      <c r="VAW50" s="523"/>
      <c r="VAX50" s="523"/>
      <c r="VAY50" s="523"/>
      <c r="VAZ50" s="523"/>
      <c r="VBA50" s="523"/>
      <c r="VBB50" s="523"/>
      <c r="VBC50" s="523"/>
      <c r="VBD50" s="523"/>
      <c r="VBE50" s="523"/>
      <c r="VBF50" s="523"/>
      <c r="VBG50" s="523"/>
      <c r="VBH50" s="523"/>
      <c r="VBI50" s="523"/>
      <c r="VBJ50" s="523"/>
      <c r="VBK50" s="523"/>
      <c r="VBL50" s="523"/>
      <c r="VBM50" s="523"/>
      <c r="VBN50" s="523"/>
      <c r="VBO50" s="523"/>
      <c r="VBP50" s="523"/>
      <c r="VBQ50" s="523"/>
      <c r="VBR50" s="523"/>
      <c r="VBS50" s="523"/>
      <c r="VBT50" s="523"/>
      <c r="VBU50" s="523"/>
      <c r="VBV50" s="523"/>
      <c r="VBW50" s="523"/>
      <c r="VBX50" s="523"/>
      <c r="VBY50" s="523"/>
      <c r="VBZ50" s="523"/>
      <c r="VCA50" s="523"/>
      <c r="VCB50" s="523"/>
      <c r="VCC50" s="523"/>
      <c r="VCD50" s="523"/>
      <c r="VCE50" s="523"/>
      <c r="VCF50" s="523"/>
      <c r="VCG50" s="523"/>
      <c r="VCH50" s="523"/>
      <c r="VCI50" s="523"/>
      <c r="VCJ50" s="523"/>
      <c r="VCK50" s="523"/>
      <c r="VCL50" s="523"/>
      <c r="VCM50" s="523"/>
      <c r="VCN50" s="523"/>
      <c r="VCO50" s="523"/>
      <c r="VCP50" s="523"/>
      <c r="VCQ50" s="523"/>
      <c r="VCR50" s="523"/>
      <c r="VCS50" s="523"/>
      <c r="VCT50" s="523"/>
      <c r="VCU50" s="523"/>
      <c r="VCV50" s="523"/>
      <c r="VCW50" s="523"/>
      <c r="VCX50" s="523"/>
      <c r="VCY50" s="523"/>
      <c r="VCZ50" s="523"/>
      <c r="VDA50" s="523"/>
      <c r="VDB50" s="523"/>
      <c r="VDC50" s="523"/>
      <c r="VDD50" s="523"/>
      <c r="VDE50" s="523"/>
      <c r="VDF50" s="523"/>
      <c r="VDG50" s="523"/>
      <c r="VDH50" s="523"/>
      <c r="VDI50" s="523"/>
      <c r="VDJ50" s="523"/>
      <c r="VDK50" s="523"/>
      <c r="VDL50" s="523"/>
      <c r="VDM50" s="523"/>
      <c r="VDN50" s="523"/>
      <c r="VDO50" s="523"/>
      <c r="VDP50" s="523"/>
      <c r="VDQ50" s="523"/>
      <c r="VDR50" s="523"/>
      <c r="VDS50" s="523"/>
      <c r="VDT50" s="523"/>
      <c r="VDU50" s="523"/>
      <c r="VDV50" s="523"/>
      <c r="VDW50" s="523"/>
      <c r="VDX50" s="523"/>
      <c r="VDY50" s="523"/>
      <c r="VDZ50" s="523"/>
      <c r="VEA50" s="523"/>
      <c r="VEB50" s="523"/>
      <c r="VEC50" s="523"/>
      <c r="VED50" s="523"/>
      <c r="VEE50" s="523"/>
      <c r="VEF50" s="523"/>
      <c r="VEG50" s="523"/>
      <c r="VEH50" s="523"/>
      <c r="VEI50" s="523"/>
      <c r="VEJ50" s="523"/>
      <c r="VEK50" s="523"/>
      <c r="VEL50" s="523"/>
      <c r="VEM50" s="523"/>
      <c r="VEN50" s="523"/>
      <c r="VEO50" s="523"/>
      <c r="VEP50" s="523"/>
      <c r="VEQ50" s="523"/>
      <c r="VER50" s="523"/>
      <c r="VES50" s="523"/>
      <c r="VET50" s="523"/>
      <c r="VEU50" s="523"/>
      <c r="VEV50" s="523"/>
      <c r="VEW50" s="523"/>
      <c r="VEX50" s="523"/>
      <c r="VEY50" s="523"/>
      <c r="VEZ50" s="523"/>
      <c r="VFA50" s="523"/>
      <c r="VFB50" s="523"/>
      <c r="VFC50" s="523"/>
      <c r="VFD50" s="523"/>
      <c r="VFE50" s="523"/>
      <c r="VFF50" s="523"/>
      <c r="VFG50" s="523"/>
      <c r="VFH50" s="523"/>
      <c r="VFI50" s="523"/>
      <c r="VFJ50" s="523"/>
      <c r="VFK50" s="523"/>
      <c r="VFL50" s="523"/>
      <c r="VFM50" s="523"/>
      <c r="VFN50" s="523"/>
      <c r="VFO50" s="523"/>
      <c r="VFP50" s="523"/>
      <c r="VFQ50" s="523"/>
      <c r="VFR50" s="523"/>
      <c r="VFS50" s="523"/>
      <c r="VFT50" s="523"/>
      <c r="VFU50" s="523"/>
      <c r="VFV50" s="523"/>
      <c r="VFW50" s="523"/>
      <c r="VFX50" s="523"/>
      <c r="VFY50" s="523"/>
      <c r="VFZ50" s="523"/>
      <c r="VGA50" s="523"/>
      <c r="VGB50" s="523"/>
      <c r="VGC50" s="523"/>
      <c r="VGD50" s="523"/>
      <c r="VGE50" s="523"/>
      <c r="VGF50" s="523"/>
      <c r="VGG50" s="523"/>
      <c r="VGH50" s="523"/>
      <c r="VGI50" s="523"/>
      <c r="VGJ50" s="523"/>
      <c r="VGK50" s="523"/>
      <c r="VGL50" s="523"/>
      <c r="VGM50" s="523"/>
      <c r="VGN50" s="523"/>
      <c r="VGO50" s="523"/>
      <c r="VGP50" s="523"/>
      <c r="VGQ50" s="523"/>
      <c r="VGR50" s="523"/>
      <c r="VGS50" s="523"/>
      <c r="VGT50" s="523"/>
      <c r="VGU50" s="523"/>
      <c r="VGV50" s="523"/>
      <c r="VGW50" s="523"/>
      <c r="VGX50" s="523"/>
      <c r="VGY50" s="523"/>
      <c r="VGZ50" s="523"/>
      <c r="VHA50" s="523"/>
      <c r="VHB50" s="523"/>
      <c r="VHC50" s="523"/>
      <c r="VHD50" s="523"/>
      <c r="VHE50" s="523"/>
      <c r="VHF50" s="523"/>
      <c r="VHG50" s="523"/>
      <c r="VHH50" s="523"/>
      <c r="VHI50" s="523"/>
      <c r="VHJ50" s="523"/>
      <c r="VHK50" s="523"/>
      <c r="VHL50" s="523"/>
      <c r="VHM50" s="523"/>
      <c r="VHN50" s="523"/>
      <c r="VHO50" s="523"/>
      <c r="VHP50" s="523"/>
      <c r="VHQ50" s="523"/>
      <c r="VHR50" s="523"/>
      <c r="VHS50" s="523"/>
      <c r="VHT50" s="523"/>
      <c r="VHU50" s="523"/>
      <c r="VHV50" s="523"/>
      <c r="VHW50" s="523"/>
      <c r="VHX50" s="523"/>
      <c r="VHY50" s="523"/>
      <c r="VHZ50" s="523"/>
      <c r="VIA50" s="523"/>
      <c r="VIB50" s="523"/>
      <c r="VIC50" s="523"/>
      <c r="VID50" s="523"/>
      <c r="VIE50" s="523"/>
      <c r="VIF50" s="523"/>
      <c r="VIG50" s="523"/>
      <c r="VIH50" s="523"/>
      <c r="VII50" s="523"/>
      <c r="VIJ50" s="523"/>
      <c r="VIK50" s="523"/>
      <c r="VIL50" s="523"/>
      <c r="VIM50" s="523"/>
      <c r="VIN50" s="523"/>
      <c r="VIO50" s="523"/>
      <c r="VIP50" s="523"/>
      <c r="VIQ50" s="523"/>
      <c r="VIR50" s="523"/>
      <c r="VIS50" s="523"/>
      <c r="VIT50" s="523"/>
      <c r="VIU50" s="523"/>
      <c r="VIV50" s="523"/>
      <c r="VIW50" s="523"/>
      <c r="VIX50" s="523"/>
      <c r="VIY50" s="523"/>
      <c r="VIZ50" s="523"/>
      <c r="VJA50" s="523"/>
      <c r="VJB50" s="523"/>
      <c r="VJC50" s="523"/>
      <c r="VJD50" s="523"/>
      <c r="VJE50" s="523"/>
      <c r="VJF50" s="523"/>
      <c r="VJG50" s="523"/>
      <c r="VJH50" s="523"/>
      <c r="VJI50" s="523"/>
      <c r="VJJ50" s="523"/>
      <c r="VJK50" s="523"/>
      <c r="VJL50" s="523"/>
      <c r="VJM50" s="523"/>
      <c r="VJN50" s="523"/>
      <c r="VJO50" s="523"/>
      <c r="VJP50" s="523"/>
      <c r="VJQ50" s="523"/>
      <c r="VJR50" s="523"/>
      <c r="VJS50" s="523"/>
      <c r="VJT50" s="523"/>
      <c r="VJU50" s="523"/>
      <c r="VJV50" s="523"/>
      <c r="VJW50" s="523"/>
      <c r="VJX50" s="523"/>
      <c r="VJY50" s="523"/>
      <c r="VJZ50" s="523"/>
      <c r="VKA50" s="523"/>
      <c r="VKB50" s="523"/>
      <c r="VKC50" s="523"/>
      <c r="VKD50" s="523"/>
      <c r="VKE50" s="523"/>
      <c r="VKF50" s="523"/>
      <c r="VKG50" s="523"/>
      <c r="VKH50" s="523"/>
      <c r="VKI50" s="523"/>
      <c r="VKJ50" s="523"/>
      <c r="VKK50" s="523"/>
      <c r="VKL50" s="523"/>
      <c r="VKM50" s="523"/>
      <c r="VKN50" s="523"/>
      <c r="VKO50" s="523"/>
      <c r="VKP50" s="523"/>
      <c r="VKQ50" s="523"/>
      <c r="VKR50" s="523"/>
      <c r="VKS50" s="523"/>
      <c r="VKT50" s="523"/>
      <c r="VKU50" s="523"/>
      <c r="VKV50" s="523"/>
      <c r="VKW50" s="523"/>
      <c r="VKX50" s="523"/>
      <c r="VKY50" s="523"/>
      <c r="VKZ50" s="523"/>
      <c r="VLA50" s="523"/>
      <c r="VLB50" s="523"/>
      <c r="VLC50" s="523"/>
      <c r="VLD50" s="523"/>
      <c r="VLE50" s="523"/>
      <c r="VLF50" s="523"/>
      <c r="VLG50" s="523"/>
      <c r="VLH50" s="523"/>
      <c r="VLI50" s="523"/>
      <c r="VLJ50" s="523"/>
      <c r="VLK50" s="523"/>
      <c r="VLL50" s="523"/>
      <c r="VLM50" s="523"/>
      <c r="VLN50" s="523"/>
      <c r="VLO50" s="523"/>
      <c r="VLP50" s="523"/>
      <c r="VLQ50" s="523"/>
      <c r="VLR50" s="523"/>
      <c r="VLS50" s="523"/>
      <c r="VLT50" s="523"/>
      <c r="VLU50" s="523"/>
      <c r="VLV50" s="523"/>
      <c r="VLW50" s="523"/>
      <c r="VLX50" s="523"/>
      <c r="VLY50" s="523"/>
      <c r="VLZ50" s="523"/>
      <c r="VMA50" s="523"/>
      <c r="VMB50" s="523"/>
      <c r="VMC50" s="523"/>
      <c r="VMD50" s="523"/>
      <c r="VME50" s="523"/>
      <c r="VMF50" s="523"/>
      <c r="VMG50" s="523"/>
      <c r="VMH50" s="523"/>
      <c r="VMI50" s="523"/>
      <c r="VMJ50" s="523"/>
      <c r="VMK50" s="523"/>
      <c r="VML50" s="523"/>
      <c r="VMM50" s="523"/>
      <c r="VMN50" s="523"/>
      <c r="VMO50" s="523"/>
      <c r="VMP50" s="523"/>
      <c r="VMQ50" s="523"/>
      <c r="VMR50" s="523"/>
      <c r="VMS50" s="523"/>
      <c r="VMT50" s="523"/>
      <c r="VMU50" s="523"/>
      <c r="VMV50" s="523"/>
      <c r="VMW50" s="523"/>
      <c r="VMX50" s="523"/>
      <c r="VMY50" s="523"/>
      <c r="VMZ50" s="523"/>
      <c r="VNA50" s="523"/>
      <c r="VNB50" s="523"/>
      <c r="VNC50" s="523"/>
      <c r="VND50" s="523"/>
      <c r="VNE50" s="523"/>
      <c r="VNF50" s="523"/>
      <c r="VNG50" s="523"/>
      <c r="VNH50" s="523"/>
      <c r="VNI50" s="523"/>
      <c r="VNJ50" s="523"/>
      <c r="VNK50" s="523"/>
      <c r="VNL50" s="523"/>
      <c r="VNM50" s="523"/>
      <c r="VNN50" s="523"/>
      <c r="VNO50" s="523"/>
      <c r="VNP50" s="523"/>
      <c r="VNQ50" s="523"/>
      <c r="VNR50" s="523"/>
      <c r="VNS50" s="523"/>
      <c r="VNT50" s="523"/>
      <c r="VNU50" s="523"/>
      <c r="VNV50" s="523"/>
      <c r="VNW50" s="523"/>
      <c r="VNX50" s="523"/>
      <c r="VNY50" s="523"/>
      <c r="VNZ50" s="523"/>
      <c r="VOA50" s="523"/>
      <c r="VOB50" s="523"/>
      <c r="VOC50" s="523"/>
      <c r="VOD50" s="523"/>
      <c r="VOE50" s="523"/>
      <c r="VOF50" s="523"/>
      <c r="VOG50" s="523"/>
      <c r="VOH50" s="523"/>
      <c r="VOI50" s="523"/>
      <c r="VOJ50" s="523"/>
      <c r="VOK50" s="523"/>
      <c r="VOL50" s="523"/>
      <c r="VOM50" s="523"/>
      <c r="VON50" s="523"/>
      <c r="VOO50" s="523"/>
      <c r="VOP50" s="523"/>
      <c r="VOQ50" s="523"/>
      <c r="VOR50" s="523"/>
      <c r="VOS50" s="523"/>
      <c r="VOT50" s="523"/>
      <c r="VOU50" s="523"/>
      <c r="VOV50" s="523"/>
      <c r="VOW50" s="523"/>
      <c r="VOX50" s="523"/>
      <c r="VOY50" s="523"/>
      <c r="VOZ50" s="523"/>
      <c r="VPA50" s="523"/>
      <c r="VPB50" s="523"/>
      <c r="VPC50" s="523"/>
      <c r="VPD50" s="523"/>
      <c r="VPE50" s="523"/>
      <c r="VPF50" s="523"/>
      <c r="VPG50" s="523"/>
      <c r="VPH50" s="523"/>
      <c r="VPI50" s="523"/>
      <c r="VPJ50" s="523"/>
      <c r="VPK50" s="523"/>
      <c r="VPL50" s="523"/>
      <c r="VPM50" s="523"/>
      <c r="VPN50" s="523"/>
      <c r="VPO50" s="523"/>
      <c r="VPP50" s="523"/>
      <c r="VPQ50" s="523"/>
      <c r="VPR50" s="523"/>
      <c r="VPS50" s="523"/>
      <c r="VPT50" s="523"/>
      <c r="VPU50" s="523"/>
      <c r="VPV50" s="523"/>
      <c r="VPW50" s="523"/>
      <c r="VPX50" s="523"/>
      <c r="VPY50" s="523"/>
      <c r="VPZ50" s="523"/>
      <c r="VQA50" s="523"/>
      <c r="VQB50" s="523"/>
      <c r="VQC50" s="523"/>
      <c r="VQD50" s="523"/>
      <c r="VQE50" s="523"/>
      <c r="VQF50" s="523"/>
      <c r="VQG50" s="523"/>
      <c r="VQH50" s="523"/>
      <c r="VQI50" s="523"/>
      <c r="VQJ50" s="523"/>
      <c r="VQK50" s="523"/>
      <c r="VQL50" s="523"/>
      <c r="VQM50" s="523"/>
      <c r="VQN50" s="523"/>
      <c r="VQO50" s="523"/>
      <c r="VQP50" s="523"/>
      <c r="VQQ50" s="523"/>
      <c r="VQR50" s="523"/>
      <c r="VQS50" s="523"/>
      <c r="VQT50" s="523"/>
      <c r="VQU50" s="523"/>
      <c r="VQV50" s="523"/>
      <c r="VQW50" s="523"/>
      <c r="VQX50" s="523"/>
      <c r="VQY50" s="523"/>
      <c r="VQZ50" s="523"/>
      <c r="VRA50" s="523"/>
      <c r="VRB50" s="523"/>
      <c r="VRC50" s="523"/>
      <c r="VRD50" s="523"/>
      <c r="VRE50" s="523"/>
      <c r="VRF50" s="523"/>
      <c r="VRG50" s="523"/>
      <c r="VRH50" s="523"/>
      <c r="VRI50" s="523"/>
      <c r="VRJ50" s="523"/>
      <c r="VRK50" s="523"/>
      <c r="VRL50" s="523"/>
      <c r="VRM50" s="523"/>
      <c r="VRN50" s="523"/>
      <c r="VRO50" s="523"/>
      <c r="VRP50" s="523"/>
      <c r="VRQ50" s="523"/>
      <c r="VRR50" s="523"/>
      <c r="VRS50" s="523"/>
      <c r="VRT50" s="523"/>
      <c r="VRU50" s="523"/>
      <c r="VRV50" s="523"/>
      <c r="VRW50" s="523"/>
      <c r="VRX50" s="523"/>
      <c r="VRY50" s="523"/>
      <c r="VRZ50" s="523"/>
      <c r="VSA50" s="523"/>
      <c r="VSB50" s="523"/>
      <c r="VSC50" s="523"/>
      <c r="VSD50" s="523"/>
      <c r="VSE50" s="523"/>
      <c r="VSF50" s="523"/>
      <c r="VSG50" s="523"/>
      <c r="VSH50" s="523"/>
      <c r="VSI50" s="523"/>
      <c r="VSJ50" s="523"/>
      <c r="VSK50" s="523"/>
      <c r="VSL50" s="523"/>
      <c r="VSM50" s="523"/>
      <c r="VSN50" s="523"/>
      <c r="VSO50" s="523"/>
      <c r="VSP50" s="523"/>
      <c r="VSQ50" s="523"/>
      <c r="VSR50" s="523"/>
      <c r="VSS50" s="523"/>
      <c r="VST50" s="523"/>
      <c r="VSU50" s="523"/>
      <c r="VSV50" s="523"/>
      <c r="VSW50" s="523"/>
      <c r="VSX50" s="523"/>
      <c r="VSY50" s="523"/>
      <c r="VSZ50" s="523"/>
      <c r="VTA50" s="523"/>
      <c r="VTB50" s="523"/>
      <c r="VTC50" s="523"/>
      <c r="VTD50" s="523"/>
      <c r="VTE50" s="523"/>
      <c r="VTF50" s="523"/>
      <c r="VTG50" s="523"/>
      <c r="VTH50" s="523"/>
      <c r="VTI50" s="523"/>
      <c r="VTJ50" s="523"/>
      <c r="VTK50" s="523"/>
      <c r="VTL50" s="523"/>
      <c r="VTM50" s="523"/>
      <c r="VTN50" s="523"/>
      <c r="VTO50" s="523"/>
      <c r="VTP50" s="523"/>
      <c r="VTQ50" s="523"/>
      <c r="VTR50" s="523"/>
      <c r="VTS50" s="523"/>
      <c r="VTT50" s="523"/>
      <c r="VTU50" s="523"/>
      <c r="VTV50" s="523"/>
      <c r="VTW50" s="523"/>
      <c r="VTX50" s="523"/>
      <c r="VTY50" s="523"/>
      <c r="VTZ50" s="523"/>
      <c r="VUA50" s="523"/>
      <c r="VUB50" s="523"/>
      <c r="VUC50" s="523"/>
      <c r="VUD50" s="523"/>
      <c r="VUE50" s="523"/>
      <c r="VUF50" s="523"/>
      <c r="VUG50" s="523"/>
      <c r="VUH50" s="523"/>
      <c r="VUI50" s="523"/>
      <c r="VUJ50" s="523"/>
      <c r="VUK50" s="523"/>
      <c r="VUL50" s="523"/>
      <c r="VUM50" s="523"/>
      <c r="VUN50" s="523"/>
      <c r="VUO50" s="523"/>
      <c r="VUP50" s="523"/>
      <c r="VUQ50" s="523"/>
      <c r="VUR50" s="523"/>
      <c r="VUS50" s="523"/>
      <c r="VUT50" s="523"/>
      <c r="VUU50" s="523"/>
      <c r="VUV50" s="523"/>
      <c r="VUW50" s="523"/>
      <c r="VUX50" s="523"/>
      <c r="VUY50" s="523"/>
      <c r="VUZ50" s="523"/>
      <c r="VVA50" s="523"/>
      <c r="VVB50" s="523"/>
      <c r="VVC50" s="523"/>
      <c r="VVD50" s="523"/>
      <c r="VVE50" s="523"/>
      <c r="VVF50" s="523"/>
      <c r="VVG50" s="523"/>
      <c r="VVH50" s="523"/>
      <c r="VVI50" s="523"/>
      <c r="VVJ50" s="523"/>
      <c r="VVK50" s="523"/>
      <c r="VVL50" s="523"/>
      <c r="VVM50" s="523"/>
      <c r="VVN50" s="523"/>
      <c r="VVO50" s="523"/>
      <c r="VVP50" s="523"/>
      <c r="VVQ50" s="523"/>
      <c r="VVR50" s="523"/>
      <c r="VVS50" s="523"/>
      <c r="VVT50" s="523"/>
      <c r="VVU50" s="523"/>
      <c r="VVV50" s="523"/>
      <c r="VVW50" s="523"/>
      <c r="VVX50" s="523"/>
      <c r="VVY50" s="523"/>
      <c r="VVZ50" s="523"/>
      <c r="VWA50" s="523"/>
      <c r="VWB50" s="523"/>
      <c r="VWC50" s="523"/>
      <c r="VWD50" s="523"/>
      <c r="VWE50" s="523"/>
      <c r="VWF50" s="523"/>
      <c r="VWG50" s="523"/>
      <c r="VWH50" s="523"/>
      <c r="VWI50" s="523"/>
      <c r="VWJ50" s="523"/>
      <c r="VWK50" s="523"/>
      <c r="VWL50" s="523"/>
      <c r="VWM50" s="523"/>
      <c r="VWN50" s="523"/>
      <c r="VWO50" s="523"/>
      <c r="VWP50" s="523"/>
      <c r="VWQ50" s="523"/>
      <c r="VWR50" s="523"/>
      <c r="VWS50" s="523"/>
      <c r="VWT50" s="523"/>
      <c r="VWU50" s="523"/>
      <c r="VWV50" s="523"/>
      <c r="VWW50" s="523"/>
      <c r="VWX50" s="523"/>
      <c r="VWY50" s="523"/>
      <c r="VWZ50" s="523"/>
      <c r="VXA50" s="523"/>
      <c r="VXB50" s="523"/>
      <c r="VXC50" s="523"/>
      <c r="VXD50" s="523"/>
      <c r="VXE50" s="523"/>
      <c r="VXF50" s="523"/>
      <c r="VXG50" s="523"/>
      <c r="VXH50" s="523"/>
      <c r="VXI50" s="523"/>
      <c r="VXJ50" s="523"/>
      <c r="VXK50" s="523"/>
      <c r="VXL50" s="523"/>
      <c r="VXM50" s="523"/>
      <c r="VXN50" s="523"/>
      <c r="VXO50" s="523"/>
      <c r="VXP50" s="523"/>
      <c r="VXQ50" s="523"/>
      <c r="VXR50" s="523"/>
      <c r="VXS50" s="523"/>
      <c r="VXT50" s="523"/>
      <c r="VXU50" s="523"/>
      <c r="VXV50" s="523"/>
      <c r="VXW50" s="523"/>
      <c r="VXX50" s="523"/>
      <c r="VXY50" s="523"/>
      <c r="VXZ50" s="523"/>
      <c r="VYA50" s="523"/>
      <c r="VYB50" s="523"/>
      <c r="VYC50" s="523"/>
      <c r="VYD50" s="523"/>
      <c r="VYE50" s="523"/>
      <c r="VYF50" s="523"/>
      <c r="VYG50" s="523"/>
      <c r="VYH50" s="523"/>
      <c r="VYI50" s="523"/>
      <c r="VYJ50" s="523"/>
      <c r="VYK50" s="523"/>
      <c r="VYL50" s="523"/>
      <c r="VYM50" s="523"/>
      <c r="VYN50" s="523"/>
      <c r="VYO50" s="523"/>
      <c r="VYP50" s="523"/>
      <c r="VYQ50" s="523"/>
      <c r="VYR50" s="523"/>
      <c r="VYS50" s="523"/>
      <c r="VYT50" s="523"/>
      <c r="VYU50" s="523"/>
      <c r="VYV50" s="523"/>
      <c r="VYW50" s="523"/>
      <c r="VYX50" s="523"/>
      <c r="VYY50" s="523"/>
      <c r="VYZ50" s="523"/>
      <c r="VZA50" s="523"/>
      <c r="VZB50" s="523"/>
      <c r="VZC50" s="523"/>
      <c r="VZD50" s="523"/>
      <c r="VZE50" s="523"/>
      <c r="VZF50" s="523"/>
      <c r="VZG50" s="523"/>
      <c r="VZH50" s="523"/>
      <c r="VZI50" s="523"/>
      <c r="VZJ50" s="523"/>
      <c r="VZK50" s="523"/>
      <c r="VZL50" s="523"/>
      <c r="VZM50" s="523"/>
      <c r="VZN50" s="523"/>
      <c r="VZO50" s="523"/>
      <c r="VZP50" s="523"/>
      <c r="VZQ50" s="523"/>
      <c r="VZR50" s="523"/>
      <c r="VZS50" s="523"/>
      <c r="VZT50" s="523"/>
      <c r="VZU50" s="523"/>
      <c r="VZV50" s="523"/>
      <c r="VZW50" s="523"/>
      <c r="VZX50" s="523"/>
      <c r="VZY50" s="523"/>
      <c r="VZZ50" s="523"/>
      <c r="WAA50" s="523"/>
      <c r="WAB50" s="523"/>
      <c r="WAC50" s="523"/>
      <c r="WAD50" s="523"/>
      <c r="WAE50" s="523"/>
      <c r="WAF50" s="523"/>
      <c r="WAG50" s="523"/>
      <c r="WAH50" s="523"/>
      <c r="WAI50" s="523"/>
      <c r="WAJ50" s="523"/>
      <c r="WAK50" s="523"/>
      <c r="WAL50" s="523"/>
      <c r="WAM50" s="523"/>
      <c r="WAN50" s="523"/>
      <c r="WAO50" s="523"/>
      <c r="WAP50" s="523"/>
      <c r="WAQ50" s="523"/>
      <c r="WAR50" s="523"/>
      <c r="WAS50" s="523"/>
      <c r="WAT50" s="523"/>
      <c r="WAU50" s="523"/>
      <c r="WAV50" s="523"/>
      <c r="WAW50" s="523"/>
      <c r="WAX50" s="523"/>
      <c r="WAY50" s="523"/>
      <c r="WAZ50" s="523"/>
      <c r="WBA50" s="523"/>
      <c r="WBB50" s="523"/>
      <c r="WBC50" s="523"/>
      <c r="WBD50" s="523"/>
      <c r="WBE50" s="523"/>
      <c r="WBF50" s="523"/>
      <c r="WBG50" s="523"/>
      <c r="WBH50" s="523"/>
      <c r="WBI50" s="523"/>
      <c r="WBJ50" s="523"/>
      <c r="WBK50" s="523"/>
      <c r="WBL50" s="523"/>
      <c r="WBM50" s="523"/>
      <c r="WBN50" s="523"/>
      <c r="WBO50" s="523"/>
      <c r="WBP50" s="523"/>
      <c r="WBQ50" s="523"/>
      <c r="WBR50" s="523"/>
      <c r="WBS50" s="523"/>
      <c r="WBT50" s="523"/>
      <c r="WBU50" s="523"/>
      <c r="WBV50" s="523"/>
      <c r="WBW50" s="523"/>
      <c r="WBX50" s="523"/>
      <c r="WBY50" s="523"/>
      <c r="WBZ50" s="523"/>
      <c r="WCA50" s="523"/>
      <c r="WCB50" s="523"/>
      <c r="WCC50" s="523"/>
      <c r="WCD50" s="523"/>
      <c r="WCE50" s="523"/>
      <c r="WCF50" s="523"/>
      <c r="WCG50" s="523"/>
      <c r="WCH50" s="523"/>
      <c r="WCI50" s="523"/>
      <c r="WCJ50" s="523"/>
      <c r="WCK50" s="523"/>
      <c r="WCL50" s="523"/>
      <c r="WCM50" s="523"/>
      <c r="WCN50" s="523"/>
      <c r="WCO50" s="523"/>
      <c r="WCP50" s="523"/>
      <c r="WCQ50" s="523"/>
      <c r="WCR50" s="523"/>
      <c r="WCS50" s="523"/>
      <c r="WCT50" s="523"/>
      <c r="WCU50" s="523"/>
      <c r="WCV50" s="523"/>
      <c r="WCW50" s="523"/>
      <c r="WCX50" s="523"/>
      <c r="WCY50" s="523"/>
      <c r="WCZ50" s="523"/>
      <c r="WDA50" s="523"/>
      <c r="WDB50" s="523"/>
      <c r="WDC50" s="523"/>
      <c r="WDD50" s="523"/>
      <c r="WDE50" s="523"/>
      <c r="WDF50" s="523"/>
      <c r="WDG50" s="523"/>
      <c r="WDH50" s="523"/>
      <c r="WDI50" s="523"/>
      <c r="WDJ50" s="523"/>
      <c r="WDK50" s="523"/>
      <c r="WDL50" s="523"/>
      <c r="WDM50" s="523"/>
      <c r="WDN50" s="523"/>
      <c r="WDO50" s="523"/>
      <c r="WDP50" s="523"/>
      <c r="WDQ50" s="523"/>
      <c r="WDR50" s="523"/>
      <c r="WDS50" s="523"/>
      <c r="WDT50" s="523"/>
      <c r="WDU50" s="523"/>
      <c r="WDV50" s="523"/>
      <c r="WDW50" s="523"/>
      <c r="WDX50" s="523"/>
      <c r="WDY50" s="523"/>
      <c r="WDZ50" s="523"/>
      <c r="WEA50" s="523"/>
      <c r="WEB50" s="523"/>
      <c r="WEC50" s="523"/>
      <c r="WED50" s="523"/>
      <c r="WEE50" s="523"/>
      <c r="WEF50" s="523"/>
      <c r="WEG50" s="523"/>
      <c r="WEH50" s="523"/>
      <c r="WEI50" s="523"/>
      <c r="WEJ50" s="523"/>
      <c r="WEK50" s="523"/>
      <c r="WEL50" s="523"/>
      <c r="WEM50" s="523"/>
      <c r="WEN50" s="523"/>
      <c r="WEO50" s="523"/>
      <c r="WEP50" s="523"/>
      <c r="WEQ50" s="523"/>
      <c r="WER50" s="523"/>
      <c r="WES50" s="523"/>
      <c r="WET50" s="523"/>
      <c r="WEU50" s="523"/>
      <c r="WEV50" s="523"/>
      <c r="WEW50" s="523"/>
      <c r="WEX50" s="523"/>
      <c r="WEY50" s="523"/>
      <c r="WEZ50" s="523"/>
      <c r="WFA50" s="523"/>
      <c r="WFB50" s="523"/>
      <c r="WFC50" s="523"/>
      <c r="WFD50" s="523"/>
      <c r="WFE50" s="523"/>
      <c r="WFF50" s="523"/>
      <c r="WFG50" s="523"/>
      <c r="WFH50" s="523"/>
      <c r="WFI50" s="523"/>
      <c r="WFJ50" s="523"/>
      <c r="WFK50" s="523"/>
      <c r="WFL50" s="523"/>
      <c r="WFM50" s="523"/>
      <c r="WFN50" s="523"/>
      <c r="WFO50" s="523"/>
      <c r="WFP50" s="523"/>
      <c r="WFQ50" s="523"/>
      <c r="WFR50" s="523"/>
      <c r="WFS50" s="523"/>
      <c r="WFT50" s="523"/>
      <c r="WFU50" s="523"/>
      <c r="WFV50" s="523"/>
      <c r="WFW50" s="523"/>
      <c r="WFX50" s="523"/>
      <c r="WFY50" s="523"/>
      <c r="WFZ50" s="523"/>
      <c r="WGA50" s="523"/>
      <c r="WGB50" s="523"/>
      <c r="WGC50" s="523"/>
      <c r="WGD50" s="523"/>
      <c r="WGE50" s="523"/>
      <c r="WGF50" s="523"/>
      <c r="WGG50" s="523"/>
      <c r="WGH50" s="523"/>
      <c r="WGI50" s="523"/>
      <c r="WGJ50" s="523"/>
      <c r="WGK50" s="523"/>
      <c r="WGL50" s="523"/>
      <c r="WGM50" s="523"/>
      <c r="WGN50" s="523"/>
      <c r="WGO50" s="523"/>
      <c r="WGP50" s="523"/>
      <c r="WGQ50" s="523"/>
      <c r="WGR50" s="523"/>
      <c r="WGS50" s="523"/>
      <c r="WGT50" s="523"/>
      <c r="WGU50" s="523"/>
      <c r="WGV50" s="523"/>
      <c r="WGW50" s="523"/>
      <c r="WGX50" s="523"/>
      <c r="WGY50" s="523"/>
      <c r="WGZ50" s="523"/>
      <c r="WHA50" s="523"/>
      <c r="WHB50" s="523"/>
      <c r="WHC50" s="523"/>
      <c r="WHD50" s="523"/>
      <c r="WHE50" s="523"/>
      <c r="WHF50" s="523"/>
      <c r="WHG50" s="523"/>
      <c r="WHH50" s="523"/>
      <c r="WHI50" s="523"/>
      <c r="WHJ50" s="523"/>
      <c r="WHK50" s="523"/>
      <c r="WHL50" s="523"/>
      <c r="WHM50" s="523"/>
      <c r="WHN50" s="523"/>
      <c r="WHO50" s="523"/>
      <c r="WHP50" s="523"/>
      <c r="WHQ50" s="523"/>
      <c r="WHR50" s="523"/>
      <c r="WHS50" s="523"/>
      <c r="WHT50" s="523"/>
      <c r="WHU50" s="523"/>
      <c r="WHV50" s="523"/>
      <c r="WHW50" s="523"/>
      <c r="WHX50" s="523"/>
      <c r="WHY50" s="523"/>
      <c r="WHZ50" s="523"/>
      <c r="WIA50" s="523"/>
      <c r="WIB50" s="523"/>
      <c r="WIC50" s="523"/>
      <c r="WID50" s="523"/>
      <c r="WIE50" s="523"/>
      <c r="WIF50" s="523"/>
      <c r="WIG50" s="523"/>
      <c r="WIH50" s="523"/>
      <c r="WII50" s="523"/>
      <c r="WIJ50" s="523"/>
      <c r="WIK50" s="523"/>
      <c r="WIL50" s="523"/>
      <c r="WIM50" s="523"/>
      <c r="WIN50" s="523"/>
      <c r="WIO50" s="523"/>
      <c r="WIP50" s="523"/>
      <c r="WIQ50" s="523"/>
      <c r="WIR50" s="523"/>
      <c r="WIS50" s="523"/>
      <c r="WIT50" s="523"/>
      <c r="WIU50" s="523"/>
      <c r="WIV50" s="523"/>
      <c r="WIW50" s="523"/>
      <c r="WIX50" s="523"/>
      <c r="WIY50" s="523"/>
      <c r="WIZ50" s="523"/>
      <c r="WJA50" s="523"/>
      <c r="WJB50" s="523"/>
      <c r="WJC50" s="523"/>
      <c r="WJD50" s="523"/>
      <c r="WJE50" s="523"/>
      <c r="WJF50" s="523"/>
      <c r="WJG50" s="523"/>
      <c r="WJH50" s="523"/>
      <c r="WJI50" s="523"/>
      <c r="WJJ50" s="523"/>
      <c r="WJK50" s="523"/>
      <c r="WJL50" s="523"/>
      <c r="WJM50" s="523"/>
      <c r="WJN50" s="523"/>
      <c r="WJO50" s="523"/>
      <c r="WJP50" s="523"/>
      <c r="WJQ50" s="523"/>
      <c r="WJR50" s="523"/>
      <c r="WJS50" s="523"/>
      <c r="WJT50" s="523"/>
      <c r="WJU50" s="523"/>
      <c r="WJV50" s="523"/>
      <c r="WJW50" s="523"/>
      <c r="WJX50" s="523"/>
      <c r="WJY50" s="523"/>
      <c r="WJZ50" s="523"/>
      <c r="WKA50" s="523"/>
      <c r="WKB50" s="523"/>
      <c r="WKC50" s="523"/>
      <c r="WKD50" s="523"/>
      <c r="WKE50" s="523"/>
      <c r="WKF50" s="523"/>
      <c r="WKG50" s="523"/>
      <c r="WKH50" s="523"/>
      <c r="WKI50" s="523"/>
      <c r="WKJ50" s="523"/>
      <c r="WKK50" s="523"/>
      <c r="WKL50" s="523"/>
      <c r="WKM50" s="523"/>
      <c r="WKN50" s="523"/>
      <c r="WKO50" s="523"/>
      <c r="WKP50" s="523"/>
      <c r="WKQ50" s="523"/>
      <c r="WKR50" s="523"/>
      <c r="WKS50" s="523"/>
      <c r="WKT50" s="523"/>
      <c r="WKU50" s="523"/>
      <c r="WKV50" s="523"/>
      <c r="WKW50" s="523"/>
      <c r="WKX50" s="523"/>
      <c r="WKY50" s="523"/>
      <c r="WKZ50" s="523"/>
      <c r="WLA50" s="523"/>
      <c r="WLB50" s="523"/>
      <c r="WLC50" s="523"/>
      <c r="WLD50" s="523"/>
      <c r="WLE50" s="523"/>
      <c r="WLF50" s="523"/>
      <c r="WLG50" s="523"/>
      <c r="WLH50" s="523"/>
      <c r="WLI50" s="523"/>
      <c r="WLJ50" s="523"/>
      <c r="WLK50" s="523"/>
      <c r="WLL50" s="523"/>
      <c r="WLM50" s="523"/>
      <c r="WLN50" s="523"/>
      <c r="WLO50" s="523"/>
      <c r="WLP50" s="523"/>
      <c r="WLQ50" s="523"/>
      <c r="WLR50" s="523"/>
      <c r="WLS50" s="523"/>
      <c r="WLT50" s="523"/>
      <c r="WLU50" s="523"/>
      <c r="WLV50" s="523"/>
      <c r="WLW50" s="523"/>
      <c r="WLX50" s="523"/>
      <c r="WLY50" s="523"/>
      <c r="WLZ50" s="523"/>
      <c r="WMA50" s="523"/>
      <c r="WMB50" s="523"/>
      <c r="WMC50" s="523"/>
      <c r="WMD50" s="523"/>
      <c r="WME50" s="523"/>
      <c r="WMF50" s="523"/>
      <c r="WMG50" s="523"/>
      <c r="WMH50" s="523"/>
      <c r="WMI50" s="523"/>
      <c r="WMJ50" s="523"/>
      <c r="WMK50" s="523"/>
      <c r="WML50" s="523"/>
      <c r="WMM50" s="523"/>
      <c r="WMN50" s="523"/>
      <c r="WMO50" s="523"/>
      <c r="WMP50" s="523"/>
      <c r="WMQ50" s="523"/>
      <c r="WMR50" s="523"/>
      <c r="WMS50" s="523"/>
      <c r="WMT50" s="523"/>
      <c r="WMU50" s="523"/>
      <c r="WMV50" s="523"/>
      <c r="WMW50" s="523"/>
      <c r="WMX50" s="523"/>
      <c r="WMY50" s="523"/>
      <c r="WMZ50" s="523"/>
      <c r="WNA50" s="523"/>
      <c r="WNB50" s="523"/>
      <c r="WNC50" s="523"/>
      <c r="WND50" s="523"/>
      <c r="WNE50" s="523"/>
      <c r="WNF50" s="523"/>
      <c r="WNG50" s="523"/>
      <c r="WNH50" s="523"/>
      <c r="WNI50" s="523"/>
      <c r="WNJ50" s="523"/>
      <c r="WNK50" s="523"/>
      <c r="WNL50" s="523"/>
      <c r="WNM50" s="523"/>
      <c r="WNN50" s="523"/>
      <c r="WNO50" s="523"/>
      <c r="WNP50" s="523"/>
      <c r="WNQ50" s="523"/>
      <c r="WNR50" s="523"/>
      <c r="WNS50" s="523"/>
      <c r="WNT50" s="523"/>
      <c r="WNU50" s="523"/>
      <c r="WNV50" s="523"/>
      <c r="WNW50" s="523"/>
      <c r="WNX50" s="523"/>
      <c r="WNY50" s="523"/>
      <c r="WNZ50" s="523"/>
      <c r="WOA50" s="523"/>
      <c r="WOB50" s="523"/>
      <c r="WOC50" s="523"/>
      <c r="WOD50" s="523"/>
      <c r="WOE50" s="523"/>
      <c r="WOF50" s="523"/>
      <c r="WOG50" s="523"/>
      <c r="WOH50" s="523"/>
      <c r="WOI50" s="523"/>
      <c r="WOJ50" s="523"/>
      <c r="WOK50" s="523"/>
      <c r="WOL50" s="523"/>
      <c r="WOM50" s="523"/>
      <c r="WON50" s="523"/>
      <c r="WOO50" s="523"/>
      <c r="WOP50" s="523"/>
      <c r="WOQ50" s="523"/>
      <c r="WOR50" s="523"/>
      <c r="WOS50" s="523"/>
      <c r="WOT50" s="523"/>
      <c r="WOU50" s="523"/>
      <c r="WOV50" s="523"/>
      <c r="WOW50" s="523"/>
      <c r="WOX50" s="523"/>
      <c r="WOY50" s="523"/>
      <c r="WOZ50" s="523"/>
      <c r="WPA50" s="523"/>
      <c r="WPB50" s="523"/>
      <c r="WPC50" s="523"/>
      <c r="WPD50" s="523"/>
      <c r="WPE50" s="523"/>
      <c r="WPF50" s="523"/>
      <c r="WPG50" s="523"/>
      <c r="WPH50" s="523"/>
      <c r="WPI50" s="523"/>
      <c r="WPJ50" s="523"/>
      <c r="WPK50" s="523"/>
      <c r="WPL50" s="523"/>
      <c r="WPM50" s="523"/>
      <c r="WPN50" s="523"/>
      <c r="WPO50" s="523"/>
      <c r="WPP50" s="523"/>
      <c r="WPQ50" s="523"/>
      <c r="WPR50" s="523"/>
      <c r="WPS50" s="523"/>
      <c r="WPT50" s="523"/>
      <c r="WPU50" s="523"/>
      <c r="WPV50" s="523"/>
      <c r="WPW50" s="523"/>
      <c r="WPX50" s="523"/>
      <c r="WPY50" s="523"/>
      <c r="WPZ50" s="523"/>
      <c r="WQA50" s="523"/>
      <c r="WQB50" s="523"/>
      <c r="WQC50" s="523"/>
      <c r="WQD50" s="523"/>
      <c r="WQE50" s="523"/>
      <c r="WQF50" s="523"/>
      <c r="WQG50" s="523"/>
      <c r="WQH50" s="523"/>
      <c r="WQI50" s="523"/>
      <c r="WQJ50" s="523"/>
      <c r="WQK50" s="523"/>
      <c r="WQL50" s="523"/>
      <c r="WQM50" s="523"/>
      <c r="WQN50" s="523"/>
      <c r="WQO50" s="523"/>
      <c r="WQP50" s="523"/>
      <c r="WQQ50" s="523"/>
      <c r="WQR50" s="523"/>
      <c r="WQS50" s="523"/>
      <c r="WQT50" s="523"/>
      <c r="WQU50" s="523"/>
      <c r="WQV50" s="523"/>
      <c r="WQW50" s="523"/>
      <c r="WQX50" s="523"/>
      <c r="WQY50" s="523"/>
      <c r="WQZ50" s="523"/>
      <c r="WRA50" s="523"/>
      <c r="WRB50" s="523"/>
      <c r="WRC50" s="523"/>
      <c r="WRD50" s="523"/>
      <c r="WRE50" s="523"/>
      <c r="WRF50" s="523"/>
      <c r="WRG50" s="523"/>
      <c r="WRH50" s="523"/>
      <c r="WRI50" s="523"/>
      <c r="WRJ50" s="523"/>
      <c r="WRK50" s="523"/>
      <c r="WRL50" s="523"/>
      <c r="WRM50" s="523"/>
      <c r="WRN50" s="523"/>
      <c r="WRO50" s="523"/>
      <c r="WRP50" s="523"/>
      <c r="WRQ50" s="523"/>
      <c r="WRR50" s="523"/>
      <c r="WRS50" s="523"/>
      <c r="WRT50" s="523"/>
      <c r="WRU50" s="523"/>
      <c r="WRV50" s="523"/>
      <c r="WRW50" s="523"/>
      <c r="WRX50" s="523"/>
      <c r="WRY50" s="523"/>
      <c r="WRZ50" s="523"/>
      <c r="WSA50" s="523"/>
      <c r="WSB50" s="523"/>
      <c r="WSC50" s="523"/>
      <c r="WSD50" s="523"/>
      <c r="WSE50" s="523"/>
      <c r="WSF50" s="523"/>
      <c r="WSG50" s="523"/>
      <c r="WSH50" s="523"/>
      <c r="WSI50" s="523"/>
      <c r="WSJ50" s="523"/>
      <c r="WSK50" s="523"/>
      <c r="WSL50" s="523"/>
      <c r="WSM50" s="523"/>
      <c r="WSN50" s="523"/>
      <c r="WSO50" s="523"/>
      <c r="WSP50" s="523"/>
      <c r="WSQ50" s="523"/>
      <c r="WSR50" s="523"/>
      <c r="WSS50" s="523"/>
      <c r="WST50" s="523"/>
      <c r="WSU50" s="523"/>
      <c r="WSV50" s="523"/>
      <c r="WSW50" s="523"/>
      <c r="WSX50" s="523"/>
      <c r="WSY50" s="523"/>
      <c r="WSZ50" s="523"/>
      <c r="WTA50" s="523"/>
      <c r="WTB50" s="523"/>
      <c r="WTC50" s="523"/>
      <c r="WTD50" s="523"/>
      <c r="WTE50" s="523"/>
      <c r="WTF50" s="523"/>
      <c r="WTG50" s="523"/>
      <c r="WTH50" s="523"/>
      <c r="WTI50" s="523"/>
      <c r="WTJ50" s="523"/>
      <c r="WTK50" s="523"/>
      <c r="WTL50" s="523"/>
      <c r="WTM50" s="523"/>
      <c r="WTN50" s="523"/>
      <c r="WTO50" s="523"/>
      <c r="WTP50" s="523"/>
      <c r="WTQ50" s="523"/>
      <c r="WTR50" s="523"/>
      <c r="WTS50" s="523"/>
      <c r="WTT50" s="523"/>
      <c r="WTU50" s="523"/>
      <c r="WTV50" s="523"/>
      <c r="WTW50" s="523"/>
      <c r="WTX50" s="523"/>
      <c r="WTY50" s="523"/>
      <c r="WTZ50" s="523"/>
      <c r="WUA50" s="523"/>
      <c r="WUB50" s="523"/>
      <c r="WUC50" s="523"/>
      <c r="WUD50" s="523"/>
      <c r="WUE50" s="523"/>
      <c r="WUF50" s="523"/>
      <c r="WUG50" s="523"/>
      <c r="WUH50" s="523"/>
      <c r="WUI50" s="523"/>
      <c r="WUJ50" s="523"/>
      <c r="WUK50" s="523"/>
      <c r="WUL50" s="523"/>
      <c r="WUM50" s="523"/>
      <c r="WUN50" s="523"/>
      <c r="WUO50" s="523"/>
      <c r="WUP50" s="523"/>
      <c r="WUQ50" s="523"/>
      <c r="WUR50" s="523"/>
      <c r="WUS50" s="523"/>
      <c r="WUT50" s="523"/>
      <c r="WUU50" s="523"/>
      <c r="WUV50" s="523"/>
      <c r="WUW50" s="523"/>
      <c r="WUX50" s="523"/>
      <c r="WUY50" s="523"/>
      <c r="WUZ50" s="523"/>
      <c r="WVA50" s="523"/>
      <c r="WVB50" s="523"/>
      <c r="WVC50" s="523"/>
      <c r="WVD50" s="523"/>
      <c r="WVE50" s="523"/>
      <c r="WVF50" s="523"/>
      <c r="WVG50" s="523"/>
      <c r="WVH50" s="523"/>
      <c r="WVI50" s="523"/>
      <c r="WVJ50" s="523"/>
      <c r="WVK50" s="523"/>
      <c r="WVL50" s="523"/>
      <c r="WVM50" s="523"/>
      <c r="WVN50" s="523"/>
      <c r="WVO50" s="523"/>
      <c r="WVP50" s="523"/>
      <c r="WVQ50" s="523"/>
      <c r="WVR50" s="523"/>
      <c r="WVS50" s="523"/>
      <c r="WVT50" s="523"/>
      <c r="WVU50" s="523"/>
      <c r="WVV50" s="523"/>
      <c r="WVW50" s="523"/>
      <c r="WVX50" s="523"/>
      <c r="WVY50" s="523"/>
      <c r="WVZ50" s="523"/>
      <c r="WWA50" s="523"/>
      <c r="WWB50" s="523"/>
      <c r="WWC50" s="523"/>
      <c r="WWD50" s="523"/>
      <c r="WWE50" s="523"/>
      <c r="WWF50" s="523"/>
      <c r="WWG50" s="523"/>
      <c r="WWH50" s="523"/>
      <c r="WWI50" s="523"/>
      <c r="WWJ50" s="523"/>
      <c r="WWK50" s="523"/>
      <c r="WWL50" s="523"/>
      <c r="WWM50" s="523"/>
      <c r="WWN50" s="523"/>
      <c r="WWO50" s="523"/>
      <c r="WWP50" s="523"/>
      <c r="WWQ50" s="523"/>
      <c r="WWR50" s="523"/>
      <c r="WWS50" s="523"/>
      <c r="WWT50" s="523"/>
      <c r="WWU50" s="523"/>
      <c r="WWV50" s="523"/>
      <c r="WWW50" s="523"/>
      <c r="WWX50" s="523"/>
      <c r="WWY50" s="523"/>
      <c r="WWZ50" s="523"/>
      <c r="WXA50" s="523"/>
      <c r="WXB50" s="523"/>
      <c r="WXC50" s="523"/>
      <c r="WXD50" s="523"/>
      <c r="WXE50" s="523"/>
      <c r="WXF50" s="523"/>
      <c r="WXG50" s="523"/>
      <c r="WXH50" s="523"/>
      <c r="WXI50" s="523"/>
      <c r="WXJ50" s="523"/>
      <c r="WXK50" s="523"/>
      <c r="WXL50" s="523"/>
      <c r="WXM50" s="523"/>
      <c r="WXN50" s="523"/>
      <c r="WXO50" s="523"/>
      <c r="WXP50" s="523"/>
      <c r="WXQ50" s="523"/>
      <c r="WXR50" s="523"/>
      <c r="WXS50" s="523"/>
      <c r="WXT50" s="523"/>
      <c r="WXU50" s="523"/>
      <c r="WXV50" s="523"/>
      <c r="WXW50" s="523"/>
      <c r="WXX50" s="523"/>
      <c r="WXY50" s="523"/>
      <c r="WXZ50" s="523"/>
      <c r="WYA50" s="523"/>
      <c r="WYB50" s="523"/>
      <c r="WYC50" s="523"/>
      <c r="WYD50" s="523"/>
      <c r="WYE50" s="523"/>
      <c r="WYF50" s="523"/>
      <c r="WYG50" s="523"/>
      <c r="WYH50" s="523"/>
      <c r="WYI50" s="523"/>
      <c r="WYJ50" s="523"/>
      <c r="WYK50" s="523"/>
      <c r="WYL50" s="523"/>
      <c r="WYM50" s="523"/>
      <c r="WYN50" s="523"/>
      <c r="WYO50" s="523"/>
      <c r="WYP50" s="523"/>
      <c r="WYQ50" s="523"/>
      <c r="WYR50" s="523"/>
      <c r="WYS50" s="523"/>
      <c r="WYT50" s="523"/>
      <c r="WYU50" s="523"/>
      <c r="WYV50" s="523"/>
      <c r="WYW50" s="523"/>
      <c r="WYX50" s="523"/>
      <c r="WYY50" s="523"/>
      <c r="WYZ50" s="523"/>
      <c r="WZA50" s="523"/>
      <c r="WZB50" s="523"/>
      <c r="WZC50" s="523"/>
      <c r="WZD50" s="523"/>
      <c r="WZE50" s="523"/>
      <c r="WZF50" s="523"/>
      <c r="WZG50" s="523"/>
      <c r="WZH50" s="523"/>
      <c r="WZI50" s="523"/>
      <c r="WZJ50" s="523"/>
      <c r="WZK50" s="523"/>
      <c r="WZL50" s="523"/>
      <c r="WZM50" s="523"/>
      <c r="WZN50" s="523"/>
      <c r="WZO50" s="523"/>
      <c r="WZP50" s="523"/>
      <c r="WZQ50" s="523"/>
      <c r="WZR50" s="523"/>
      <c r="WZS50" s="523"/>
      <c r="WZT50" s="523"/>
      <c r="WZU50" s="523"/>
      <c r="WZV50" s="523"/>
      <c r="WZW50" s="523"/>
      <c r="WZX50" s="523"/>
      <c r="WZY50" s="523"/>
      <c r="WZZ50" s="523"/>
      <c r="XAA50" s="523"/>
      <c r="XAB50" s="523"/>
      <c r="XAC50" s="523"/>
      <c r="XAD50" s="523"/>
      <c r="XAE50" s="523"/>
      <c r="XAF50" s="523"/>
      <c r="XAG50" s="523"/>
      <c r="XAH50" s="523"/>
      <c r="XAI50" s="523"/>
      <c r="XAJ50" s="523"/>
      <c r="XAK50" s="523"/>
      <c r="XAL50" s="523"/>
      <c r="XAM50" s="523"/>
      <c r="XAN50" s="523"/>
      <c r="XAO50" s="523"/>
      <c r="XAP50" s="523"/>
      <c r="XAQ50" s="523"/>
      <c r="XAR50" s="523"/>
      <c r="XAS50" s="523"/>
      <c r="XAT50" s="523"/>
      <c r="XAU50" s="523"/>
      <c r="XAV50" s="523"/>
      <c r="XAW50" s="523"/>
      <c r="XAX50" s="523"/>
      <c r="XAY50" s="523"/>
      <c r="XAZ50" s="523"/>
      <c r="XBA50" s="523"/>
      <c r="XBB50" s="523"/>
      <c r="XBC50" s="523"/>
      <c r="XBD50" s="523"/>
      <c r="XBE50" s="523"/>
      <c r="XBF50" s="523"/>
      <c r="XBG50" s="523"/>
      <c r="XBH50" s="523"/>
      <c r="XBI50" s="523"/>
      <c r="XBJ50" s="523"/>
      <c r="XBK50" s="523"/>
      <c r="XBL50" s="523"/>
      <c r="XBM50" s="523"/>
      <c r="XBN50" s="523"/>
      <c r="XBO50" s="523"/>
      <c r="XBP50" s="523"/>
      <c r="XBQ50" s="523"/>
      <c r="XBR50" s="523"/>
      <c r="XBS50" s="523"/>
      <c r="XBT50" s="523"/>
      <c r="XBU50" s="523"/>
      <c r="XBV50" s="523"/>
      <c r="XBW50" s="523"/>
      <c r="XBX50" s="523"/>
      <c r="XBY50" s="523"/>
      <c r="XBZ50" s="523"/>
      <c r="XCA50" s="523"/>
      <c r="XCB50" s="523"/>
      <c r="XCC50" s="523"/>
      <c r="XCD50" s="523"/>
      <c r="XCE50" s="523"/>
      <c r="XCF50" s="523"/>
      <c r="XCG50" s="523"/>
      <c r="XCH50" s="523"/>
      <c r="XCI50" s="523"/>
      <c r="XCJ50" s="523"/>
      <c r="XCK50" s="523"/>
      <c r="XCL50" s="523"/>
      <c r="XCM50" s="523"/>
      <c r="XCN50" s="523"/>
      <c r="XCO50" s="523"/>
      <c r="XCP50" s="523"/>
      <c r="XCQ50" s="523"/>
      <c r="XCR50" s="523"/>
      <c r="XCS50" s="523"/>
      <c r="XCT50" s="523"/>
      <c r="XCU50" s="523"/>
      <c r="XCV50" s="523"/>
      <c r="XCW50" s="523"/>
      <c r="XCX50" s="523"/>
      <c r="XCY50" s="523"/>
      <c r="XCZ50" s="523"/>
      <c r="XDA50" s="523"/>
      <c r="XDB50" s="523"/>
      <c r="XDC50" s="523"/>
      <c r="XDD50" s="523"/>
      <c r="XDE50" s="523"/>
      <c r="XDF50" s="523"/>
      <c r="XDG50" s="523"/>
      <c r="XDH50" s="523"/>
      <c r="XDI50" s="523"/>
      <c r="XDJ50" s="523"/>
      <c r="XDK50" s="523"/>
      <c r="XDL50" s="523"/>
      <c r="XDM50" s="523"/>
      <c r="XDN50" s="523"/>
      <c r="XDO50" s="523"/>
      <c r="XDP50" s="523"/>
      <c r="XDQ50" s="523"/>
      <c r="XDR50" s="523"/>
      <c r="XDS50" s="523"/>
      <c r="XDT50" s="523"/>
      <c r="XDU50" s="523"/>
      <c r="XDV50" s="523"/>
      <c r="XDW50" s="523"/>
      <c r="XDX50" s="523"/>
      <c r="XDY50" s="523"/>
      <c r="XDZ50" s="523"/>
      <c r="XEA50" s="523"/>
      <c r="XEB50" s="523"/>
      <c r="XEC50" s="523"/>
      <c r="XED50" s="523"/>
      <c r="XEE50" s="523"/>
      <c r="XEF50" s="523"/>
      <c r="XEG50" s="523"/>
      <c r="XEH50" s="523"/>
      <c r="XEI50" s="523"/>
      <c r="XEJ50" s="523"/>
      <c r="XEK50" s="523"/>
      <c r="XEL50" s="523"/>
      <c r="XEM50" s="523"/>
      <c r="XEN50" s="523"/>
      <c r="XEO50" s="523"/>
      <c r="XEP50" s="523"/>
      <c r="XEQ50" s="523"/>
      <c r="XER50" s="523"/>
      <c r="XES50" s="523"/>
      <c r="XET50" s="523"/>
      <c r="XEU50" s="523"/>
      <c r="XEV50" s="523"/>
      <c r="XEW50" s="523"/>
      <c r="XEX50" s="523"/>
      <c r="XEY50" s="523"/>
      <c r="XEZ50" s="523"/>
      <c r="XFA50" s="523"/>
      <c r="XFB50" s="523"/>
      <c r="XFC50" s="524"/>
    </row>
    <row r="51" spans="1:16383" s="527" customFormat="1" ht="20.25" hidden="1" customHeight="1" x14ac:dyDescent="0.25">
      <c r="A51" s="558" t="s">
        <v>402</v>
      </c>
      <c r="B51" s="559"/>
      <c r="C51" s="562"/>
      <c r="D51" s="562"/>
      <c r="E51" s="562"/>
      <c r="F51" s="562"/>
      <c r="G51" s="562"/>
      <c r="H51" s="562"/>
      <c r="I51" s="562"/>
      <c r="J51" s="562"/>
      <c r="K51" s="562"/>
      <c r="L51" s="562"/>
      <c r="M51" s="526"/>
      <c r="XFC51" s="528"/>
    </row>
    <row r="52" spans="1:16383" s="525" customFormat="1" ht="20.25" hidden="1" customHeight="1" x14ac:dyDescent="0.3">
      <c r="A52" s="558" t="s">
        <v>403</v>
      </c>
      <c r="B52" s="559"/>
      <c r="C52" s="562"/>
      <c r="D52" s="562"/>
      <c r="E52" s="562"/>
      <c r="F52" s="562"/>
      <c r="G52" s="562"/>
      <c r="H52" s="562"/>
      <c r="I52" s="562"/>
      <c r="J52" s="562"/>
      <c r="K52" s="562"/>
      <c r="L52" s="562"/>
      <c r="M52" s="529"/>
      <c r="XFC52" s="530"/>
    </row>
    <row r="53" spans="1:16383" s="525" customFormat="1" ht="20.25" hidden="1" customHeight="1" x14ac:dyDescent="0.3">
      <c r="A53" s="558" t="s">
        <v>404</v>
      </c>
      <c r="B53" s="559"/>
      <c r="C53" s="562"/>
      <c r="D53" s="562"/>
      <c r="E53" s="562"/>
      <c r="F53" s="562"/>
      <c r="G53" s="562"/>
      <c r="H53" s="562"/>
      <c r="I53" s="562"/>
      <c r="J53" s="562"/>
      <c r="K53" s="562"/>
      <c r="L53" s="562"/>
      <c r="M53" s="529"/>
      <c r="XFC53" s="530"/>
    </row>
    <row r="54" spans="1:16383" s="525" customFormat="1" ht="20.25" hidden="1" customHeight="1" x14ac:dyDescent="0.3">
      <c r="A54" s="558" t="s">
        <v>405</v>
      </c>
      <c r="B54" s="559"/>
      <c r="C54" s="562"/>
      <c r="D54" s="562"/>
      <c r="E54" s="562"/>
      <c r="F54" s="562"/>
      <c r="G54" s="562"/>
      <c r="H54" s="562"/>
      <c r="I54" s="562"/>
      <c r="J54" s="562"/>
      <c r="K54" s="562"/>
      <c r="L54" s="562"/>
      <c r="M54" s="529"/>
      <c r="XFC54" s="530"/>
    </row>
    <row r="55" spans="1:16383" s="525" customFormat="1" ht="20.25" hidden="1" customHeight="1" x14ac:dyDescent="0.3">
      <c r="A55" s="558" t="s">
        <v>406</v>
      </c>
      <c r="B55" s="559"/>
      <c r="C55" s="562"/>
      <c r="D55" s="562"/>
      <c r="E55" s="562"/>
      <c r="F55" s="562"/>
      <c r="G55" s="562"/>
      <c r="H55" s="562"/>
      <c r="I55" s="562"/>
      <c r="J55" s="562"/>
      <c r="K55" s="562"/>
      <c r="L55" s="562"/>
      <c r="M55" s="529"/>
      <c r="XFC55" s="530"/>
    </row>
    <row r="56" spans="1:16383" s="525" customFormat="1" ht="20.25" hidden="1" customHeight="1" x14ac:dyDescent="0.3">
      <c r="A56" s="558" t="s">
        <v>407</v>
      </c>
      <c r="B56" s="559"/>
      <c r="C56" s="562"/>
      <c r="D56" s="562"/>
      <c r="E56" s="562"/>
      <c r="F56" s="562"/>
      <c r="G56" s="562"/>
      <c r="H56" s="562"/>
      <c r="I56" s="562"/>
      <c r="J56" s="562"/>
      <c r="K56" s="562"/>
      <c r="L56" s="562"/>
      <c r="M56" s="529"/>
      <c r="XFC56" s="530"/>
    </row>
    <row r="57" spans="1:16383" s="525" customFormat="1" ht="20.25" hidden="1" customHeight="1" x14ac:dyDescent="0.3">
      <c r="A57" s="558" t="s">
        <v>408</v>
      </c>
      <c r="B57" s="559"/>
      <c r="C57" s="562"/>
      <c r="D57" s="562"/>
      <c r="E57" s="562"/>
      <c r="F57" s="562"/>
      <c r="G57" s="562"/>
      <c r="H57" s="562"/>
      <c r="I57" s="562"/>
      <c r="J57" s="562"/>
      <c r="K57" s="562"/>
      <c r="L57" s="562"/>
      <c r="M57" s="529"/>
      <c r="XFC57" s="530"/>
    </row>
    <row r="58" spans="1:16383" s="525" customFormat="1" ht="28.15" hidden="1" customHeight="1" thickBot="1" x14ac:dyDescent="0.35">
      <c r="A58" s="558" t="s">
        <v>409</v>
      </c>
      <c r="B58" s="559"/>
      <c r="C58" s="562"/>
      <c r="D58" s="562"/>
      <c r="E58" s="562"/>
      <c r="F58" s="562"/>
      <c r="G58" s="562"/>
      <c r="H58" s="562"/>
      <c r="I58" s="562"/>
      <c r="J58" s="562"/>
      <c r="K58" s="562"/>
      <c r="L58" s="562"/>
      <c r="M58" s="531"/>
      <c r="N58" s="532"/>
      <c r="O58" s="532"/>
      <c r="P58" s="532"/>
      <c r="Q58" s="532"/>
      <c r="R58" s="532"/>
      <c r="S58" s="532"/>
      <c r="T58" s="532"/>
      <c r="U58" s="532"/>
      <c r="V58" s="532"/>
      <c r="W58" s="532"/>
      <c r="X58" s="532"/>
      <c r="Y58" s="532"/>
      <c r="Z58" s="532"/>
      <c r="AA58" s="532"/>
      <c r="AB58" s="532"/>
      <c r="AC58" s="532"/>
      <c r="AD58" s="532"/>
      <c r="AE58" s="532"/>
      <c r="AF58" s="532"/>
      <c r="AG58" s="532"/>
      <c r="AH58" s="532"/>
      <c r="AI58" s="532"/>
      <c r="AJ58" s="532"/>
      <c r="AK58" s="532"/>
      <c r="AL58" s="532"/>
      <c r="AM58" s="532"/>
      <c r="AN58" s="532"/>
      <c r="AO58" s="532"/>
      <c r="AP58" s="532"/>
      <c r="AQ58" s="532"/>
      <c r="AR58" s="532"/>
      <c r="AS58" s="532"/>
      <c r="AT58" s="532"/>
      <c r="AU58" s="532"/>
      <c r="AV58" s="532"/>
      <c r="AW58" s="532"/>
      <c r="AX58" s="532"/>
      <c r="AY58" s="532"/>
      <c r="AZ58" s="532"/>
      <c r="BA58" s="532"/>
      <c r="BB58" s="532"/>
      <c r="BC58" s="532"/>
      <c r="BD58" s="532"/>
      <c r="BE58" s="532"/>
      <c r="BF58" s="532"/>
      <c r="BG58" s="532"/>
      <c r="BH58" s="532"/>
      <c r="BI58" s="532"/>
      <c r="BJ58" s="532"/>
      <c r="BK58" s="532"/>
      <c r="BL58" s="532"/>
      <c r="BM58" s="532"/>
      <c r="BN58" s="532"/>
      <c r="BO58" s="532"/>
      <c r="BP58" s="532"/>
      <c r="BQ58" s="532"/>
      <c r="BR58" s="532"/>
      <c r="BS58" s="532"/>
      <c r="BT58" s="532"/>
      <c r="BU58" s="532"/>
      <c r="BV58" s="532"/>
      <c r="BW58" s="532"/>
      <c r="BX58" s="532"/>
      <c r="BY58" s="532"/>
      <c r="BZ58" s="532"/>
      <c r="CA58" s="532"/>
      <c r="CB58" s="532"/>
      <c r="CC58" s="532"/>
      <c r="CD58" s="532"/>
      <c r="CE58" s="532"/>
      <c r="CF58" s="532"/>
      <c r="CG58" s="532"/>
      <c r="CH58" s="532"/>
      <c r="CI58" s="532"/>
      <c r="CJ58" s="532"/>
      <c r="CK58" s="532"/>
      <c r="CL58" s="532"/>
      <c r="CM58" s="532"/>
      <c r="CN58" s="532"/>
      <c r="CO58" s="532"/>
      <c r="CP58" s="532"/>
      <c r="CQ58" s="532"/>
      <c r="CR58" s="532"/>
      <c r="CS58" s="532"/>
      <c r="CT58" s="532"/>
      <c r="CU58" s="532"/>
      <c r="CV58" s="532"/>
      <c r="CW58" s="532"/>
      <c r="CX58" s="532"/>
      <c r="CY58" s="532"/>
      <c r="CZ58" s="532"/>
      <c r="DA58" s="532"/>
      <c r="DB58" s="532"/>
      <c r="DC58" s="532"/>
      <c r="DD58" s="532"/>
      <c r="DE58" s="532"/>
      <c r="DF58" s="532"/>
      <c r="DG58" s="532"/>
      <c r="DH58" s="532"/>
      <c r="DI58" s="532"/>
      <c r="DJ58" s="532"/>
      <c r="DK58" s="532"/>
      <c r="DL58" s="532"/>
      <c r="DM58" s="532"/>
      <c r="DN58" s="532"/>
      <c r="DO58" s="532"/>
      <c r="DP58" s="532"/>
      <c r="DQ58" s="532"/>
      <c r="DR58" s="532"/>
      <c r="DS58" s="532"/>
      <c r="DT58" s="532"/>
      <c r="DU58" s="532"/>
      <c r="DV58" s="532"/>
      <c r="DW58" s="532"/>
      <c r="DX58" s="532"/>
      <c r="DY58" s="532"/>
      <c r="DZ58" s="532"/>
      <c r="EA58" s="532"/>
      <c r="EB58" s="532"/>
      <c r="EC58" s="532"/>
      <c r="ED58" s="532"/>
      <c r="EE58" s="532"/>
      <c r="EF58" s="532"/>
      <c r="EG58" s="532"/>
      <c r="EH58" s="532"/>
      <c r="EI58" s="532"/>
      <c r="EJ58" s="532"/>
      <c r="EK58" s="532"/>
      <c r="EL58" s="532"/>
      <c r="EM58" s="532"/>
      <c r="EN58" s="532"/>
      <c r="EO58" s="532"/>
      <c r="EP58" s="532"/>
      <c r="EQ58" s="532"/>
      <c r="ER58" s="532"/>
      <c r="ES58" s="532"/>
      <c r="ET58" s="532"/>
      <c r="EU58" s="532"/>
      <c r="EV58" s="532"/>
      <c r="EW58" s="532"/>
      <c r="EX58" s="532"/>
      <c r="EY58" s="532"/>
      <c r="EZ58" s="532"/>
      <c r="FA58" s="532"/>
      <c r="FB58" s="532"/>
      <c r="FC58" s="532"/>
      <c r="FD58" s="532"/>
      <c r="FE58" s="532"/>
      <c r="FF58" s="532"/>
      <c r="FG58" s="532"/>
      <c r="FH58" s="532"/>
      <c r="FI58" s="532"/>
      <c r="FJ58" s="532"/>
      <c r="FK58" s="532"/>
      <c r="FL58" s="532"/>
      <c r="FM58" s="532"/>
      <c r="FN58" s="532"/>
      <c r="FO58" s="532"/>
      <c r="FP58" s="532"/>
      <c r="FQ58" s="532"/>
      <c r="FR58" s="532"/>
      <c r="FS58" s="532"/>
      <c r="FT58" s="532"/>
      <c r="FU58" s="532"/>
      <c r="FV58" s="532"/>
      <c r="FW58" s="532"/>
      <c r="FX58" s="532"/>
      <c r="FY58" s="532"/>
      <c r="FZ58" s="532"/>
      <c r="GA58" s="532"/>
      <c r="GB58" s="532"/>
      <c r="GC58" s="532"/>
      <c r="GD58" s="532"/>
      <c r="GE58" s="532"/>
      <c r="GF58" s="532"/>
      <c r="GG58" s="532"/>
      <c r="GH58" s="532"/>
      <c r="GI58" s="532"/>
      <c r="GJ58" s="532"/>
      <c r="GK58" s="532"/>
      <c r="GL58" s="532"/>
      <c r="GM58" s="532"/>
      <c r="GN58" s="532"/>
      <c r="GO58" s="532"/>
      <c r="GP58" s="532"/>
      <c r="GQ58" s="532"/>
      <c r="GR58" s="532"/>
      <c r="GS58" s="532"/>
      <c r="GT58" s="532"/>
      <c r="GU58" s="532"/>
      <c r="GV58" s="532"/>
      <c r="GW58" s="532"/>
      <c r="GX58" s="532"/>
      <c r="GY58" s="532"/>
      <c r="GZ58" s="532"/>
      <c r="HA58" s="532"/>
      <c r="HB58" s="532"/>
      <c r="HC58" s="532"/>
      <c r="HD58" s="532"/>
      <c r="HE58" s="532"/>
      <c r="HF58" s="532"/>
      <c r="HG58" s="532"/>
      <c r="HH58" s="532"/>
      <c r="HI58" s="532"/>
      <c r="HJ58" s="532"/>
      <c r="HK58" s="532"/>
      <c r="HL58" s="532"/>
      <c r="HM58" s="532"/>
      <c r="HN58" s="532"/>
      <c r="HO58" s="532"/>
      <c r="HP58" s="532"/>
      <c r="HQ58" s="532"/>
      <c r="HR58" s="532"/>
      <c r="HS58" s="532"/>
      <c r="HT58" s="532"/>
      <c r="HU58" s="532"/>
      <c r="HV58" s="532"/>
      <c r="HW58" s="532"/>
      <c r="HX58" s="532"/>
      <c r="HY58" s="532"/>
      <c r="HZ58" s="532"/>
      <c r="IA58" s="532"/>
      <c r="IB58" s="532"/>
      <c r="IC58" s="532"/>
      <c r="ID58" s="532"/>
      <c r="IE58" s="532"/>
      <c r="IF58" s="532"/>
      <c r="IG58" s="532"/>
      <c r="IH58" s="532"/>
      <c r="II58" s="532"/>
      <c r="IJ58" s="532"/>
      <c r="IK58" s="532"/>
      <c r="IL58" s="532"/>
      <c r="IM58" s="532"/>
      <c r="IN58" s="532"/>
      <c r="IO58" s="532"/>
      <c r="IP58" s="532"/>
      <c r="IQ58" s="532"/>
      <c r="IR58" s="532"/>
      <c r="IS58" s="532"/>
      <c r="IT58" s="532"/>
      <c r="IU58" s="532"/>
      <c r="IV58" s="532"/>
      <c r="IW58" s="532"/>
      <c r="IX58" s="532"/>
      <c r="IY58" s="532"/>
      <c r="IZ58" s="532"/>
      <c r="JA58" s="532"/>
      <c r="JB58" s="532"/>
      <c r="JC58" s="532"/>
      <c r="JD58" s="532"/>
      <c r="JE58" s="532"/>
      <c r="JF58" s="532"/>
      <c r="JG58" s="532"/>
      <c r="JH58" s="532"/>
      <c r="JI58" s="532"/>
      <c r="JJ58" s="532"/>
      <c r="JK58" s="532"/>
      <c r="JL58" s="532"/>
      <c r="JM58" s="532"/>
      <c r="JN58" s="532"/>
      <c r="JO58" s="532"/>
      <c r="JP58" s="532"/>
      <c r="JQ58" s="532"/>
      <c r="JR58" s="532"/>
      <c r="JS58" s="532"/>
      <c r="JT58" s="532"/>
      <c r="JU58" s="532"/>
      <c r="JV58" s="532"/>
      <c r="JW58" s="532"/>
      <c r="JX58" s="532"/>
      <c r="JY58" s="532"/>
      <c r="JZ58" s="532"/>
      <c r="KA58" s="532"/>
      <c r="KB58" s="532"/>
      <c r="KC58" s="532"/>
      <c r="KD58" s="532"/>
      <c r="KE58" s="532"/>
      <c r="KF58" s="532"/>
      <c r="KG58" s="532"/>
      <c r="KH58" s="532"/>
      <c r="KI58" s="532"/>
      <c r="KJ58" s="532"/>
      <c r="KK58" s="532"/>
      <c r="KL58" s="532"/>
      <c r="KM58" s="532"/>
      <c r="KN58" s="532"/>
      <c r="KO58" s="532"/>
      <c r="KP58" s="532"/>
      <c r="KQ58" s="532"/>
      <c r="KR58" s="532"/>
      <c r="KS58" s="532"/>
      <c r="KT58" s="532"/>
      <c r="KU58" s="532"/>
      <c r="KV58" s="532"/>
      <c r="KW58" s="532"/>
      <c r="KX58" s="532"/>
      <c r="KY58" s="532"/>
      <c r="KZ58" s="532"/>
      <c r="LA58" s="532"/>
      <c r="LB58" s="532"/>
      <c r="LC58" s="532"/>
      <c r="LD58" s="532"/>
      <c r="LE58" s="532"/>
      <c r="LF58" s="532"/>
      <c r="LG58" s="532"/>
      <c r="LH58" s="532"/>
      <c r="LI58" s="532"/>
      <c r="LJ58" s="532"/>
      <c r="LK58" s="532"/>
      <c r="LL58" s="532"/>
      <c r="LM58" s="532"/>
      <c r="LN58" s="532"/>
      <c r="LO58" s="532"/>
      <c r="LP58" s="532"/>
      <c r="LQ58" s="532"/>
      <c r="LR58" s="532"/>
      <c r="LS58" s="532"/>
      <c r="LT58" s="532"/>
      <c r="LU58" s="532"/>
      <c r="LV58" s="532"/>
      <c r="LW58" s="532"/>
      <c r="LX58" s="532"/>
      <c r="LY58" s="532"/>
      <c r="LZ58" s="532"/>
      <c r="MA58" s="532"/>
      <c r="MB58" s="532"/>
      <c r="MC58" s="532"/>
      <c r="MD58" s="532"/>
      <c r="ME58" s="532"/>
      <c r="MF58" s="532"/>
      <c r="MG58" s="532"/>
      <c r="MH58" s="532"/>
      <c r="MI58" s="532"/>
      <c r="MJ58" s="532"/>
      <c r="MK58" s="532"/>
      <c r="ML58" s="532"/>
      <c r="MM58" s="532"/>
      <c r="MN58" s="532"/>
      <c r="MO58" s="532"/>
      <c r="MP58" s="532"/>
      <c r="MQ58" s="532"/>
      <c r="MR58" s="532"/>
      <c r="MS58" s="532"/>
      <c r="MT58" s="532"/>
      <c r="MU58" s="532"/>
      <c r="MV58" s="532"/>
      <c r="MW58" s="532"/>
      <c r="MX58" s="532"/>
      <c r="MY58" s="532"/>
      <c r="MZ58" s="532"/>
      <c r="NA58" s="532"/>
      <c r="NB58" s="532"/>
      <c r="NC58" s="532"/>
      <c r="ND58" s="532"/>
      <c r="NE58" s="532"/>
      <c r="NF58" s="532"/>
      <c r="NG58" s="532"/>
      <c r="NH58" s="532"/>
      <c r="NI58" s="532"/>
      <c r="NJ58" s="532"/>
      <c r="NK58" s="532"/>
      <c r="NL58" s="532"/>
      <c r="NM58" s="532"/>
      <c r="NN58" s="532"/>
      <c r="NO58" s="532"/>
      <c r="NP58" s="532"/>
      <c r="NQ58" s="532"/>
      <c r="NR58" s="532"/>
      <c r="NS58" s="532"/>
      <c r="NT58" s="532"/>
      <c r="NU58" s="532"/>
      <c r="NV58" s="532"/>
      <c r="NW58" s="532"/>
      <c r="NX58" s="532"/>
      <c r="NY58" s="532"/>
      <c r="NZ58" s="532"/>
      <c r="OA58" s="532"/>
      <c r="OB58" s="532"/>
      <c r="OC58" s="532"/>
      <c r="OD58" s="532"/>
      <c r="OE58" s="532"/>
      <c r="OF58" s="532"/>
      <c r="OG58" s="532"/>
      <c r="OH58" s="532"/>
      <c r="OI58" s="532"/>
      <c r="OJ58" s="532"/>
      <c r="OK58" s="532"/>
      <c r="OL58" s="532"/>
      <c r="OM58" s="532"/>
      <c r="ON58" s="532"/>
      <c r="OO58" s="532"/>
      <c r="OP58" s="532"/>
      <c r="OQ58" s="532"/>
      <c r="OR58" s="532"/>
      <c r="OS58" s="532"/>
      <c r="OT58" s="532"/>
      <c r="OU58" s="532"/>
      <c r="OV58" s="532"/>
      <c r="OW58" s="532"/>
      <c r="OX58" s="532"/>
      <c r="OY58" s="532"/>
      <c r="OZ58" s="532"/>
      <c r="PA58" s="532"/>
      <c r="PB58" s="532"/>
      <c r="PC58" s="532"/>
      <c r="PD58" s="532"/>
      <c r="PE58" s="532"/>
      <c r="PF58" s="532"/>
      <c r="PG58" s="532"/>
      <c r="PH58" s="532"/>
      <c r="PI58" s="532"/>
      <c r="PJ58" s="532"/>
      <c r="PK58" s="532"/>
      <c r="PL58" s="532"/>
      <c r="PM58" s="532"/>
      <c r="PN58" s="532"/>
      <c r="PO58" s="532"/>
      <c r="PP58" s="532"/>
      <c r="PQ58" s="532"/>
      <c r="PR58" s="532"/>
      <c r="PS58" s="532"/>
      <c r="PT58" s="532"/>
      <c r="PU58" s="532"/>
      <c r="PV58" s="532"/>
      <c r="PW58" s="532"/>
      <c r="PX58" s="532"/>
      <c r="PY58" s="532"/>
      <c r="PZ58" s="532"/>
      <c r="QA58" s="532"/>
      <c r="QB58" s="532"/>
      <c r="QC58" s="532"/>
      <c r="QD58" s="532"/>
      <c r="QE58" s="532"/>
      <c r="QF58" s="532"/>
      <c r="QG58" s="532"/>
      <c r="QH58" s="532"/>
      <c r="QI58" s="532"/>
      <c r="QJ58" s="532"/>
      <c r="QK58" s="532"/>
      <c r="QL58" s="532"/>
      <c r="QM58" s="532"/>
      <c r="QN58" s="532"/>
      <c r="QO58" s="532"/>
      <c r="QP58" s="532"/>
      <c r="QQ58" s="532"/>
      <c r="QR58" s="532"/>
      <c r="QS58" s="532"/>
      <c r="QT58" s="532"/>
      <c r="QU58" s="532"/>
      <c r="QV58" s="532"/>
      <c r="QW58" s="532"/>
      <c r="QX58" s="532"/>
      <c r="QY58" s="532"/>
      <c r="QZ58" s="532"/>
      <c r="RA58" s="532"/>
      <c r="RB58" s="532"/>
      <c r="RC58" s="532"/>
      <c r="RD58" s="532"/>
      <c r="RE58" s="532"/>
      <c r="RF58" s="532"/>
      <c r="RG58" s="532"/>
      <c r="RH58" s="532"/>
      <c r="RI58" s="532"/>
      <c r="RJ58" s="532"/>
      <c r="RK58" s="532"/>
      <c r="RL58" s="532"/>
      <c r="RM58" s="532"/>
      <c r="RN58" s="532"/>
      <c r="RO58" s="532"/>
      <c r="RP58" s="532"/>
      <c r="RQ58" s="532"/>
      <c r="RR58" s="532"/>
      <c r="RS58" s="532"/>
      <c r="RT58" s="532"/>
      <c r="RU58" s="532"/>
      <c r="RV58" s="532"/>
      <c r="RW58" s="532"/>
      <c r="RX58" s="532"/>
      <c r="RY58" s="532"/>
      <c r="RZ58" s="532"/>
      <c r="SA58" s="532"/>
      <c r="SB58" s="532"/>
      <c r="SC58" s="532"/>
      <c r="SD58" s="532"/>
      <c r="SE58" s="532"/>
      <c r="SF58" s="532"/>
      <c r="SG58" s="532"/>
      <c r="SH58" s="532"/>
      <c r="SI58" s="532"/>
      <c r="SJ58" s="532"/>
      <c r="SK58" s="532"/>
      <c r="SL58" s="532"/>
      <c r="SM58" s="532"/>
      <c r="SN58" s="532"/>
      <c r="SO58" s="532"/>
      <c r="SP58" s="532"/>
      <c r="SQ58" s="532"/>
      <c r="SR58" s="532"/>
      <c r="SS58" s="532"/>
      <c r="ST58" s="532"/>
      <c r="SU58" s="532"/>
      <c r="SV58" s="532"/>
      <c r="SW58" s="532"/>
      <c r="SX58" s="532"/>
      <c r="SY58" s="532"/>
      <c r="SZ58" s="532"/>
      <c r="TA58" s="532"/>
      <c r="TB58" s="532"/>
      <c r="TC58" s="532"/>
      <c r="TD58" s="532"/>
      <c r="TE58" s="532"/>
      <c r="TF58" s="532"/>
      <c r="TG58" s="532"/>
      <c r="TH58" s="532"/>
      <c r="TI58" s="532"/>
      <c r="TJ58" s="532"/>
      <c r="TK58" s="532"/>
      <c r="TL58" s="532"/>
      <c r="TM58" s="532"/>
      <c r="TN58" s="532"/>
      <c r="TO58" s="532"/>
      <c r="TP58" s="532"/>
      <c r="TQ58" s="532"/>
      <c r="TR58" s="532"/>
      <c r="TS58" s="532"/>
      <c r="TT58" s="532"/>
      <c r="TU58" s="532"/>
      <c r="TV58" s="532"/>
      <c r="TW58" s="532"/>
      <c r="TX58" s="532"/>
      <c r="TY58" s="532"/>
      <c r="TZ58" s="532"/>
      <c r="UA58" s="532"/>
      <c r="UB58" s="532"/>
      <c r="UC58" s="532"/>
      <c r="UD58" s="532"/>
      <c r="UE58" s="532"/>
      <c r="UF58" s="532"/>
      <c r="UG58" s="532"/>
      <c r="UH58" s="532"/>
      <c r="UI58" s="532"/>
      <c r="UJ58" s="532"/>
      <c r="UK58" s="532"/>
      <c r="UL58" s="532"/>
      <c r="UM58" s="532"/>
      <c r="UN58" s="532"/>
      <c r="UO58" s="532"/>
      <c r="UP58" s="532"/>
      <c r="UQ58" s="532"/>
      <c r="UR58" s="532"/>
      <c r="US58" s="532"/>
      <c r="UT58" s="532"/>
      <c r="UU58" s="532"/>
      <c r="UV58" s="532"/>
      <c r="UW58" s="532"/>
      <c r="UX58" s="532"/>
      <c r="UY58" s="532"/>
      <c r="UZ58" s="532"/>
      <c r="VA58" s="532"/>
      <c r="VB58" s="532"/>
      <c r="VC58" s="532"/>
      <c r="VD58" s="532"/>
      <c r="VE58" s="532"/>
      <c r="VF58" s="532"/>
      <c r="VG58" s="532"/>
      <c r="VH58" s="532"/>
      <c r="VI58" s="532"/>
      <c r="VJ58" s="532"/>
      <c r="VK58" s="532"/>
      <c r="VL58" s="532"/>
      <c r="VM58" s="532"/>
      <c r="VN58" s="532"/>
      <c r="VO58" s="532"/>
      <c r="VP58" s="532"/>
      <c r="VQ58" s="532"/>
      <c r="VR58" s="532"/>
      <c r="VS58" s="532"/>
      <c r="VT58" s="532"/>
      <c r="VU58" s="532"/>
      <c r="VV58" s="532"/>
      <c r="VW58" s="532"/>
      <c r="VX58" s="532"/>
      <c r="VY58" s="532"/>
      <c r="VZ58" s="532"/>
      <c r="WA58" s="532"/>
      <c r="WB58" s="532"/>
      <c r="WC58" s="532"/>
      <c r="WD58" s="532"/>
      <c r="WE58" s="532"/>
      <c r="WF58" s="532"/>
      <c r="WG58" s="532"/>
      <c r="WH58" s="532"/>
      <c r="WI58" s="532"/>
      <c r="WJ58" s="532"/>
      <c r="WK58" s="532"/>
      <c r="WL58" s="532"/>
      <c r="WM58" s="532"/>
      <c r="WN58" s="532"/>
      <c r="WO58" s="532"/>
      <c r="WP58" s="532"/>
      <c r="WQ58" s="532"/>
      <c r="WR58" s="532"/>
      <c r="WS58" s="532"/>
      <c r="WT58" s="532"/>
      <c r="WU58" s="532"/>
      <c r="WV58" s="532"/>
      <c r="WW58" s="532"/>
      <c r="WX58" s="532"/>
      <c r="WY58" s="532"/>
      <c r="WZ58" s="532"/>
      <c r="XA58" s="532"/>
      <c r="XB58" s="532"/>
      <c r="XC58" s="532"/>
      <c r="XD58" s="532"/>
      <c r="XE58" s="532"/>
      <c r="XF58" s="532"/>
      <c r="XG58" s="532"/>
      <c r="XH58" s="532"/>
      <c r="XI58" s="532"/>
      <c r="XJ58" s="532"/>
      <c r="XK58" s="532"/>
      <c r="XL58" s="532"/>
      <c r="XM58" s="532"/>
      <c r="XN58" s="532"/>
      <c r="XO58" s="532"/>
      <c r="XP58" s="532"/>
      <c r="XQ58" s="532"/>
      <c r="XR58" s="532"/>
      <c r="XS58" s="532"/>
      <c r="XT58" s="532"/>
      <c r="XU58" s="532"/>
      <c r="XV58" s="532"/>
      <c r="XW58" s="532"/>
      <c r="XX58" s="532"/>
      <c r="XY58" s="532"/>
      <c r="XZ58" s="532"/>
      <c r="YA58" s="532"/>
      <c r="YB58" s="532"/>
      <c r="YC58" s="532"/>
      <c r="YD58" s="532"/>
      <c r="YE58" s="532"/>
      <c r="YF58" s="532"/>
      <c r="YG58" s="532"/>
      <c r="YH58" s="532"/>
      <c r="YI58" s="532"/>
      <c r="YJ58" s="532"/>
      <c r="YK58" s="532"/>
      <c r="YL58" s="532"/>
      <c r="YM58" s="532"/>
      <c r="YN58" s="532"/>
      <c r="YO58" s="532"/>
      <c r="YP58" s="532"/>
      <c r="YQ58" s="532"/>
      <c r="YR58" s="532"/>
      <c r="YS58" s="532"/>
      <c r="YT58" s="532"/>
      <c r="YU58" s="532"/>
      <c r="YV58" s="532"/>
      <c r="YW58" s="532"/>
      <c r="YX58" s="532"/>
      <c r="YY58" s="532"/>
      <c r="YZ58" s="532"/>
      <c r="ZA58" s="532"/>
      <c r="ZB58" s="532"/>
      <c r="ZC58" s="532"/>
      <c r="ZD58" s="532"/>
      <c r="ZE58" s="532"/>
      <c r="ZF58" s="532"/>
      <c r="ZG58" s="532"/>
      <c r="ZH58" s="532"/>
      <c r="ZI58" s="532"/>
      <c r="ZJ58" s="532"/>
      <c r="ZK58" s="532"/>
      <c r="ZL58" s="532"/>
      <c r="ZM58" s="532"/>
      <c r="ZN58" s="532"/>
      <c r="ZO58" s="532"/>
      <c r="ZP58" s="532"/>
      <c r="ZQ58" s="532"/>
      <c r="ZR58" s="532"/>
      <c r="ZS58" s="532"/>
      <c r="ZT58" s="532"/>
      <c r="ZU58" s="532"/>
      <c r="ZV58" s="532"/>
      <c r="ZW58" s="532"/>
      <c r="ZX58" s="532"/>
      <c r="ZY58" s="532"/>
      <c r="ZZ58" s="532"/>
      <c r="AAA58" s="532"/>
      <c r="AAB58" s="532"/>
      <c r="AAC58" s="532"/>
      <c r="AAD58" s="532"/>
      <c r="AAE58" s="532"/>
      <c r="AAF58" s="532"/>
      <c r="AAG58" s="532"/>
      <c r="AAH58" s="532"/>
      <c r="AAI58" s="532"/>
      <c r="AAJ58" s="532"/>
      <c r="AAK58" s="532"/>
      <c r="AAL58" s="532"/>
      <c r="AAM58" s="532"/>
      <c r="AAN58" s="532"/>
      <c r="AAO58" s="532"/>
      <c r="AAP58" s="532"/>
      <c r="AAQ58" s="532"/>
      <c r="AAR58" s="532"/>
      <c r="AAS58" s="532"/>
      <c r="AAT58" s="532"/>
      <c r="AAU58" s="532"/>
      <c r="AAV58" s="532"/>
      <c r="AAW58" s="532"/>
      <c r="AAX58" s="532"/>
      <c r="AAY58" s="532"/>
      <c r="AAZ58" s="532"/>
      <c r="ABA58" s="532"/>
      <c r="ABB58" s="532"/>
      <c r="ABC58" s="532"/>
      <c r="ABD58" s="532"/>
      <c r="ABE58" s="532"/>
      <c r="ABF58" s="532"/>
      <c r="ABG58" s="532"/>
      <c r="ABH58" s="532"/>
      <c r="ABI58" s="532"/>
      <c r="ABJ58" s="532"/>
      <c r="ABK58" s="532"/>
      <c r="ABL58" s="532"/>
      <c r="ABM58" s="532"/>
      <c r="ABN58" s="532"/>
      <c r="ABO58" s="532"/>
      <c r="ABP58" s="532"/>
      <c r="ABQ58" s="532"/>
      <c r="ABR58" s="532"/>
      <c r="ABS58" s="532"/>
      <c r="ABT58" s="532"/>
      <c r="ABU58" s="532"/>
      <c r="ABV58" s="532"/>
      <c r="ABW58" s="532"/>
      <c r="ABX58" s="532"/>
      <c r="ABY58" s="532"/>
      <c r="ABZ58" s="532"/>
      <c r="ACA58" s="532"/>
      <c r="ACB58" s="532"/>
      <c r="ACC58" s="532"/>
      <c r="ACD58" s="532"/>
      <c r="ACE58" s="532"/>
      <c r="ACF58" s="532"/>
      <c r="ACG58" s="532"/>
      <c r="ACH58" s="532"/>
      <c r="ACI58" s="532"/>
      <c r="ACJ58" s="532"/>
      <c r="ACK58" s="532"/>
      <c r="ACL58" s="532"/>
      <c r="ACM58" s="532"/>
      <c r="ACN58" s="532"/>
      <c r="ACO58" s="532"/>
      <c r="ACP58" s="532"/>
      <c r="ACQ58" s="532"/>
      <c r="ACR58" s="532"/>
      <c r="ACS58" s="532"/>
      <c r="ACT58" s="532"/>
      <c r="ACU58" s="532"/>
      <c r="ACV58" s="532"/>
      <c r="ACW58" s="532"/>
      <c r="ACX58" s="532"/>
      <c r="ACY58" s="532"/>
      <c r="ACZ58" s="532"/>
      <c r="ADA58" s="532"/>
      <c r="ADB58" s="532"/>
      <c r="ADC58" s="532"/>
      <c r="ADD58" s="532"/>
      <c r="ADE58" s="532"/>
      <c r="ADF58" s="532"/>
      <c r="ADG58" s="532"/>
      <c r="ADH58" s="532"/>
      <c r="ADI58" s="532"/>
      <c r="ADJ58" s="532"/>
      <c r="ADK58" s="532"/>
      <c r="ADL58" s="532"/>
      <c r="ADM58" s="532"/>
      <c r="ADN58" s="532"/>
      <c r="ADO58" s="532"/>
      <c r="ADP58" s="532"/>
      <c r="ADQ58" s="532"/>
      <c r="ADR58" s="532"/>
      <c r="ADS58" s="532"/>
      <c r="ADT58" s="532"/>
      <c r="ADU58" s="532"/>
      <c r="ADV58" s="532"/>
      <c r="ADW58" s="532"/>
      <c r="ADX58" s="532"/>
      <c r="ADY58" s="532"/>
      <c r="ADZ58" s="532"/>
      <c r="AEA58" s="532"/>
      <c r="AEB58" s="532"/>
      <c r="AEC58" s="532"/>
      <c r="AED58" s="532"/>
      <c r="AEE58" s="532"/>
      <c r="AEF58" s="532"/>
      <c r="AEG58" s="532"/>
      <c r="AEH58" s="532"/>
      <c r="AEI58" s="532"/>
      <c r="AEJ58" s="532"/>
      <c r="AEK58" s="532"/>
      <c r="AEL58" s="532"/>
      <c r="AEM58" s="532"/>
      <c r="AEN58" s="532"/>
      <c r="AEO58" s="532"/>
      <c r="AEP58" s="532"/>
      <c r="AEQ58" s="532"/>
      <c r="AER58" s="532"/>
      <c r="AES58" s="532"/>
      <c r="AET58" s="532"/>
      <c r="AEU58" s="532"/>
      <c r="AEV58" s="532"/>
      <c r="AEW58" s="532"/>
      <c r="AEX58" s="532"/>
      <c r="AEY58" s="532"/>
      <c r="AEZ58" s="532"/>
      <c r="AFA58" s="532"/>
      <c r="AFB58" s="532"/>
      <c r="AFC58" s="532"/>
      <c r="AFD58" s="532"/>
      <c r="AFE58" s="532"/>
      <c r="AFF58" s="532"/>
      <c r="AFG58" s="532"/>
      <c r="AFH58" s="532"/>
      <c r="AFI58" s="532"/>
      <c r="AFJ58" s="532"/>
      <c r="AFK58" s="532"/>
      <c r="AFL58" s="532"/>
      <c r="AFM58" s="532"/>
      <c r="AFN58" s="532"/>
      <c r="AFO58" s="532"/>
      <c r="AFP58" s="532"/>
      <c r="AFQ58" s="532"/>
      <c r="AFR58" s="532"/>
      <c r="AFS58" s="532"/>
      <c r="AFT58" s="532"/>
      <c r="AFU58" s="532"/>
      <c r="AFV58" s="532"/>
      <c r="AFW58" s="532"/>
      <c r="AFX58" s="532"/>
      <c r="AFY58" s="532"/>
      <c r="AFZ58" s="532"/>
      <c r="AGA58" s="532"/>
      <c r="AGB58" s="532"/>
      <c r="AGC58" s="532"/>
      <c r="AGD58" s="532"/>
      <c r="AGE58" s="532"/>
      <c r="AGF58" s="532"/>
      <c r="AGG58" s="532"/>
      <c r="AGH58" s="532"/>
      <c r="AGI58" s="532"/>
      <c r="AGJ58" s="532"/>
      <c r="AGK58" s="532"/>
      <c r="AGL58" s="532"/>
      <c r="AGM58" s="532"/>
      <c r="AGN58" s="532"/>
      <c r="AGO58" s="532"/>
      <c r="AGP58" s="532"/>
      <c r="AGQ58" s="532"/>
      <c r="AGR58" s="532"/>
      <c r="AGS58" s="532"/>
      <c r="AGT58" s="532"/>
      <c r="AGU58" s="532"/>
      <c r="AGV58" s="532"/>
      <c r="AGW58" s="532"/>
      <c r="AGX58" s="532"/>
      <c r="AGY58" s="532"/>
      <c r="AGZ58" s="532"/>
      <c r="AHA58" s="532"/>
      <c r="AHB58" s="532"/>
      <c r="AHC58" s="532"/>
      <c r="AHD58" s="532"/>
      <c r="AHE58" s="532"/>
      <c r="AHF58" s="532"/>
      <c r="AHG58" s="532"/>
      <c r="AHH58" s="532"/>
      <c r="AHI58" s="532"/>
      <c r="AHJ58" s="532"/>
      <c r="AHK58" s="532"/>
      <c r="AHL58" s="532"/>
      <c r="AHM58" s="532"/>
      <c r="AHN58" s="532"/>
      <c r="AHO58" s="532"/>
      <c r="AHP58" s="532"/>
      <c r="AHQ58" s="532"/>
      <c r="AHR58" s="532"/>
      <c r="AHS58" s="532"/>
      <c r="AHT58" s="532"/>
      <c r="AHU58" s="532"/>
      <c r="AHV58" s="532"/>
      <c r="AHW58" s="532"/>
      <c r="AHX58" s="532"/>
      <c r="AHY58" s="532"/>
      <c r="AHZ58" s="532"/>
      <c r="AIA58" s="532"/>
      <c r="AIB58" s="532"/>
      <c r="AIC58" s="532"/>
      <c r="AID58" s="532"/>
      <c r="AIE58" s="532"/>
      <c r="AIF58" s="532"/>
      <c r="AIG58" s="532"/>
      <c r="AIH58" s="532"/>
      <c r="AII58" s="532"/>
      <c r="AIJ58" s="532"/>
      <c r="AIK58" s="532"/>
      <c r="AIL58" s="532"/>
      <c r="AIM58" s="532"/>
      <c r="AIN58" s="532"/>
      <c r="AIO58" s="532"/>
      <c r="AIP58" s="532"/>
      <c r="AIQ58" s="532"/>
      <c r="AIR58" s="532"/>
      <c r="AIS58" s="532"/>
      <c r="AIT58" s="532"/>
      <c r="AIU58" s="532"/>
      <c r="AIV58" s="532"/>
      <c r="AIW58" s="532"/>
      <c r="AIX58" s="532"/>
      <c r="AIY58" s="532"/>
      <c r="AIZ58" s="532"/>
      <c r="AJA58" s="532"/>
      <c r="AJB58" s="532"/>
      <c r="AJC58" s="532"/>
      <c r="AJD58" s="532"/>
      <c r="AJE58" s="532"/>
      <c r="AJF58" s="532"/>
      <c r="AJG58" s="532"/>
      <c r="AJH58" s="532"/>
      <c r="AJI58" s="532"/>
      <c r="AJJ58" s="532"/>
      <c r="AJK58" s="532"/>
      <c r="AJL58" s="532"/>
      <c r="AJM58" s="532"/>
      <c r="AJN58" s="532"/>
      <c r="AJO58" s="532"/>
      <c r="AJP58" s="532"/>
      <c r="AJQ58" s="532"/>
      <c r="AJR58" s="532"/>
      <c r="AJS58" s="532"/>
      <c r="AJT58" s="532"/>
      <c r="AJU58" s="532"/>
      <c r="AJV58" s="532"/>
      <c r="AJW58" s="532"/>
      <c r="AJX58" s="532"/>
      <c r="AJY58" s="532"/>
      <c r="AJZ58" s="532"/>
      <c r="AKA58" s="532"/>
      <c r="AKB58" s="532"/>
      <c r="AKC58" s="532"/>
      <c r="AKD58" s="532"/>
      <c r="AKE58" s="532"/>
      <c r="AKF58" s="532"/>
      <c r="AKG58" s="532"/>
      <c r="AKH58" s="532"/>
      <c r="AKI58" s="532"/>
      <c r="AKJ58" s="532"/>
      <c r="AKK58" s="532"/>
      <c r="AKL58" s="532"/>
      <c r="AKM58" s="532"/>
      <c r="AKN58" s="532"/>
      <c r="AKO58" s="532"/>
      <c r="AKP58" s="532"/>
      <c r="AKQ58" s="532"/>
      <c r="AKR58" s="532"/>
      <c r="AKS58" s="532"/>
      <c r="AKT58" s="532"/>
      <c r="AKU58" s="532"/>
      <c r="AKV58" s="532"/>
      <c r="AKW58" s="532"/>
      <c r="AKX58" s="532"/>
      <c r="AKY58" s="532"/>
      <c r="AKZ58" s="532"/>
      <c r="ALA58" s="532"/>
      <c r="ALB58" s="532"/>
      <c r="ALC58" s="532"/>
      <c r="ALD58" s="532"/>
      <c r="ALE58" s="532"/>
      <c r="ALF58" s="532"/>
      <c r="ALG58" s="532"/>
      <c r="ALH58" s="532"/>
      <c r="ALI58" s="532"/>
      <c r="ALJ58" s="532"/>
      <c r="ALK58" s="532"/>
      <c r="ALL58" s="532"/>
      <c r="ALM58" s="532"/>
      <c r="ALN58" s="532"/>
      <c r="ALO58" s="532"/>
      <c r="ALP58" s="532"/>
      <c r="ALQ58" s="532"/>
      <c r="ALR58" s="532"/>
      <c r="ALS58" s="532"/>
      <c r="ALT58" s="532"/>
      <c r="ALU58" s="532"/>
      <c r="ALV58" s="532"/>
      <c r="ALW58" s="532"/>
      <c r="ALX58" s="532"/>
      <c r="ALY58" s="532"/>
      <c r="ALZ58" s="532"/>
      <c r="AMA58" s="532"/>
      <c r="AMB58" s="532"/>
      <c r="AMC58" s="532"/>
      <c r="AMD58" s="532"/>
      <c r="AME58" s="532"/>
      <c r="AMF58" s="532"/>
      <c r="AMG58" s="532"/>
      <c r="AMH58" s="532"/>
      <c r="AMI58" s="532"/>
      <c r="AMJ58" s="532"/>
      <c r="AMK58" s="532"/>
      <c r="AML58" s="532"/>
      <c r="AMM58" s="532"/>
      <c r="AMN58" s="532"/>
      <c r="AMO58" s="532"/>
      <c r="AMP58" s="532"/>
      <c r="AMQ58" s="532"/>
      <c r="AMR58" s="532"/>
      <c r="AMS58" s="532"/>
      <c r="AMT58" s="532"/>
      <c r="AMU58" s="532"/>
      <c r="AMV58" s="532"/>
      <c r="AMW58" s="532"/>
      <c r="AMX58" s="532"/>
      <c r="AMY58" s="532"/>
      <c r="AMZ58" s="532"/>
      <c r="ANA58" s="532"/>
      <c r="ANB58" s="532"/>
      <c r="ANC58" s="532"/>
      <c r="AND58" s="532"/>
      <c r="ANE58" s="532"/>
      <c r="ANF58" s="532"/>
      <c r="ANG58" s="532"/>
      <c r="ANH58" s="532"/>
      <c r="ANI58" s="532"/>
      <c r="ANJ58" s="532"/>
      <c r="ANK58" s="532"/>
      <c r="ANL58" s="532"/>
      <c r="ANM58" s="532"/>
      <c r="ANN58" s="532"/>
      <c r="ANO58" s="532"/>
      <c r="ANP58" s="532"/>
      <c r="ANQ58" s="532"/>
      <c r="ANR58" s="532"/>
      <c r="ANS58" s="532"/>
      <c r="ANT58" s="532"/>
      <c r="ANU58" s="532"/>
      <c r="ANV58" s="532"/>
      <c r="ANW58" s="532"/>
      <c r="ANX58" s="532"/>
      <c r="ANY58" s="532"/>
      <c r="ANZ58" s="532"/>
      <c r="AOA58" s="532"/>
      <c r="AOB58" s="532"/>
      <c r="AOC58" s="532"/>
      <c r="AOD58" s="532"/>
      <c r="AOE58" s="532"/>
      <c r="AOF58" s="532"/>
      <c r="AOG58" s="532"/>
      <c r="AOH58" s="532"/>
      <c r="AOI58" s="532"/>
      <c r="AOJ58" s="532"/>
      <c r="AOK58" s="532"/>
      <c r="AOL58" s="532"/>
      <c r="AOM58" s="532"/>
      <c r="AON58" s="532"/>
      <c r="AOO58" s="532"/>
      <c r="AOP58" s="532"/>
      <c r="AOQ58" s="532"/>
      <c r="AOR58" s="532"/>
      <c r="AOS58" s="532"/>
      <c r="AOT58" s="532"/>
      <c r="AOU58" s="532"/>
      <c r="AOV58" s="532"/>
      <c r="AOW58" s="532"/>
      <c r="AOX58" s="532"/>
      <c r="AOY58" s="532"/>
      <c r="AOZ58" s="532"/>
      <c r="APA58" s="532"/>
      <c r="APB58" s="532"/>
      <c r="APC58" s="532"/>
      <c r="APD58" s="532"/>
      <c r="APE58" s="532"/>
      <c r="APF58" s="532"/>
      <c r="APG58" s="532"/>
      <c r="APH58" s="532"/>
      <c r="API58" s="532"/>
      <c r="APJ58" s="532"/>
      <c r="APK58" s="532"/>
      <c r="APL58" s="532"/>
      <c r="APM58" s="532"/>
      <c r="APN58" s="532"/>
      <c r="APO58" s="532"/>
      <c r="APP58" s="532"/>
      <c r="APQ58" s="532"/>
      <c r="APR58" s="532"/>
      <c r="APS58" s="532"/>
      <c r="APT58" s="532"/>
      <c r="APU58" s="532"/>
      <c r="APV58" s="532"/>
      <c r="APW58" s="532"/>
      <c r="APX58" s="532"/>
      <c r="APY58" s="532"/>
      <c r="APZ58" s="532"/>
      <c r="AQA58" s="532"/>
      <c r="AQB58" s="532"/>
      <c r="AQC58" s="532"/>
      <c r="AQD58" s="532"/>
      <c r="AQE58" s="532"/>
      <c r="AQF58" s="532"/>
      <c r="AQG58" s="532"/>
      <c r="AQH58" s="532"/>
      <c r="AQI58" s="532"/>
      <c r="AQJ58" s="532"/>
      <c r="AQK58" s="532"/>
      <c r="AQL58" s="532"/>
      <c r="AQM58" s="532"/>
      <c r="AQN58" s="532"/>
      <c r="AQO58" s="532"/>
      <c r="AQP58" s="532"/>
      <c r="AQQ58" s="532"/>
      <c r="AQR58" s="532"/>
      <c r="AQS58" s="532"/>
      <c r="AQT58" s="532"/>
      <c r="AQU58" s="532"/>
      <c r="AQV58" s="532"/>
      <c r="AQW58" s="532"/>
      <c r="AQX58" s="532"/>
      <c r="AQY58" s="532"/>
      <c r="AQZ58" s="532"/>
      <c r="ARA58" s="532"/>
      <c r="ARB58" s="532"/>
      <c r="ARC58" s="532"/>
      <c r="ARD58" s="532"/>
      <c r="ARE58" s="532"/>
      <c r="ARF58" s="532"/>
      <c r="ARG58" s="532"/>
      <c r="ARH58" s="532"/>
      <c r="ARI58" s="532"/>
      <c r="ARJ58" s="532"/>
      <c r="ARK58" s="532"/>
      <c r="ARL58" s="532"/>
      <c r="ARM58" s="532"/>
      <c r="ARN58" s="532"/>
      <c r="ARO58" s="532"/>
      <c r="ARP58" s="532"/>
      <c r="ARQ58" s="532"/>
      <c r="ARR58" s="532"/>
      <c r="ARS58" s="532"/>
      <c r="ART58" s="532"/>
      <c r="ARU58" s="532"/>
      <c r="ARV58" s="532"/>
      <c r="ARW58" s="532"/>
      <c r="ARX58" s="532"/>
      <c r="ARY58" s="532"/>
      <c r="ARZ58" s="532"/>
      <c r="ASA58" s="532"/>
      <c r="ASB58" s="532"/>
      <c r="ASC58" s="532"/>
      <c r="ASD58" s="532"/>
      <c r="ASE58" s="532"/>
      <c r="ASF58" s="532"/>
      <c r="ASG58" s="532"/>
      <c r="ASH58" s="532"/>
      <c r="ASI58" s="532"/>
      <c r="ASJ58" s="532"/>
      <c r="ASK58" s="532"/>
      <c r="ASL58" s="532"/>
      <c r="ASM58" s="532"/>
      <c r="ASN58" s="532"/>
      <c r="ASO58" s="532"/>
      <c r="ASP58" s="532"/>
      <c r="ASQ58" s="532"/>
      <c r="ASR58" s="532"/>
      <c r="ASS58" s="532"/>
      <c r="AST58" s="532"/>
      <c r="ASU58" s="532"/>
      <c r="ASV58" s="532"/>
      <c r="ASW58" s="532"/>
      <c r="ASX58" s="532"/>
      <c r="ASY58" s="532"/>
      <c r="ASZ58" s="532"/>
      <c r="ATA58" s="532"/>
      <c r="ATB58" s="532"/>
      <c r="ATC58" s="532"/>
      <c r="ATD58" s="532"/>
      <c r="ATE58" s="532"/>
      <c r="ATF58" s="532"/>
      <c r="ATG58" s="532"/>
      <c r="ATH58" s="532"/>
      <c r="ATI58" s="532"/>
      <c r="ATJ58" s="532"/>
      <c r="ATK58" s="532"/>
      <c r="ATL58" s="532"/>
      <c r="ATM58" s="532"/>
      <c r="ATN58" s="532"/>
      <c r="ATO58" s="532"/>
      <c r="ATP58" s="532"/>
      <c r="ATQ58" s="532"/>
      <c r="ATR58" s="532"/>
      <c r="ATS58" s="532"/>
      <c r="ATT58" s="532"/>
      <c r="ATU58" s="532"/>
      <c r="ATV58" s="532"/>
      <c r="ATW58" s="532"/>
      <c r="ATX58" s="532"/>
      <c r="ATY58" s="532"/>
      <c r="ATZ58" s="532"/>
      <c r="AUA58" s="532"/>
      <c r="AUB58" s="532"/>
      <c r="AUC58" s="532"/>
      <c r="AUD58" s="532"/>
      <c r="AUE58" s="532"/>
      <c r="AUF58" s="532"/>
      <c r="AUG58" s="532"/>
      <c r="AUH58" s="532"/>
      <c r="AUI58" s="532"/>
      <c r="AUJ58" s="532"/>
      <c r="AUK58" s="532"/>
      <c r="AUL58" s="532"/>
      <c r="AUM58" s="532"/>
      <c r="AUN58" s="532"/>
      <c r="AUO58" s="532"/>
      <c r="AUP58" s="532"/>
      <c r="AUQ58" s="532"/>
      <c r="AUR58" s="532"/>
      <c r="AUS58" s="532"/>
      <c r="AUT58" s="532"/>
      <c r="AUU58" s="532"/>
      <c r="AUV58" s="532"/>
      <c r="AUW58" s="532"/>
      <c r="AUX58" s="532"/>
      <c r="AUY58" s="532"/>
      <c r="AUZ58" s="532"/>
      <c r="AVA58" s="532"/>
      <c r="AVB58" s="532"/>
      <c r="AVC58" s="532"/>
      <c r="AVD58" s="532"/>
      <c r="AVE58" s="532"/>
      <c r="AVF58" s="532"/>
      <c r="AVG58" s="532"/>
      <c r="AVH58" s="532"/>
      <c r="AVI58" s="532"/>
      <c r="AVJ58" s="532"/>
      <c r="AVK58" s="532"/>
      <c r="AVL58" s="532"/>
      <c r="AVM58" s="532"/>
      <c r="AVN58" s="532"/>
      <c r="AVO58" s="532"/>
      <c r="AVP58" s="532"/>
      <c r="AVQ58" s="532"/>
      <c r="AVR58" s="532"/>
      <c r="AVS58" s="532"/>
      <c r="AVT58" s="532"/>
      <c r="AVU58" s="532"/>
      <c r="AVV58" s="532"/>
      <c r="AVW58" s="532"/>
      <c r="AVX58" s="532"/>
      <c r="AVY58" s="532"/>
      <c r="AVZ58" s="532"/>
      <c r="AWA58" s="532"/>
      <c r="AWB58" s="532"/>
      <c r="AWC58" s="532"/>
      <c r="AWD58" s="532"/>
      <c r="AWE58" s="532"/>
      <c r="AWF58" s="532"/>
      <c r="AWG58" s="532"/>
      <c r="AWH58" s="532"/>
      <c r="AWI58" s="532"/>
      <c r="AWJ58" s="532"/>
      <c r="AWK58" s="532"/>
      <c r="AWL58" s="532"/>
      <c r="AWM58" s="532"/>
      <c r="AWN58" s="532"/>
      <c r="AWO58" s="532"/>
      <c r="AWP58" s="532"/>
      <c r="AWQ58" s="532"/>
      <c r="AWR58" s="532"/>
      <c r="AWS58" s="532"/>
      <c r="AWT58" s="532"/>
      <c r="AWU58" s="532"/>
      <c r="AWV58" s="532"/>
      <c r="AWW58" s="532"/>
      <c r="AWX58" s="532"/>
      <c r="AWY58" s="532"/>
      <c r="AWZ58" s="532"/>
      <c r="AXA58" s="532"/>
      <c r="AXB58" s="532"/>
      <c r="AXC58" s="532"/>
      <c r="AXD58" s="532"/>
      <c r="AXE58" s="532"/>
      <c r="AXF58" s="532"/>
      <c r="AXG58" s="532"/>
      <c r="AXH58" s="532"/>
      <c r="AXI58" s="532"/>
      <c r="AXJ58" s="532"/>
      <c r="AXK58" s="532"/>
      <c r="AXL58" s="532"/>
      <c r="AXM58" s="532"/>
      <c r="AXN58" s="532"/>
      <c r="AXO58" s="532"/>
      <c r="AXP58" s="532"/>
      <c r="AXQ58" s="532"/>
      <c r="AXR58" s="532"/>
      <c r="AXS58" s="532"/>
      <c r="AXT58" s="532"/>
      <c r="AXU58" s="532"/>
      <c r="AXV58" s="532"/>
      <c r="AXW58" s="532"/>
      <c r="AXX58" s="532"/>
      <c r="AXY58" s="532"/>
      <c r="AXZ58" s="532"/>
      <c r="AYA58" s="532"/>
      <c r="AYB58" s="532"/>
      <c r="AYC58" s="532"/>
      <c r="AYD58" s="532"/>
      <c r="AYE58" s="532"/>
      <c r="AYF58" s="532"/>
      <c r="AYG58" s="532"/>
      <c r="AYH58" s="532"/>
      <c r="AYI58" s="532"/>
      <c r="AYJ58" s="532"/>
      <c r="AYK58" s="532"/>
      <c r="AYL58" s="532"/>
      <c r="AYM58" s="532"/>
      <c r="AYN58" s="532"/>
      <c r="AYO58" s="532"/>
      <c r="AYP58" s="532"/>
      <c r="AYQ58" s="532"/>
      <c r="AYR58" s="532"/>
      <c r="AYS58" s="532"/>
      <c r="AYT58" s="532"/>
      <c r="AYU58" s="532"/>
      <c r="AYV58" s="532"/>
      <c r="AYW58" s="532"/>
      <c r="AYX58" s="532"/>
      <c r="AYY58" s="532"/>
      <c r="AYZ58" s="532"/>
      <c r="AZA58" s="532"/>
      <c r="AZB58" s="532"/>
      <c r="AZC58" s="532"/>
      <c r="AZD58" s="532"/>
      <c r="AZE58" s="532"/>
      <c r="AZF58" s="532"/>
      <c r="AZG58" s="532"/>
      <c r="AZH58" s="532"/>
      <c r="AZI58" s="532"/>
      <c r="AZJ58" s="532"/>
      <c r="AZK58" s="532"/>
      <c r="AZL58" s="532"/>
      <c r="AZM58" s="532"/>
      <c r="AZN58" s="532"/>
      <c r="AZO58" s="532"/>
      <c r="AZP58" s="532"/>
      <c r="AZQ58" s="532"/>
      <c r="AZR58" s="532"/>
      <c r="AZS58" s="532"/>
      <c r="AZT58" s="532"/>
      <c r="AZU58" s="532"/>
      <c r="AZV58" s="532"/>
      <c r="AZW58" s="532"/>
      <c r="AZX58" s="532"/>
      <c r="AZY58" s="532"/>
      <c r="AZZ58" s="532"/>
      <c r="BAA58" s="532"/>
      <c r="BAB58" s="532"/>
      <c r="BAC58" s="532"/>
      <c r="BAD58" s="532"/>
      <c r="BAE58" s="532"/>
      <c r="BAF58" s="532"/>
      <c r="BAG58" s="532"/>
      <c r="BAH58" s="532"/>
      <c r="BAI58" s="532"/>
      <c r="BAJ58" s="532"/>
      <c r="BAK58" s="532"/>
      <c r="BAL58" s="532"/>
      <c r="BAM58" s="532"/>
      <c r="BAN58" s="532"/>
      <c r="BAO58" s="532"/>
      <c r="BAP58" s="532"/>
      <c r="BAQ58" s="532"/>
      <c r="BAR58" s="532"/>
      <c r="BAS58" s="532"/>
      <c r="BAT58" s="532"/>
      <c r="BAU58" s="532"/>
      <c r="BAV58" s="532"/>
      <c r="BAW58" s="532"/>
      <c r="BAX58" s="532"/>
      <c r="BAY58" s="532"/>
      <c r="BAZ58" s="532"/>
      <c r="BBA58" s="532"/>
      <c r="BBB58" s="532"/>
      <c r="BBC58" s="532"/>
      <c r="BBD58" s="532"/>
      <c r="BBE58" s="532"/>
      <c r="BBF58" s="532"/>
      <c r="BBG58" s="532"/>
      <c r="BBH58" s="532"/>
      <c r="BBI58" s="532"/>
      <c r="BBJ58" s="532"/>
      <c r="BBK58" s="532"/>
      <c r="BBL58" s="532"/>
      <c r="BBM58" s="532"/>
      <c r="BBN58" s="532"/>
      <c r="BBO58" s="532"/>
      <c r="BBP58" s="532"/>
      <c r="BBQ58" s="532"/>
      <c r="BBR58" s="532"/>
      <c r="BBS58" s="532"/>
      <c r="BBT58" s="532"/>
      <c r="BBU58" s="532"/>
      <c r="BBV58" s="532"/>
      <c r="BBW58" s="532"/>
      <c r="BBX58" s="532"/>
      <c r="BBY58" s="532"/>
      <c r="BBZ58" s="532"/>
      <c r="BCA58" s="532"/>
      <c r="BCB58" s="532"/>
      <c r="BCC58" s="532"/>
      <c r="BCD58" s="532"/>
      <c r="BCE58" s="532"/>
      <c r="BCF58" s="532"/>
      <c r="BCG58" s="532"/>
      <c r="BCH58" s="532"/>
      <c r="BCI58" s="532"/>
      <c r="BCJ58" s="532"/>
      <c r="BCK58" s="532"/>
      <c r="BCL58" s="532"/>
      <c r="BCM58" s="532"/>
      <c r="BCN58" s="532"/>
      <c r="BCO58" s="532"/>
      <c r="BCP58" s="532"/>
      <c r="BCQ58" s="532"/>
      <c r="BCR58" s="532"/>
      <c r="BCS58" s="532"/>
      <c r="BCT58" s="532"/>
      <c r="BCU58" s="532"/>
      <c r="BCV58" s="532"/>
      <c r="BCW58" s="532"/>
      <c r="BCX58" s="532"/>
      <c r="BCY58" s="532"/>
      <c r="BCZ58" s="532"/>
      <c r="BDA58" s="532"/>
      <c r="BDB58" s="532"/>
      <c r="BDC58" s="532"/>
      <c r="BDD58" s="532"/>
      <c r="BDE58" s="532"/>
      <c r="BDF58" s="532"/>
      <c r="BDG58" s="532"/>
      <c r="BDH58" s="532"/>
      <c r="BDI58" s="532"/>
      <c r="BDJ58" s="532"/>
      <c r="BDK58" s="532"/>
      <c r="BDL58" s="532"/>
      <c r="BDM58" s="532"/>
      <c r="BDN58" s="532"/>
      <c r="BDO58" s="532"/>
      <c r="BDP58" s="532"/>
      <c r="BDQ58" s="532"/>
      <c r="BDR58" s="532"/>
      <c r="BDS58" s="532"/>
      <c r="BDT58" s="532"/>
      <c r="BDU58" s="532"/>
      <c r="BDV58" s="532"/>
      <c r="BDW58" s="532"/>
      <c r="BDX58" s="532"/>
      <c r="BDY58" s="532"/>
      <c r="BDZ58" s="532"/>
      <c r="BEA58" s="532"/>
      <c r="BEB58" s="532"/>
      <c r="BEC58" s="532"/>
      <c r="BED58" s="532"/>
      <c r="BEE58" s="532"/>
      <c r="BEF58" s="532"/>
      <c r="BEG58" s="532"/>
      <c r="BEH58" s="532"/>
      <c r="BEI58" s="532"/>
      <c r="BEJ58" s="532"/>
      <c r="BEK58" s="532"/>
      <c r="BEL58" s="532"/>
      <c r="BEM58" s="532"/>
      <c r="BEN58" s="532"/>
      <c r="BEO58" s="532"/>
      <c r="BEP58" s="532"/>
      <c r="BEQ58" s="532"/>
      <c r="BER58" s="532"/>
      <c r="BES58" s="532"/>
      <c r="BET58" s="532"/>
      <c r="BEU58" s="532"/>
      <c r="BEV58" s="532"/>
      <c r="BEW58" s="532"/>
      <c r="BEX58" s="532"/>
      <c r="BEY58" s="532"/>
      <c r="BEZ58" s="532"/>
      <c r="BFA58" s="532"/>
      <c r="BFB58" s="532"/>
      <c r="BFC58" s="532"/>
      <c r="BFD58" s="532"/>
      <c r="BFE58" s="532"/>
      <c r="BFF58" s="532"/>
      <c r="BFG58" s="532"/>
      <c r="BFH58" s="532"/>
      <c r="BFI58" s="532"/>
      <c r="BFJ58" s="532"/>
      <c r="BFK58" s="532"/>
      <c r="BFL58" s="532"/>
      <c r="BFM58" s="532"/>
      <c r="BFN58" s="532"/>
      <c r="BFO58" s="532"/>
      <c r="BFP58" s="532"/>
      <c r="BFQ58" s="532"/>
      <c r="BFR58" s="532"/>
      <c r="BFS58" s="532"/>
      <c r="BFT58" s="532"/>
      <c r="BFU58" s="532"/>
      <c r="BFV58" s="532"/>
      <c r="BFW58" s="532"/>
      <c r="BFX58" s="532"/>
      <c r="BFY58" s="532"/>
      <c r="BFZ58" s="532"/>
      <c r="BGA58" s="532"/>
      <c r="BGB58" s="532"/>
      <c r="BGC58" s="532"/>
      <c r="BGD58" s="532"/>
      <c r="BGE58" s="532"/>
      <c r="BGF58" s="532"/>
      <c r="BGG58" s="532"/>
      <c r="BGH58" s="532"/>
      <c r="BGI58" s="532"/>
      <c r="BGJ58" s="532"/>
      <c r="BGK58" s="532"/>
      <c r="BGL58" s="532"/>
      <c r="BGM58" s="532"/>
      <c r="BGN58" s="532"/>
      <c r="BGO58" s="532"/>
      <c r="BGP58" s="532"/>
      <c r="BGQ58" s="532"/>
      <c r="BGR58" s="532"/>
      <c r="BGS58" s="532"/>
      <c r="BGT58" s="532"/>
      <c r="BGU58" s="532"/>
      <c r="BGV58" s="532"/>
      <c r="BGW58" s="532"/>
      <c r="BGX58" s="532"/>
      <c r="BGY58" s="532"/>
      <c r="BGZ58" s="532"/>
      <c r="BHA58" s="532"/>
      <c r="BHB58" s="532"/>
      <c r="BHC58" s="532"/>
      <c r="BHD58" s="532"/>
      <c r="BHE58" s="532"/>
      <c r="BHF58" s="532"/>
      <c r="BHG58" s="532"/>
      <c r="BHH58" s="532"/>
      <c r="BHI58" s="532"/>
      <c r="BHJ58" s="532"/>
      <c r="BHK58" s="532"/>
      <c r="BHL58" s="532"/>
      <c r="BHM58" s="532"/>
      <c r="BHN58" s="532"/>
      <c r="BHO58" s="532"/>
      <c r="BHP58" s="532"/>
      <c r="BHQ58" s="532"/>
      <c r="BHR58" s="532"/>
      <c r="BHS58" s="532"/>
      <c r="BHT58" s="532"/>
      <c r="BHU58" s="532"/>
      <c r="BHV58" s="532"/>
      <c r="BHW58" s="532"/>
      <c r="BHX58" s="532"/>
      <c r="BHY58" s="532"/>
      <c r="BHZ58" s="532"/>
      <c r="BIA58" s="532"/>
      <c r="BIB58" s="532"/>
      <c r="BIC58" s="532"/>
      <c r="BID58" s="532"/>
      <c r="BIE58" s="532"/>
      <c r="BIF58" s="532"/>
      <c r="BIG58" s="532"/>
      <c r="BIH58" s="532"/>
      <c r="BII58" s="532"/>
      <c r="BIJ58" s="532"/>
      <c r="BIK58" s="532"/>
      <c r="BIL58" s="532"/>
      <c r="BIM58" s="532"/>
      <c r="BIN58" s="532"/>
      <c r="BIO58" s="532"/>
      <c r="BIP58" s="532"/>
      <c r="BIQ58" s="532"/>
      <c r="BIR58" s="532"/>
      <c r="BIS58" s="532"/>
      <c r="BIT58" s="532"/>
      <c r="BIU58" s="532"/>
      <c r="BIV58" s="532"/>
      <c r="BIW58" s="532"/>
      <c r="BIX58" s="532"/>
      <c r="BIY58" s="532"/>
      <c r="BIZ58" s="532"/>
      <c r="BJA58" s="532"/>
      <c r="BJB58" s="532"/>
      <c r="BJC58" s="532"/>
      <c r="BJD58" s="532"/>
      <c r="BJE58" s="532"/>
      <c r="BJF58" s="532"/>
      <c r="BJG58" s="532"/>
      <c r="BJH58" s="532"/>
      <c r="BJI58" s="532"/>
      <c r="BJJ58" s="532"/>
      <c r="BJK58" s="532"/>
      <c r="BJL58" s="532"/>
      <c r="BJM58" s="532"/>
      <c r="BJN58" s="532"/>
      <c r="BJO58" s="532"/>
      <c r="BJP58" s="532"/>
      <c r="BJQ58" s="532"/>
      <c r="BJR58" s="532"/>
      <c r="BJS58" s="532"/>
      <c r="BJT58" s="532"/>
      <c r="BJU58" s="532"/>
      <c r="BJV58" s="532"/>
      <c r="BJW58" s="532"/>
      <c r="BJX58" s="532"/>
      <c r="BJY58" s="532"/>
      <c r="BJZ58" s="532"/>
      <c r="BKA58" s="532"/>
      <c r="BKB58" s="532"/>
      <c r="BKC58" s="532"/>
      <c r="BKD58" s="532"/>
      <c r="BKE58" s="532"/>
      <c r="BKF58" s="532"/>
      <c r="BKG58" s="532"/>
      <c r="BKH58" s="532"/>
      <c r="BKI58" s="532"/>
      <c r="BKJ58" s="532"/>
      <c r="BKK58" s="532"/>
      <c r="BKL58" s="532"/>
      <c r="BKM58" s="532"/>
      <c r="BKN58" s="532"/>
      <c r="BKO58" s="532"/>
      <c r="BKP58" s="532"/>
      <c r="BKQ58" s="532"/>
      <c r="BKR58" s="532"/>
      <c r="BKS58" s="532"/>
      <c r="BKT58" s="532"/>
      <c r="BKU58" s="532"/>
      <c r="BKV58" s="532"/>
      <c r="BKW58" s="532"/>
      <c r="BKX58" s="532"/>
      <c r="BKY58" s="532"/>
      <c r="BKZ58" s="532"/>
      <c r="BLA58" s="532"/>
      <c r="BLB58" s="532"/>
      <c r="BLC58" s="532"/>
      <c r="BLD58" s="532"/>
      <c r="BLE58" s="532"/>
      <c r="BLF58" s="532"/>
      <c r="BLG58" s="532"/>
      <c r="BLH58" s="532"/>
      <c r="BLI58" s="532"/>
      <c r="BLJ58" s="532"/>
      <c r="BLK58" s="532"/>
      <c r="BLL58" s="532"/>
      <c r="BLM58" s="532"/>
      <c r="BLN58" s="532"/>
      <c r="BLO58" s="532"/>
      <c r="BLP58" s="532"/>
      <c r="BLQ58" s="532"/>
      <c r="BLR58" s="532"/>
      <c r="BLS58" s="532"/>
      <c r="BLT58" s="532"/>
      <c r="BLU58" s="532"/>
      <c r="BLV58" s="532"/>
      <c r="BLW58" s="532"/>
      <c r="BLX58" s="532"/>
      <c r="BLY58" s="532"/>
      <c r="BLZ58" s="532"/>
      <c r="BMA58" s="532"/>
      <c r="BMB58" s="532"/>
      <c r="BMC58" s="532"/>
      <c r="BMD58" s="532"/>
      <c r="BME58" s="532"/>
      <c r="BMF58" s="532"/>
      <c r="BMG58" s="532"/>
      <c r="BMH58" s="532"/>
      <c r="BMI58" s="532"/>
      <c r="BMJ58" s="532"/>
      <c r="BMK58" s="532"/>
      <c r="BML58" s="532"/>
      <c r="BMM58" s="532"/>
      <c r="BMN58" s="532"/>
      <c r="BMO58" s="532"/>
      <c r="BMP58" s="532"/>
      <c r="BMQ58" s="532"/>
      <c r="BMR58" s="532"/>
      <c r="BMS58" s="532"/>
      <c r="BMT58" s="532"/>
      <c r="BMU58" s="532"/>
      <c r="BMV58" s="532"/>
      <c r="BMW58" s="532"/>
      <c r="BMX58" s="532"/>
      <c r="BMY58" s="532"/>
      <c r="BMZ58" s="532"/>
      <c r="BNA58" s="532"/>
      <c r="BNB58" s="532"/>
      <c r="BNC58" s="532"/>
      <c r="BND58" s="532"/>
      <c r="BNE58" s="532"/>
      <c r="BNF58" s="532"/>
      <c r="BNG58" s="532"/>
      <c r="BNH58" s="532"/>
      <c r="BNI58" s="532"/>
      <c r="BNJ58" s="532"/>
      <c r="BNK58" s="532"/>
      <c r="BNL58" s="532"/>
      <c r="BNM58" s="532"/>
      <c r="BNN58" s="532"/>
      <c r="BNO58" s="532"/>
      <c r="BNP58" s="532"/>
      <c r="BNQ58" s="532"/>
      <c r="BNR58" s="532"/>
      <c r="BNS58" s="532"/>
      <c r="BNT58" s="532"/>
      <c r="BNU58" s="532"/>
      <c r="BNV58" s="532"/>
      <c r="BNW58" s="532"/>
      <c r="BNX58" s="532"/>
      <c r="BNY58" s="532"/>
      <c r="BNZ58" s="532"/>
      <c r="BOA58" s="532"/>
      <c r="BOB58" s="532"/>
      <c r="BOC58" s="532"/>
      <c r="BOD58" s="532"/>
      <c r="BOE58" s="532"/>
      <c r="BOF58" s="532"/>
      <c r="BOG58" s="532"/>
      <c r="BOH58" s="532"/>
      <c r="BOI58" s="532"/>
      <c r="BOJ58" s="532"/>
      <c r="BOK58" s="532"/>
      <c r="BOL58" s="532"/>
      <c r="BOM58" s="532"/>
      <c r="BON58" s="532"/>
      <c r="BOO58" s="532"/>
      <c r="BOP58" s="532"/>
      <c r="BOQ58" s="532"/>
      <c r="BOR58" s="532"/>
      <c r="BOS58" s="532"/>
      <c r="BOT58" s="532"/>
      <c r="BOU58" s="532"/>
      <c r="BOV58" s="532"/>
      <c r="BOW58" s="532"/>
      <c r="BOX58" s="532"/>
      <c r="BOY58" s="532"/>
      <c r="BOZ58" s="532"/>
      <c r="BPA58" s="532"/>
      <c r="BPB58" s="532"/>
      <c r="BPC58" s="532"/>
      <c r="BPD58" s="532"/>
      <c r="BPE58" s="532"/>
      <c r="BPF58" s="532"/>
      <c r="BPG58" s="532"/>
      <c r="BPH58" s="532"/>
      <c r="BPI58" s="532"/>
      <c r="BPJ58" s="532"/>
      <c r="BPK58" s="532"/>
      <c r="BPL58" s="532"/>
      <c r="BPM58" s="532"/>
      <c r="BPN58" s="532"/>
      <c r="BPO58" s="532"/>
      <c r="BPP58" s="532"/>
      <c r="BPQ58" s="532"/>
      <c r="BPR58" s="532"/>
      <c r="BPS58" s="532"/>
      <c r="BPT58" s="532"/>
      <c r="BPU58" s="532"/>
      <c r="BPV58" s="532"/>
      <c r="BPW58" s="532"/>
      <c r="BPX58" s="532"/>
      <c r="BPY58" s="532"/>
      <c r="BPZ58" s="532"/>
      <c r="BQA58" s="532"/>
      <c r="BQB58" s="532"/>
      <c r="BQC58" s="532"/>
      <c r="BQD58" s="532"/>
      <c r="BQE58" s="532"/>
      <c r="BQF58" s="532"/>
      <c r="BQG58" s="532"/>
      <c r="BQH58" s="532"/>
      <c r="BQI58" s="532"/>
      <c r="BQJ58" s="532"/>
      <c r="BQK58" s="532"/>
      <c r="BQL58" s="532"/>
      <c r="BQM58" s="532"/>
      <c r="BQN58" s="532"/>
      <c r="BQO58" s="532"/>
      <c r="BQP58" s="532"/>
      <c r="BQQ58" s="532"/>
      <c r="BQR58" s="532"/>
      <c r="BQS58" s="532"/>
      <c r="BQT58" s="532"/>
      <c r="BQU58" s="532"/>
      <c r="BQV58" s="532"/>
      <c r="BQW58" s="532"/>
      <c r="BQX58" s="532"/>
      <c r="BQY58" s="532"/>
      <c r="BQZ58" s="532"/>
      <c r="BRA58" s="532"/>
      <c r="BRB58" s="532"/>
      <c r="BRC58" s="532"/>
      <c r="BRD58" s="532"/>
      <c r="BRE58" s="532"/>
      <c r="BRF58" s="532"/>
      <c r="BRG58" s="532"/>
      <c r="BRH58" s="532"/>
      <c r="BRI58" s="532"/>
      <c r="BRJ58" s="532"/>
      <c r="BRK58" s="532"/>
      <c r="BRL58" s="532"/>
      <c r="BRM58" s="532"/>
      <c r="BRN58" s="532"/>
      <c r="BRO58" s="532"/>
      <c r="BRP58" s="532"/>
      <c r="BRQ58" s="532"/>
      <c r="BRR58" s="532"/>
      <c r="BRS58" s="532"/>
      <c r="BRT58" s="532"/>
      <c r="BRU58" s="532"/>
      <c r="BRV58" s="532"/>
      <c r="BRW58" s="532"/>
      <c r="BRX58" s="532"/>
      <c r="BRY58" s="532"/>
      <c r="BRZ58" s="532"/>
      <c r="BSA58" s="532"/>
      <c r="BSB58" s="532"/>
      <c r="BSC58" s="532"/>
      <c r="BSD58" s="532"/>
      <c r="BSE58" s="532"/>
      <c r="BSF58" s="532"/>
      <c r="BSG58" s="532"/>
      <c r="BSH58" s="532"/>
      <c r="BSI58" s="532"/>
      <c r="BSJ58" s="532"/>
      <c r="BSK58" s="532"/>
      <c r="BSL58" s="532"/>
      <c r="BSM58" s="532"/>
      <c r="BSN58" s="532"/>
      <c r="BSO58" s="532"/>
      <c r="BSP58" s="532"/>
      <c r="BSQ58" s="532"/>
      <c r="BSR58" s="532"/>
      <c r="BSS58" s="532"/>
      <c r="BST58" s="532"/>
      <c r="BSU58" s="532"/>
      <c r="BSV58" s="532"/>
      <c r="BSW58" s="532"/>
      <c r="BSX58" s="532"/>
      <c r="BSY58" s="532"/>
      <c r="BSZ58" s="532"/>
      <c r="BTA58" s="532"/>
      <c r="BTB58" s="532"/>
      <c r="BTC58" s="532"/>
      <c r="BTD58" s="532"/>
      <c r="BTE58" s="532"/>
      <c r="BTF58" s="532"/>
      <c r="BTG58" s="532"/>
      <c r="BTH58" s="532"/>
      <c r="BTI58" s="532"/>
      <c r="BTJ58" s="532"/>
      <c r="BTK58" s="532"/>
      <c r="BTL58" s="532"/>
      <c r="BTM58" s="532"/>
      <c r="BTN58" s="532"/>
      <c r="BTO58" s="532"/>
      <c r="BTP58" s="532"/>
      <c r="BTQ58" s="532"/>
      <c r="BTR58" s="532"/>
      <c r="BTS58" s="532"/>
      <c r="BTT58" s="532"/>
      <c r="BTU58" s="532"/>
      <c r="BTV58" s="532"/>
      <c r="BTW58" s="532"/>
      <c r="BTX58" s="532"/>
      <c r="BTY58" s="532"/>
      <c r="BTZ58" s="532"/>
      <c r="BUA58" s="532"/>
      <c r="BUB58" s="532"/>
      <c r="BUC58" s="532"/>
      <c r="BUD58" s="532"/>
      <c r="BUE58" s="532"/>
      <c r="BUF58" s="532"/>
      <c r="BUG58" s="532"/>
      <c r="BUH58" s="532"/>
      <c r="BUI58" s="532"/>
      <c r="BUJ58" s="532"/>
      <c r="BUK58" s="532"/>
      <c r="BUL58" s="532"/>
      <c r="BUM58" s="532"/>
      <c r="BUN58" s="532"/>
      <c r="BUO58" s="532"/>
      <c r="BUP58" s="532"/>
      <c r="BUQ58" s="532"/>
      <c r="BUR58" s="532"/>
      <c r="BUS58" s="532"/>
      <c r="BUT58" s="532"/>
      <c r="BUU58" s="532"/>
      <c r="BUV58" s="532"/>
      <c r="BUW58" s="532"/>
      <c r="BUX58" s="532"/>
      <c r="BUY58" s="532"/>
      <c r="BUZ58" s="532"/>
      <c r="BVA58" s="532"/>
      <c r="BVB58" s="532"/>
      <c r="BVC58" s="532"/>
      <c r="BVD58" s="532"/>
      <c r="BVE58" s="532"/>
      <c r="BVF58" s="532"/>
      <c r="BVG58" s="532"/>
      <c r="BVH58" s="532"/>
      <c r="BVI58" s="532"/>
      <c r="BVJ58" s="532"/>
      <c r="BVK58" s="532"/>
      <c r="BVL58" s="532"/>
      <c r="BVM58" s="532"/>
      <c r="BVN58" s="532"/>
      <c r="BVO58" s="532"/>
      <c r="BVP58" s="532"/>
      <c r="BVQ58" s="532"/>
      <c r="BVR58" s="532"/>
      <c r="BVS58" s="532"/>
      <c r="BVT58" s="532"/>
      <c r="BVU58" s="532"/>
      <c r="BVV58" s="532"/>
      <c r="BVW58" s="532"/>
      <c r="BVX58" s="532"/>
      <c r="BVY58" s="532"/>
      <c r="BVZ58" s="532"/>
      <c r="BWA58" s="532"/>
      <c r="BWB58" s="532"/>
      <c r="BWC58" s="532"/>
      <c r="BWD58" s="532"/>
      <c r="BWE58" s="532"/>
      <c r="BWF58" s="532"/>
      <c r="BWG58" s="532"/>
      <c r="BWH58" s="532"/>
      <c r="BWI58" s="532"/>
      <c r="BWJ58" s="532"/>
      <c r="BWK58" s="532"/>
      <c r="BWL58" s="532"/>
      <c r="BWM58" s="532"/>
      <c r="BWN58" s="532"/>
      <c r="BWO58" s="532"/>
      <c r="BWP58" s="532"/>
      <c r="BWQ58" s="532"/>
      <c r="BWR58" s="532"/>
      <c r="BWS58" s="532"/>
      <c r="BWT58" s="532"/>
      <c r="BWU58" s="532"/>
      <c r="BWV58" s="532"/>
      <c r="BWW58" s="532"/>
      <c r="BWX58" s="532"/>
      <c r="BWY58" s="532"/>
      <c r="BWZ58" s="532"/>
      <c r="BXA58" s="532"/>
      <c r="BXB58" s="532"/>
      <c r="BXC58" s="532"/>
      <c r="BXD58" s="532"/>
      <c r="BXE58" s="532"/>
      <c r="BXF58" s="532"/>
      <c r="BXG58" s="532"/>
      <c r="BXH58" s="532"/>
      <c r="BXI58" s="532"/>
      <c r="BXJ58" s="532"/>
      <c r="BXK58" s="532"/>
      <c r="BXL58" s="532"/>
      <c r="BXM58" s="532"/>
      <c r="BXN58" s="532"/>
      <c r="BXO58" s="532"/>
      <c r="BXP58" s="532"/>
      <c r="BXQ58" s="532"/>
      <c r="BXR58" s="532"/>
      <c r="BXS58" s="532"/>
      <c r="BXT58" s="532"/>
      <c r="BXU58" s="532"/>
      <c r="BXV58" s="532"/>
      <c r="BXW58" s="532"/>
      <c r="BXX58" s="532"/>
      <c r="BXY58" s="532"/>
      <c r="BXZ58" s="532"/>
      <c r="BYA58" s="532"/>
      <c r="BYB58" s="532"/>
      <c r="BYC58" s="532"/>
      <c r="BYD58" s="532"/>
      <c r="BYE58" s="532"/>
      <c r="BYF58" s="532"/>
      <c r="BYG58" s="532"/>
      <c r="BYH58" s="532"/>
      <c r="BYI58" s="532"/>
      <c r="BYJ58" s="532"/>
      <c r="BYK58" s="532"/>
      <c r="BYL58" s="532"/>
      <c r="BYM58" s="532"/>
      <c r="BYN58" s="532"/>
      <c r="BYO58" s="532"/>
      <c r="BYP58" s="532"/>
      <c r="BYQ58" s="532"/>
      <c r="BYR58" s="532"/>
      <c r="BYS58" s="532"/>
      <c r="BYT58" s="532"/>
      <c r="BYU58" s="532"/>
      <c r="BYV58" s="532"/>
      <c r="BYW58" s="532"/>
      <c r="BYX58" s="532"/>
      <c r="BYY58" s="532"/>
      <c r="BYZ58" s="532"/>
      <c r="BZA58" s="532"/>
      <c r="BZB58" s="532"/>
      <c r="BZC58" s="532"/>
      <c r="BZD58" s="532"/>
      <c r="BZE58" s="532"/>
      <c r="BZF58" s="532"/>
      <c r="BZG58" s="532"/>
      <c r="BZH58" s="532"/>
      <c r="BZI58" s="532"/>
      <c r="BZJ58" s="532"/>
      <c r="BZK58" s="532"/>
      <c r="BZL58" s="532"/>
      <c r="BZM58" s="532"/>
      <c r="BZN58" s="532"/>
      <c r="BZO58" s="532"/>
      <c r="BZP58" s="532"/>
      <c r="BZQ58" s="532"/>
      <c r="BZR58" s="532"/>
      <c r="BZS58" s="532"/>
      <c r="BZT58" s="532"/>
      <c r="BZU58" s="532"/>
      <c r="BZV58" s="532"/>
      <c r="BZW58" s="532"/>
      <c r="BZX58" s="532"/>
      <c r="BZY58" s="532"/>
      <c r="BZZ58" s="532"/>
      <c r="CAA58" s="532"/>
      <c r="CAB58" s="532"/>
      <c r="CAC58" s="532"/>
      <c r="CAD58" s="532"/>
      <c r="CAE58" s="532"/>
      <c r="CAF58" s="532"/>
      <c r="CAG58" s="532"/>
      <c r="CAH58" s="532"/>
      <c r="CAI58" s="532"/>
      <c r="CAJ58" s="532"/>
      <c r="CAK58" s="532"/>
      <c r="CAL58" s="532"/>
      <c r="CAM58" s="532"/>
      <c r="CAN58" s="532"/>
      <c r="CAO58" s="532"/>
      <c r="CAP58" s="532"/>
      <c r="CAQ58" s="532"/>
      <c r="CAR58" s="532"/>
      <c r="CAS58" s="532"/>
      <c r="CAT58" s="532"/>
      <c r="CAU58" s="532"/>
      <c r="CAV58" s="532"/>
      <c r="CAW58" s="532"/>
      <c r="CAX58" s="532"/>
      <c r="CAY58" s="532"/>
      <c r="CAZ58" s="532"/>
      <c r="CBA58" s="532"/>
      <c r="CBB58" s="532"/>
      <c r="CBC58" s="532"/>
      <c r="CBD58" s="532"/>
      <c r="CBE58" s="532"/>
      <c r="CBF58" s="532"/>
      <c r="CBG58" s="532"/>
      <c r="CBH58" s="532"/>
      <c r="CBI58" s="532"/>
      <c r="CBJ58" s="532"/>
      <c r="CBK58" s="532"/>
      <c r="CBL58" s="532"/>
      <c r="CBM58" s="532"/>
      <c r="CBN58" s="532"/>
      <c r="CBO58" s="532"/>
      <c r="CBP58" s="532"/>
      <c r="CBQ58" s="532"/>
      <c r="CBR58" s="532"/>
      <c r="CBS58" s="532"/>
      <c r="CBT58" s="532"/>
      <c r="CBU58" s="532"/>
      <c r="CBV58" s="532"/>
      <c r="CBW58" s="532"/>
      <c r="CBX58" s="532"/>
      <c r="CBY58" s="532"/>
      <c r="CBZ58" s="532"/>
      <c r="CCA58" s="532"/>
      <c r="CCB58" s="532"/>
      <c r="CCC58" s="532"/>
      <c r="CCD58" s="532"/>
      <c r="CCE58" s="532"/>
      <c r="CCF58" s="532"/>
      <c r="CCG58" s="532"/>
      <c r="CCH58" s="532"/>
      <c r="CCI58" s="532"/>
      <c r="CCJ58" s="532"/>
      <c r="CCK58" s="532"/>
      <c r="CCL58" s="532"/>
      <c r="CCM58" s="532"/>
      <c r="CCN58" s="532"/>
      <c r="CCO58" s="532"/>
      <c r="CCP58" s="532"/>
      <c r="CCQ58" s="532"/>
      <c r="CCR58" s="532"/>
      <c r="CCS58" s="532"/>
      <c r="CCT58" s="532"/>
      <c r="CCU58" s="532"/>
      <c r="CCV58" s="532"/>
      <c r="CCW58" s="532"/>
      <c r="CCX58" s="532"/>
      <c r="CCY58" s="532"/>
      <c r="CCZ58" s="532"/>
      <c r="CDA58" s="532"/>
      <c r="CDB58" s="532"/>
      <c r="CDC58" s="532"/>
      <c r="CDD58" s="532"/>
      <c r="CDE58" s="532"/>
      <c r="CDF58" s="532"/>
      <c r="CDG58" s="532"/>
      <c r="CDH58" s="532"/>
      <c r="CDI58" s="532"/>
      <c r="CDJ58" s="532"/>
      <c r="CDK58" s="532"/>
      <c r="CDL58" s="532"/>
      <c r="CDM58" s="532"/>
      <c r="CDN58" s="532"/>
      <c r="CDO58" s="532"/>
      <c r="CDP58" s="532"/>
      <c r="CDQ58" s="532"/>
      <c r="CDR58" s="532"/>
      <c r="CDS58" s="532"/>
      <c r="CDT58" s="532"/>
      <c r="CDU58" s="532"/>
      <c r="CDV58" s="532"/>
      <c r="CDW58" s="532"/>
      <c r="CDX58" s="532"/>
      <c r="CDY58" s="532"/>
      <c r="CDZ58" s="532"/>
      <c r="CEA58" s="532"/>
      <c r="CEB58" s="532"/>
      <c r="CEC58" s="532"/>
      <c r="CED58" s="532"/>
      <c r="CEE58" s="532"/>
      <c r="CEF58" s="532"/>
      <c r="CEG58" s="532"/>
      <c r="CEH58" s="532"/>
      <c r="CEI58" s="532"/>
      <c r="CEJ58" s="532"/>
      <c r="CEK58" s="532"/>
      <c r="CEL58" s="532"/>
      <c r="CEM58" s="532"/>
      <c r="CEN58" s="532"/>
      <c r="CEO58" s="532"/>
      <c r="CEP58" s="532"/>
      <c r="CEQ58" s="532"/>
      <c r="CER58" s="532"/>
      <c r="CES58" s="532"/>
      <c r="CET58" s="532"/>
      <c r="CEU58" s="532"/>
      <c r="CEV58" s="532"/>
      <c r="CEW58" s="532"/>
      <c r="CEX58" s="532"/>
      <c r="CEY58" s="532"/>
      <c r="CEZ58" s="532"/>
      <c r="CFA58" s="532"/>
      <c r="CFB58" s="532"/>
      <c r="CFC58" s="532"/>
      <c r="CFD58" s="532"/>
      <c r="CFE58" s="532"/>
      <c r="CFF58" s="532"/>
      <c r="CFG58" s="532"/>
      <c r="CFH58" s="532"/>
      <c r="CFI58" s="532"/>
      <c r="CFJ58" s="532"/>
      <c r="CFK58" s="532"/>
      <c r="CFL58" s="532"/>
      <c r="CFM58" s="532"/>
      <c r="CFN58" s="532"/>
      <c r="CFO58" s="532"/>
      <c r="CFP58" s="532"/>
      <c r="CFQ58" s="532"/>
      <c r="CFR58" s="532"/>
      <c r="CFS58" s="532"/>
      <c r="CFT58" s="532"/>
      <c r="CFU58" s="532"/>
      <c r="CFV58" s="532"/>
      <c r="CFW58" s="532"/>
      <c r="CFX58" s="532"/>
      <c r="CFY58" s="532"/>
      <c r="CFZ58" s="532"/>
      <c r="CGA58" s="532"/>
      <c r="CGB58" s="532"/>
      <c r="CGC58" s="532"/>
      <c r="CGD58" s="532"/>
      <c r="CGE58" s="532"/>
      <c r="CGF58" s="532"/>
      <c r="CGG58" s="532"/>
      <c r="CGH58" s="532"/>
      <c r="CGI58" s="532"/>
      <c r="CGJ58" s="532"/>
      <c r="CGK58" s="532"/>
      <c r="CGL58" s="532"/>
      <c r="CGM58" s="532"/>
      <c r="CGN58" s="532"/>
      <c r="CGO58" s="532"/>
      <c r="CGP58" s="532"/>
      <c r="CGQ58" s="532"/>
      <c r="CGR58" s="532"/>
      <c r="CGS58" s="532"/>
      <c r="CGT58" s="532"/>
      <c r="CGU58" s="532"/>
      <c r="CGV58" s="532"/>
      <c r="CGW58" s="532"/>
      <c r="CGX58" s="532"/>
      <c r="CGY58" s="532"/>
      <c r="CGZ58" s="532"/>
      <c r="CHA58" s="532"/>
      <c r="CHB58" s="532"/>
      <c r="CHC58" s="532"/>
      <c r="CHD58" s="532"/>
      <c r="CHE58" s="532"/>
      <c r="CHF58" s="532"/>
      <c r="CHG58" s="532"/>
      <c r="CHH58" s="532"/>
      <c r="CHI58" s="532"/>
      <c r="CHJ58" s="532"/>
      <c r="CHK58" s="532"/>
      <c r="CHL58" s="532"/>
      <c r="CHM58" s="532"/>
      <c r="CHN58" s="532"/>
      <c r="CHO58" s="532"/>
      <c r="CHP58" s="532"/>
      <c r="CHQ58" s="532"/>
      <c r="CHR58" s="532"/>
      <c r="CHS58" s="532"/>
      <c r="CHT58" s="532"/>
      <c r="CHU58" s="532"/>
      <c r="CHV58" s="532"/>
      <c r="CHW58" s="532"/>
      <c r="CHX58" s="532"/>
      <c r="CHY58" s="532"/>
      <c r="CHZ58" s="532"/>
      <c r="CIA58" s="532"/>
      <c r="CIB58" s="532"/>
      <c r="CIC58" s="532"/>
      <c r="CID58" s="532"/>
      <c r="CIE58" s="532"/>
      <c r="CIF58" s="532"/>
      <c r="CIG58" s="532"/>
      <c r="CIH58" s="532"/>
      <c r="CII58" s="532"/>
      <c r="CIJ58" s="532"/>
      <c r="CIK58" s="532"/>
      <c r="CIL58" s="532"/>
      <c r="CIM58" s="532"/>
      <c r="CIN58" s="532"/>
      <c r="CIO58" s="532"/>
      <c r="CIP58" s="532"/>
      <c r="CIQ58" s="532"/>
      <c r="CIR58" s="532"/>
      <c r="CIS58" s="532"/>
      <c r="CIT58" s="532"/>
      <c r="CIU58" s="532"/>
      <c r="CIV58" s="532"/>
      <c r="CIW58" s="532"/>
      <c r="CIX58" s="532"/>
      <c r="CIY58" s="532"/>
      <c r="CIZ58" s="532"/>
      <c r="CJA58" s="532"/>
      <c r="CJB58" s="532"/>
      <c r="CJC58" s="532"/>
      <c r="CJD58" s="532"/>
      <c r="CJE58" s="532"/>
      <c r="CJF58" s="532"/>
      <c r="CJG58" s="532"/>
      <c r="CJH58" s="532"/>
      <c r="CJI58" s="532"/>
      <c r="CJJ58" s="532"/>
      <c r="CJK58" s="532"/>
      <c r="CJL58" s="532"/>
      <c r="CJM58" s="532"/>
      <c r="CJN58" s="532"/>
      <c r="CJO58" s="532"/>
      <c r="CJP58" s="532"/>
      <c r="CJQ58" s="532"/>
      <c r="CJR58" s="532"/>
      <c r="CJS58" s="532"/>
      <c r="CJT58" s="532"/>
      <c r="CJU58" s="532"/>
      <c r="CJV58" s="532"/>
      <c r="CJW58" s="532"/>
      <c r="CJX58" s="532"/>
      <c r="CJY58" s="532"/>
      <c r="CJZ58" s="532"/>
      <c r="CKA58" s="532"/>
      <c r="CKB58" s="532"/>
      <c r="CKC58" s="532"/>
      <c r="CKD58" s="532"/>
      <c r="CKE58" s="532"/>
      <c r="CKF58" s="532"/>
      <c r="CKG58" s="532"/>
      <c r="CKH58" s="532"/>
      <c r="CKI58" s="532"/>
      <c r="CKJ58" s="532"/>
      <c r="CKK58" s="532"/>
      <c r="CKL58" s="532"/>
      <c r="CKM58" s="532"/>
      <c r="CKN58" s="532"/>
      <c r="CKO58" s="532"/>
      <c r="CKP58" s="532"/>
      <c r="CKQ58" s="532"/>
      <c r="CKR58" s="532"/>
      <c r="CKS58" s="532"/>
      <c r="CKT58" s="532"/>
      <c r="CKU58" s="532"/>
      <c r="CKV58" s="532"/>
      <c r="CKW58" s="532"/>
      <c r="CKX58" s="532"/>
      <c r="CKY58" s="532"/>
      <c r="CKZ58" s="532"/>
      <c r="CLA58" s="532"/>
      <c r="CLB58" s="532"/>
      <c r="CLC58" s="532"/>
      <c r="CLD58" s="532"/>
      <c r="CLE58" s="532"/>
      <c r="CLF58" s="532"/>
      <c r="CLG58" s="532"/>
      <c r="CLH58" s="532"/>
      <c r="CLI58" s="532"/>
      <c r="CLJ58" s="532"/>
      <c r="CLK58" s="532"/>
      <c r="CLL58" s="532"/>
      <c r="CLM58" s="532"/>
      <c r="CLN58" s="532"/>
      <c r="CLO58" s="532"/>
      <c r="CLP58" s="532"/>
      <c r="CLQ58" s="532"/>
      <c r="CLR58" s="532"/>
      <c r="CLS58" s="532"/>
      <c r="CLT58" s="532"/>
      <c r="CLU58" s="532"/>
      <c r="CLV58" s="532"/>
      <c r="CLW58" s="532"/>
      <c r="CLX58" s="532"/>
      <c r="CLY58" s="532"/>
      <c r="CLZ58" s="532"/>
      <c r="CMA58" s="532"/>
      <c r="CMB58" s="532"/>
      <c r="CMC58" s="532"/>
      <c r="CMD58" s="532"/>
      <c r="CME58" s="532"/>
      <c r="CMF58" s="532"/>
      <c r="CMG58" s="532"/>
      <c r="CMH58" s="532"/>
      <c r="CMI58" s="532"/>
      <c r="CMJ58" s="532"/>
      <c r="CMK58" s="532"/>
      <c r="CML58" s="532"/>
      <c r="CMM58" s="532"/>
      <c r="CMN58" s="532"/>
      <c r="CMO58" s="532"/>
      <c r="CMP58" s="532"/>
      <c r="CMQ58" s="532"/>
      <c r="CMR58" s="532"/>
      <c r="CMS58" s="532"/>
      <c r="CMT58" s="532"/>
      <c r="CMU58" s="532"/>
      <c r="CMV58" s="532"/>
      <c r="CMW58" s="532"/>
      <c r="CMX58" s="532"/>
      <c r="CMY58" s="532"/>
      <c r="CMZ58" s="532"/>
      <c r="CNA58" s="532"/>
      <c r="CNB58" s="532"/>
      <c r="CNC58" s="532"/>
      <c r="CND58" s="532"/>
      <c r="CNE58" s="532"/>
      <c r="CNF58" s="532"/>
      <c r="CNG58" s="532"/>
      <c r="CNH58" s="532"/>
      <c r="CNI58" s="532"/>
      <c r="CNJ58" s="532"/>
      <c r="CNK58" s="532"/>
      <c r="CNL58" s="532"/>
      <c r="CNM58" s="532"/>
      <c r="CNN58" s="532"/>
      <c r="CNO58" s="532"/>
      <c r="CNP58" s="532"/>
      <c r="CNQ58" s="532"/>
      <c r="CNR58" s="532"/>
      <c r="CNS58" s="532"/>
      <c r="CNT58" s="532"/>
      <c r="CNU58" s="532"/>
      <c r="CNV58" s="532"/>
      <c r="CNW58" s="532"/>
      <c r="CNX58" s="532"/>
      <c r="CNY58" s="532"/>
      <c r="CNZ58" s="532"/>
      <c r="COA58" s="532"/>
      <c r="COB58" s="532"/>
      <c r="COC58" s="532"/>
      <c r="COD58" s="532"/>
      <c r="COE58" s="532"/>
      <c r="COF58" s="532"/>
      <c r="COG58" s="532"/>
      <c r="COH58" s="532"/>
      <c r="COI58" s="532"/>
      <c r="COJ58" s="532"/>
      <c r="COK58" s="532"/>
      <c r="COL58" s="532"/>
      <c r="COM58" s="532"/>
      <c r="CON58" s="532"/>
      <c r="COO58" s="532"/>
      <c r="COP58" s="532"/>
      <c r="COQ58" s="532"/>
      <c r="COR58" s="532"/>
      <c r="COS58" s="532"/>
      <c r="COT58" s="532"/>
      <c r="COU58" s="532"/>
      <c r="COV58" s="532"/>
      <c r="COW58" s="532"/>
      <c r="COX58" s="532"/>
      <c r="COY58" s="532"/>
      <c r="COZ58" s="532"/>
      <c r="CPA58" s="532"/>
      <c r="CPB58" s="532"/>
      <c r="CPC58" s="532"/>
      <c r="CPD58" s="532"/>
      <c r="CPE58" s="532"/>
      <c r="CPF58" s="532"/>
      <c r="CPG58" s="532"/>
      <c r="CPH58" s="532"/>
      <c r="CPI58" s="532"/>
      <c r="CPJ58" s="532"/>
      <c r="CPK58" s="532"/>
      <c r="CPL58" s="532"/>
      <c r="CPM58" s="532"/>
      <c r="CPN58" s="532"/>
      <c r="CPO58" s="532"/>
      <c r="CPP58" s="532"/>
      <c r="CPQ58" s="532"/>
      <c r="CPR58" s="532"/>
      <c r="CPS58" s="532"/>
      <c r="CPT58" s="532"/>
      <c r="CPU58" s="532"/>
      <c r="CPV58" s="532"/>
      <c r="CPW58" s="532"/>
      <c r="CPX58" s="532"/>
      <c r="CPY58" s="532"/>
      <c r="CPZ58" s="532"/>
      <c r="CQA58" s="532"/>
      <c r="CQB58" s="532"/>
      <c r="CQC58" s="532"/>
      <c r="CQD58" s="532"/>
      <c r="CQE58" s="532"/>
      <c r="CQF58" s="532"/>
      <c r="CQG58" s="532"/>
      <c r="CQH58" s="532"/>
      <c r="CQI58" s="532"/>
      <c r="CQJ58" s="532"/>
      <c r="CQK58" s="532"/>
      <c r="CQL58" s="532"/>
      <c r="CQM58" s="532"/>
      <c r="CQN58" s="532"/>
      <c r="CQO58" s="532"/>
      <c r="CQP58" s="532"/>
      <c r="CQQ58" s="532"/>
      <c r="CQR58" s="532"/>
      <c r="CQS58" s="532"/>
      <c r="CQT58" s="532"/>
      <c r="CQU58" s="532"/>
      <c r="CQV58" s="532"/>
      <c r="CQW58" s="532"/>
      <c r="CQX58" s="532"/>
      <c r="CQY58" s="532"/>
      <c r="CQZ58" s="532"/>
      <c r="CRA58" s="532"/>
      <c r="CRB58" s="532"/>
      <c r="CRC58" s="532"/>
      <c r="CRD58" s="532"/>
      <c r="CRE58" s="532"/>
      <c r="CRF58" s="532"/>
      <c r="CRG58" s="532"/>
      <c r="CRH58" s="532"/>
      <c r="CRI58" s="532"/>
      <c r="CRJ58" s="532"/>
      <c r="CRK58" s="532"/>
      <c r="CRL58" s="532"/>
      <c r="CRM58" s="532"/>
      <c r="CRN58" s="532"/>
      <c r="CRO58" s="532"/>
      <c r="CRP58" s="532"/>
      <c r="CRQ58" s="532"/>
      <c r="CRR58" s="532"/>
      <c r="CRS58" s="532"/>
      <c r="CRT58" s="532"/>
      <c r="CRU58" s="532"/>
      <c r="CRV58" s="532"/>
      <c r="CRW58" s="532"/>
      <c r="CRX58" s="532"/>
      <c r="CRY58" s="532"/>
      <c r="CRZ58" s="532"/>
      <c r="CSA58" s="532"/>
      <c r="CSB58" s="532"/>
      <c r="CSC58" s="532"/>
      <c r="CSD58" s="532"/>
      <c r="CSE58" s="532"/>
      <c r="CSF58" s="532"/>
      <c r="CSG58" s="532"/>
      <c r="CSH58" s="532"/>
      <c r="CSI58" s="532"/>
      <c r="CSJ58" s="532"/>
      <c r="CSK58" s="532"/>
      <c r="CSL58" s="532"/>
      <c r="CSM58" s="532"/>
      <c r="CSN58" s="532"/>
      <c r="CSO58" s="532"/>
      <c r="CSP58" s="532"/>
      <c r="CSQ58" s="532"/>
      <c r="CSR58" s="532"/>
      <c r="CSS58" s="532"/>
      <c r="CST58" s="532"/>
      <c r="CSU58" s="532"/>
      <c r="CSV58" s="532"/>
      <c r="CSW58" s="532"/>
      <c r="CSX58" s="532"/>
      <c r="CSY58" s="532"/>
      <c r="CSZ58" s="532"/>
      <c r="CTA58" s="532"/>
      <c r="CTB58" s="532"/>
      <c r="CTC58" s="532"/>
      <c r="CTD58" s="532"/>
      <c r="CTE58" s="532"/>
      <c r="CTF58" s="532"/>
      <c r="CTG58" s="532"/>
      <c r="CTH58" s="532"/>
      <c r="CTI58" s="532"/>
      <c r="CTJ58" s="532"/>
      <c r="CTK58" s="532"/>
      <c r="CTL58" s="532"/>
      <c r="CTM58" s="532"/>
      <c r="CTN58" s="532"/>
      <c r="CTO58" s="532"/>
      <c r="CTP58" s="532"/>
      <c r="CTQ58" s="532"/>
      <c r="CTR58" s="532"/>
      <c r="CTS58" s="532"/>
      <c r="CTT58" s="532"/>
      <c r="CTU58" s="532"/>
      <c r="CTV58" s="532"/>
      <c r="CTW58" s="532"/>
      <c r="CTX58" s="532"/>
      <c r="CTY58" s="532"/>
      <c r="CTZ58" s="532"/>
      <c r="CUA58" s="532"/>
      <c r="CUB58" s="532"/>
      <c r="CUC58" s="532"/>
      <c r="CUD58" s="532"/>
      <c r="CUE58" s="532"/>
      <c r="CUF58" s="532"/>
      <c r="CUG58" s="532"/>
      <c r="CUH58" s="532"/>
      <c r="CUI58" s="532"/>
      <c r="CUJ58" s="532"/>
      <c r="CUK58" s="532"/>
      <c r="CUL58" s="532"/>
      <c r="CUM58" s="532"/>
      <c r="CUN58" s="532"/>
      <c r="CUO58" s="532"/>
      <c r="CUP58" s="532"/>
      <c r="CUQ58" s="532"/>
      <c r="CUR58" s="532"/>
      <c r="CUS58" s="532"/>
      <c r="CUT58" s="532"/>
      <c r="CUU58" s="532"/>
      <c r="CUV58" s="532"/>
      <c r="CUW58" s="532"/>
      <c r="CUX58" s="532"/>
      <c r="CUY58" s="532"/>
      <c r="CUZ58" s="532"/>
      <c r="CVA58" s="532"/>
      <c r="CVB58" s="532"/>
      <c r="CVC58" s="532"/>
      <c r="CVD58" s="532"/>
      <c r="CVE58" s="532"/>
      <c r="CVF58" s="532"/>
      <c r="CVG58" s="532"/>
      <c r="CVH58" s="532"/>
      <c r="CVI58" s="532"/>
      <c r="CVJ58" s="532"/>
      <c r="CVK58" s="532"/>
      <c r="CVL58" s="532"/>
      <c r="CVM58" s="532"/>
      <c r="CVN58" s="532"/>
      <c r="CVO58" s="532"/>
      <c r="CVP58" s="532"/>
      <c r="CVQ58" s="532"/>
      <c r="CVR58" s="532"/>
      <c r="CVS58" s="532"/>
      <c r="CVT58" s="532"/>
      <c r="CVU58" s="532"/>
      <c r="CVV58" s="532"/>
      <c r="CVW58" s="532"/>
      <c r="CVX58" s="532"/>
      <c r="CVY58" s="532"/>
      <c r="CVZ58" s="532"/>
      <c r="CWA58" s="532"/>
      <c r="CWB58" s="532"/>
      <c r="CWC58" s="532"/>
      <c r="CWD58" s="532"/>
      <c r="CWE58" s="532"/>
      <c r="CWF58" s="532"/>
      <c r="CWG58" s="532"/>
      <c r="CWH58" s="532"/>
      <c r="CWI58" s="532"/>
      <c r="CWJ58" s="532"/>
      <c r="CWK58" s="532"/>
      <c r="CWL58" s="532"/>
      <c r="CWM58" s="532"/>
      <c r="CWN58" s="532"/>
      <c r="CWO58" s="532"/>
      <c r="CWP58" s="532"/>
      <c r="CWQ58" s="532"/>
      <c r="CWR58" s="532"/>
      <c r="CWS58" s="532"/>
      <c r="CWT58" s="532"/>
      <c r="CWU58" s="532"/>
      <c r="CWV58" s="532"/>
      <c r="CWW58" s="532"/>
      <c r="CWX58" s="532"/>
      <c r="CWY58" s="532"/>
      <c r="CWZ58" s="532"/>
      <c r="CXA58" s="532"/>
      <c r="CXB58" s="532"/>
      <c r="CXC58" s="532"/>
      <c r="CXD58" s="532"/>
      <c r="CXE58" s="532"/>
      <c r="CXF58" s="532"/>
      <c r="CXG58" s="532"/>
      <c r="CXH58" s="532"/>
      <c r="CXI58" s="532"/>
      <c r="CXJ58" s="532"/>
      <c r="CXK58" s="532"/>
      <c r="CXL58" s="532"/>
      <c r="CXM58" s="532"/>
      <c r="CXN58" s="532"/>
      <c r="CXO58" s="532"/>
      <c r="CXP58" s="532"/>
      <c r="CXQ58" s="532"/>
      <c r="CXR58" s="532"/>
      <c r="CXS58" s="532"/>
      <c r="CXT58" s="532"/>
      <c r="CXU58" s="532"/>
      <c r="CXV58" s="532"/>
      <c r="CXW58" s="532"/>
      <c r="CXX58" s="532"/>
      <c r="CXY58" s="532"/>
      <c r="CXZ58" s="532"/>
      <c r="CYA58" s="532"/>
      <c r="CYB58" s="532"/>
      <c r="CYC58" s="532"/>
      <c r="CYD58" s="532"/>
      <c r="CYE58" s="532"/>
      <c r="CYF58" s="532"/>
      <c r="CYG58" s="532"/>
      <c r="CYH58" s="532"/>
      <c r="CYI58" s="532"/>
      <c r="CYJ58" s="532"/>
      <c r="CYK58" s="532"/>
      <c r="CYL58" s="532"/>
      <c r="CYM58" s="532"/>
      <c r="CYN58" s="532"/>
      <c r="CYO58" s="532"/>
      <c r="CYP58" s="532"/>
      <c r="CYQ58" s="532"/>
      <c r="CYR58" s="532"/>
      <c r="CYS58" s="532"/>
      <c r="CYT58" s="532"/>
      <c r="CYU58" s="532"/>
      <c r="CYV58" s="532"/>
      <c r="CYW58" s="532"/>
      <c r="CYX58" s="532"/>
      <c r="CYY58" s="532"/>
      <c r="CYZ58" s="532"/>
      <c r="CZA58" s="532"/>
      <c r="CZB58" s="532"/>
      <c r="CZC58" s="532"/>
      <c r="CZD58" s="532"/>
      <c r="CZE58" s="532"/>
      <c r="CZF58" s="532"/>
      <c r="CZG58" s="532"/>
      <c r="CZH58" s="532"/>
      <c r="CZI58" s="532"/>
      <c r="CZJ58" s="532"/>
      <c r="CZK58" s="532"/>
      <c r="CZL58" s="532"/>
      <c r="CZM58" s="532"/>
      <c r="CZN58" s="532"/>
      <c r="CZO58" s="532"/>
      <c r="CZP58" s="532"/>
      <c r="CZQ58" s="532"/>
      <c r="CZR58" s="532"/>
      <c r="CZS58" s="532"/>
      <c r="CZT58" s="532"/>
      <c r="CZU58" s="532"/>
      <c r="CZV58" s="532"/>
      <c r="CZW58" s="532"/>
      <c r="CZX58" s="532"/>
      <c r="CZY58" s="532"/>
      <c r="CZZ58" s="532"/>
      <c r="DAA58" s="532"/>
      <c r="DAB58" s="532"/>
      <c r="DAC58" s="532"/>
      <c r="DAD58" s="532"/>
      <c r="DAE58" s="532"/>
      <c r="DAF58" s="532"/>
      <c r="DAG58" s="532"/>
      <c r="DAH58" s="532"/>
      <c r="DAI58" s="532"/>
      <c r="DAJ58" s="532"/>
      <c r="DAK58" s="532"/>
      <c r="DAL58" s="532"/>
      <c r="DAM58" s="532"/>
      <c r="DAN58" s="532"/>
      <c r="DAO58" s="532"/>
      <c r="DAP58" s="532"/>
      <c r="DAQ58" s="532"/>
      <c r="DAR58" s="532"/>
      <c r="DAS58" s="532"/>
      <c r="DAT58" s="532"/>
      <c r="DAU58" s="532"/>
      <c r="DAV58" s="532"/>
      <c r="DAW58" s="532"/>
      <c r="DAX58" s="532"/>
      <c r="DAY58" s="532"/>
      <c r="DAZ58" s="532"/>
      <c r="DBA58" s="532"/>
      <c r="DBB58" s="532"/>
      <c r="DBC58" s="532"/>
      <c r="DBD58" s="532"/>
      <c r="DBE58" s="532"/>
      <c r="DBF58" s="532"/>
      <c r="DBG58" s="532"/>
      <c r="DBH58" s="532"/>
      <c r="DBI58" s="532"/>
      <c r="DBJ58" s="532"/>
      <c r="DBK58" s="532"/>
      <c r="DBL58" s="532"/>
      <c r="DBM58" s="532"/>
      <c r="DBN58" s="532"/>
      <c r="DBO58" s="532"/>
      <c r="DBP58" s="532"/>
      <c r="DBQ58" s="532"/>
      <c r="DBR58" s="532"/>
      <c r="DBS58" s="532"/>
      <c r="DBT58" s="532"/>
      <c r="DBU58" s="532"/>
      <c r="DBV58" s="532"/>
      <c r="DBW58" s="532"/>
      <c r="DBX58" s="532"/>
      <c r="DBY58" s="532"/>
      <c r="DBZ58" s="532"/>
      <c r="DCA58" s="532"/>
      <c r="DCB58" s="532"/>
      <c r="DCC58" s="532"/>
      <c r="DCD58" s="532"/>
      <c r="DCE58" s="532"/>
      <c r="DCF58" s="532"/>
      <c r="DCG58" s="532"/>
      <c r="DCH58" s="532"/>
      <c r="DCI58" s="532"/>
      <c r="DCJ58" s="532"/>
      <c r="DCK58" s="532"/>
      <c r="DCL58" s="532"/>
      <c r="DCM58" s="532"/>
      <c r="DCN58" s="532"/>
      <c r="DCO58" s="532"/>
      <c r="DCP58" s="532"/>
      <c r="DCQ58" s="532"/>
      <c r="DCR58" s="532"/>
      <c r="DCS58" s="532"/>
      <c r="DCT58" s="532"/>
      <c r="DCU58" s="532"/>
      <c r="DCV58" s="532"/>
      <c r="DCW58" s="532"/>
      <c r="DCX58" s="532"/>
      <c r="DCY58" s="532"/>
      <c r="DCZ58" s="532"/>
      <c r="DDA58" s="532"/>
      <c r="DDB58" s="532"/>
      <c r="DDC58" s="532"/>
      <c r="DDD58" s="532"/>
      <c r="DDE58" s="532"/>
      <c r="DDF58" s="532"/>
      <c r="DDG58" s="532"/>
      <c r="DDH58" s="532"/>
      <c r="DDI58" s="532"/>
      <c r="DDJ58" s="532"/>
      <c r="DDK58" s="532"/>
      <c r="DDL58" s="532"/>
      <c r="DDM58" s="532"/>
      <c r="DDN58" s="532"/>
      <c r="DDO58" s="532"/>
      <c r="DDP58" s="532"/>
      <c r="DDQ58" s="532"/>
      <c r="DDR58" s="532"/>
      <c r="DDS58" s="532"/>
      <c r="DDT58" s="532"/>
      <c r="DDU58" s="532"/>
      <c r="DDV58" s="532"/>
      <c r="DDW58" s="532"/>
      <c r="DDX58" s="532"/>
      <c r="DDY58" s="532"/>
      <c r="DDZ58" s="532"/>
      <c r="DEA58" s="532"/>
      <c r="DEB58" s="532"/>
      <c r="DEC58" s="532"/>
      <c r="DED58" s="532"/>
      <c r="DEE58" s="532"/>
      <c r="DEF58" s="532"/>
      <c r="DEG58" s="532"/>
      <c r="DEH58" s="532"/>
      <c r="DEI58" s="532"/>
      <c r="DEJ58" s="532"/>
      <c r="DEK58" s="532"/>
      <c r="DEL58" s="532"/>
      <c r="DEM58" s="532"/>
      <c r="DEN58" s="532"/>
      <c r="DEO58" s="532"/>
      <c r="DEP58" s="532"/>
      <c r="DEQ58" s="532"/>
      <c r="DER58" s="532"/>
      <c r="DES58" s="532"/>
      <c r="DET58" s="532"/>
      <c r="DEU58" s="532"/>
      <c r="DEV58" s="532"/>
      <c r="DEW58" s="532"/>
      <c r="DEX58" s="532"/>
      <c r="DEY58" s="532"/>
      <c r="DEZ58" s="532"/>
      <c r="DFA58" s="532"/>
      <c r="DFB58" s="532"/>
      <c r="DFC58" s="532"/>
      <c r="DFD58" s="532"/>
      <c r="DFE58" s="532"/>
      <c r="DFF58" s="532"/>
      <c r="DFG58" s="532"/>
      <c r="DFH58" s="532"/>
      <c r="DFI58" s="532"/>
      <c r="DFJ58" s="532"/>
      <c r="DFK58" s="532"/>
      <c r="DFL58" s="532"/>
      <c r="DFM58" s="532"/>
      <c r="DFN58" s="532"/>
      <c r="DFO58" s="532"/>
      <c r="DFP58" s="532"/>
      <c r="DFQ58" s="532"/>
      <c r="DFR58" s="532"/>
      <c r="DFS58" s="532"/>
      <c r="DFT58" s="532"/>
      <c r="DFU58" s="532"/>
      <c r="DFV58" s="532"/>
      <c r="DFW58" s="532"/>
      <c r="DFX58" s="532"/>
      <c r="DFY58" s="532"/>
      <c r="DFZ58" s="532"/>
      <c r="DGA58" s="532"/>
      <c r="DGB58" s="532"/>
      <c r="DGC58" s="532"/>
      <c r="DGD58" s="532"/>
      <c r="DGE58" s="532"/>
      <c r="DGF58" s="532"/>
      <c r="DGG58" s="532"/>
      <c r="DGH58" s="532"/>
      <c r="DGI58" s="532"/>
      <c r="DGJ58" s="532"/>
      <c r="DGK58" s="532"/>
      <c r="DGL58" s="532"/>
      <c r="DGM58" s="532"/>
      <c r="DGN58" s="532"/>
      <c r="DGO58" s="532"/>
      <c r="DGP58" s="532"/>
      <c r="DGQ58" s="532"/>
      <c r="DGR58" s="532"/>
      <c r="DGS58" s="532"/>
      <c r="DGT58" s="532"/>
      <c r="DGU58" s="532"/>
      <c r="DGV58" s="532"/>
      <c r="DGW58" s="532"/>
      <c r="DGX58" s="532"/>
      <c r="DGY58" s="532"/>
      <c r="DGZ58" s="532"/>
      <c r="DHA58" s="532"/>
      <c r="DHB58" s="532"/>
      <c r="DHC58" s="532"/>
      <c r="DHD58" s="532"/>
      <c r="DHE58" s="532"/>
      <c r="DHF58" s="532"/>
      <c r="DHG58" s="532"/>
      <c r="DHH58" s="532"/>
      <c r="DHI58" s="532"/>
      <c r="DHJ58" s="532"/>
      <c r="DHK58" s="532"/>
      <c r="DHL58" s="532"/>
      <c r="DHM58" s="532"/>
      <c r="DHN58" s="532"/>
      <c r="DHO58" s="532"/>
      <c r="DHP58" s="532"/>
      <c r="DHQ58" s="532"/>
      <c r="DHR58" s="532"/>
      <c r="DHS58" s="532"/>
      <c r="DHT58" s="532"/>
      <c r="DHU58" s="532"/>
      <c r="DHV58" s="532"/>
      <c r="DHW58" s="532"/>
      <c r="DHX58" s="532"/>
      <c r="DHY58" s="532"/>
      <c r="DHZ58" s="532"/>
      <c r="DIA58" s="532"/>
      <c r="DIB58" s="532"/>
      <c r="DIC58" s="532"/>
      <c r="DID58" s="532"/>
      <c r="DIE58" s="532"/>
      <c r="DIF58" s="532"/>
      <c r="DIG58" s="532"/>
      <c r="DIH58" s="532"/>
      <c r="DII58" s="532"/>
      <c r="DIJ58" s="532"/>
      <c r="DIK58" s="532"/>
      <c r="DIL58" s="532"/>
      <c r="DIM58" s="532"/>
      <c r="DIN58" s="532"/>
      <c r="DIO58" s="532"/>
      <c r="DIP58" s="532"/>
      <c r="DIQ58" s="532"/>
      <c r="DIR58" s="532"/>
      <c r="DIS58" s="532"/>
      <c r="DIT58" s="532"/>
      <c r="DIU58" s="532"/>
      <c r="DIV58" s="532"/>
      <c r="DIW58" s="532"/>
      <c r="DIX58" s="532"/>
      <c r="DIY58" s="532"/>
      <c r="DIZ58" s="532"/>
      <c r="DJA58" s="532"/>
      <c r="DJB58" s="532"/>
      <c r="DJC58" s="532"/>
      <c r="DJD58" s="532"/>
      <c r="DJE58" s="532"/>
      <c r="DJF58" s="532"/>
      <c r="DJG58" s="532"/>
      <c r="DJH58" s="532"/>
      <c r="DJI58" s="532"/>
      <c r="DJJ58" s="532"/>
      <c r="DJK58" s="532"/>
      <c r="DJL58" s="532"/>
      <c r="DJM58" s="532"/>
      <c r="DJN58" s="532"/>
      <c r="DJO58" s="532"/>
      <c r="DJP58" s="532"/>
      <c r="DJQ58" s="532"/>
      <c r="DJR58" s="532"/>
      <c r="DJS58" s="532"/>
      <c r="DJT58" s="532"/>
      <c r="DJU58" s="532"/>
      <c r="DJV58" s="532"/>
      <c r="DJW58" s="532"/>
      <c r="DJX58" s="532"/>
      <c r="DJY58" s="532"/>
      <c r="DJZ58" s="532"/>
      <c r="DKA58" s="532"/>
      <c r="DKB58" s="532"/>
      <c r="DKC58" s="532"/>
      <c r="DKD58" s="532"/>
      <c r="DKE58" s="532"/>
      <c r="DKF58" s="532"/>
      <c r="DKG58" s="532"/>
      <c r="DKH58" s="532"/>
      <c r="DKI58" s="532"/>
      <c r="DKJ58" s="532"/>
      <c r="DKK58" s="532"/>
      <c r="DKL58" s="532"/>
      <c r="DKM58" s="532"/>
      <c r="DKN58" s="532"/>
      <c r="DKO58" s="532"/>
      <c r="DKP58" s="532"/>
      <c r="DKQ58" s="532"/>
      <c r="DKR58" s="532"/>
      <c r="DKS58" s="532"/>
      <c r="DKT58" s="532"/>
      <c r="DKU58" s="532"/>
      <c r="DKV58" s="532"/>
      <c r="DKW58" s="532"/>
      <c r="DKX58" s="532"/>
      <c r="DKY58" s="532"/>
      <c r="DKZ58" s="532"/>
      <c r="DLA58" s="532"/>
      <c r="DLB58" s="532"/>
      <c r="DLC58" s="532"/>
      <c r="DLD58" s="532"/>
      <c r="DLE58" s="532"/>
      <c r="DLF58" s="532"/>
      <c r="DLG58" s="532"/>
      <c r="DLH58" s="532"/>
      <c r="DLI58" s="532"/>
      <c r="DLJ58" s="532"/>
      <c r="DLK58" s="532"/>
      <c r="DLL58" s="532"/>
      <c r="DLM58" s="532"/>
      <c r="DLN58" s="532"/>
      <c r="DLO58" s="532"/>
      <c r="DLP58" s="532"/>
      <c r="DLQ58" s="532"/>
      <c r="DLR58" s="532"/>
      <c r="DLS58" s="532"/>
      <c r="DLT58" s="532"/>
      <c r="DLU58" s="532"/>
      <c r="DLV58" s="532"/>
      <c r="DLW58" s="532"/>
      <c r="DLX58" s="532"/>
      <c r="DLY58" s="532"/>
      <c r="DLZ58" s="532"/>
      <c r="DMA58" s="532"/>
      <c r="DMB58" s="532"/>
      <c r="DMC58" s="532"/>
      <c r="DMD58" s="532"/>
      <c r="DME58" s="532"/>
      <c r="DMF58" s="532"/>
      <c r="DMG58" s="532"/>
      <c r="DMH58" s="532"/>
      <c r="DMI58" s="532"/>
      <c r="DMJ58" s="532"/>
      <c r="DMK58" s="532"/>
      <c r="DML58" s="532"/>
      <c r="DMM58" s="532"/>
      <c r="DMN58" s="532"/>
      <c r="DMO58" s="532"/>
      <c r="DMP58" s="532"/>
      <c r="DMQ58" s="532"/>
      <c r="DMR58" s="532"/>
      <c r="DMS58" s="532"/>
      <c r="DMT58" s="532"/>
      <c r="DMU58" s="532"/>
      <c r="DMV58" s="532"/>
      <c r="DMW58" s="532"/>
      <c r="DMX58" s="532"/>
      <c r="DMY58" s="532"/>
      <c r="DMZ58" s="532"/>
      <c r="DNA58" s="532"/>
      <c r="DNB58" s="532"/>
      <c r="DNC58" s="532"/>
      <c r="DND58" s="532"/>
      <c r="DNE58" s="532"/>
      <c r="DNF58" s="532"/>
      <c r="DNG58" s="532"/>
      <c r="DNH58" s="532"/>
      <c r="DNI58" s="532"/>
      <c r="DNJ58" s="532"/>
      <c r="DNK58" s="532"/>
      <c r="DNL58" s="532"/>
      <c r="DNM58" s="532"/>
      <c r="DNN58" s="532"/>
      <c r="DNO58" s="532"/>
      <c r="DNP58" s="532"/>
      <c r="DNQ58" s="532"/>
      <c r="DNR58" s="532"/>
      <c r="DNS58" s="532"/>
      <c r="DNT58" s="532"/>
      <c r="DNU58" s="532"/>
      <c r="DNV58" s="532"/>
      <c r="DNW58" s="532"/>
      <c r="DNX58" s="532"/>
      <c r="DNY58" s="532"/>
      <c r="DNZ58" s="532"/>
      <c r="DOA58" s="532"/>
      <c r="DOB58" s="532"/>
      <c r="DOC58" s="532"/>
      <c r="DOD58" s="532"/>
      <c r="DOE58" s="532"/>
      <c r="DOF58" s="532"/>
      <c r="DOG58" s="532"/>
      <c r="DOH58" s="532"/>
      <c r="DOI58" s="532"/>
      <c r="DOJ58" s="532"/>
      <c r="DOK58" s="532"/>
      <c r="DOL58" s="532"/>
      <c r="DOM58" s="532"/>
      <c r="DON58" s="532"/>
      <c r="DOO58" s="532"/>
      <c r="DOP58" s="532"/>
      <c r="DOQ58" s="532"/>
      <c r="DOR58" s="532"/>
      <c r="DOS58" s="532"/>
      <c r="DOT58" s="532"/>
      <c r="DOU58" s="532"/>
      <c r="DOV58" s="532"/>
      <c r="DOW58" s="532"/>
      <c r="DOX58" s="532"/>
      <c r="DOY58" s="532"/>
      <c r="DOZ58" s="532"/>
      <c r="DPA58" s="532"/>
      <c r="DPB58" s="532"/>
      <c r="DPC58" s="532"/>
      <c r="DPD58" s="532"/>
      <c r="DPE58" s="532"/>
      <c r="DPF58" s="532"/>
      <c r="DPG58" s="532"/>
      <c r="DPH58" s="532"/>
      <c r="DPI58" s="532"/>
      <c r="DPJ58" s="532"/>
      <c r="DPK58" s="532"/>
      <c r="DPL58" s="532"/>
      <c r="DPM58" s="532"/>
      <c r="DPN58" s="532"/>
      <c r="DPO58" s="532"/>
      <c r="DPP58" s="532"/>
      <c r="DPQ58" s="532"/>
      <c r="DPR58" s="532"/>
      <c r="DPS58" s="532"/>
      <c r="DPT58" s="532"/>
      <c r="DPU58" s="532"/>
      <c r="DPV58" s="532"/>
      <c r="DPW58" s="532"/>
      <c r="DPX58" s="532"/>
      <c r="DPY58" s="532"/>
      <c r="DPZ58" s="532"/>
      <c r="DQA58" s="532"/>
      <c r="DQB58" s="532"/>
      <c r="DQC58" s="532"/>
      <c r="DQD58" s="532"/>
      <c r="DQE58" s="532"/>
      <c r="DQF58" s="532"/>
      <c r="DQG58" s="532"/>
      <c r="DQH58" s="532"/>
      <c r="DQI58" s="532"/>
      <c r="DQJ58" s="532"/>
      <c r="DQK58" s="532"/>
      <c r="DQL58" s="532"/>
      <c r="DQM58" s="532"/>
      <c r="DQN58" s="532"/>
      <c r="DQO58" s="532"/>
      <c r="DQP58" s="532"/>
      <c r="DQQ58" s="532"/>
      <c r="DQR58" s="532"/>
      <c r="DQS58" s="532"/>
      <c r="DQT58" s="532"/>
      <c r="DQU58" s="532"/>
      <c r="DQV58" s="532"/>
      <c r="DQW58" s="532"/>
      <c r="DQX58" s="532"/>
      <c r="DQY58" s="532"/>
      <c r="DQZ58" s="532"/>
      <c r="DRA58" s="532"/>
      <c r="DRB58" s="532"/>
      <c r="DRC58" s="532"/>
      <c r="DRD58" s="532"/>
      <c r="DRE58" s="532"/>
      <c r="DRF58" s="532"/>
      <c r="DRG58" s="532"/>
      <c r="DRH58" s="532"/>
      <c r="DRI58" s="532"/>
      <c r="DRJ58" s="532"/>
      <c r="DRK58" s="532"/>
      <c r="DRL58" s="532"/>
      <c r="DRM58" s="532"/>
      <c r="DRN58" s="532"/>
      <c r="DRO58" s="532"/>
      <c r="DRP58" s="532"/>
      <c r="DRQ58" s="532"/>
      <c r="DRR58" s="532"/>
      <c r="DRS58" s="532"/>
      <c r="DRT58" s="532"/>
      <c r="DRU58" s="532"/>
      <c r="DRV58" s="532"/>
      <c r="DRW58" s="532"/>
      <c r="DRX58" s="532"/>
      <c r="DRY58" s="532"/>
      <c r="DRZ58" s="532"/>
      <c r="DSA58" s="532"/>
      <c r="DSB58" s="532"/>
      <c r="DSC58" s="532"/>
      <c r="DSD58" s="532"/>
      <c r="DSE58" s="532"/>
      <c r="DSF58" s="532"/>
      <c r="DSG58" s="532"/>
      <c r="DSH58" s="532"/>
      <c r="DSI58" s="532"/>
      <c r="DSJ58" s="532"/>
      <c r="DSK58" s="532"/>
      <c r="DSL58" s="532"/>
      <c r="DSM58" s="532"/>
      <c r="DSN58" s="532"/>
      <c r="DSO58" s="532"/>
      <c r="DSP58" s="532"/>
      <c r="DSQ58" s="532"/>
      <c r="DSR58" s="532"/>
      <c r="DSS58" s="532"/>
      <c r="DST58" s="532"/>
      <c r="DSU58" s="532"/>
      <c r="DSV58" s="532"/>
      <c r="DSW58" s="532"/>
      <c r="DSX58" s="532"/>
      <c r="DSY58" s="532"/>
      <c r="DSZ58" s="532"/>
      <c r="DTA58" s="532"/>
      <c r="DTB58" s="532"/>
      <c r="DTC58" s="532"/>
      <c r="DTD58" s="532"/>
      <c r="DTE58" s="532"/>
      <c r="DTF58" s="532"/>
      <c r="DTG58" s="532"/>
      <c r="DTH58" s="532"/>
      <c r="DTI58" s="532"/>
      <c r="DTJ58" s="532"/>
      <c r="DTK58" s="532"/>
      <c r="DTL58" s="532"/>
      <c r="DTM58" s="532"/>
      <c r="DTN58" s="532"/>
      <c r="DTO58" s="532"/>
      <c r="DTP58" s="532"/>
      <c r="DTQ58" s="532"/>
      <c r="DTR58" s="532"/>
      <c r="DTS58" s="532"/>
      <c r="DTT58" s="532"/>
      <c r="DTU58" s="532"/>
      <c r="DTV58" s="532"/>
      <c r="DTW58" s="532"/>
      <c r="DTX58" s="532"/>
      <c r="DTY58" s="532"/>
      <c r="DTZ58" s="532"/>
      <c r="DUA58" s="532"/>
      <c r="DUB58" s="532"/>
      <c r="DUC58" s="532"/>
      <c r="DUD58" s="532"/>
      <c r="DUE58" s="532"/>
      <c r="DUF58" s="532"/>
      <c r="DUG58" s="532"/>
      <c r="DUH58" s="532"/>
      <c r="DUI58" s="532"/>
      <c r="DUJ58" s="532"/>
      <c r="DUK58" s="532"/>
      <c r="DUL58" s="532"/>
      <c r="DUM58" s="532"/>
      <c r="DUN58" s="532"/>
      <c r="DUO58" s="532"/>
      <c r="DUP58" s="532"/>
      <c r="DUQ58" s="532"/>
      <c r="DUR58" s="532"/>
      <c r="DUS58" s="532"/>
      <c r="DUT58" s="532"/>
      <c r="DUU58" s="532"/>
      <c r="DUV58" s="532"/>
      <c r="DUW58" s="532"/>
      <c r="DUX58" s="532"/>
      <c r="DUY58" s="532"/>
      <c r="DUZ58" s="532"/>
      <c r="DVA58" s="532"/>
      <c r="DVB58" s="532"/>
      <c r="DVC58" s="532"/>
      <c r="DVD58" s="532"/>
      <c r="DVE58" s="532"/>
      <c r="DVF58" s="532"/>
      <c r="DVG58" s="532"/>
      <c r="DVH58" s="532"/>
      <c r="DVI58" s="532"/>
      <c r="DVJ58" s="532"/>
      <c r="DVK58" s="532"/>
      <c r="DVL58" s="532"/>
      <c r="DVM58" s="532"/>
      <c r="DVN58" s="532"/>
      <c r="DVO58" s="532"/>
      <c r="DVP58" s="532"/>
      <c r="DVQ58" s="532"/>
      <c r="DVR58" s="532"/>
      <c r="DVS58" s="532"/>
      <c r="DVT58" s="532"/>
      <c r="DVU58" s="532"/>
      <c r="DVV58" s="532"/>
      <c r="DVW58" s="532"/>
      <c r="DVX58" s="532"/>
      <c r="DVY58" s="532"/>
      <c r="DVZ58" s="532"/>
      <c r="DWA58" s="532"/>
      <c r="DWB58" s="532"/>
      <c r="DWC58" s="532"/>
      <c r="DWD58" s="532"/>
      <c r="DWE58" s="532"/>
      <c r="DWF58" s="532"/>
      <c r="DWG58" s="532"/>
      <c r="DWH58" s="532"/>
      <c r="DWI58" s="532"/>
      <c r="DWJ58" s="532"/>
      <c r="DWK58" s="532"/>
      <c r="DWL58" s="532"/>
      <c r="DWM58" s="532"/>
      <c r="DWN58" s="532"/>
      <c r="DWO58" s="532"/>
      <c r="DWP58" s="532"/>
      <c r="DWQ58" s="532"/>
      <c r="DWR58" s="532"/>
      <c r="DWS58" s="532"/>
      <c r="DWT58" s="532"/>
      <c r="DWU58" s="532"/>
      <c r="DWV58" s="532"/>
      <c r="DWW58" s="532"/>
      <c r="DWX58" s="532"/>
      <c r="DWY58" s="532"/>
      <c r="DWZ58" s="532"/>
      <c r="DXA58" s="532"/>
      <c r="DXB58" s="532"/>
      <c r="DXC58" s="532"/>
      <c r="DXD58" s="532"/>
      <c r="DXE58" s="532"/>
      <c r="DXF58" s="532"/>
      <c r="DXG58" s="532"/>
      <c r="DXH58" s="532"/>
      <c r="DXI58" s="532"/>
      <c r="DXJ58" s="532"/>
      <c r="DXK58" s="532"/>
      <c r="DXL58" s="532"/>
      <c r="DXM58" s="532"/>
      <c r="DXN58" s="532"/>
      <c r="DXO58" s="532"/>
      <c r="DXP58" s="532"/>
      <c r="DXQ58" s="532"/>
      <c r="DXR58" s="532"/>
      <c r="DXS58" s="532"/>
      <c r="DXT58" s="532"/>
      <c r="DXU58" s="532"/>
      <c r="DXV58" s="532"/>
      <c r="DXW58" s="532"/>
      <c r="DXX58" s="532"/>
      <c r="DXY58" s="532"/>
      <c r="DXZ58" s="532"/>
      <c r="DYA58" s="532"/>
      <c r="DYB58" s="532"/>
      <c r="DYC58" s="532"/>
      <c r="DYD58" s="532"/>
      <c r="DYE58" s="532"/>
      <c r="DYF58" s="532"/>
      <c r="DYG58" s="532"/>
      <c r="DYH58" s="532"/>
      <c r="DYI58" s="532"/>
      <c r="DYJ58" s="532"/>
      <c r="DYK58" s="532"/>
      <c r="DYL58" s="532"/>
      <c r="DYM58" s="532"/>
      <c r="DYN58" s="532"/>
      <c r="DYO58" s="532"/>
      <c r="DYP58" s="532"/>
      <c r="DYQ58" s="532"/>
      <c r="DYR58" s="532"/>
      <c r="DYS58" s="532"/>
      <c r="DYT58" s="532"/>
      <c r="DYU58" s="532"/>
      <c r="DYV58" s="532"/>
      <c r="DYW58" s="532"/>
      <c r="DYX58" s="532"/>
      <c r="DYY58" s="532"/>
      <c r="DYZ58" s="532"/>
      <c r="DZA58" s="532"/>
      <c r="DZB58" s="532"/>
      <c r="DZC58" s="532"/>
      <c r="DZD58" s="532"/>
      <c r="DZE58" s="532"/>
      <c r="DZF58" s="532"/>
      <c r="DZG58" s="532"/>
      <c r="DZH58" s="532"/>
      <c r="DZI58" s="532"/>
      <c r="DZJ58" s="532"/>
      <c r="DZK58" s="532"/>
      <c r="DZL58" s="532"/>
      <c r="DZM58" s="532"/>
      <c r="DZN58" s="532"/>
      <c r="DZO58" s="532"/>
      <c r="DZP58" s="532"/>
      <c r="DZQ58" s="532"/>
      <c r="DZR58" s="532"/>
      <c r="DZS58" s="532"/>
      <c r="DZT58" s="532"/>
      <c r="DZU58" s="532"/>
      <c r="DZV58" s="532"/>
      <c r="DZW58" s="532"/>
      <c r="DZX58" s="532"/>
      <c r="DZY58" s="532"/>
      <c r="DZZ58" s="532"/>
      <c r="EAA58" s="532"/>
      <c r="EAB58" s="532"/>
      <c r="EAC58" s="532"/>
      <c r="EAD58" s="532"/>
      <c r="EAE58" s="532"/>
      <c r="EAF58" s="532"/>
      <c r="EAG58" s="532"/>
      <c r="EAH58" s="532"/>
      <c r="EAI58" s="532"/>
      <c r="EAJ58" s="532"/>
      <c r="EAK58" s="532"/>
      <c r="EAL58" s="532"/>
      <c r="EAM58" s="532"/>
      <c r="EAN58" s="532"/>
      <c r="EAO58" s="532"/>
      <c r="EAP58" s="532"/>
      <c r="EAQ58" s="532"/>
      <c r="EAR58" s="532"/>
      <c r="EAS58" s="532"/>
      <c r="EAT58" s="532"/>
      <c r="EAU58" s="532"/>
      <c r="EAV58" s="532"/>
      <c r="EAW58" s="532"/>
      <c r="EAX58" s="532"/>
      <c r="EAY58" s="532"/>
      <c r="EAZ58" s="532"/>
      <c r="EBA58" s="532"/>
      <c r="EBB58" s="532"/>
      <c r="EBC58" s="532"/>
      <c r="EBD58" s="532"/>
      <c r="EBE58" s="532"/>
      <c r="EBF58" s="532"/>
      <c r="EBG58" s="532"/>
      <c r="EBH58" s="532"/>
      <c r="EBI58" s="532"/>
      <c r="EBJ58" s="532"/>
      <c r="EBK58" s="532"/>
      <c r="EBL58" s="532"/>
      <c r="EBM58" s="532"/>
      <c r="EBN58" s="532"/>
      <c r="EBO58" s="532"/>
      <c r="EBP58" s="532"/>
      <c r="EBQ58" s="532"/>
      <c r="EBR58" s="532"/>
      <c r="EBS58" s="532"/>
      <c r="EBT58" s="532"/>
      <c r="EBU58" s="532"/>
      <c r="EBV58" s="532"/>
      <c r="EBW58" s="532"/>
      <c r="EBX58" s="532"/>
      <c r="EBY58" s="532"/>
      <c r="EBZ58" s="532"/>
      <c r="ECA58" s="532"/>
      <c r="ECB58" s="532"/>
      <c r="ECC58" s="532"/>
      <c r="ECD58" s="532"/>
      <c r="ECE58" s="532"/>
      <c r="ECF58" s="532"/>
      <c r="ECG58" s="532"/>
      <c r="ECH58" s="532"/>
      <c r="ECI58" s="532"/>
      <c r="ECJ58" s="532"/>
      <c r="ECK58" s="532"/>
      <c r="ECL58" s="532"/>
      <c r="ECM58" s="532"/>
      <c r="ECN58" s="532"/>
      <c r="ECO58" s="532"/>
      <c r="ECP58" s="532"/>
      <c r="ECQ58" s="532"/>
      <c r="ECR58" s="532"/>
      <c r="ECS58" s="532"/>
      <c r="ECT58" s="532"/>
      <c r="ECU58" s="532"/>
      <c r="ECV58" s="532"/>
      <c r="ECW58" s="532"/>
      <c r="ECX58" s="532"/>
      <c r="ECY58" s="532"/>
      <c r="ECZ58" s="532"/>
      <c r="EDA58" s="532"/>
      <c r="EDB58" s="532"/>
      <c r="EDC58" s="532"/>
      <c r="EDD58" s="532"/>
      <c r="EDE58" s="532"/>
      <c r="EDF58" s="532"/>
      <c r="EDG58" s="532"/>
      <c r="EDH58" s="532"/>
      <c r="EDI58" s="532"/>
      <c r="EDJ58" s="532"/>
      <c r="EDK58" s="532"/>
      <c r="EDL58" s="532"/>
      <c r="EDM58" s="532"/>
      <c r="EDN58" s="532"/>
      <c r="EDO58" s="532"/>
      <c r="EDP58" s="532"/>
      <c r="EDQ58" s="532"/>
      <c r="EDR58" s="532"/>
      <c r="EDS58" s="532"/>
      <c r="EDT58" s="532"/>
      <c r="EDU58" s="532"/>
      <c r="EDV58" s="532"/>
      <c r="EDW58" s="532"/>
      <c r="EDX58" s="532"/>
      <c r="EDY58" s="532"/>
      <c r="EDZ58" s="532"/>
      <c r="EEA58" s="532"/>
      <c r="EEB58" s="532"/>
      <c r="EEC58" s="532"/>
      <c r="EED58" s="532"/>
      <c r="EEE58" s="532"/>
      <c r="EEF58" s="532"/>
      <c r="EEG58" s="532"/>
      <c r="EEH58" s="532"/>
      <c r="EEI58" s="532"/>
      <c r="EEJ58" s="532"/>
      <c r="EEK58" s="532"/>
      <c r="EEL58" s="532"/>
      <c r="EEM58" s="532"/>
      <c r="EEN58" s="532"/>
      <c r="EEO58" s="532"/>
      <c r="EEP58" s="532"/>
      <c r="EEQ58" s="532"/>
      <c r="EER58" s="532"/>
      <c r="EES58" s="532"/>
      <c r="EET58" s="532"/>
      <c r="EEU58" s="532"/>
      <c r="EEV58" s="532"/>
      <c r="EEW58" s="532"/>
      <c r="EEX58" s="532"/>
      <c r="EEY58" s="532"/>
      <c r="EEZ58" s="532"/>
      <c r="EFA58" s="532"/>
      <c r="EFB58" s="532"/>
      <c r="EFC58" s="532"/>
      <c r="EFD58" s="532"/>
      <c r="EFE58" s="532"/>
      <c r="EFF58" s="532"/>
      <c r="EFG58" s="532"/>
      <c r="EFH58" s="532"/>
      <c r="EFI58" s="532"/>
      <c r="EFJ58" s="532"/>
      <c r="EFK58" s="532"/>
      <c r="EFL58" s="532"/>
      <c r="EFM58" s="532"/>
      <c r="EFN58" s="532"/>
      <c r="EFO58" s="532"/>
      <c r="EFP58" s="532"/>
      <c r="EFQ58" s="532"/>
      <c r="EFR58" s="532"/>
      <c r="EFS58" s="532"/>
      <c r="EFT58" s="532"/>
      <c r="EFU58" s="532"/>
      <c r="EFV58" s="532"/>
      <c r="EFW58" s="532"/>
      <c r="EFX58" s="532"/>
      <c r="EFY58" s="532"/>
      <c r="EFZ58" s="532"/>
      <c r="EGA58" s="532"/>
      <c r="EGB58" s="532"/>
      <c r="EGC58" s="532"/>
      <c r="EGD58" s="532"/>
      <c r="EGE58" s="532"/>
      <c r="EGF58" s="532"/>
      <c r="EGG58" s="532"/>
      <c r="EGH58" s="532"/>
      <c r="EGI58" s="532"/>
      <c r="EGJ58" s="532"/>
      <c r="EGK58" s="532"/>
      <c r="EGL58" s="532"/>
      <c r="EGM58" s="532"/>
      <c r="EGN58" s="532"/>
      <c r="EGO58" s="532"/>
      <c r="EGP58" s="532"/>
      <c r="EGQ58" s="532"/>
      <c r="EGR58" s="532"/>
      <c r="EGS58" s="532"/>
      <c r="EGT58" s="532"/>
      <c r="EGU58" s="532"/>
      <c r="EGV58" s="532"/>
      <c r="EGW58" s="532"/>
      <c r="EGX58" s="532"/>
      <c r="EGY58" s="532"/>
      <c r="EGZ58" s="532"/>
      <c r="EHA58" s="532"/>
      <c r="EHB58" s="532"/>
      <c r="EHC58" s="532"/>
      <c r="EHD58" s="532"/>
      <c r="EHE58" s="532"/>
      <c r="EHF58" s="532"/>
      <c r="EHG58" s="532"/>
      <c r="EHH58" s="532"/>
      <c r="EHI58" s="532"/>
      <c r="EHJ58" s="532"/>
      <c r="EHK58" s="532"/>
      <c r="EHL58" s="532"/>
      <c r="EHM58" s="532"/>
      <c r="EHN58" s="532"/>
      <c r="EHO58" s="532"/>
      <c r="EHP58" s="532"/>
      <c r="EHQ58" s="532"/>
      <c r="EHR58" s="532"/>
      <c r="EHS58" s="532"/>
      <c r="EHT58" s="532"/>
      <c r="EHU58" s="532"/>
      <c r="EHV58" s="532"/>
      <c r="EHW58" s="532"/>
      <c r="EHX58" s="532"/>
      <c r="EHY58" s="532"/>
      <c r="EHZ58" s="532"/>
      <c r="EIA58" s="532"/>
      <c r="EIB58" s="532"/>
      <c r="EIC58" s="532"/>
      <c r="EID58" s="532"/>
      <c r="EIE58" s="532"/>
      <c r="EIF58" s="532"/>
      <c r="EIG58" s="532"/>
      <c r="EIH58" s="532"/>
      <c r="EII58" s="532"/>
      <c r="EIJ58" s="532"/>
      <c r="EIK58" s="532"/>
      <c r="EIL58" s="532"/>
      <c r="EIM58" s="532"/>
      <c r="EIN58" s="532"/>
      <c r="EIO58" s="532"/>
      <c r="EIP58" s="532"/>
      <c r="EIQ58" s="532"/>
      <c r="EIR58" s="532"/>
      <c r="EIS58" s="532"/>
      <c r="EIT58" s="532"/>
      <c r="EIU58" s="532"/>
      <c r="EIV58" s="532"/>
      <c r="EIW58" s="532"/>
      <c r="EIX58" s="532"/>
      <c r="EIY58" s="532"/>
      <c r="EIZ58" s="532"/>
      <c r="EJA58" s="532"/>
      <c r="EJB58" s="532"/>
      <c r="EJC58" s="532"/>
      <c r="EJD58" s="532"/>
      <c r="EJE58" s="532"/>
      <c r="EJF58" s="532"/>
      <c r="EJG58" s="532"/>
      <c r="EJH58" s="532"/>
      <c r="EJI58" s="532"/>
      <c r="EJJ58" s="532"/>
      <c r="EJK58" s="532"/>
      <c r="EJL58" s="532"/>
      <c r="EJM58" s="532"/>
      <c r="EJN58" s="532"/>
      <c r="EJO58" s="532"/>
      <c r="EJP58" s="532"/>
      <c r="EJQ58" s="532"/>
      <c r="EJR58" s="532"/>
      <c r="EJS58" s="532"/>
      <c r="EJT58" s="532"/>
      <c r="EJU58" s="532"/>
      <c r="EJV58" s="532"/>
      <c r="EJW58" s="532"/>
      <c r="EJX58" s="532"/>
      <c r="EJY58" s="532"/>
      <c r="EJZ58" s="532"/>
      <c r="EKA58" s="532"/>
      <c r="EKB58" s="532"/>
      <c r="EKC58" s="532"/>
      <c r="EKD58" s="532"/>
      <c r="EKE58" s="532"/>
      <c r="EKF58" s="532"/>
      <c r="EKG58" s="532"/>
      <c r="EKH58" s="532"/>
      <c r="EKI58" s="532"/>
      <c r="EKJ58" s="532"/>
      <c r="EKK58" s="532"/>
      <c r="EKL58" s="532"/>
      <c r="EKM58" s="532"/>
      <c r="EKN58" s="532"/>
      <c r="EKO58" s="532"/>
      <c r="EKP58" s="532"/>
      <c r="EKQ58" s="532"/>
      <c r="EKR58" s="532"/>
      <c r="EKS58" s="532"/>
      <c r="EKT58" s="532"/>
      <c r="EKU58" s="532"/>
      <c r="EKV58" s="532"/>
      <c r="EKW58" s="532"/>
      <c r="EKX58" s="532"/>
      <c r="EKY58" s="532"/>
      <c r="EKZ58" s="532"/>
      <c r="ELA58" s="532"/>
      <c r="ELB58" s="532"/>
      <c r="ELC58" s="532"/>
      <c r="ELD58" s="532"/>
      <c r="ELE58" s="532"/>
      <c r="ELF58" s="532"/>
      <c r="ELG58" s="532"/>
      <c r="ELH58" s="532"/>
      <c r="ELI58" s="532"/>
      <c r="ELJ58" s="532"/>
      <c r="ELK58" s="532"/>
      <c r="ELL58" s="532"/>
      <c r="ELM58" s="532"/>
      <c r="ELN58" s="532"/>
      <c r="ELO58" s="532"/>
      <c r="ELP58" s="532"/>
      <c r="ELQ58" s="532"/>
      <c r="ELR58" s="532"/>
      <c r="ELS58" s="532"/>
      <c r="ELT58" s="532"/>
      <c r="ELU58" s="532"/>
      <c r="ELV58" s="532"/>
      <c r="ELW58" s="532"/>
      <c r="ELX58" s="532"/>
      <c r="ELY58" s="532"/>
      <c r="ELZ58" s="532"/>
      <c r="EMA58" s="532"/>
      <c r="EMB58" s="532"/>
      <c r="EMC58" s="532"/>
      <c r="EMD58" s="532"/>
      <c r="EME58" s="532"/>
      <c r="EMF58" s="532"/>
      <c r="EMG58" s="532"/>
      <c r="EMH58" s="532"/>
      <c r="EMI58" s="532"/>
      <c r="EMJ58" s="532"/>
      <c r="EMK58" s="532"/>
      <c r="EML58" s="532"/>
      <c r="EMM58" s="532"/>
      <c r="EMN58" s="532"/>
      <c r="EMO58" s="532"/>
      <c r="EMP58" s="532"/>
      <c r="EMQ58" s="532"/>
      <c r="EMR58" s="532"/>
      <c r="EMS58" s="532"/>
      <c r="EMT58" s="532"/>
      <c r="EMU58" s="532"/>
      <c r="EMV58" s="532"/>
      <c r="EMW58" s="532"/>
      <c r="EMX58" s="532"/>
      <c r="EMY58" s="532"/>
      <c r="EMZ58" s="532"/>
      <c r="ENA58" s="532"/>
      <c r="ENB58" s="532"/>
      <c r="ENC58" s="532"/>
      <c r="END58" s="532"/>
      <c r="ENE58" s="532"/>
      <c r="ENF58" s="532"/>
      <c r="ENG58" s="532"/>
      <c r="ENH58" s="532"/>
      <c r="ENI58" s="532"/>
      <c r="ENJ58" s="532"/>
      <c r="ENK58" s="532"/>
      <c r="ENL58" s="532"/>
      <c r="ENM58" s="532"/>
      <c r="ENN58" s="532"/>
      <c r="ENO58" s="532"/>
      <c r="ENP58" s="532"/>
      <c r="ENQ58" s="532"/>
      <c r="ENR58" s="532"/>
      <c r="ENS58" s="532"/>
      <c r="ENT58" s="532"/>
      <c r="ENU58" s="532"/>
      <c r="ENV58" s="532"/>
      <c r="ENW58" s="532"/>
      <c r="ENX58" s="532"/>
      <c r="ENY58" s="532"/>
      <c r="ENZ58" s="532"/>
      <c r="EOA58" s="532"/>
      <c r="EOB58" s="532"/>
      <c r="EOC58" s="532"/>
      <c r="EOD58" s="532"/>
      <c r="EOE58" s="532"/>
      <c r="EOF58" s="532"/>
      <c r="EOG58" s="532"/>
      <c r="EOH58" s="532"/>
      <c r="EOI58" s="532"/>
      <c r="EOJ58" s="532"/>
      <c r="EOK58" s="532"/>
      <c r="EOL58" s="532"/>
      <c r="EOM58" s="532"/>
      <c r="EON58" s="532"/>
      <c r="EOO58" s="532"/>
      <c r="EOP58" s="532"/>
      <c r="EOQ58" s="532"/>
      <c r="EOR58" s="532"/>
      <c r="EOS58" s="532"/>
      <c r="EOT58" s="532"/>
      <c r="EOU58" s="532"/>
      <c r="EOV58" s="532"/>
      <c r="EOW58" s="532"/>
      <c r="EOX58" s="532"/>
      <c r="EOY58" s="532"/>
      <c r="EOZ58" s="532"/>
      <c r="EPA58" s="532"/>
      <c r="EPB58" s="532"/>
      <c r="EPC58" s="532"/>
      <c r="EPD58" s="532"/>
      <c r="EPE58" s="532"/>
      <c r="EPF58" s="532"/>
      <c r="EPG58" s="532"/>
      <c r="EPH58" s="532"/>
      <c r="EPI58" s="532"/>
      <c r="EPJ58" s="532"/>
      <c r="EPK58" s="532"/>
      <c r="EPL58" s="532"/>
      <c r="EPM58" s="532"/>
      <c r="EPN58" s="532"/>
      <c r="EPO58" s="532"/>
      <c r="EPP58" s="532"/>
      <c r="EPQ58" s="532"/>
      <c r="EPR58" s="532"/>
      <c r="EPS58" s="532"/>
      <c r="EPT58" s="532"/>
      <c r="EPU58" s="532"/>
      <c r="EPV58" s="532"/>
      <c r="EPW58" s="532"/>
      <c r="EPX58" s="532"/>
      <c r="EPY58" s="532"/>
      <c r="EPZ58" s="532"/>
      <c r="EQA58" s="532"/>
      <c r="EQB58" s="532"/>
      <c r="EQC58" s="532"/>
      <c r="EQD58" s="532"/>
      <c r="EQE58" s="532"/>
      <c r="EQF58" s="532"/>
      <c r="EQG58" s="532"/>
      <c r="EQH58" s="532"/>
      <c r="EQI58" s="532"/>
      <c r="EQJ58" s="532"/>
      <c r="EQK58" s="532"/>
      <c r="EQL58" s="532"/>
      <c r="EQM58" s="532"/>
      <c r="EQN58" s="532"/>
      <c r="EQO58" s="532"/>
      <c r="EQP58" s="532"/>
      <c r="EQQ58" s="532"/>
      <c r="EQR58" s="532"/>
      <c r="EQS58" s="532"/>
      <c r="EQT58" s="532"/>
      <c r="EQU58" s="532"/>
      <c r="EQV58" s="532"/>
      <c r="EQW58" s="532"/>
      <c r="EQX58" s="532"/>
      <c r="EQY58" s="532"/>
      <c r="EQZ58" s="532"/>
      <c r="ERA58" s="532"/>
      <c r="ERB58" s="532"/>
      <c r="ERC58" s="532"/>
      <c r="ERD58" s="532"/>
      <c r="ERE58" s="532"/>
      <c r="ERF58" s="532"/>
      <c r="ERG58" s="532"/>
      <c r="ERH58" s="532"/>
      <c r="ERI58" s="532"/>
      <c r="ERJ58" s="532"/>
      <c r="ERK58" s="532"/>
      <c r="ERL58" s="532"/>
      <c r="ERM58" s="532"/>
      <c r="ERN58" s="532"/>
      <c r="ERO58" s="532"/>
      <c r="ERP58" s="532"/>
      <c r="ERQ58" s="532"/>
      <c r="ERR58" s="532"/>
      <c r="ERS58" s="532"/>
      <c r="ERT58" s="532"/>
      <c r="ERU58" s="532"/>
      <c r="ERV58" s="532"/>
      <c r="ERW58" s="532"/>
      <c r="ERX58" s="532"/>
      <c r="ERY58" s="532"/>
      <c r="ERZ58" s="532"/>
      <c r="ESA58" s="532"/>
      <c r="ESB58" s="532"/>
      <c r="ESC58" s="532"/>
      <c r="ESD58" s="532"/>
      <c r="ESE58" s="532"/>
      <c r="ESF58" s="532"/>
      <c r="ESG58" s="532"/>
      <c r="ESH58" s="532"/>
      <c r="ESI58" s="532"/>
      <c r="ESJ58" s="532"/>
      <c r="ESK58" s="532"/>
      <c r="ESL58" s="532"/>
      <c r="ESM58" s="532"/>
      <c r="ESN58" s="532"/>
      <c r="ESO58" s="532"/>
      <c r="ESP58" s="532"/>
      <c r="ESQ58" s="532"/>
      <c r="ESR58" s="532"/>
      <c r="ESS58" s="532"/>
      <c r="EST58" s="532"/>
      <c r="ESU58" s="532"/>
      <c r="ESV58" s="532"/>
      <c r="ESW58" s="532"/>
      <c r="ESX58" s="532"/>
      <c r="ESY58" s="532"/>
      <c r="ESZ58" s="532"/>
      <c r="ETA58" s="532"/>
      <c r="ETB58" s="532"/>
      <c r="ETC58" s="532"/>
      <c r="ETD58" s="532"/>
      <c r="ETE58" s="532"/>
      <c r="ETF58" s="532"/>
      <c r="ETG58" s="532"/>
      <c r="ETH58" s="532"/>
      <c r="ETI58" s="532"/>
      <c r="ETJ58" s="532"/>
      <c r="ETK58" s="532"/>
      <c r="ETL58" s="532"/>
      <c r="ETM58" s="532"/>
      <c r="ETN58" s="532"/>
      <c r="ETO58" s="532"/>
      <c r="ETP58" s="532"/>
      <c r="ETQ58" s="532"/>
      <c r="ETR58" s="532"/>
      <c r="ETS58" s="532"/>
      <c r="ETT58" s="532"/>
      <c r="ETU58" s="532"/>
      <c r="ETV58" s="532"/>
      <c r="ETW58" s="532"/>
      <c r="ETX58" s="532"/>
      <c r="ETY58" s="532"/>
      <c r="ETZ58" s="532"/>
      <c r="EUA58" s="532"/>
      <c r="EUB58" s="532"/>
      <c r="EUC58" s="532"/>
      <c r="EUD58" s="532"/>
      <c r="EUE58" s="532"/>
      <c r="EUF58" s="532"/>
      <c r="EUG58" s="532"/>
      <c r="EUH58" s="532"/>
      <c r="EUI58" s="532"/>
      <c r="EUJ58" s="532"/>
      <c r="EUK58" s="532"/>
      <c r="EUL58" s="532"/>
      <c r="EUM58" s="532"/>
      <c r="EUN58" s="532"/>
      <c r="EUO58" s="532"/>
      <c r="EUP58" s="532"/>
      <c r="EUQ58" s="532"/>
      <c r="EUR58" s="532"/>
      <c r="EUS58" s="532"/>
      <c r="EUT58" s="532"/>
      <c r="EUU58" s="532"/>
      <c r="EUV58" s="532"/>
      <c r="EUW58" s="532"/>
      <c r="EUX58" s="532"/>
      <c r="EUY58" s="532"/>
      <c r="EUZ58" s="532"/>
      <c r="EVA58" s="532"/>
      <c r="EVB58" s="532"/>
      <c r="EVC58" s="532"/>
      <c r="EVD58" s="532"/>
      <c r="EVE58" s="532"/>
      <c r="EVF58" s="532"/>
      <c r="EVG58" s="532"/>
      <c r="EVH58" s="532"/>
      <c r="EVI58" s="532"/>
      <c r="EVJ58" s="532"/>
      <c r="EVK58" s="532"/>
      <c r="EVL58" s="532"/>
      <c r="EVM58" s="532"/>
      <c r="EVN58" s="532"/>
      <c r="EVO58" s="532"/>
      <c r="EVP58" s="532"/>
      <c r="EVQ58" s="532"/>
      <c r="EVR58" s="532"/>
      <c r="EVS58" s="532"/>
      <c r="EVT58" s="532"/>
      <c r="EVU58" s="532"/>
      <c r="EVV58" s="532"/>
      <c r="EVW58" s="532"/>
      <c r="EVX58" s="532"/>
      <c r="EVY58" s="532"/>
      <c r="EVZ58" s="532"/>
      <c r="EWA58" s="532"/>
      <c r="EWB58" s="532"/>
      <c r="EWC58" s="532"/>
      <c r="EWD58" s="532"/>
      <c r="EWE58" s="532"/>
      <c r="EWF58" s="532"/>
      <c r="EWG58" s="532"/>
      <c r="EWH58" s="532"/>
      <c r="EWI58" s="532"/>
      <c r="EWJ58" s="532"/>
      <c r="EWK58" s="532"/>
      <c r="EWL58" s="532"/>
      <c r="EWM58" s="532"/>
      <c r="EWN58" s="532"/>
      <c r="EWO58" s="532"/>
      <c r="EWP58" s="532"/>
      <c r="EWQ58" s="532"/>
      <c r="EWR58" s="532"/>
      <c r="EWS58" s="532"/>
      <c r="EWT58" s="532"/>
      <c r="EWU58" s="532"/>
      <c r="EWV58" s="532"/>
      <c r="EWW58" s="532"/>
      <c r="EWX58" s="532"/>
      <c r="EWY58" s="532"/>
      <c r="EWZ58" s="532"/>
      <c r="EXA58" s="532"/>
      <c r="EXB58" s="532"/>
      <c r="EXC58" s="532"/>
      <c r="EXD58" s="532"/>
      <c r="EXE58" s="532"/>
      <c r="EXF58" s="532"/>
      <c r="EXG58" s="532"/>
      <c r="EXH58" s="532"/>
      <c r="EXI58" s="532"/>
      <c r="EXJ58" s="532"/>
      <c r="EXK58" s="532"/>
      <c r="EXL58" s="532"/>
      <c r="EXM58" s="532"/>
      <c r="EXN58" s="532"/>
      <c r="EXO58" s="532"/>
      <c r="EXP58" s="532"/>
      <c r="EXQ58" s="532"/>
      <c r="EXR58" s="532"/>
      <c r="EXS58" s="532"/>
      <c r="EXT58" s="532"/>
      <c r="EXU58" s="532"/>
      <c r="EXV58" s="532"/>
      <c r="EXW58" s="532"/>
      <c r="EXX58" s="532"/>
      <c r="EXY58" s="532"/>
      <c r="EXZ58" s="532"/>
      <c r="EYA58" s="532"/>
      <c r="EYB58" s="532"/>
      <c r="EYC58" s="532"/>
      <c r="EYD58" s="532"/>
      <c r="EYE58" s="532"/>
      <c r="EYF58" s="532"/>
      <c r="EYG58" s="532"/>
      <c r="EYH58" s="532"/>
      <c r="EYI58" s="532"/>
      <c r="EYJ58" s="532"/>
      <c r="EYK58" s="532"/>
      <c r="EYL58" s="532"/>
      <c r="EYM58" s="532"/>
      <c r="EYN58" s="532"/>
      <c r="EYO58" s="532"/>
      <c r="EYP58" s="532"/>
      <c r="EYQ58" s="532"/>
      <c r="EYR58" s="532"/>
      <c r="EYS58" s="532"/>
      <c r="EYT58" s="532"/>
      <c r="EYU58" s="532"/>
      <c r="EYV58" s="532"/>
      <c r="EYW58" s="532"/>
      <c r="EYX58" s="532"/>
      <c r="EYY58" s="532"/>
      <c r="EYZ58" s="532"/>
      <c r="EZA58" s="532"/>
      <c r="EZB58" s="532"/>
      <c r="EZC58" s="532"/>
      <c r="EZD58" s="532"/>
      <c r="EZE58" s="532"/>
      <c r="EZF58" s="532"/>
      <c r="EZG58" s="532"/>
      <c r="EZH58" s="532"/>
      <c r="EZI58" s="532"/>
      <c r="EZJ58" s="532"/>
      <c r="EZK58" s="532"/>
      <c r="EZL58" s="532"/>
      <c r="EZM58" s="532"/>
      <c r="EZN58" s="532"/>
      <c r="EZO58" s="532"/>
      <c r="EZP58" s="532"/>
      <c r="EZQ58" s="532"/>
      <c r="EZR58" s="532"/>
      <c r="EZS58" s="532"/>
      <c r="EZT58" s="532"/>
      <c r="EZU58" s="532"/>
      <c r="EZV58" s="532"/>
      <c r="EZW58" s="532"/>
      <c r="EZX58" s="532"/>
      <c r="EZY58" s="532"/>
      <c r="EZZ58" s="532"/>
      <c r="FAA58" s="532"/>
      <c r="FAB58" s="532"/>
      <c r="FAC58" s="532"/>
      <c r="FAD58" s="532"/>
      <c r="FAE58" s="532"/>
      <c r="FAF58" s="532"/>
      <c r="FAG58" s="532"/>
      <c r="FAH58" s="532"/>
      <c r="FAI58" s="532"/>
      <c r="FAJ58" s="532"/>
      <c r="FAK58" s="532"/>
      <c r="FAL58" s="532"/>
      <c r="FAM58" s="532"/>
      <c r="FAN58" s="532"/>
      <c r="FAO58" s="532"/>
      <c r="FAP58" s="532"/>
      <c r="FAQ58" s="532"/>
      <c r="FAR58" s="532"/>
      <c r="FAS58" s="532"/>
      <c r="FAT58" s="532"/>
      <c r="FAU58" s="532"/>
      <c r="FAV58" s="532"/>
      <c r="FAW58" s="532"/>
      <c r="FAX58" s="532"/>
      <c r="FAY58" s="532"/>
      <c r="FAZ58" s="532"/>
      <c r="FBA58" s="532"/>
      <c r="FBB58" s="532"/>
      <c r="FBC58" s="532"/>
      <c r="FBD58" s="532"/>
      <c r="FBE58" s="532"/>
      <c r="FBF58" s="532"/>
      <c r="FBG58" s="532"/>
      <c r="FBH58" s="532"/>
      <c r="FBI58" s="532"/>
      <c r="FBJ58" s="532"/>
      <c r="FBK58" s="532"/>
      <c r="FBL58" s="532"/>
      <c r="FBM58" s="532"/>
      <c r="FBN58" s="532"/>
      <c r="FBO58" s="532"/>
      <c r="FBP58" s="532"/>
      <c r="FBQ58" s="532"/>
      <c r="FBR58" s="532"/>
      <c r="FBS58" s="532"/>
      <c r="FBT58" s="532"/>
      <c r="FBU58" s="532"/>
      <c r="FBV58" s="532"/>
      <c r="FBW58" s="532"/>
      <c r="FBX58" s="532"/>
      <c r="FBY58" s="532"/>
      <c r="FBZ58" s="532"/>
      <c r="FCA58" s="532"/>
      <c r="FCB58" s="532"/>
      <c r="FCC58" s="532"/>
      <c r="FCD58" s="532"/>
      <c r="FCE58" s="532"/>
      <c r="FCF58" s="532"/>
      <c r="FCG58" s="532"/>
      <c r="FCH58" s="532"/>
      <c r="FCI58" s="532"/>
      <c r="FCJ58" s="532"/>
      <c r="FCK58" s="532"/>
      <c r="FCL58" s="532"/>
      <c r="FCM58" s="532"/>
      <c r="FCN58" s="532"/>
      <c r="FCO58" s="532"/>
      <c r="FCP58" s="532"/>
      <c r="FCQ58" s="532"/>
      <c r="FCR58" s="532"/>
      <c r="FCS58" s="532"/>
      <c r="FCT58" s="532"/>
      <c r="FCU58" s="532"/>
      <c r="FCV58" s="532"/>
      <c r="FCW58" s="532"/>
      <c r="FCX58" s="532"/>
      <c r="FCY58" s="532"/>
      <c r="FCZ58" s="532"/>
      <c r="FDA58" s="532"/>
      <c r="FDB58" s="532"/>
      <c r="FDC58" s="532"/>
      <c r="FDD58" s="532"/>
      <c r="FDE58" s="532"/>
      <c r="FDF58" s="532"/>
      <c r="FDG58" s="532"/>
      <c r="FDH58" s="532"/>
      <c r="FDI58" s="532"/>
      <c r="FDJ58" s="532"/>
      <c r="FDK58" s="532"/>
      <c r="FDL58" s="532"/>
      <c r="FDM58" s="532"/>
      <c r="FDN58" s="532"/>
      <c r="FDO58" s="532"/>
      <c r="FDP58" s="532"/>
      <c r="FDQ58" s="532"/>
      <c r="FDR58" s="532"/>
      <c r="FDS58" s="532"/>
      <c r="FDT58" s="532"/>
      <c r="FDU58" s="532"/>
      <c r="FDV58" s="532"/>
      <c r="FDW58" s="532"/>
      <c r="FDX58" s="532"/>
      <c r="FDY58" s="532"/>
      <c r="FDZ58" s="532"/>
      <c r="FEA58" s="532"/>
      <c r="FEB58" s="532"/>
      <c r="FEC58" s="532"/>
      <c r="FED58" s="532"/>
      <c r="FEE58" s="532"/>
      <c r="FEF58" s="532"/>
      <c r="FEG58" s="532"/>
      <c r="FEH58" s="532"/>
      <c r="FEI58" s="532"/>
      <c r="FEJ58" s="532"/>
      <c r="FEK58" s="532"/>
      <c r="FEL58" s="532"/>
      <c r="FEM58" s="532"/>
      <c r="FEN58" s="532"/>
      <c r="FEO58" s="532"/>
      <c r="FEP58" s="532"/>
      <c r="FEQ58" s="532"/>
      <c r="FER58" s="532"/>
      <c r="FES58" s="532"/>
      <c r="FET58" s="532"/>
      <c r="FEU58" s="532"/>
      <c r="FEV58" s="532"/>
      <c r="FEW58" s="532"/>
      <c r="FEX58" s="532"/>
      <c r="FEY58" s="532"/>
      <c r="FEZ58" s="532"/>
      <c r="FFA58" s="532"/>
      <c r="FFB58" s="532"/>
      <c r="FFC58" s="532"/>
      <c r="FFD58" s="532"/>
      <c r="FFE58" s="532"/>
      <c r="FFF58" s="532"/>
      <c r="FFG58" s="532"/>
      <c r="FFH58" s="532"/>
      <c r="FFI58" s="532"/>
      <c r="FFJ58" s="532"/>
      <c r="FFK58" s="532"/>
      <c r="FFL58" s="532"/>
      <c r="FFM58" s="532"/>
      <c r="FFN58" s="532"/>
      <c r="FFO58" s="532"/>
      <c r="FFP58" s="532"/>
      <c r="FFQ58" s="532"/>
      <c r="FFR58" s="532"/>
      <c r="FFS58" s="532"/>
      <c r="FFT58" s="532"/>
      <c r="FFU58" s="532"/>
      <c r="FFV58" s="532"/>
      <c r="FFW58" s="532"/>
      <c r="FFX58" s="532"/>
      <c r="FFY58" s="532"/>
      <c r="FFZ58" s="532"/>
      <c r="FGA58" s="532"/>
      <c r="FGB58" s="532"/>
      <c r="FGC58" s="532"/>
      <c r="FGD58" s="532"/>
      <c r="FGE58" s="532"/>
      <c r="FGF58" s="532"/>
      <c r="FGG58" s="532"/>
      <c r="FGH58" s="532"/>
      <c r="FGI58" s="532"/>
      <c r="FGJ58" s="532"/>
      <c r="FGK58" s="532"/>
      <c r="FGL58" s="532"/>
      <c r="FGM58" s="532"/>
      <c r="FGN58" s="532"/>
      <c r="FGO58" s="532"/>
      <c r="FGP58" s="532"/>
      <c r="FGQ58" s="532"/>
      <c r="FGR58" s="532"/>
      <c r="FGS58" s="532"/>
      <c r="FGT58" s="532"/>
      <c r="FGU58" s="532"/>
      <c r="FGV58" s="532"/>
      <c r="FGW58" s="532"/>
      <c r="FGX58" s="532"/>
      <c r="FGY58" s="532"/>
      <c r="FGZ58" s="532"/>
      <c r="FHA58" s="532"/>
      <c r="FHB58" s="532"/>
      <c r="FHC58" s="532"/>
      <c r="FHD58" s="532"/>
      <c r="FHE58" s="532"/>
      <c r="FHF58" s="532"/>
      <c r="FHG58" s="532"/>
      <c r="FHH58" s="532"/>
      <c r="FHI58" s="532"/>
      <c r="FHJ58" s="532"/>
      <c r="FHK58" s="532"/>
      <c r="FHL58" s="532"/>
      <c r="FHM58" s="532"/>
      <c r="FHN58" s="532"/>
      <c r="FHO58" s="532"/>
      <c r="FHP58" s="532"/>
      <c r="FHQ58" s="532"/>
      <c r="FHR58" s="532"/>
      <c r="FHS58" s="532"/>
      <c r="FHT58" s="532"/>
      <c r="FHU58" s="532"/>
      <c r="FHV58" s="532"/>
      <c r="FHW58" s="532"/>
      <c r="FHX58" s="532"/>
      <c r="FHY58" s="532"/>
      <c r="FHZ58" s="532"/>
      <c r="FIA58" s="532"/>
      <c r="FIB58" s="532"/>
      <c r="FIC58" s="532"/>
      <c r="FID58" s="532"/>
      <c r="FIE58" s="532"/>
      <c r="FIF58" s="532"/>
      <c r="FIG58" s="532"/>
      <c r="FIH58" s="532"/>
      <c r="FII58" s="532"/>
      <c r="FIJ58" s="532"/>
      <c r="FIK58" s="532"/>
      <c r="FIL58" s="532"/>
      <c r="FIM58" s="532"/>
      <c r="FIN58" s="532"/>
      <c r="FIO58" s="532"/>
      <c r="FIP58" s="532"/>
      <c r="FIQ58" s="532"/>
      <c r="FIR58" s="532"/>
      <c r="FIS58" s="532"/>
      <c r="FIT58" s="532"/>
      <c r="FIU58" s="532"/>
      <c r="FIV58" s="532"/>
      <c r="FIW58" s="532"/>
      <c r="FIX58" s="532"/>
      <c r="FIY58" s="532"/>
      <c r="FIZ58" s="532"/>
      <c r="FJA58" s="532"/>
      <c r="FJB58" s="532"/>
      <c r="FJC58" s="532"/>
      <c r="FJD58" s="532"/>
      <c r="FJE58" s="532"/>
      <c r="FJF58" s="532"/>
      <c r="FJG58" s="532"/>
      <c r="FJH58" s="532"/>
      <c r="FJI58" s="532"/>
      <c r="FJJ58" s="532"/>
      <c r="FJK58" s="532"/>
      <c r="FJL58" s="532"/>
      <c r="FJM58" s="532"/>
      <c r="FJN58" s="532"/>
      <c r="FJO58" s="532"/>
      <c r="FJP58" s="532"/>
      <c r="FJQ58" s="532"/>
      <c r="FJR58" s="532"/>
      <c r="FJS58" s="532"/>
      <c r="FJT58" s="532"/>
      <c r="FJU58" s="532"/>
      <c r="FJV58" s="532"/>
      <c r="FJW58" s="532"/>
      <c r="FJX58" s="532"/>
      <c r="FJY58" s="532"/>
      <c r="FJZ58" s="532"/>
      <c r="FKA58" s="532"/>
      <c r="FKB58" s="532"/>
      <c r="FKC58" s="532"/>
      <c r="FKD58" s="532"/>
      <c r="FKE58" s="532"/>
      <c r="FKF58" s="532"/>
      <c r="FKG58" s="532"/>
      <c r="FKH58" s="532"/>
      <c r="FKI58" s="532"/>
      <c r="FKJ58" s="532"/>
      <c r="FKK58" s="532"/>
      <c r="FKL58" s="532"/>
      <c r="FKM58" s="532"/>
      <c r="FKN58" s="532"/>
      <c r="FKO58" s="532"/>
      <c r="FKP58" s="532"/>
      <c r="FKQ58" s="532"/>
      <c r="FKR58" s="532"/>
      <c r="FKS58" s="532"/>
      <c r="FKT58" s="532"/>
      <c r="FKU58" s="532"/>
      <c r="FKV58" s="532"/>
      <c r="FKW58" s="532"/>
      <c r="FKX58" s="532"/>
      <c r="FKY58" s="532"/>
      <c r="FKZ58" s="532"/>
      <c r="FLA58" s="532"/>
      <c r="FLB58" s="532"/>
      <c r="FLC58" s="532"/>
      <c r="FLD58" s="532"/>
      <c r="FLE58" s="532"/>
      <c r="FLF58" s="532"/>
      <c r="FLG58" s="532"/>
      <c r="FLH58" s="532"/>
      <c r="FLI58" s="532"/>
      <c r="FLJ58" s="532"/>
      <c r="FLK58" s="532"/>
      <c r="FLL58" s="532"/>
      <c r="FLM58" s="532"/>
      <c r="FLN58" s="532"/>
      <c r="FLO58" s="532"/>
      <c r="FLP58" s="532"/>
      <c r="FLQ58" s="532"/>
      <c r="FLR58" s="532"/>
      <c r="FLS58" s="532"/>
      <c r="FLT58" s="532"/>
      <c r="FLU58" s="532"/>
      <c r="FLV58" s="532"/>
      <c r="FLW58" s="532"/>
      <c r="FLX58" s="532"/>
      <c r="FLY58" s="532"/>
      <c r="FLZ58" s="532"/>
      <c r="FMA58" s="532"/>
      <c r="FMB58" s="532"/>
      <c r="FMC58" s="532"/>
      <c r="FMD58" s="532"/>
      <c r="FME58" s="532"/>
      <c r="FMF58" s="532"/>
      <c r="FMG58" s="532"/>
      <c r="FMH58" s="532"/>
      <c r="FMI58" s="532"/>
      <c r="FMJ58" s="532"/>
      <c r="FMK58" s="532"/>
      <c r="FML58" s="532"/>
      <c r="FMM58" s="532"/>
      <c r="FMN58" s="532"/>
      <c r="FMO58" s="532"/>
      <c r="FMP58" s="532"/>
      <c r="FMQ58" s="532"/>
      <c r="FMR58" s="532"/>
      <c r="FMS58" s="532"/>
      <c r="FMT58" s="532"/>
      <c r="FMU58" s="532"/>
      <c r="FMV58" s="532"/>
      <c r="FMW58" s="532"/>
      <c r="FMX58" s="532"/>
      <c r="FMY58" s="532"/>
      <c r="FMZ58" s="532"/>
      <c r="FNA58" s="532"/>
      <c r="FNB58" s="532"/>
      <c r="FNC58" s="532"/>
      <c r="FND58" s="532"/>
      <c r="FNE58" s="532"/>
      <c r="FNF58" s="532"/>
      <c r="FNG58" s="532"/>
      <c r="FNH58" s="532"/>
      <c r="FNI58" s="532"/>
      <c r="FNJ58" s="532"/>
      <c r="FNK58" s="532"/>
      <c r="FNL58" s="532"/>
      <c r="FNM58" s="532"/>
      <c r="FNN58" s="532"/>
      <c r="FNO58" s="532"/>
      <c r="FNP58" s="532"/>
      <c r="FNQ58" s="532"/>
      <c r="FNR58" s="532"/>
      <c r="FNS58" s="532"/>
      <c r="FNT58" s="532"/>
      <c r="FNU58" s="532"/>
      <c r="FNV58" s="532"/>
      <c r="FNW58" s="532"/>
      <c r="FNX58" s="532"/>
      <c r="FNY58" s="532"/>
      <c r="FNZ58" s="532"/>
      <c r="FOA58" s="532"/>
      <c r="FOB58" s="532"/>
      <c r="FOC58" s="532"/>
      <c r="FOD58" s="532"/>
      <c r="FOE58" s="532"/>
      <c r="FOF58" s="532"/>
      <c r="FOG58" s="532"/>
      <c r="FOH58" s="532"/>
      <c r="FOI58" s="532"/>
      <c r="FOJ58" s="532"/>
      <c r="FOK58" s="532"/>
      <c r="FOL58" s="532"/>
      <c r="FOM58" s="532"/>
      <c r="FON58" s="532"/>
      <c r="FOO58" s="532"/>
      <c r="FOP58" s="532"/>
      <c r="FOQ58" s="532"/>
      <c r="FOR58" s="532"/>
      <c r="FOS58" s="532"/>
      <c r="FOT58" s="532"/>
      <c r="FOU58" s="532"/>
      <c r="FOV58" s="532"/>
      <c r="FOW58" s="532"/>
      <c r="FOX58" s="532"/>
      <c r="FOY58" s="532"/>
      <c r="FOZ58" s="532"/>
      <c r="FPA58" s="532"/>
      <c r="FPB58" s="532"/>
      <c r="FPC58" s="532"/>
      <c r="FPD58" s="532"/>
      <c r="FPE58" s="532"/>
      <c r="FPF58" s="532"/>
      <c r="FPG58" s="532"/>
      <c r="FPH58" s="532"/>
      <c r="FPI58" s="532"/>
      <c r="FPJ58" s="532"/>
      <c r="FPK58" s="532"/>
      <c r="FPL58" s="532"/>
      <c r="FPM58" s="532"/>
      <c r="FPN58" s="532"/>
      <c r="FPO58" s="532"/>
      <c r="FPP58" s="532"/>
      <c r="FPQ58" s="532"/>
      <c r="FPR58" s="532"/>
      <c r="FPS58" s="532"/>
      <c r="FPT58" s="532"/>
      <c r="FPU58" s="532"/>
      <c r="FPV58" s="532"/>
      <c r="FPW58" s="532"/>
      <c r="FPX58" s="532"/>
      <c r="FPY58" s="532"/>
      <c r="FPZ58" s="532"/>
      <c r="FQA58" s="532"/>
      <c r="FQB58" s="532"/>
      <c r="FQC58" s="532"/>
      <c r="FQD58" s="532"/>
      <c r="FQE58" s="532"/>
      <c r="FQF58" s="532"/>
      <c r="FQG58" s="532"/>
      <c r="FQH58" s="532"/>
      <c r="FQI58" s="532"/>
      <c r="FQJ58" s="532"/>
      <c r="FQK58" s="532"/>
      <c r="FQL58" s="532"/>
      <c r="FQM58" s="532"/>
      <c r="FQN58" s="532"/>
      <c r="FQO58" s="532"/>
      <c r="FQP58" s="532"/>
      <c r="FQQ58" s="532"/>
      <c r="FQR58" s="532"/>
      <c r="FQS58" s="532"/>
      <c r="FQT58" s="532"/>
      <c r="FQU58" s="532"/>
      <c r="FQV58" s="532"/>
      <c r="FQW58" s="532"/>
      <c r="FQX58" s="532"/>
      <c r="FQY58" s="532"/>
      <c r="FQZ58" s="532"/>
      <c r="FRA58" s="532"/>
      <c r="FRB58" s="532"/>
      <c r="FRC58" s="532"/>
      <c r="FRD58" s="532"/>
      <c r="FRE58" s="532"/>
      <c r="FRF58" s="532"/>
      <c r="FRG58" s="532"/>
      <c r="FRH58" s="532"/>
      <c r="FRI58" s="532"/>
      <c r="FRJ58" s="532"/>
      <c r="FRK58" s="532"/>
      <c r="FRL58" s="532"/>
      <c r="FRM58" s="532"/>
      <c r="FRN58" s="532"/>
      <c r="FRO58" s="532"/>
      <c r="FRP58" s="532"/>
      <c r="FRQ58" s="532"/>
      <c r="FRR58" s="532"/>
      <c r="FRS58" s="532"/>
      <c r="FRT58" s="532"/>
      <c r="FRU58" s="532"/>
      <c r="FRV58" s="532"/>
      <c r="FRW58" s="532"/>
      <c r="FRX58" s="532"/>
      <c r="FRY58" s="532"/>
      <c r="FRZ58" s="532"/>
      <c r="FSA58" s="532"/>
      <c r="FSB58" s="532"/>
      <c r="FSC58" s="532"/>
      <c r="FSD58" s="532"/>
      <c r="FSE58" s="532"/>
      <c r="FSF58" s="532"/>
      <c r="FSG58" s="532"/>
      <c r="FSH58" s="532"/>
      <c r="FSI58" s="532"/>
      <c r="FSJ58" s="532"/>
      <c r="FSK58" s="532"/>
      <c r="FSL58" s="532"/>
      <c r="FSM58" s="532"/>
      <c r="FSN58" s="532"/>
      <c r="FSO58" s="532"/>
      <c r="FSP58" s="532"/>
      <c r="FSQ58" s="532"/>
      <c r="FSR58" s="532"/>
      <c r="FSS58" s="532"/>
      <c r="FST58" s="532"/>
      <c r="FSU58" s="532"/>
      <c r="FSV58" s="532"/>
      <c r="FSW58" s="532"/>
      <c r="FSX58" s="532"/>
      <c r="FSY58" s="532"/>
      <c r="FSZ58" s="532"/>
      <c r="FTA58" s="532"/>
      <c r="FTB58" s="532"/>
      <c r="FTC58" s="532"/>
      <c r="FTD58" s="532"/>
      <c r="FTE58" s="532"/>
      <c r="FTF58" s="532"/>
      <c r="FTG58" s="532"/>
      <c r="FTH58" s="532"/>
      <c r="FTI58" s="532"/>
      <c r="FTJ58" s="532"/>
      <c r="FTK58" s="532"/>
      <c r="FTL58" s="532"/>
      <c r="FTM58" s="532"/>
      <c r="FTN58" s="532"/>
      <c r="FTO58" s="532"/>
      <c r="FTP58" s="532"/>
      <c r="FTQ58" s="532"/>
      <c r="FTR58" s="532"/>
      <c r="FTS58" s="532"/>
      <c r="FTT58" s="532"/>
      <c r="FTU58" s="532"/>
      <c r="FTV58" s="532"/>
      <c r="FTW58" s="532"/>
      <c r="FTX58" s="532"/>
      <c r="FTY58" s="532"/>
      <c r="FTZ58" s="532"/>
      <c r="FUA58" s="532"/>
      <c r="FUB58" s="532"/>
      <c r="FUC58" s="532"/>
      <c r="FUD58" s="532"/>
      <c r="FUE58" s="532"/>
      <c r="FUF58" s="532"/>
      <c r="FUG58" s="532"/>
      <c r="FUH58" s="532"/>
      <c r="FUI58" s="532"/>
      <c r="FUJ58" s="532"/>
      <c r="FUK58" s="532"/>
      <c r="FUL58" s="532"/>
      <c r="FUM58" s="532"/>
      <c r="FUN58" s="532"/>
      <c r="FUO58" s="532"/>
      <c r="FUP58" s="532"/>
      <c r="FUQ58" s="532"/>
      <c r="FUR58" s="532"/>
      <c r="FUS58" s="532"/>
      <c r="FUT58" s="532"/>
      <c r="FUU58" s="532"/>
      <c r="FUV58" s="532"/>
      <c r="FUW58" s="532"/>
      <c r="FUX58" s="532"/>
      <c r="FUY58" s="532"/>
      <c r="FUZ58" s="532"/>
      <c r="FVA58" s="532"/>
      <c r="FVB58" s="532"/>
      <c r="FVC58" s="532"/>
      <c r="FVD58" s="532"/>
      <c r="FVE58" s="532"/>
      <c r="FVF58" s="532"/>
      <c r="FVG58" s="532"/>
      <c r="FVH58" s="532"/>
      <c r="FVI58" s="532"/>
      <c r="FVJ58" s="532"/>
      <c r="FVK58" s="532"/>
      <c r="FVL58" s="532"/>
      <c r="FVM58" s="532"/>
      <c r="FVN58" s="532"/>
      <c r="FVO58" s="532"/>
      <c r="FVP58" s="532"/>
      <c r="FVQ58" s="532"/>
      <c r="FVR58" s="532"/>
      <c r="FVS58" s="532"/>
      <c r="FVT58" s="532"/>
      <c r="FVU58" s="532"/>
      <c r="FVV58" s="532"/>
      <c r="FVW58" s="532"/>
      <c r="FVX58" s="532"/>
      <c r="FVY58" s="532"/>
      <c r="FVZ58" s="532"/>
      <c r="FWA58" s="532"/>
      <c r="FWB58" s="532"/>
      <c r="FWC58" s="532"/>
      <c r="FWD58" s="532"/>
      <c r="FWE58" s="532"/>
      <c r="FWF58" s="532"/>
      <c r="FWG58" s="532"/>
      <c r="FWH58" s="532"/>
      <c r="FWI58" s="532"/>
      <c r="FWJ58" s="532"/>
      <c r="FWK58" s="532"/>
      <c r="FWL58" s="532"/>
      <c r="FWM58" s="532"/>
      <c r="FWN58" s="532"/>
      <c r="FWO58" s="532"/>
      <c r="FWP58" s="532"/>
      <c r="FWQ58" s="532"/>
      <c r="FWR58" s="532"/>
      <c r="FWS58" s="532"/>
      <c r="FWT58" s="532"/>
      <c r="FWU58" s="532"/>
      <c r="FWV58" s="532"/>
      <c r="FWW58" s="532"/>
      <c r="FWX58" s="532"/>
      <c r="FWY58" s="532"/>
      <c r="FWZ58" s="532"/>
      <c r="FXA58" s="532"/>
      <c r="FXB58" s="532"/>
      <c r="FXC58" s="532"/>
      <c r="FXD58" s="532"/>
      <c r="FXE58" s="532"/>
      <c r="FXF58" s="532"/>
      <c r="FXG58" s="532"/>
      <c r="FXH58" s="532"/>
      <c r="FXI58" s="532"/>
      <c r="FXJ58" s="532"/>
      <c r="FXK58" s="532"/>
      <c r="FXL58" s="532"/>
      <c r="FXM58" s="532"/>
      <c r="FXN58" s="532"/>
      <c r="FXO58" s="532"/>
      <c r="FXP58" s="532"/>
      <c r="FXQ58" s="532"/>
      <c r="FXR58" s="532"/>
      <c r="FXS58" s="532"/>
      <c r="FXT58" s="532"/>
      <c r="FXU58" s="532"/>
      <c r="FXV58" s="532"/>
      <c r="FXW58" s="532"/>
      <c r="FXX58" s="532"/>
      <c r="FXY58" s="532"/>
      <c r="FXZ58" s="532"/>
      <c r="FYA58" s="532"/>
      <c r="FYB58" s="532"/>
      <c r="FYC58" s="532"/>
      <c r="FYD58" s="532"/>
      <c r="FYE58" s="532"/>
      <c r="FYF58" s="532"/>
      <c r="FYG58" s="532"/>
      <c r="FYH58" s="532"/>
      <c r="FYI58" s="532"/>
      <c r="FYJ58" s="532"/>
      <c r="FYK58" s="532"/>
      <c r="FYL58" s="532"/>
      <c r="FYM58" s="532"/>
      <c r="FYN58" s="532"/>
      <c r="FYO58" s="532"/>
      <c r="FYP58" s="532"/>
      <c r="FYQ58" s="532"/>
      <c r="FYR58" s="532"/>
      <c r="FYS58" s="532"/>
      <c r="FYT58" s="532"/>
      <c r="FYU58" s="532"/>
      <c r="FYV58" s="532"/>
      <c r="FYW58" s="532"/>
      <c r="FYX58" s="532"/>
      <c r="FYY58" s="532"/>
      <c r="FYZ58" s="532"/>
      <c r="FZA58" s="532"/>
      <c r="FZB58" s="532"/>
      <c r="FZC58" s="532"/>
      <c r="FZD58" s="532"/>
      <c r="FZE58" s="532"/>
      <c r="FZF58" s="532"/>
      <c r="FZG58" s="532"/>
      <c r="FZH58" s="532"/>
      <c r="FZI58" s="532"/>
      <c r="FZJ58" s="532"/>
      <c r="FZK58" s="532"/>
      <c r="FZL58" s="532"/>
      <c r="FZM58" s="532"/>
      <c r="FZN58" s="532"/>
      <c r="FZO58" s="532"/>
      <c r="FZP58" s="532"/>
      <c r="FZQ58" s="532"/>
      <c r="FZR58" s="532"/>
      <c r="FZS58" s="532"/>
      <c r="FZT58" s="532"/>
      <c r="FZU58" s="532"/>
      <c r="FZV58" s="532"/>
      <c r="FZW58" s="532"/>
      <c r="FZX58" s="532"/>
      <c r="FZY58" s="532"/>
      <c r="FZZ58" s="532"/>
      <c r="GAA58" s="532"/>
      <c r="GAB58" s="532"/>
      <c r="GAC58" s="532"/>
      <c r="GAD58" s="532"/>
      <c r="GAE58" s="532"/>
      <c r="GAF58" s="532"/>
      <c r="GAG58" s="532"/>
      <c r="GAH58" s="532"/>
      <c r="GAI58" s="532"/>
      <c r="GAJ58" s="532"/>
      <c r="GAK58" s="532"/>
      <c r="GAL58" s="532"/>
      <c r="GAM58" s="532"/>
      <c r="GAN58" s="532"/>
      <c r="GAO58" s="532"/>
      <c r="GAP58" s="532"/>
      <c r="GAQ58" s="532"/>
      <c r="GAR58" s="532"/>
      <c r="GAS58" s="532"/>
      <c r="GAT58" s="532"/>
      <c r="GAU58" s="532"/>
      <c r="GAV58" s="532"/>
      <c r="GAW58" s="532"/>
      <c r="GAX58" s="532"/>
      <c r="GAY58" s="532"/>
      <c r="GAZ58" s="532"/>
      <c r="GBA58" s="532"/>
      <c r="GBB58" s="532"/>
      <c r="GBC58" s="532"/>
      <c r="GBD58" s="532"/>
      <c r="GBE58" s="532"/>
      <c r="GBF58" s="532"/>
      <c r="GBG58" s="532"/>
      <c r="GBH58" s="532"/>
      <c r="GBI58" s="532"/>
      <c r="GBJ58" s="532"/>
      <c r="GBK58" s="532"/>
      <c r="GBL58" s="532"/>
      <c r="GBM58" s="532"/>
      <c r="GBN58" s="532"/>
      <c r="GBO58" s="532"/>
      <c r="GBP58" s="532"/>
      <c r="GBQ58" s="532"/>
      <c r="GBR58" s="532"/>
      <c r="GBS58" s="532"/>
      <c r="GBT58" s="532"/>
      <c r="GBU58" s="532"/>
      <c r="GBV58" s="532"/>
      <c r="GBW58" s="532"/>
      <c r="GBX58" s="532"/>
      <c r="GBY58" s="532"/>
      <c r="GBZ58" s="532"/>
      <c r="GCA58" s="532"/>
      <c r="GCB58" s="532"/>
      <c r="GCC58" s="532"/>
      <c r="GCD58" s="532"/>
      <c r="GCE58" s="532"/>
      <c r="GCF58" s="532"/>
      <c r="GCG58" s="532"/>
      <c r="GCH58" s="532"/>
      <c r="GCI58" s="532"/>
      <c r="GCJ58" s="532"/>
      <c r="GCK58" s="532"/>
      <c r="GCL58" s="532"/>
      <c r="GCM58" s="532"/>
      <c r="GCN58" s="532"/>
      <c r="GCO58" s="532"/>
      <c r="GCP58" s="532"/>
      <c r="GCQ58" s="532"/>
      <c r="GCR58" s="532"/>
      <c r="GCS58" s="532"/>
      <c r="GCT58" s="532"/>
      <c r="GCU58" s="532"/>
      <c r="GCV58" s="532"/>
      <c r="GCW58" s="532"/>
      <c r="GCX58" s="532"/>
      <c r="GCY58" s="532"/>
      <c r="GCZ58" s="532"/>
      <c r="GDA58" s="532"/>
      <c r="GDB58" s="532"/>
      <c r="GDC58" s="532"/>
      <c r="GDD58" s="532"/>
      <c r="GDE58" s="532"/>
      <c r="GDF58" s="532"/>
      <c r="GDG58" s="532"/>
      <c r="GDH58" s="532"/>
      <c r="GDI58" s="532"/>
      <c r="GDJ58" s="532"/>
      <c r="GDK58" s="532"/>
      <c r="GDL58" s="532"/>
      <c r="GDM58" s="532"/>
      <c r="GDN58" s="532"/>
      <c r="GDO58" s="532"/>
      <c r="GDP58" s="532"/>
      <c r="GDQ58" s="532"/>
      <c r="GDR58" s="532"/>
      <c r="GDS58" s="532"/>
      <c r="GDT58" s="532"/>
      <c r="GDU58" s="532"/>
      <c r="GDV58" s="532"/>
      <c r="GDW58" s="532"/>
      <c r="GDX58" s="532"/>
      <c r="GDY58" s="532"/>
      <c r="GDZ58" s="532"/>
      <c r="GEA58" s="532"/>
      <c r="GEB58" s="532"/>
      <c r="GEC58" s="532"/>
      <c r="GED58" s="532"/>
      <c r="GEE58" s="532"/>
      <c r="GEF58" s="532"/>
      <c r="GEG58" s="532"/>
      <c r="GEH58" s="532"/>
      <c r="GEI58" s="532"/>
      <c r="GEJ58" s="532"/>
      <c r="GEK58" s="532"/>
      <c r="GEL58" s="532"/>
      <c r="GEM58" s="532"/>
      <c r="GEN58" s="532"/>
      <c r="GEO58" s="532"/>
      <c r="GEP58" s="532"/>
      <c r="GEQ58" s="532"/>
      <c r="GER58" s="532"/>
      <c r="GES58" s="532"/>
      <c r="GET58" s="532"/>
      <c r="GEU58" s="532"/>
      <c r="GEV58" s="532"/>
      <c r="GEW58" s="532"/>
      <c r="GEX58" s="532"/>
      <c r="GEY58" s="532"/>
      <c r="GEZ58" s="532"/>
      <c r="GFA58" s="532"/>
      <c r="GFB58" s="532"/>
      <c r="GFC58" s="532"/>
      <c r="GFD58" s="532"/>
      <c r="GFE58" s="532"/>
      <c r="GFF58" s="532"/>
      <c r="GFG58" s="532"/>
      <c r="GFH58" s="532"/>
      <c r="GFI58" s="532"/>
      <c r="GFJ58" s="532"/>
      <c r="GFK58" s="532"/>
      <c r="GFL58" s="532"/>
      <c r="GFM58" s="532"/>
      <c r="GFN58" s="532"/>
      <c r="GFO58" s="532"/>
      <c r="GFP58" s="532"/>
      <c r="GFQ58" s="532"/>
      <c r="GFR58" s="532"/>
      <c r="GFS58" s="532"/>
      <c r="GFT58" s="532"/>
      <c r="GFU58" s="532"/>
      <c r="GFV58" s="532"/>
      <c r="GFW58" s="532"/>
      <c r="GFX58" s="532"/>
      <c r="GFY58" s="532"/>
      <c r="GFZ58" s="532"/>
      <c r="GGA58" s="532"/>
      <c r="GGB58" s="532"/>
      <c r="GGC58" s="532"/>
      <c r="GGD58" s="532"/>
      <c r="GGE58" s="532"/>
      <c r="GGF58" s="532"/>
      <c r="GGG58" s="532"/>
      <c r="GGH58" s="532"/>
      <c r="GGI58" s="532"/>
      <c r="GGJ58" s="532"/>
      <c r="GGK58" s="532"/>
      <c r="GGL58" s="532"/>
      <c r="GGM58" s="532"/>
      <c r="GGN58" s="532"/>
      <c r="GGO58" s="532"/>
      <c r="GGP58" s="532"/>
      <c r="GGQ58" s="532"/>
      <c r="GGR58" s="532"/>
      <c r="GGS58" s="532"/>
      <c r="GGT58" s="532"/>
      <c r="GGU58" s="532"/>
      <c r="GGV58" s="532"/>
      <c r="GGW58" s="532"/>
      <c r="GGX58" s="532"/>
      <c r="GGY58" s="532"/>
      <c r="GGZ58" s="532"/>
      <c r="GHA58" s="532"/>
      <c r="GHB58" s="532"/>
      <c r="GHC58" s="532"/>
      <c r="GHD58" s="532"/>
      <c r="GHE58" s="532"/>
      <c r="GHF58" s="532"/>
      <c r="GHG58" s="532"/>
      <c r="GHH58" s="532"/>
      <c r="GHI58" s="532"/>
      <c r="GHJ58" s="532"/>
      <c r="GHK58" s="532"/>
      <c r="GHL58" s="532"/>
      <c r="GHM58" s="532"/>
      <c r="GHN58" s="532"/>
      <c r="GHO58" s="532"/>
      <c r="GHP58" s="532"/>
      <c r="GHQ58" s="532"/>
      <c r="GHR58" s="532"/>
      <c r="GHS58" s="532"/>
      <c r="GHT58" s="532"/>
      <c r="GHU58" s="532"/>
      <c r="GHV58" s="532"/>
      <c r="GHW58" s="532"/>
      <c r="GHX58" s="532"/>
      <c r="GHY58" s="532"/>
      <c r="GHZ58" s="532"/>
      <c r="GIA58" s="532"/>
      <c r="GIB58" s="532"/>
      <c r="GIC58" s="532"/>
      <c r="GID58" s="532"/>
      <c r="GIE58" s="532"/>
      <c r="GIF58" s="532"/>
      <c r="GIG58" s="532"/>
      <c r="GIH58" s="532"/>
      <c r="GII58" s="532"/>
      <c r="GIJ58" s="532"/>
      <c r="GIK58" s="532"/>
      <c r="GIL58" s="532"/>
      <c r="GIM58" s="532"/>
      <c r="GIN58" s="532"/>
      <c r="GIO58" s="532"/>
      <c r="GIP58" s="532"/>
      <c r="GIQ58" s="532"/>
      <c r="GIR58" s="532"/>
      <c r="GIS58" s="532"/>
      <c r="GIT58" s="532"/>
      <c r="GIU58" s="532"/>
      <c r="GIV58" s="532"/>
      <c r="GIW58" s="532"/>
      <c r="GIX58" s="532"/>
      <c r="GIY58" s="532"/>
      <c r="GIZ58" s="532"/>
      <c r="GJA58" s="532"/>
      <c r="GJB58" s="532"/>
      <c r="GJC58" s="532"/>
      <c r="GJD58" s="532"/>
      <c r="GJE58" s="532"/>
      <c r="GJF58" s="532"/>
      <c r="GJG58" s="532"/>
      <c r="GJH58" s="532"/>
      <c r="GJI58" s="532"/>
      <c r="GJJ58" s="532"/>
      <c r="GJK58" s="532"/>
      <c r="GJL58" s="532"/>
      <c r="GJM58" s="532"/>
      <c r="GJN58" s="532"/>
      <c r="GJO58" s="532"/>
      <c r="GJP58" s="532"/>
      <c r="GJQ58" s="532"/>
      <c r="GJR58" s="532"/>
      <c r="GJS58" s="532"/>
      <c r="GJT58" s="532"/>
      <c r="GJU58" s="532"/>
      <c r="GJV58" s="532"/>
      <c r="GJW58" s="532"/>
      <c r="GJX58" s="532"/>
      <c r="GJY58" s="532"/>
      <c r="GJZ58" s="532"/>
      <c r="GKA58" s="532"/>
      <c r="GKB58" s="532"/>
      <c r="GKC58" s="532"/>
      <c r="GKD58" s="532"/>
      <c r="GKE58" s="532"/>
      <c r="GKF58" s="532"/>
      <c r="GKG58" s="532"/>
      <c r="GKH58" s="532"/>
      <c r="GKI58" s="532"/>
      <c r="GKJ58" s="532"/>
      <c r="GKK58" s="532"/>
      <c r="GKL58" s="532"/>
      <c r="GKM58" s="532"/>
      <c r="GKN58" s="532"/>
      <c r="GKO58" s="532"/>
      <c r="GKP58" s="532"/>
      <c r="GKQ58" s="532"/>
      <c r="GKR58" s="532"/>
      <c r="GKS58" s="532"/>
      <c r="GKT58" s="532"/>
      <c r="GKU58" s="532"/>
      <c r="GKV58" s="532"/>
      <c r="GKW58" s="532"/>
      <c r="GKX58" s="532"/>
      <c r="GKY58" s="532"/>
      <c r="GKZ58" s="532"/>
      <c r="GLA58" s="532"/>
      <c r="GLB58" s="532"/>
      <c r="GLC58" s="532"/>
      <c r="GLD58" s="532"/>
      <c r="GLE58" s="532"/>
      <c r="GLF58" s="532"/>
      <c r="GLG58" s="532"/>
      <c r="GLH58" s="532"/>
      <c r="GLI58" s="532"/>
      <c r="GLJ58" s="532"/>
      <c r="GLK58" s="532"/>
      <c r="GLL58" s="532"/>
      <c r="GLM58" s="532"/>
      <c r="GLN58" s="532"/>
      <c r="GLO58" s="532"/>
      <c r="GLP58" s="532"/>
      <c r="GLQ58" s="532"/>
      <c r="GLR58" s="532"/>
      <c r="GLS58" s="532"/>
      <c r="GLT58" s="532"/>
      <c r="GLU58" s="532"/>
      <c r="GLV58" s="532"/>
      <c r="GLW58" s="532"/>
      <c r="GLX58" s="532"/>
      <c r="GLY58" s="532"/>
      <c r="GLZ58" s="532"/>
      <c r="GMA58" s="532"/>
      <c r="GMB58" s="532"/>
      <c r="GMC58" s="532"/>
      <c r="GMD58" s="532"/>
      <c r="GME58" s="532"/>
      <c r="GMF58" s="532"/>
      <c r="GMG58" s="532"/>
      <c r="GMH58" s="532"/>
      <c r="GMI58" s="532"/>
      <c r="GMJ58" s="532"/>
      <c r="GMK58" s="532"/>
      <c r="GML58" s="532"/>
      <c r="GMM58" s="532"/>
      <c r="GMN58" s="532"/>
      <c r="GMO58" s="532"/>
      <c r="GMP58" s="532"/>
      <c r="GMQ58" s="532"/>
      <c r="GMR58" s="532"/>
      <c r="GMS58" s="532"/>
      <c r="GMT58" s="532"/>
      <c r="GMU58" s="532"/>
      <c r="GMV58" s="532"/>
      <c r="GMW58" s="532"/>
      <c r="GMX58" s="532"/>
      <c r="GMY58" s="532"/>
      <c r="GMZ58" s="532"/>
      <c r="GNA58" s="532"/>
      <c r="GNB58" s="532"/>
      <c r="GNC58" s="532"/>
      <c r="GND58" s="532"/>
      <c r="GNE58" s="532"/>
      <c r="GNF58" s="532"/>
      <c r="GNG58" s="532"/>
      <c r="GNH58" s="532"/>
      <c r="GNI58" s="532"/>
      <c r="GNJ58" s="532"/>
      <c r="GNK58" s="532"/>
      <c r="GNL58" s="532"/>
      <c r="GNM58" s="532"/>
      <c r="GNN58" s="532"/>
      <c r="GNO58" s="532"/>
      <c r="GNP58" s="532"/>
      <c r="GNQ58" s="532"/>
      <c r="GNR58" s="532"/>
      <c r="GNS58" s="532"/>
      <c r="GNT58" s="532"/>
      <c r="GNU58" s="532"/>
      <c r="GNV58" s="532"/>
      <c r="GNW58" s="532"/>
      <c r="GNX58" s="532"/>
      <c r="GNY58" s="532"/>
      <c r="GNZ58" s="532"/>
      <c r="GOA58" s="532"/>
      <c r="GOB58" s="532"/>
      <c r="GOC58" s="532"/>
      <c r="GOD58" s="532"/>
      <c r="GOE58" s="532"/>
      <c r="GOF58" s="532"/>
      <c r="GOG58" s="532"/>
      <c r="GOH58" s="532"/>
      <c r="GOI58" s="532"/>
      <c r="GOJ58" s="532"/>
      <c r="GOK58" s="532"/>
      <c r="GOL58" s="532"/>
      <c r="GOM58" s="532"/>
      <c r="GON58" s="532"/>
      <c r="GOO58" s="532"/>
      <c r="GOP58" s="532"/>
      <c r="GOQ58" s="532"/>
      <c r="GOR58" s="532"/>
      <c r="GOS58" s="532"/>
      <c r="GOT58" s="532"/>
      <c r="GOU58" s="532"/>
      <c r="GOV58" s="532"/>
      <c r="GOW58" s="532"/>
      <c r="GOX58" s="532"/>
      <c r="GOY58" s="532"/>
      <c r="GOZ58" s="532"/>
      <c r="GPA58" s="532"/>
      <c r="GPB58" s="532"/>
      <c r="GPC58" s="532"/>
      <c r="GPD58" s="532"/>
      <c r="GPE58" s="532"/>
      <c r="GPF58" s="532"/>
      <c r="GPG58" s="532"/>
      <c r="GPH58" s="532"/>
      <c r="GPI58" s="532"/>
      <c r="GPJ58" s="532"/>
      <c r="GPK58" s="532"/>
      <c r="GPL58" s="532"/>
      <c r="GPM58" s="532"/>
      <c r="GPN58" s="532"/>
      <c r="GPO58" s="532"/>
      <c r="GPP58" s="532"/>
      <c r="GPQ58" s="532"/>
      <c r="GPR58" s="532"/>
      <c r="GPS58" s="532"/>
      <c r="GPT58" s="532"/>
      <c r="GPU58" s="532"/>
      <c r="GPV58" s="532"/>
      <c r="GPW58" s="532"/>
      <c r="GPX58" s="532"/>
      <c r="GPY58" s="532"/>
      <c r="GPZ58" s="532"/>
      <c r="GQA58" s="532"/>
      <c r="GQB58" s="532"/>
      <c r="GQC58" s="532"/>
      <c r="GQD58" s="532"/>
      <c r="GQE58" s="532"/>
      <c r="GQF58" s="532"/>
      <c r="GQG58" s="532"/>
      <c r="GQH58" s="532"/>
      <c r="GQI58" s="532"/>
      <c r="GQJ58" s="532"/>
      <c r="GQK58" s="532"/>
      <c r="GQL58" s="532"/>
      <c r="GQM58" s="532"/>
      <c r="GQN58" s="532"/>
      <c r="GQO58" s="532"/>
      <c r="GQP58" s="532"/>
      <c r="GQQ58" s="532"/>
      <c r="GQR58" s="532"/>
      <c r="GQS58" s="532"/>
      <c r="GQT58" s="532"/>
      <c r="GQU58" s="532"/>
      <c r="GQV58" s="532"/>
      <c r="GQW58" s="532"/>
      <c r="GQX58" s="532"/>
      <c r="GQY58" s="532"/>
      <c r="GQZ58" s="532"/>
      <c r="GRA58" s="532"/>
      <c r="GRB58" s="532"/>
      <c r="GRC58" s="532"/>
      <c r="GRD58" s="532"/>
      <c r="GRE58" s="532"/>
      <c r="GRF58" s="532"/>
      <c r="GRG58" s="532"/>
      <c r="GRH58" s="532"/>
      <c r="GRI58" s="532"/>
      <c r="GRJ58" s="532"/>
      <c r="GRK58" s="532"/>
      <c r="GRL58" s="532"/>
      <c r="GRM58" s="532"/>
      <c r="GRN58" s="532"/>
      <c r="GRO58" s="532"/>
      <c r="GRP58" s="532"/>
      <c r="GRQ58" s="532"/>
      <c r="GRR58" s="532"/>
      <c r="GRS58" s="532"/>
      <c r="GRT58" s="532"/>
      <c r="GRU58" s="532"/>
      <c r="GRV58" s="532"/>
      <c r="GRW58" s="532"/>
      <c r="GRX58" s="532"/>
      <c r="GRY58" s="532"/>
      <c r="GRZ58" s="532"/>
      <c r="GSA58" s="532"/>
      <c r="GSB58" s="532"/>
      <c r="GSC58" s="532"/>
      <c r="GSD58" s="532"/>
      <c r="GSE58" s="532"/>
      <c r="GSF58" s="532"/>
      <c r="GSG58" s="532"/>
      <c r="GSH58" s="532"/>
      <c r="GSI58" s="532"/>
      <c r="GSJ58" s="532"/>
      <c r="GSK58" s="532"/>
      <c r="GSL58" s="532"/>
      <c r="GSM58" s="532"/>
      <c r="GSN58" s="532"/>
      <c r="GSO58" s="532"/>
      <c r="GSP58" s="532"/>
      <c r="GSQ58" s="532"/>
      <c r="GSR58" s="532"/>
      <c r="GSS58" s="532"/>
      <c r="GST58" s="532"/>
      <c r="GSU58" s="532"/>
      <c r="GSV58" s="532"/>
      <c r="GSW58" s="532"/>
      <c r="GSX58" s="532"/>
      <c r="GSY58" s="532"/>
      <c r="GSZ58" s="532"/>
      <c r="GTA58" s="532"/>
      <c r="GTB58" s="532"/>
      <c r="GTC58" s="532"/>
      <c r="GTD58" s="532"/>
      <c r="GTE58" s="532"/>
      <c r="GTF58" s="532"/>
      <c r="GTG58" s="532"/>
      <c r="GTH58" s="532"/>
      <c r="GTI58" s="532"/>
      <c r="GTJ58" s="532"/>
      <c r="GTK58" s="532"/>
      <c r="GTL58" s="532"/>
      <c r="GTM58" s="532"/>
      <c r="GTN58" s="532"/>
      <c r="GTO58" s="532"/>
      <c r="GTP58" s="532"/>
      <c r="GTQ58" s="532"/>
      <c r="GTR58" s="532"/>
      <c r="GTS58" s="532"/>
      <c r="GTT58" s="532"/>
      <c r="GTU58" s="532"/>
      <c r="GTV58" s="532"/>
      <c r="GTW58" s="532"/>
      <c r="GTX58" s="532"/>
      <c r="GTY58" s="532"/>
      <c r="GTZ58" s="532"/>
      <c r="GUA58" s="532"/>
      <c r="GUB58" s="532"/>
      <c r="GUC58" s="532"/>
      <c r="GUD58" s="532"/>
      <c r="GUE58" s="532"/>
      <c r="GUF58" s="532"/>
      <c r="GUG58" s="532"/>
      <c r="GUH58" s="532"/>
      <c r="GUI58" s="532"/>
      <c r="GUJ58" s="532"/>
      <c r="GUK58" s="532"/>
      <c r="GUL58" s="532"/>
      <c r="GUM58" s="532"/>
      <c r="GUN58" s="532"/>
      <c r="GUO58" s="532"/>
      <c r="GUP58" s="532"/>
      <c r="GUQ58" s="532"/>
      <c r="GUR58" s="532"/>
      <c r="GUS58" s="532"/>
      <c r="GUT58" s="532"/>
      <c r="GUU58" s="532"/>
      <c r="GUV58" s="532"/>
      <c r="GUW58" s="532"/>
      <c r="GUX58" s="532"/>
      <c r="GUY58" s="532"/>
      <c r="GUZ58" s="532"/>
      <c r="GVA58" s="532"/>
      <c r="GVB58" s="532"/>
      <c r="GVC58" s="532"/>
      <c r="GVD58" s="532"/>
      <c r="GVE58" s="532"/>
      <c r="GVF58" s="532"/>
      <c r="GVG58" s="532"/>
      <c r="GVH58" s="532"/>
      <c r="GVI58" s="532"/>
      <c r="GVJ58" s="532"/>
      <c r="GVK58" s="532"/>
      <c r="GVL58" s="532"/>
      <c r="GVM58" s="532"/>
      <c r="GVN58" s="532"/>
      <c r="GVO58" s="532"/>
      <c r="GVP58" s="532"/>
      <c r="GVQ58" s="532"/>
      <c r="GVR58" s="532"/>
      <c r="GVS58" s="532"/>
      <c r="GVT58" s="532"/>
      <c r="GVU58" s="532"/>
      <c r="GVV58" s="532"/>
      <c r="GVW58" s="532"/>
      <c r="GVX58" s="532"/>
      <c r="GVY58" s="532"/>
      <c r="GVZ58" s="532"/>
      <c r="GWA58" s="532"/>
      <c r="GWB58" s="532"/>
      <c r="GWC58" s="532"/>
      <c r="GWD58" s="532"/>
      <c r="GWE58" s="532"/>
      <c r="GWF58" s="532"/>
      <c r="GWG58" s="532"/>
      <c r="GWH58" s="532"/>
      <c r="GWI58" s="532"/>
      <c r="GWJ58" s="532"/>
      <c r="GWK58" s="532"/>
      <c r="GWL58" s="532"/>
      <c r="GWM58" s="532"/>
      <c r="GWN58" s="532"/>
      <c r="GWO58" s="532"/>
      <c r="GWP58" s="532"/>
      <c r="GWQ58" s="532"/>
      <c r="GWR58" s="532"/>
      <c r="GWS58" s="532"/>
      <c r="GWT58" s="532"/>
      <c r="GWU58" s="532"/>
      <c r="GWV58" s="532"/>
      <c r="GWW58" s="532"/>
      <c r="GWX58" s="532"/>
      <c r="GWY58" s="532"/>
      <c r="GWZ58" s="532"/>
      <c r="GXA58" s="532"/>
      <c r="GXB58" s="532"/>
      <c r="GXC58" s="532"/>
      <c r="GXD58" s="532"/>
      <c r="GXE58" s="532"/>
      <c r="GXF58" s="532"/>
      <c r="GXG58" s="532"/>
      <c r="GXH58" s="532"/>
      <c r="GXI58" s="532"/>
      <c r="GXJ58" s="532"/>
      <c r="GXK58" s="532"/>
      <c r="GXL58" s="532"/>
      <c r="GXM58" s="532"/>
      <c r="GXN58" s="532"/>
      <c r="GXO58" s="532"/>
      <c r="GXP58" s="532"/>
      <c r="GXQ58" s="532"/>
      <c r="GXR58" s="532"/>
      <c r="GXS58" s="532"/>
      <c r="GXT58" s="532"/>
      <c r="GXU58" s="532"/>
      <c r="GXV58" s="532"/>
      <c r="GXW58" s="532"/>
      <c r="GXX58" s="532"/>
      <c r="GXY58" s="532"/>
      <c r="GXZ58" s="532"/>
      <c r="GYA58" s="532"/>
      <c r="GYB58" s="532"/>
      <c r="GYC58" s="532"/>
      <c r="GYD58" s="532"/>
      <c r="GYE58" s="532"/>
      <c r="GYF58" s="532"/>
      <c r="GYG58" s="532"/>
      <c r="GYH58" s="532"/>
      <c r="GYI58" s="532"/>
      <c r="GYJ58" s="532"/>
      <c r="GYK58" s="532"/>
      <c r="GYL58" s="532"/>
      <c r="GYM58" s="532"/>
      <c r="GYN58" s="532"/>
      <c r="GYO58" s="532"/>
      <c r="GYP58" s="532"/>
      <c r="GYQ58" s="532"/>
      <c r="GYR58" s="532"/>
      <c r="GYS58" s="532"/>
      <c r="GYT58" s="532"/>
      <c r="GYU58" s="532"/>
      <c r="GYV58" s="532"/>
      <c r="GYW58" s="532"/>
      <c r="GYX58" s="532"/>
      <c r="GYY58" s="532"/>
      <c r="GYZ58" s="532"/>
      <c r="GZA58" s="532"/>
      <c r="GZB58" s="532"/>
      <c r="GZC58" s="532"/>
      <c r="GZD58" s="532"/>
      <c r="GZE58" s="532"/>
      <c r="GZF58" s="532"/>
      <c r="GZG58" s="532"/>
      <c r="GZH58" s="532"/>
      <c r="GZI58" s="532"/>
      <c r="GZJ58" s="532"/>
      <c r="GZK58" s="532"/>
      <c r="GZL58" s="532"/>
      <c r="GZM58" s="532"/>
      <c r="GZN58" s="532"/>
      <c r="GZO58" s="532"/>
      <c r="GZP58" s="532"/>
      <c r="GZQ58" s="532"/>
      <c r="GZR58" s="532"/>
      <c r="GZS58" s="532"/>
      <c r="GZT58" s="532"/>
      <c r="GZU58" s="532"/>
      <c r="GZV58" s="532"/>
      <c r="GZW58" s="532"/>
      <c r="GZX58" s="532"/>
      <c r="GZY58" s="532"/>
      <c r="GZZ58" s="532"/>
      <c r="HAA58" s="532"/>
      <c r="HAB58" s="532"/>
      <c r="HAC58" s="532"/>
      <c r="HAD58" s="532"/>
      <c r="HAE58" s="532"/>
      <c r="HAF58" s="532"/>
      <c r="HAG58" s="532"/>
      <c r="HAH58" s="532"/>
      <c r="HAI58" s="532"/>
      <c r="HAJ58" s="532"/>
      <c r="HAK58" s="532"/>
      <c r="HAL58" s="532"/>
      <c r="HAM58" s="532"/>
      <c r="HAN58" s="532"/>
      <c r="HAO58" s="532"/>
      <c r="HAP58" s="532"/>
      <c r="HAQ58" s="532"/>
      <c r="HAR58" s="532"/>
      <c r="HAS58" s="532"/>
      <c r="HAT58" s="532"/>
      <c r="HAU58" s="532"/>
      <c r="HAV58" s="532"/>
      <c r="HAW58" s="532"/>
      <c r="HAX58" s="532"/>
      <c r="HAY58" s="532"/>
      <c r="HAZ58" s="532"/>
      <c r="HBA58" s="532"/>
      <c r="HBB58" s="532"/>
      <c r="HBC58" s="532"/>
      <c r="HBD58" s="532"/>
      <c r="HBE58" s="532"/>
      <c r="HBF58" s="532"/>
      <c r="HBG58" s="532"/>
      <c r="HBH58" s="532"/>
      <c r="HBI58" s="532"/>
      <c r="HBJ58" s="532"/>
      <c r="HBK58" s="532"/>
      <c r="HBL58" s="532"/>
      <c r="HBM58" s="532"/>
      <c r="HBN58" s="532"/>
      <c r="HBO58" s="532"/>
      <c r="HBP58" s="532"/>
      <c r="HBQ58" s="532"/>
      <c r="HBR58" s="532"/>
      <c r="HBS58" s="532"/>
      <c r="HBT58" s="532"/>
      <c r="HBU58" s="532"/>
      <c r="HBV58" s="532"/>
      <c r="HBW58" s="532"/>
      <c r="HBX58" s="532"/>
      <c r="HBY58" s="532"/>
      <c r="HBZ58" s="532"/>
      <c r="HCA58" s="532"/>
      <c r="HCB58" s="532"/>
      <c r="HCC58" s="532"/>
      <c r="HCD58" s="532"/>
      <c r="HCE58" s="532"/>
      <c r="HCF58" s="532"/>
      <c r="HCG58" s="532"/>
      <c r="HCH58" s="532"/>
      <c r="HCI58" s="532"/>
      <c r="HCJ58" s="532"/>
      <c r="HCK58" s="532"/>
      <c r="HCL58" s="532"/>
      <c r="HCM58" s="532"/>
      <c r="HCN58" s="532"/>
      <c r="HCO58" s="532"/>
      <c r="HCP58" s="532"/>
      <c r="HCQ58" s="532"/>
      <c r="HCR58" s="532"/>
      <c r="HCS58" s="532"/>
      <c r="HCT58" s="532"/>
      <c r="HCU58" s="532"/>
      <c r="HCV58" s="532"/>
      <c r="HCW58" s="532"/>
      <c r="HCX58" s="532"/>
      <c r="HCY58" s="532"/>
      <c r="HCZ58" s="532"/>
      <c r="HDA58" s="532"/>
      <c r="HDB58" s="532"/>
      <c r="HDC58" s="532"/>
      <c r="HDD58" s="532"/>
      <c r="HDE58" s="532"/>
      <c r="HDF58" s="532"/>
      <c r="HDG58" s="532"/>
      <c r="HDH58" s="532"/>
      <c r="HDI58" s="532"/>
      <c r="HDJ58" s="532"/>
      <c r="HDK58" s="532"/>
      <c r="HDL58" s="532"/>
      <c r="HDM58" s="532"/>
      <c r="HDN58" s="532"/>
      <c r="HDO58" s="532"/>
      <c r="HDP58" s="532"/>
      <c r="HDQ58" s="532"/>
      <c r="HDR58" s="532"/>
      <c r="HDS58" s="532"/>
      <c r="HDT58" s="532"/>
      <c r="HDU58" s="532"/>
      <c r="HDV58" s="532"/>
      <c r="HDW58" s="532"/>
      <c r="HDX58" s="532"/>
      <c r="HDY58" s="532"/>
      <c r="HDZ58" s="532"/>
      <c r="HEA58" s="532"/>
      <c r="HEB58" s="532"/>
      <c r="HEC58" s="532"/>
      <c r="HED58" s="532"/>
      <c r="HEE58" s="532"/>
      <c r="HEF58" s="532"/>
      <c r="HEG58" s="532"/>
      <c r="HEH58" s="532"/>
      <c r="HEI58" s="532"/>
      <c r="HEJ58" s="532"/>
      <c r="HEK58" s="532"/>
      <c r="HEL58" s="532"/>
      <c r="HEM58" s="532"/>
      <c r="HEN58" s="532"/>
      <c r="HEO58" s="532"/>
      <c r="HEP58" s="532"/>
      <c r="HEQ58" s="532"/>
      <c r="HER58" s="532"/>
      <c r="HES58" s="532"/>
      <c r="HET58" s="532"/>
      <c r="HEU58" s="532"/>
      <c r="HEV58" s="532"/>
      <c r="HEW58" s="532"/>
      <c r="HEX58" s="532"/>
      <c r="HEY58" s="532"/>
      <c r="HEZ58" s="532"/>
      <c r="HFA58" s="532"/>
      <c r="HFB58" s="532"/>
      <c r="HFC58" s="532"/>
      <c r="HFD58" s="532"/>
      <c r="HFE58" s="532"/>
      <c r="HFF58" s="532"/>
      <c r="HFG58" s="532"/>
      <c r="HFH58" s="532"/>
      <c r="HFI58" s="532"/>
      <c r="HFJ58" s="532"/>
      <c r="HFK58" s="532"/>
      <c r="HFL58" s="532"/>
      <c r="HFM58" s="532"/>
      <c r="HFN58" s="532"/>
      <c r="HFO58" s="532"/>
      <c r="HFP58" s="532"/>
      <c r="HFQ58" s="532"/>
      <c r="HFR58" s="532"/>
      <c r="HFS58" s="532"/>
      <c r="HFT58" s="532"/>
      <c r="HFU58" s="532"/>
      <c r="HFV58" s="532"/>
      <c r="HFW58" s="532"/>
      <c r="HFX58" s="532"/>
      <c r="HFY58" s="532"/>
      <c r="HFZ58" s="532"/>
      <c r="HGA58" s="532"/>
      <c r="HGB58" s="532"/>
      <c r="HGC58" s="532"/>
      <c r="HGD58" s="532"/>
      <c r="HGE58" s="532"/>
      <c r="HGF58" s="532"/>
      <c r="HGG58" s="532"/>
      <c r="HGH58" s="532"/>
      <c r="HGI58" s="532"/>
      <c r="HGJ58" s="532"/>
      <c r="HGK58" s="532"/>
      <c r="HGL58" s="532"/>
      <c r="HGM58" s="532"/>
      <c r="HGN58" s="532"/>
      <c r="HGO58" s="532"/>
      <c r="HGP58" s="532"/>
      <c r="HGQ58" s="532"/>
      <c r="HGR58" s="532"/>
      <c r="HGS58" s="532"/>
      <c r="HGT58" s="532"/>
      <c r="HGU58" s="532"/>
      <c r="HGV58" s="532"/>
      <c r="HGW58" s="532"/>
      <c r="HGX58" s="532"/>
      <c r="HGY58" s="532"/>
      <c r="HGZ58" s="532"/>
      <c r="HHA58" s="532"/>
      <c r="HHB58" s="532"/>
      <c r="HHC58" s="532"/>
      <c r="HHD58" s="532"/>
      <c r="HHE58" s="532"/>
      <c r="HHF58" s="532"/>
      <c r="HHG58" s="532"/>
      <c r="HHH58" s="532"/>
      <c r="HHI58" s="532"/>
      <c r="HHJ58" s="532"/>
      <c r="HHK58" s="532"/>
      <c r="HHL58" s="532"/>
      <c r="HHM58" s="532"/>
      <c r="HHN58" s="532"/>
      <c r="HHO58" s="532"/>
      <c r="HHP58" s="532"/>
      <c r="HHQ58" s="532"/>
      <c r="HHR58" s="532"/>
      <c r="HHS58" s="532"/>
      <c r="HHT58" s="532"/>
      <c r="HHU58" s="532"/>
      <c r="HHV58" s="532"/>
      <c r="HHW58" s="532"/>
      <c r="HHX58" s="532"/>
      <c r="HHY58" s="532"/>
      <c r="HHZ58" s="532"/>
      <c r="HIA58" s="532"/>
      <c r="HIB58" s="532"/>
      <c r="HIC58" s="532"/>
      <c r="HID58" s="532"/>
      <c r="HIE58" s="532"/>
      <c r="HIF58" s="532"/>
      <c r="HIG58" s="532"/>
      <c r="HIH58" s="532"/>
      <c r="HII58" s="532"/>
      <c r="HIJ58" s="532"/>
      <c r="HIK58" s="532"/>
      <c r="HIL58" s="532"/>
      <c r="HIM58" s="532"/>
      <c r="HIN58" s="532"/>
      <c r="HIO58" s="532"/>
      <c r="HIP58" s="532"/>
      <c r="HIQ58" s="532"/>
      <c r="HIR58" s="532"/>
      <c r="HIS58" s="532"/>
      <c r="HIT58" s="532"/>
      <c r="HIU58" s="532"/>
      <c r="HIV58" s="532"/>
      <c r="HIW58" s="532"/>
      <c r="HIX58" s="532"/>
      <c r="HIY58" s="532"/>
      <c r="HIZ58" s="532"/>
      <c r="HJA58" s="532"/>
      <c r="HJB58" s="532"/>
      <c r="HJC58" s="532"/>
      <c r="HJD58" s="532"/>
      <c r="HJE58" s="532"/>
      <c r="HJF58" s="532"/>
      <c r="HJG58" s="532"/>
      <c r="HJH58" s="532"/>
      <c r="HJI58" s="532"/>
      <c r="HJJ58" s="532"/>
      <c r="HJK58" s="532"/>
      <c r="HJL58" s="532"/>
      <c r="HJM58" s="532"/>
      <c r="HJN58" s="532"/>
      <c r="HJO58" s="532"/>
      <c r="HJP58" s="532"/>
      <c r="HJQ58" s="532"/>
      <c r="HJR58" s="532"/>
      <c r="HJS58" s="532"/>
      <c r="HJT58" s="532"/>
      <c r="HJU58" s="532"/>
      <c r="HJV58" s="532"/>
      <c r="HJW58" s="532"/>
      <c r="HJX58" s="532"/>
      <c r="HJY58" s="532"/>
      <c r="HJZ58" s="532"/>
      <c r="HKA58" s="532"/>
      <c r="HKB58" s="532"/>
      <c r="HKC58" s="532"/>
      <c r="HKD58" s="532"/>
      <c r="HKE58" s="532"/>
      <c r="HKF58" s="532"/>
      <c r="HKG58" s="532"/>
      <c r="HKH58" s="532"/>
      <c r="HKI58" s="532"/>
      <c r="HKJ58" s="532"/>
      <c r="HKK58" s="532"/>
      <c r="HKL58" s="532"/>
      <c r="HKM58" s="532"/>
      <c r="HKN58" s="532"/>
      <c r="HKO58" s="532"/>
      <c r="HKP58" s="532"/>
      <c r="HKQ58" s="532"/>
      <c r="HKR58" s="532"/>
      <c r="HKS58" s="532"/>
      <c r="HKT58" s="532"/>
      <c r="HKU58" s="532"/>
      <c r="HKV58" s="532"/>
      <c r="HKW58" s="532"/>
      <c r="HKX58" s="532"/>
      <c r="HKY58" s="532"/>
      <c r="HKZ58" s="532"/>
      <c r="HLA58" s="532"/>
      <c r="HLB58" s="532"/>
      <c r="HLC58" s="532"/>
      <c r="HLD58" s="532"/>
      <c r="HLE58" s="532"/>
      <c r="HLF58" s="532"/>
      <c r="HLG58" s="532"/>
      <c r="HLH58" s="532"/>
      <c r="HLI58" s="532"/>
      <c r="HLJ58" s="532"/>
      <c r="HLK58" s="532"/>
      <c r="HLL58" s="532"/>
      <c r="HLM58" s="532"/>
      <c r="HLN58" s="532"/>
      <c r="HLO58" s="532"/>
      <c r="HLP58" s="532"/>
      <c r="HLQ58" s="532"/>
      <c r="HLR58" s="532"/>
      <c r="HLS58" s="532"/>
      <c r="HLT58" s="532"/>
      <c r="HLU58" s="532"/>
      <c r="HLV58" s="532"/>
      <c r="HLW58" s="532"/>
      <c r="HLX58" s="532"/>
      <c r="HLY58" s="532"/>
      <c r="HLZ58" s="532"/>
      <c r="HMA58" s="532"/>
      <c r="HMB58" s="532"/>
      <c r="HMC58" s="532"/>
      <c r="HMD58" s="532"/>
      <c r="HME58" s="532"/>
      <c r="HMF58" s="532"/>
      <c r="HMG58" s="532"/>
      <c r="HMH58" s="532"/>
      <c r="HMI58" s="532"/>
      <c r="HMJ58" s="532"/>
      <c r="HMK58" s="532"/>
      <c r="HML58" s="532"/>
      <c r="HMM58" s="532"/>
      <c r="HMN58" s="532"/>
      <c r="HMO58" s="532"/>
      <c r="HMP58" s="532"/>
      <c r="HMQ58" s="532"/>
      <c r="HMR58" s="532"/>
      <c r="HMS58" s="532"/>
      <c r="HMT58" s="532"/>
      <c r="HMU58" s="532"/>
      <c r="HMV58" s="532"/>
      <c r="HMW58" s="532"/>
      <c r="HMX58" s="532"/>
      <c r="HMY58" s="532"/>
      <c r="HMZ58" s="532"/>
      <c r="HNA58" s="532"/>
      <c r="HNB58" s="532"/>
      <c r="HNC58" s="532"/>
      <c r="HND58" s="532"/>
      <c r="HNE58" s="532"/>
      <c r="HNF58" s="532"/>
      <c r="HNG58" s="532"/>
      <c r="HNH58" s="532"/>
      <c r="HNI58" s="532"/>
      <c r="HNJ58" s="532"/>
      <c r="HNK58" s="532"/>
      <c r="HNL58" s="532"/>
      <c r="HNM58" s="532"/>
      <c r="HNN58" s="532"/>
      <c r="HNO58" s="532"/>
      <c r="HNP58" s="532"/>
      <c r="HNQ58" s="532"/>
      <c r="HNR58" s="532"/>
      <c r="HNS58" s="532"/>
      <c r="HNT58" s="532"/>
      <c r="HNU58" s="532"/>
      <c r="HNV58" s="532"/>
      <c r="HNW58" s="532"/>
      <c r="HNX58" s="532"/>
      <c r="HNY58" s="532"/>
      <c r="HNZ58" s="532"/>
      <c r="HOA58" s="532"/>
      <c r="HOB58" s="532"/>
      <c r="HOC58" s="532"/>
      <c r="HOD58" s="532"/>
      <c r="HOE58" s="532"/>
      <c r="HOF58" s="532"/>
      <c r="HOG58" s="532"/>
      <c r="HOH58" s="532"/>
      <c r="HOI58" s="532"/>
      <c r="HOJ58" s="532"/>
      <c r="HOK58" s="532"/>
      <c r="HOL58" s="532"/>
      <c r="HOM58" s="532"/>
      <c r="HON58" s="532"/>
      <c r="HOO58" s="532"/>
      <c r="HOP58" s="532"/>
      <c r="HOQ58" s="532"/>
      <c r="HOR58" s="532"/>
      <c r="HOS58" s="532"/>
      <c r="HOT58" s="532"/>
      <c r="HOU58" s="532"/>
      <c r="HOV58" s="532"/>
      <c r="HOW58" s="532"/>
      <c r="HOX58" s="532"/>
      <c r="HOY58" s="532"/>
      <c r="HOZ58" s="532"/>
      <c r="HPA58" s="532"/>
      <c r="HPB58" s="532"/>
      <c r="HPC58" s="532"/>
      <c r="HPD58" s="532"/>
      <c r="HPE58" s="532"/>
      <c r="HPF58" s="532"/>
      <c r="HPG58" s="532"/>
      <c r="HPH58" s="532"/>
      <c r="HPI58" s="532"/>
      <c r="HPJ58" s="532"/>
      <c r="HPK58" s="532"/>
      <c r="HPL58" s="532"/>
      <c r="HPM58" s="532"/>
      <c r="HPN58" s="532"/>
      <c r="HPO58" s="532"/>
      <c r="HPP58" s="532"/>
      <c r="HPQ58" s="532"/>
      <c r="HPR58" s="532"/>
      <c r="HPS58" s="532"/>
      <c r="HPT58" s="532"/>
      <c r="HPU58" s="532"/>
      <c r="HPV58" s="532"/>
      <c r="HPW58" s="532"/>
      <c r="HPX58" s="532"/>
      <c r="HPY58" s="532"/>
      <c r="HPZ58" s="532"/>
      <c r="HQA58" s="532"/>
      <c r="HQB58" s="532"/>
      <c r="HQC58" s="532"/>
      <c r="HQD58" s="532"/>
      <c r="HQE58" s="532"/>
      <c r="HQF58" s="532"/>
      <c r="HQG58" s="532"/>
      <c r="HQH58" s="532"/>
      <c r="HQI58" s="532"/>
      <c r="HQJ58" s="532"/>
      <c r="HQK58" s="532"/>
      <c r="HQL58" s="532"/>
      <c r="HQM58" s="532"/>
      <c r="HQN58" s="532"/>
      <c r="HQO58" s="532"/>
      <c r="HQP58" s="532"/>
      <c r="HQQ58" s="532"/>
      <c r="HQR58" s="532"/>
      <c r="HQS58" s="532"/>
      <c r="HQT58" s="532"/>
      <c r="HQU58" s="532"/>
      <c r="HQV58" s="532"/>
      <c r="HQW58" s="532"/>
      <c r="HQX58" s="532"/>
      <c r="HQY58" s="532"/>
      <c r="HQZ58" s="532"/>
      <c r="HRA58" s="532"/>
      <c r="HRB58" s="532"/>
      <c r="HRC58" s="532"/>
      <c r="HRD58" s="532"/>
      <c r="HRE58" s="532"/>
      <c r="HRF58" s="532"/>
      <c r="HRG58" s="532"/>
      <c r="HRH58" s="532"/>
      <c r="HRI58" s="532"/>
      <c r="HRJ58" s="532"/>
      <c r="HRK58" s="532"/>
      <c r="HRL58" s="532"/>
      <c r="HRM58" s="532"/>
      <c r="HRN58" s="532"/>
      <c r="HRO58" s="532"/>
      <c r="HRP58" s="532"/>
      <c r="HRQ58" s="532"/>
      <c r="HRR58" s="532"/>
      <c r="HRS58" s="532"/>
      <c r="HRT58" s="532"/>
      <c r="HRU58" s="532"/>
      <c r="HRV58" s="532"/>
      <c r="HRW58" s="532"/>
      <c r="HRX58" s="532"/>
      <c r="HRY58" s="532"/>
      <c r="HRZ58" s="532"/>
      <c r="HSA58" s="532"/>
      <c r="HSB58" s="532"/>
      <c r="HSC58" s="532"/>
      <c r="HSD58" s="532"/>
      <c r="HSE58" s="532"/>
      <c r="HSF58" s="532"/>
      <c r="HSG58" s="532"/>
      <c r="HSH58" s="532"/>
      <c r="HSI58" s="532"/>
      <c r="HSJ58" s="532"/>
      <c r="HSK58" s="532"/>
      <c r="HSL58" s="532"/>
      <c r="HSM58" s="532"/>
      <c r="HSN58" s="532"/>
      <c r="HSO58" s="532"/>
      <c r="HSP58" s="532"/>
      <c r="HSQ58" s="532"/>
      <c r="HSR58" s="532"/>
      <c r="HSS58" s="532"/>
      <c r="HST58" s="532"/>
      <c r="HSU58" s="532"/>
      <c r="HSV58" s="532"/>
      <c r="HSW58" s="532"/>
      <c r="HSX58" s="532"/>
      <c r="HSY58" s="532"/>
      <c r="HSZ58" s="532"/>
      <c r="HTA58" s="532"/>
      <c r="HTB58" s="532"/>
      <c r="HTC58" s="532"/>
      <c r="HTD58" s="532"/>
      <c r="HTE58" s="532"/>
      <c r="HTF58" s="532"/>
      <c r="HTG58" s="532"/>
      <c r="HTH58" s="532"/>
      <c r="HTI58" s="532"/>
      <c r="HTJ58" s="532"/>
      <c r="HTK58" s="532"/>
      <c r="HTL58" s="532"/>
      <c r="HTM58" s="532"/>
      <c r="HTN58" s="532"/>
      <c r="HTO58" s="532"/>
      <c r="HTP58" s="532"/>
      <c r="HTQ58" s="532"/>
      <c r="HTR58" s="532"/>
      <c r="HTS58" s="532"/>
      <c r="HTT58" s="532"/>
      <c r="HTU58" s="532"/>
      <c r="HTV58" s="532"/>
      <c r="HTW58" s="532"/>
      <c r="HTX58" s="532"/>
      <c r="HTY58" s="532"/>
      <c r="HTZ58" s="532"/>
      <c r="HUA58" s="532"/>
      <c r="HUB58" s="532"/>
      <c r="HUC58" s="532"/>
      <c r="HUD58" s="532"/>
      <c r="HUE58" s="532"/>
      <c r="HUF58" s="532"/>
      <c r="HUG58" s="532"/>
      <c r="HUH58" s="532"/>
      <c r="HUI58" s="532"/>
      <c r="HUJ58" s="532"/>
      <c r="HUK58" s="532"/>
      <c r="HUL58" s="532"/>
      <c r="HUM58" s="532"/>
      <c r="HUN58" s="532"/>
      <c r="HUO58" s="532"/>
      <c r="HUP58" s="532"/>
      <c r="HUQ58" s="532"/>
      <c r="HUR58" s="532"/>
      <c r="HUS58" s="532"/>
      <c r="HUT58" s="532"/>
      <c r="HUU58" s="532"/>
      <c r="HUV58" s="532"/>
      <c r="HUW58" s="532"/>
      <c r="HUX58" s="532"/>
      <c r="HUY58" s="532"/>
      <c r="HUZ58" s="532"/>
      <c r="HVA58" s="532"/>
      <c r="HVB58" s="532"/>
      <c r="HVC58" s="532"/>
      <c r="HVD58" s="532"/>
      <c r="HVE58" s="532"/>
      <c r="HVF58" s="532"/>
      <c r="HVG58" s="532"/>
      <c r="HVH58" s="532"/>
      <c r="HVI58" s="532"/>
      <c r="HVJ58" s="532"/>
      <c r="HVK58" s="532"/>
      <c r="HVL58" s="532"/>
      <c r="HVM58" s="532"/>
      <c r="HVN58" s="532"/>
      <c r="HVO58" s="532"/>
      <c r="HVP58" s="532"/>
      <c r="HVQ58" s="532"/>
      <c r="HVR58" s="532"/>
      <c r="HVS58" s="532"/>
      <c r="HVT58" s="532"/>
      <c r="HVU58" s="532"/>
      <c r="HVV58" s="532"/>
      <c r="HVW58" s="532"/>
      <c r="HVX58" s="532"/>
      <c r="HVY58" s="532"/>
      <c r="HVZ58" s="532"/>
      <c r="HWA58" s="532"/>
      <c r="HWB58" s="532"/>
      <c r="HWC58" s="532"/>
      <c r="HWD58" s="532"/>
      <c r="HWE58" s="532"/>
      <c r="HWF58" s="532"/>
      <c r="HWG58" s="532"/>
      <c r="HWH58" s="532"/>
      <c r="HWI58" s="532"/>
      <c r="HWJ58" s="532"/>
      <c r="HWK58" s="532"/>
      <c r="HWL58" s="532"/>
      <c r="HWM58" s="532"/>
      <c r="HWN58" s="532"/>
      <c r="HWO58" s="532"/>
      <c r="HWP58" s="532"/>
      <c r="HWQ58" s="532"/>
      <c r="HWR58" s="532"/>
      <c r="HWS58" s="532"/>
      <c r="HWT58" s="532"/>
      <c r="HWU58" s="532"/>
      <c r="HWV58" s="532"/>
      <c r="HWW58" s="532"/>
      <c r="HWX58" s="532"/>
      <c r="HWY58" s="532"/>
      <c r="HWZ58" s="532"/>
      <c r="HXA58" s="532"/>
      <c r="HXB58" s="532"/>
      <c r="HXC58" s="532"/>
      <c r="HXD58" s="532"/>
      <c r="HXE58" s="532"/>
      <c r="HXF58" s="532"/>
      <c r="HXG58" s="532"/>
      <c r="HXH58" s="532"/>
      <c r="HXI58" s="532"/>
      <c r="HXJ58" s="532"/>
      <c r="HXK58" s="532"/>
      <c r="HXL58" s="532"/>
      <c r="HXM58" s="532"/>
      <c r="HXN58" s="532"/>
      <c r="HXO58" s="532"/>
      <c r="HXP58" s="532"/>
      <c r="HXQ58" s="532"/>
      <c r="HXR58" s="532"/>
      <c r="HXS58" s="532"/>
      <c r="HXT58" s="532"/>
      <c r="HXU58" s="532"/>
      <c r="HXV58" s="532"/>
      <c r="HXW58" s="532"/>
      <c r="HXX58" s="532"/>
      <c r="HXY58" s="532"/>
      <c r="HXZ58" s="532"/>
      <c r="HYA58" s="532"/>
      <c r="HYB58" s="532"/>
      <c r="HYC58" s="532"/>
      <c r="HYD58" s="532"/>
      <c r="HYE58" s="532"/>
      <c r="HYF58" s="532"/>
      <c r="HYG58" s="532"/>
      <c r="HYH58" s="532"/>
      <c r="HYI58" s="532"/>
      <c r="HYJ58" s="532"/>
      <c r="HYK58" s="532"/>
      <c r="HYL58" s="532"/>
      <c r="HYM58" s="532"/>
      <c r="HYN58" s="532"/>
      <c r="HYO58" s="532"/>
      <c r="HYP58" s="532"/>
      <c r="HYQ58" s="532"/>
      <c r="HYR58" s="532"/>
      <c r="HYS58" s="532"/>
      <c r="HYT58" s="532"/>
      <c r="HYU58" s="532"/>
      <c r="HYV58" s="532"/>
      <c r="HYW58" s="532"/>
      <c r="HYX58" s="532"/>
      <c r="HYY58" s="532"/>
      <c r="HYZ58" s="532"/>
      <c r="HZA58" s="532"/>
      <c r="HZB58" s="532"/>
      <c r="HZC58" s="532"/>
      <c r="HZD58" s="532"/>
      <c r="HZE58" s="532"/>
      <c r="HZF58" s="532"/>
      <c r="HZG58" s="532"/>
      <c r="HZH58" s="532"/>
      <c r="HZI58" s="532"/>
      <c r="HZJ58" s="532"/>
      <c r="HZK58" s="532"/>
      <c r="HZL58" s="532"/>
      <c r="HZM58" s="532"/>
      <c r="HZN58" s="532"/>
      <c r="HZO58" s="532"/>
      <c r="HZP58" s="532"/>
      <c r="HZQ58" s="532"/>
      <c r="HZR58" s="532"/>
      <c r="HZS58" s="532"/>
      <c r="HZT58" s="532"/>
      <c r="HZU58" s="532"/>
      <c r="HZV58" s="532"/>
      <c r="HZW58" s="532"/>
      <c r="HZX58" s="532"/>
      <c r="HZY58" s="532"/>
      <c r="HZZ58" s="532"/>
      <c r="IAA58" s="532"/>
      <c r="IAB58" s="532"/>
      <c r="IAC58" s="532"/>
      <c r="IAD58" s="532"/>
      <c r="IAE58" s="532"/>
      <c r="IAF58" s="532"/>
      <c r="IAG58" s="532"/>
      <c r="IAH58" s="532"/>
      <c r="IAI58" s="532"/>
      <c r="IAJ58" s="532"/>
      <c r="IAK58" s="532"/>
      <c r="IAL58" s="532"/>
      <c r="IAM58" s="532"/>
      <c r="IAN58" s="532"/>
      <c r="IAO58" s="532"/>
      <c r="IAP58" s="532"/>
      <c r="IAQ58" s="532"/>
      <c r="IAR58" s="532"/>
      <c r="IAS58" s="532"/>
      <c r="IAT58" s="532"/>
      <c r="IAU58" s="532"/>
      <c r="IAV58" s="532"/>
      <c r="IAW58" s="532"/>
      <c r="IAX58" s="532"/>
      <c r="IAY58" s="532"/>
      <c r="IAZ58" s="532"/>
      <c r="IBA58" s="532"/>
      <c r="IBB58" s="532"/>
      <c r="IBC58" s="532"/>
      <c r="IBD58" s="532"/>
      <c r="IBE58" s="532"/>
      <c r="IBF58" s="532"/>
      <c r="IBG58" s="532"/>
      <c r="IBH58" s="532"/>
      <c r="IBI58" s="532"/>
      <c r="IBJ58" s="532"/>
      <c r="IBK58" s="532"/>
      <c r="IBL58" s="532"/>
      <c r="IBM58" s="532"/>
      <c r="IBN58" s="532"/>
      <c r="IBO58" s="532"/>
      <c r="IBP58" s="532"/>
      <c r="IBQ58" s="532"/>
      <c r="IBR58" s="532"/>
      <c r="IBS58" s="532"/>
      <c r="IBT58" s="532"/>
      <c r="IBU58" s="532"/>
      <c r="IBV58" s="532"/>
      <c r="IBW58" s="532"/>
      <c r="IBX58" s="532"/>
      <c r="IBY58" s="532"/>
      <c r="IBZ58" s="532"/>
      <c r="ICA58" s="532"/>
      <c r="ICB58" s="532"/>
      <c r="ICC58" s="532"/>
      <c r="ICD58" s="532"/>
      <c r="ICE58" s="532"/>
      <c r="ICF58" s="532"/>
      <c r="ICG58" s="532"/>
      <c r="ICH58" s="532"/>
      <c r="ICI58" s="532"/>
      <c r="ICJ58" s="532"/>
      <c r="ICK58" s="532"/>
      <c r="ICL58" s="532"/>
      <c r="ICM58" s="532"/>
      <c r="ICN58" s="532"/>
      <c r="ICO58" s="532"/>
      <c r="ICP58" s="532"/>
      <c r="ICQ58" s="532"/>
      <c r="ICR58" s="532"/>
      <c r="ICS58" s="532"/>
      <c r="ICT58" s="532"/>
      <c r="ICU58" s="532"/>
      <c r="ICV58" s="532"/>
      <c r="ICW58" s="532"/>
      <c r="ICX58" s="532"/>
      <c r="ICY58" s="532"/>
      <c r="ICZ58" s="532"/>
      <c r="IDA58" s="532"/>
      <c r="IDB58" s="532"/>
      <c r="IDC58" s="532"/>
      <c r="IDD58" s="532"/>
      <c r="IDE58" s="532"/>
      <c r="IDF58" s="532"/>
      <c r="IDG58" s="532"/>
      <c r="IDH58" s="532"/>
      <c r="IDI58" s="532"/>
      <c r="IDJ58" s="532"/>
      <c r="IDK58" s="532"/>
      <c r="IDL58" s="532"/>
      <c r="IDM58" s="532"/>
      <c r="IDN58" s="532"/>
      <c r="IDO58" s="532"/>
      <c r="IDP58" s="532"/>
      <c r="IDQ58" s="532"/>
      <c r="IDR58" s="532"/>
      <c r="IDS58" s="532"/>
      <c r="IDT58" s="532"/>
      <c r="IDU58" s="532"/>
      <c r="IDV58" s="532"/>
      <c r="IDW58" s="532"/>
      <c r="IDX58" s="532"/>
      <c r="IDY58" s="532"/>
      <c r="IDZ58" s="532"/>
      <c r="IEA58" s="532"/>
      <c r="IEB58" s="532"/>
      <c r="IEC58" s="532"/>
      <c r="IED58" s="532"/>
      <c r="IEE58" s="532"/>
      <c r="IEF58" s="532"/>
      <c r="IEG58" s="532"/>
      <c r="IEH58" s="532"/>
      <c r="IEI58" s="532"/>
      <c r="IEJ58" s="532"/>
      <c r="IEK58" s="532"/>
      <c r="IEL58" s="532"/>
      <c r="IEM58" s="532"/>
      <c r="IEN58" s="532"/>
      <c r="IEO58" s="532"/>
      <c r="IEP58" s="532"/>
      <c r="IEQ58" s="532"/>
      <c r="IER58" s="532"/>
      <c r="IES58" s="532"/>
      <c r="IET58" s="532"/>
      <c r="IEU58" s="532"/>
      <c r="IEV58" s="532"/>
      <c r="IEW58" s="532"/>
      <c r="IEX58" s="532"/>
      <c r="IEY58" s="532"/>
      <c r="IEZ58" s="532"/>
      <c r="IFA58" s="532"/>
      <c r="IFB58" s="532"/>
      <c r="IFC58" s="532"/>
      <c r="IFD58" s="532"/>
      <c r="IFE58" s="532"/>
      <c r="IFF58" s="532"/>
      <c r="IFG58" s="532"/>
      <c r="IFH58" s="532"/>
      <c r="IFI58" s="532"/>
      <c r="IFJ58" s="532"/>
      <c r="IFK58" s="532"/>
      <c r="IFL58" s="532"/>
      <c r="IFM58" s="532"/>
      <c r="IFN58" s="532"/>
      <c r="IFO58" s="532"/>
      <c r="IFP58" s="532"/>
      <c r="IFQ58" s="532"/>
      <c r="IFR58" s="532"/>
      <c r="IFS58" s="532"/>
      <c r="IFT58" s="532"/>
      <c r="IFU58" s="532"/>
      <c r="IFV58" s="532"/>
      <c r="IFW58" s="532"/>
      <c r="IFX58" s="532"/>
      <c r="IFY58" s="532"/>
      <c r="IFZ58" s="532"/>
      <c r="IGA58" s="532"/>
      <c r="IGB58" s="532"/>
      <c r="IGC58" s="532"/>
      <c r="IGD58" s="532"/>
      <c r="IGE58" s="532"/>
      <c r="IGF58" s="532"/>
      <c r="IGG58" s="532"/>
      <c r="IGH58" s="532"/>
      <c r="IGI58" s="532"/>
      <c r="IGJ58" s="532"/>
      <c r="IGK58" s="532"/>
      <c r="IGL58" s="532"/>
      <c r="IGM58" s="532"/>
      <c r="IGN58" s="532"/>
      <c r="IGO58" s="532"/>
      <c r="IGP58" s="532"/>
      <c r="IGQ58" s="532"/>
      <c r="IGR58" s="532"/>
      <c r="IGS58" s="532"/>
      <c r="IGT58" s="532"/>
      <c r="IGU58" s="532"/>
      <c r="IGV58" s="532"/>
      <c r="IGW58" s="532"/>
      <c r="IGX58" s="532"/>
      <c r="IGY58" s="532"/>
      <c r="IGZ58" s="532"/>
      <c r="IHA58" s="532"/>
      <c r="IHB58" s="532"/>
      <c r="IHC58" s="532"/>
      <c r="IHD58" s="532"/>
      <c r="IHE58" s="532"/>
      <c r="IHF58" s="532"/>
      <c r="IHG58" s="532"/>
      <c r="IHH58" s="532"/>
      <c r="IHI58" s="532"/>
      <c r="IHJ58" s="532"/>
      <c r="IHK58" s="532"/>
      <c r="IHL58" s="532"/>
      <c r="IHM58" s="532"/>
      <c r="IHN58" s="532"/>
      <c r="IHO58" s="532"/>
      <c r="IHP58" s="532"/>
      <c r="IHQ58" s="532"/>
      <c r="IHR58" s="532"/>
      <c r="IHS58" s="532"/>
      <c r="IHT58" s="532"/>
      <c r="IHU58" s="532"/>
      <c r="IHV58" s="532"/>
      <c r="IHW58" s="532"/>
      <c r="IHX58" s="532"/>
      <c r="IHY58" s="532"/>
      <c r="IHZ58" s="532"/>
      <c r="IIA58" s="532"/>
      <c r="IIB58" s="532"/>
      <c r="IIC58" s="532"/>
      <c r="IID58" s="532"/>
      <c r="IIE58" s="532"/>
      <c r="IIF58" s="532"/>
      <c r="IIG58" s="532"/>
      <c r="IIH58" s="532"/>
      <c r="III58" s="532"/>
      <c r="IIJ58" s="532"/>
      <c r="IIK58" s="532"/>
      <c r="IIL58" s="532"/>
      <c r="IIM58" s="532"/>
      <c r="IIN58" s="532"/>
      <c r="IIO58" s="532"/>
      <c r="IIP58" s="532"/>
      <c r="IIQ58" s="532"/>
      <c r="IIR58" s="532"/>
      <c r="IIS58" s="532"/>
      <c r="IIT58" s="532"/>
      <c r="IIU58" s="532"/>
      <c r="IIV58" s="532"/>
      <c r="IIW58" s="532"/>
      <c r="IIX58" s="532"/>
      <c r="IIY58" s="532"/>
      <c r="IIZ58" s="532"/>
      <c r="IJA58" s="532"/>
      <c r="IJB58" s="532"/>
      <c r="IJC58" s="532"/>
      <c r="IJD58" s="532"/>
      <c r="IJE58" s="532"/>
      <c r="IJF58" s="532"/>
      <c r="IJG58" s="532"/>
      <c r="IJH58" s="532"/>
      <c r="IJI58" s="532"/>
      <c r="IJJ58" s="532"/>
      <c r="IJK58" s="532"/>
      <c r="IJL58" s="532"/>
      <c r="IJM58" s="532"/>
      <c r="IJN58" s="532"/>
      <c r="IJO58" s="532"/>
      <c r="IJP58" s="532"/>
      <c r="IJQ58" s="532"/>
      <c r="IJR58" s="532"/>
      <c r="IJS58" s="532"/>
      <c r="IJT58" s="532"/>
      <c r="IJU58" s="532"/>
      <c r="IJV58" s="532"/>
      <c r="IJW58" s="532"/>
      <c r="IJX58" s="532"/>
      <c r="IJY58" s="532"/>
      <c r="IJZ58" s="532"/>
      <c r="IKA58" s="532"/>
      <c r="IKB58" s="532"/>
      <c r="IKC58" s="532"/>
      <c r="IKD58" s="532"/>
      <c r="IKE58" s="532"/>
      <c r="IKF58" s="532"/>
      <c r="IKG58" s="532"/>
      <c r="IKH58" s="532"/>
      <c r="IKI58" s="532"/>
      <c r="IKJ58" s="532"/>
      <c r="IKK58" s="532"/>
      <c r="IKL58" s="532"/>
      <c r="IKM58" s="532"/>
      <c r="IKN58" s="532"/>
      <c r="IKO58" s="532"/>
      <c r="IKP58" s="532"/>
      <c r="IKQ58" s="532"/>
      <c r="IKR58" s="532"/>
      <c r="IKS58" s="532"/>
      <c r="IKT58" s="532"/>
      <c r="IKU58" s="532"/>
      <c r="IKV58" s="532"/>
      <c r="IKW58" s="532"/>
      <c r="IKX58" s="532"/>
      <c r="IKY58" s="532"/>
      <c r="IKZ58" s="532"/>
      <c r="ILA58" s="532"/>
      <c r="ILB58" s="532"/>
      <c r="ILC58" s="532"/>
      <c r="ILD58" s="532"/>
      <c r="ILE58" s="532"/>
      <c r="ILF58" s="532"/>
      <c r="ILG58" s="532"/>
      <c r="ILH58" s="532"/>
      <c r="ILI58" s="532"/>
      <c r="ILJ58" s="532"/>
      <c r="ILK58" s="532"/>
      <c r="ILL58" s="532"/>
      <c r="ILM58" s="532"/>
      <c r="ILN58" s="532"/>
      <c r="ILO58" s="532"/>
      <c r="ILP58" s="532"/>
      <c r="ILQ58" s="532"/>
      <c r="ILR58" s="532"/>
      <c r="ILS58" s="532"/>
      <c r="ILT58" s="532"/>
      <c r="ILU58" s="532"/>
      <c r="ILV58" s="532"/>
      <c r="ILW58" s="532"/>
      <c r="ILX58" s="532"/>
      <c r="ILY58" s="532"/>
      <c r="ILZ58" s="532"/>
      <c r="IMA58" s="532"/>
      <c r="IMB58" s="532"/>
      <c r="IMC58" s="532"/>
      <c r="IMD58" s="532"/>
      <c r="IME58" s="532"/>
      <c r="IMF58" s="532"/>
      <c r="IMG58" s="532"/>
      <c r="IMH58" s="532"/>
      <c r="IMI58" s="532"/>
      <c r="IMJ58" s="532"/>
      <c r="IMK58" s="532"/>
      <c r="IML58" s="532"/>
      <c r="IMM58" s="532"/>
      <c r="IMN58" s="532"/>
      <c r="IMO58" s="532"/>
      <c r="IMP58" s="532"/>
      <c r="IMQ58" s="532"/>
      <c r="IMR58" s="532"/>
      <c r="IMS58" s="532"/>
      <c r="IMT58" s="532"/>
      <c r="IMU58" s="532"/>
      <c r="IMV58" s="532"/>
      <c r="IMW58" s="532"/>
      <c r="IMX58" s="532"/>
      <c r="IMY58" s="532"/>
      <c r="IMZ58" s="532"/>
      <c r="INA58" s="532"/>
      <c r="INB58" s="532"/>
      <c r="INC58" s="532"/>
      <c r="IND58" s="532"/>
      <c r="INE58" s="532"/>
      <c r="INF58" s="532"/>
      <c r="ING58" s="532"/>
      <c r="INH58" s="532"/>
      <c r="INI58" s="532"/>
      <c r="INJ58" s="532"/>
      <c r="INK58" s="532"/>
      <c r="INL58" s="532"/>
      <c r="INM58" s="532"/>
      <c r="INN58" s="532"/>
      <c r="INO58" s="532"/>
      <c r="INP58" s="532"/>
      <c r="INQ58" s="532"/>
      <c r="INR58" s="532"/>
      <c r="INS58" s="532"/>
      <c r="INT58" s="532"/>
      <c r="INU58" s="532"/>
      <c r="INV58" s="532"/>
      <c r="INW58" s="532"/>
      <c r="INX58" s="532"/>
      <c r="INY58" s="532"/>
      <c r="INZ58" s="532"/>
      <c r="IOA58" s="532"/>
      <c r="IOB58" s="532"/>
      <c r="IOC58" s="532"/>
      <c r="IOD58" s="532"/>
      <c r="IOE58" s="532"/>
      <c r="IOF58" s="532"/>
      <c r="IOG58" s="532"/>
      <c r="IOH58" s="532"/>
      <c r="IOI58" s="532"/>
      <c r="IOJ58" s="532"/>
      <c r="IOK58" s="532"/>
      <c r="IOL58" s="532"/>
      <c r="IOM58" s="532"/>
      <c r="ION58" s="532"/>
      <c r="IOO58" s="532"/>
      <c r="IOP58" s="532"/>
      <c r="IOQ58" s="532"/>
      <c r="IOR58" s="532"/>
      <c r="IOS58" s="532"/>
      <c r="IOT58" s="532"/>
      <c r="IOU58" s="532"/>
      <c r="IOV58" s="532"/>
      <c r="IOW58" s="532"/>
      <c r="IOX58" s="532"/>
      <c r="IOY58" s="532"/>
      <c r="IOZ58" s="532"/>
      <c r="IPA58" s="532"/>
      <c r="IPB58" s="532"/>
      <c r="IPC58" s="532"/>
      <c r="IPD58" s="532"/>
      <c r="IPE58" s="532"/>
      <c r="IPF58" s="532"/>
      <c r="IPG58" s="532"/>
      <c r="IPH58" s="532"/>
      <c r="IPI58" s="532"/>
      <c r="IPJ58" s="532"/>
      <c r="IPK58" s="532"/>
      <c r="IPL58" s="532"/>
      <c r="IPM58" s="532"/>
      <c r="IPN58" s="532"/>
      <c r="IPO58" s="532"/>
      <c r="IPP58" s="532"/>
      <c r="IPQ58" s="532"/>
      <c r="IPR58" s="532"/>
      <c r="IPS58" s="532"/>
      <c r="IPT58" s="532"/>
      <c r="IPU58" s="532"/>
      <c r="IPV58" s="532"/>
      <c r="IPW58" s="532"/>
      <c r="IPX58" s="532"/>
      <c r="IPY58" s="532"/>
      <c r="IPZ58" s="532"/>
      <c r="IQA58" s="532"/>
      <c r="IQB58" s="532"/>
      <c r="IQC58" s="532"/>
      <c r="IQD58" s="532"/>
      <c r="IQE58" s="532"/>
      <c r="IQF58" s="532"/>
      <c r="IQG58" s="532"/>
      <c r="IQH58" s="532"/>
      <c r="IQI58" s="532"/>
      <c r="IQJ58" s="532"/>
      <c r="IQK58" s="532"/>
      <c r="IQL58" s="532"/>
      <c r="IQM58" s="532"/>
      <c r="IQN58" s="532"/>
      <c r="IQO58" s="532"/>
      <c r="IQP58" s="532"/>
      <c r="IQQ58" s="532"/>
      <c r="IQR58" s="532"/>
      <c r="IQS58" s="532"/>
      <c r="IQT58" s="532"/>
      <c r="IQU58" s="532"/>
      <c r="IQV58" s="532"/>
      <c r="IQW58" s="532"/>
      <c r="IQX58" s="532"/>
      <c r="IQY58" s="532"/>
      <c r="IQZ58" s="532"/>
      <c r="IRA58" s="532"/>
      <c r="IRB58" s="532"/>
      <c r="IRC58" s="532"/>
      <c r="IRD58" s="532"/>
      <c r="IRE58" s="532"/>
      <c r="IRF58" s="532"/>
      <c r="IRG58" s="532"/>
      <c r="IRH58" s="532"/>
      <c r="IRI58" s="532"/>
      <c r="IRJ58" s="532"/>
      <c r="IRK58" s="532"/>
      <c r="IRL58" s="532"/>
      <c r="IRM58" s="532"/>
      <c r="IRN58" s="532"/>
      <c r="IRO58" s="532"/>
      <c r="IRP58" s="532"/>
      <c r="IRQ58" s="532"/>
      <c r="IRR58" s="532"/>
      <c r="IRS58" s="532"/>
      <c r="IRT58" s="532"/>
      <c r="IRU58" s="532"/>
      <c r="IRV58" s="532"/>
      <c r="IRW58" s="532"/>
      <c r="IRX58" s="532"/>
      <c r="IRY58" s="532"/>
      <c r="IRZ58" s="532"/>
      <c r="ISA58" s="532"/>
      <c r="ISB58" s="532"/>
      <c r="ISC58" s="532"/>
      <c r="ISD58" s="532"/>
      <c r="ISE58" s="532"/>
      <c r="ISF58" s="532"/>
      <c r="ISG58" s="532"/>
      <c r="ISH58" s="532"/>
      <c r="ISI58" s="532"/>
      <c r="ISJ58" s="532"/>
      <c r="ISK58" s="532"/>
      <c r="ISL58" s="532"/>
      <c r="ISM58" s="532"/>
      <c r="ISN58" s="532"/>
      <c r="ISO58" s="532"/>
      <c r="ISP58" s="532"/>
      <c r="ISQ58" s="532"/>
      <c r="ISR58" s="532"/>
      <c r="ISS58" s="532"/>
      <c r="IST58" s="532"/>
      <c r="ISU58" s="532"/>
      <c r="ISV58" s="532"/>
      <c r="ISW58" s="532"/>
      <c r="ISX58" s="532"/>
      <c r="ISY58" s="532"/>
      <c r="ISZ58" s="532"/>
      <c r="ITA58" s="532"/>
      <c r="ITB58" s="532"/>
      <c r="ITC58" s="532"/>
      <c r="ITD58" s="532"/>
      <c r="ITE58" s="532"/>
      <c r="ITF58" s="532"/>
      <c r="ITG58" s="532"/>
      <c r="ITH58" s="532"/>
      <c r="ITI58" s="532"/>
      <c r="ITJ58" s="532"/>
      <c r="ITK58" s="532"/>
      <c r="ITL58" s="532"/>
      <c r="ITM58" s="532"/>
      <c r="ITN58" s="532"/>
      <c r="ITO58" s="532"/>
      <c r="ITP58" s="532"/>
      <c r="ITQ58" s="532"/>
      <c r="ITR58" s="532"/>
      <c r="ITS58" s="532"/>
      <c r="ITT58" s="532"/>
      <c r="ITU58" s="532"/>
      <c r="ITV58" s="532"/>
      <c r="ITW58" s="532"/>
      <c r="ITX58" s="532"/>
      <c r="ITY58" s="532"/>
      <c r="ITZ58" s="532"/>
      <c r="IUA58" s="532"/>
      <c r="IUB58" s="532"/>
      <c r="IUC58" s="532"/>
      <c r="IUD58" s="532"/>
      <c r="IUE58" s="532"/>
      <c r="IUF58" s="532"/>
      <c r="IUG58" s="532"/>
      <c r="IUH58" s="532"/>
      <c r="IUI58" s="532"/>
      <c r="IUJ58" s="532"/>
      <c r="IUK58" s="532"/>
      <c r="IUL58" s="532"/>
      <c r="IUM58" s="532"/>
      <c r="IUN58" s="532"/>
      <c r="IUO58" s="532"/>
      <c r="IUP58" s="532"/>
      <c r="IUQ58" s="532"/>
      <c r="IUR58" s="532"/>
      <c r="IUS58" s="532"/>
      <c r="IUT58" s="532"/>
      <c r="IUU58" s="532"/>
      <c r="IUV58" s="532"/>
      <c r="IUW58" s="532"/>
      <c r="IUX58" s="532"/>
      <c r="IUY58" s="532"/>
      <c r="IUZ58" s="532"/>
      <c r="IVA58" s="532"/>
      <c r="IVB58" s="532"/>
      <c r="IVC58" s="532"/>
      <c r="IVD58" s="532"/>
      <c r="IVE58" s="532"/>
      <c r="IVF58" s="532"/>
      <c r="IVG58" s="532"/>
      <c r="IVH58" s="532"/>
      <c r="IVI58" s="532"/>
      <c r="IVJ58" s="532"/>
      <c r="IVK58" s="532"/>
      <c r="IVL58" s="532"/>
      <c r="IVM58" s="532"/>
      <c r="IVN58" s="532"/>
      <c r="IVO58" s="532"/>
      <c r="IVP58" s="532"/>
      <c r="IVQ58" s="532"/>
      <c r="IVR58" s="532"/>
      <c r="IVS58" s="532"/>
      <c r="IVT58" s="532"/>
      <c r="IVU58" s="532"/>
      <c r="IVV58" s="532"/>
      <c r="IVW58" s="532"/>
      <c r="IVX58" s="532"/>
      <c r="IVY58" s="532"/>
      <c r="IVZ58" s="532"/>
      <c r="IWA58" s="532"/>
      <c r="IWB58" s="532"/>
      <c r="IWC58" s="532"/>
      <c r="IWD58" s="532"/>
      <c r="IWE58" s="532"/>
      <c r="IWF58" s="532"/>
      <c r="IWG58" s="532"/>
      <c r="IWH58" s="532"/>
      <c r="IWI58" s="532"/>
      <c r="IWJ58" s="532"/>
      <c r="IWK58" s="532"/>
      <c r="IWL58" s="532"/>
      <c r="IWM58" s="532"/>
      <c r="IWN58" s="532"/>
      <c r="IWO58" s="532"/>
      <c r="IWP58" s="532"/>
      <c r="IWQ58" s="532"/>
      <c r="IWR58" s="532"/>
      <c r="IWS58" s="532"/>
      <c r="IWT58" s="532"/>
      <c r="IWU58" s="532"/>
      <c r="IWV58" s="532"/>
      <c r="IWW58" s="532"/>
      <c r="IWX58" s="532"/>
      <c r="IWY58" s="532"/>
      <c r="IWZ58" s="532"/>
      <c r="IXA58" s="532"/>
      <c r="IXB58" s="532"/>
      <c r="IXC58" s="532"/>
      <c r="IXD58" s="532"/>
      <c r="IXE58" s="532"/>
      <c r="IXF58" s="532"/>
      <c r="IXG58" s="532"/>
      <c r="IXH58" s="532"/>
      <c r="IXI58" s="532"/>
      <c r="IXJ58" s="532"/>
      <c r="IXK58" s="532"/>
      <c r="IXL58" s="532"/>
      <c r="IXM58" s="532"/>
      <c r="IXN58" s="532"/>
      <c r="IXO58" s="532"/>
      <c r="IXP58" s="532"/>
      <c r="IXQ58" s="532"/>
      <c r="IXR58" s="532"/>
      <c r="IXS58" s="532"/>
      <c r="IXT58" s="532"/>
      <c r="IXU58" s="532"/>
      <c r="IXV58" s="532"/>
      <c r="IXW58" s="532"/>
      <c r="IXX58" s="532"/>
      <c r="IXY58" s="532"/>
      <c r="IXZ58" s="532"/>
      <c r="IYA58" s="532"/>
      <c r="IYB58" s="532"/>
      <c r="IYC58" s="532"/>
      <c r="IYD58" s="532"/>
      <c r="IYE58" s="532"/>
      <c r="IYF58" s="532"/>
      <c r="IYG58" s="532"/>
      <c r="IYH58" s="532"/>
      <c r="IYI58" s="532"/>
      <c r="IYJ58" s="532"/>
      <c r="IYK58" s="532"/>
      <c r="IYL58" s="532"/>
      <c r="IYM58" s="532"/>
      <c r="IYN58" s="532"/>
      <c r="IYO58" s="532"/>
      <c r="IYP58" s="532"/>
      <c r="IYQ58" s="532"/>
      <c r="IYR58" s="532"/>
      <c r="IYS58" s="532"/>
      <c r="IYT58" s="532"/>
      <c r="IYU58" s="532"/>
      <c r="IYV58" s="532"/>
      <c r="IYW58" s="532"/>
      <c r="IYX58" s="532"/>
      <c r="IYY58" s="532"/>
      <c r="IYZ58" s="532"/>
      <c r="IZA58" s="532"/>
      <c r="IZB58" s="532"/>
      <c r="IZC58" s="532"/>
      <c r="IZD58" s="532"/>
      <c r="IZE58" s="532"/>
      <c r="IZF58" s="532"/>
      <c r="IZG58" s="532"/>
      <c r="IZH58" s="532"/>
      <c r="IZI58" s="532"/>
      <c r="IZJ58" s="532"/>
      <c r="IZK58" s="532"/>
      <c r="IZL58" s="532"/>
      <c r="IZM58" s="532"/>
      <c r="IZN58" s="532"/>
      <c r="IZO58" s="532"/>
      <c r="IZP58" s="532"/>
      <c r="IZQ58" s="532"/>
      <c r="IZR58" s="532"/>
      <c r="IZS58" s="532"/>
      <c r="IZT58" s="532"/>
      <c r="IZU58" s="532"/>
      <c r="IZV58" s="532"/>
      <c r="IZW58" s="532"/>
      <c r="IZX58" s="532"/>
      <c r="IZY58" s="532"/>
      <c r="IZZ58" s="532"/>
      <c r="JAA58" s="532"/>
      <c r="JAB58" s="532"/>
      <c r="JAC58" s="532"/>
      <c r="JAD58" s="532"/>
      <c r="JAE58" s="532"/>
      <c r="JAF58" s="532"/>
      <c r="JAG58" s="532"/>
      <c r="JAH58" s="532"/>
      <c r="JAI58" s="532"/>
      <c r="JAJ58" s="532"/>
      <c r="JAK58" s="532"/>
      <c r="JAL58" s="532"/>
      <c r="JAM58" s="532"/>
      <c r="JAN58" s="532"/>
      <c r="JAO58" s="532"/>
      <c r="JAP58" s="532"/>
      <c r="JAQ58" s="532"/>
      <c r="JAR58" s="532"/>
      <c r="JAS58" s="532"/>
      <c r="JAT58" s="532"/>
      <c r="JAU58" s="532"/>
      <c r="JAV58" s="532"/>
      <c r="JAW58" s="532"/>
      <c r="JAX58" s="532"/>
      <c r="JAY58" s="532"/>
      <c r="JAZ58" s="532"/>
      <c r="JBA58" s="532"/>
      <c r="JBB58" s="532"/>
      <c r="JBC58" s="532"/>
      <c r="JBD58" s="532"/>
      <c r="JBE58" s="532"/>
      <c r="JBF58" s="532"/>
      <c r="JBG58" s="532"/>
      <c r="JBH58" s="532"/>
      <c r="JBI58" s="532"/>
      <c r="JBJ58" s="532"/>
      <c r="JBK58" s="532"/>
      <c r="JBL58" s="532"/>
      <c r="JBM58" s="532"/>
      <c r="JBN58" s="532"/>
      <c r="JBO58" s="532"/>
      <c r="JBP58" s="532"/>
      <c r="JBQ58" s="532"/>
      <c r="JBR58" s="532"/>
      <c r="JBS58" s="532"/>
      <c r="JBT58" s="532"/>
      <c r="JBU58" s="532"/>
      <c r="JBV58" s="532"/>
      <c r="JBW58" s="532"/>
      <c r="JBX58" s="532"/>
      <c r="JBY58" s="532"/>
      <c r="JBZ58" s="532"/>
      <c r="JCA58" s="532"/>
      <c r="JCB58" s="532"/>
      <c r="JCC58" s="532"/>
      <c r="JCD58" s="532"/>
      <c r="JCE58" s="532"/>
      <c r="JCF58" s="532"/>
      <c r="JCG58" s="532"/>
      <c r="JCH58" s="532"/>
      <c r="JCI58" s="532"/>
      <c r="JCJ58" s="532"/>
      <c r="JCK58" s="532"/>
      <c r="JCL58" s="532"/>
      <c r="JCM58" s="532"/>
      <c r="JCN58" s="532"/>
      <c r="JCO58" s="532"/>
      <c r="JCP58" s="532"/>
      <c r="JCQ58" s="532"/>
      <c r="JCR58" s="532"/>
      <c r="JCS58" s="532"/>
      <c r="JCT58" s="532"/>
      <c r="JCU58" s="532"/>
      <c r="JCV58" s="532"/>
      <c r="JCW58" s="532"/>
      <c r="JCX58" s="532"/>
      <c r="JCY58" s="532"/>
      <c r="JCZ58" s="532"/>
      <c r="JDA58" s="532"/>
      <c r="JDB58" s="532"/>
      <c r="JDC58" s="532"/>
      <c r="JDD58" s="532"/>
      <c r="JDE58" s="532"/>
      <c r="JDF58" s="532"/>
      <c r="JDG58" s="532"/>
      <c r="JDH58" s="532"/>
      <c r="JDI58" s="532"/>
      <c r="JDJ58" s="532"/>
      <c r="JDK58" s="532"/>
      <c r="JDL58" s="532"/>
      <c r="JDM58" s="532"/>
      <c r="JDN58" s="532"/>
      <c r="JDO58" s="532"/>
      <c r="JDP58" s="532"/>
      <c r="JDQ58" s="532"/>
      <c r="JDR58" s="532"/>
      <c r="JDS58" s="532"/>
      <c r="JDT58" s="532"/>
      <c r="JDU58" s="532"/>
      <c r="JDV58" s="532"/>
      <c r="JDW58" s="532"/>
      <c r="JDX58" s="532"/>
      <c r="JDY58" s="532"/>
      <c r="JDZ58" s="532"/>
      <c r="JEA58" s="532"/>
      <c r="JEB58" s="532"/>
      <c r="JEC58" s="532"/>
      <c r="JED58" s="532"/>
      <c r="JEE58" s="532"/>
      <c r="JEF58" s="532"/>
      <c r="JEG58" s="532"/>
      <c r="JEH58" s="532"/>
      <c r="JEI58" s="532"/>
      <c r="JEJ58" s="532"/>
      <c r="JEK58" s="532"/>
      <c r="JEL58" s="532"/>
      <c r="JEM58" s="532"/>
      <c r="JEN58" s="532"/>
      <c r="JEO58" s="532"/>
      <c r="JEP58" s="532"/>
      <c r="JEQ58" s="532"/>
      <c r="JER58" s="532"/>
      <c r="JES58" s="532"/>
      <c r="JET58" s="532"/>
      <c r="JEU58" s="532"/>
      <c r="JEV58" s="532"/>
      <c r="JEW58" s="532"/>
      <c r="JEX58" s="532"/>
      <c r="JEY58" s="532"/>
      <c r="JEZ58" s="532"/>
      <c r="JFA58" s="532"/>
      <c r="JFB58" s="532"/>
      <c r="JFC58" s="532"/>
      <c r="JFD58" s="532"/>
      <c r="JFE58" s="532"/>
      <c r="JFF58" s="532"/>
      <c r="JFG58" s="532"/>
      <c r="JFH58" s="532"/>
      <c r="JFI58" s="532"/>
      <c r="JFJ58" s="532"/>
      <c r="JFK58" s="532"/>
      <c r="JFL58" s="532"/>
      <c r="JFM58" s="532"/>
      <c r="JFN58" s="532"/>
      <c r="JFO58" s="532"/>
      <c r="JFP58" s="532"/>
      <c r="JFQ58" s="532"/>
      <c r="JFR58" s="532"/>
      <c r="JFS58" s="532"/>
      <c r="JFT58" s="532"/>
      <c r="JFU58" s="532"/>
      <c r="JFV58" s="532"/>
      <c r="JFW58" s="532"/>
      <c r="JFX58" s="532"/>
      <c r="JFY58" s="532"/>
      <c r="JFZ58" s="532"/>
      <c r="JGA58" s="532"/>
      <c r="JGB58" s="532"/>
      <c r="JGC58" s="532"/>
      <c r="JGD58" s="532"/>
      <c r="JGE58" s="532"/>
      <c r="JGF58" s="532"/>
      <c r="JGG58" s="532"/>
      <c r="JGH58" s="532"/>
      <c r="JGI58" s="532"/>
      <c r="JGJ58" s="532"/>
      <c r="JGK58" s="532"/>
      <c r="JGL58" s="532"/>
      <c r="JGM58" s="532"/>
      <c r="JGN58" s="532"/>
      <c r="JGO58" s="532"/>
      <c r="JGP58" s="532"/>
      <c r="JGQ58" s="532"/>
      <c r="JGR58" s="532"/>
      <c r="JGS58" s="532"/>
      <c r="JGT58" s="532"/>
      <c r="JGU58" s="532"/>
      <c r="JGV58" s="532"/>
      <c r="JGW58" s="532"/>
      <c r="JGX58" s="532"/>
      <c r="JGY58" s="532"/>
      <c r="JGZ58" s="532"/>
      <c r="JHA58" s="532"/>
      <c r="JHB58" s="532"/>
      <c r="JHC58" s="532"/>
      <c r="JHD58" s="532"/>
      <c r="JHE58" s="532"/>
      <c r="JHF58" s="532"/>
      <c r="JHG58" s="532"/>
      <c r="JHH58" s="532"/>
      <c r="JHI58" s="532"/>
      <c r="JHJ58" s="532"/>
      <c r="JHK58" s="532"/>
      <c r="JHL58" s="532"/>
      <c r="JHM58" s="532"/>
      <c r="JHN58" s="532"/>
      <c r="JHO58" s="532"/>
      <c r="JHP58" s="532"/>
      <c r="JHQ58" s="532"/>
      <c r="JHR58" s="532"/>
      <c r="JHS58" s="532"/>
      <c r="JHT58" s="532"/>
      <c r="JHU58" s="532"/>
      <c r="JHV58" s="532"/>
      <c r="JHW58" s="532"/>
      <c r="JHX58" s="532"/>
      <c r="JHY58" s="532"/>
      <c r="JHZ58" s="532"/>
      <c r="JIA58" s="532"/>
      <c r="JIB58" s="532"/>
      <c r="JIC58" s="532"/>
      <c r="JID58" s="532"/>
      <c r="JIE58" s="532"/>
      <c r="JIF58" s="532"/>
      <c r="JIG58" s="532"/>
      <c r="JIH58" s="532"/>
      <c r="JII58" s="532"/>
      <c r="JIJ58" s="532"/>
      <c r="JIK58" s="532"/>
      <c r="JIL58" s="532"/>
      <c r="JIM58" s="532"/>
      <c r="JIN58" s="532"/>
      <c r="JIO58" s="532"/>
      <c r="JIP58" s="532"/>
      <c r="JIQ58" s="532"/>
      <c r="JIR58" s="532"/>
      <c r="JIS58" s="532"/>
      <c r="JIT58" s="532"/>
      <c r="JIU58" s="532"/>
      <c r="JIV58" s="532"/>
      <c r="JIW58" s="532"/>
      <c r="JIX58" s="532"/>
      <c r="JIY58" s="532"/>
      <c r="JIZ58" s="532"/>
      <c r="JJA58" s="532"/>
      <c r="JJB58" s="532"/>
      <c r="JJC58" s="532"/>
      <c r="JJD58" s="532"/>
      <c r="JJE58" s="532"/>
      <c r="JJF58" s="532"/>
      <c r="JJG58" s="532"/>
      <c r="JJH58" s="532"/>
      <c r="JJI58" s="532"/>
      <c r="JJJ58" s="532"/>
      <c r="JJK58" s="532"/>
      <c r="JJL58" s="532"/>
      <c r="JJM58" s="532"/>
      <c r="JJN58" s="532"/>
      <c r="JJO58" s="532"/>
      <c r="JJP58" s="532"/>
      <c r="JJQ58" s="532"/>
      <c r="JJR58" s="532"/>
      <c r="JJS58" s="532"/>
      <c r="JJT58" s="532"/>
      <c r="JJU58" s="532"/>
      <c r="JJV58" s="532"/>
      <c r="JJW58" s="532"/>
      <c r="JJX58" s="532"/>
      <c r="JJY58" s="532"/>
      <c r="JJZ58" s="532"/>
      <c r="JKA58" s="532"/>
      <c r="JKB58" s="532"/>
      <c r="JKC58" s="532"/>
      <c r="JKD58" s="532"/>
      <c r="JKE58" s="532"/>
      <c r="JKF58" s="532"/>
      <c r="JKG58" s="532"/>
      <c r="JKH58" s="532"/>
      <c r="JKI58" s="532"/>
      <c r="JKJ58" s="532"/>
      <c r="JKK58" s="532"/>
      <c r="JKL58" s="532"/>
      <c r="JKM58" s="532"/>
      <c r="JKN58" s="532"/>
      <c r="JKO58" s="532"/>
      <c r="JKP58" s="532"/>
      <c r="JKQ58" s="532"/>
      <c r="JKR58" s="532"/>
      <c r="JKS58" s="532"/>
      <c r="JKT58" s="532"/>
      <c r="JKU58" s="532"/>
      <c r="JKV58" s="532"/>
      <c r="JKW58" s="532"/>
      <c r="JKX58" s="532"/>
      <c r="JKY58" s="532"/>
      <c r="JKZ58" s="532"/>
      <c r="JLA58" s="532"/>
      <c r="JLB58" s="532"/>
      <c r="JLC58" s="532"/>
      <c r="JLD58" s="532"/>
      <c r="JLE58" s="532"/>
      <c r="JLF58" s="532"/>
      <c r="JLG58" s="532"/>
      <c r="JLH58" s="532"/>
      <c r="JLI58" s="532"/>
      <c r="JLJ58" s="532"/>
      <c r="JLK58" s="532"/>
      <c r="JLL58" s="532"/>
      <c r="JLM58" s="532"/>
      <c r="JLN58" s="532"/>
      <c r="JLO58" s="532"/>
      <c r="JLP58" s="532"/>
      <c r="JLQ58" s="532"/>
      <c r="JLR58" s="532"/>
      <c r="JLS58" s="532"/>
      <c r="JLT58" s="532"/>
      <c r="JLU58" s="532"/>
      <c r="JLV58" s="532"/>
      <c r="JLW58" s="532"/>
      <c r="JLX58" s="532"/>
      <c r="JLY58" s="532"/>
      <c r="JLZ58" s="532"/>
      <c r="JMA58" s="532"/>
      <c r="JMB58" s="532"/>
      <c r="JMC58" s="532"/>
      <c r="JMD58" s="532"/>
      <c r="JME58" s="532"/>
      <c r="JMF58" s="532"/>
      <c r="JMG58" s="532"/>
      <c r="JMH58" s="532"/>
      <c r="JMI58" s="532"/>
      <c r="JMJ58" s="532"/>
      <c r="JMK58" s="532"/>
      <c r="JML58" s="532"/>
      <c r="JMM58" s="532"/>
      <c r="JMN58" s="532"/>
      <c r="JMO58" s="532"/>
      <c r="JMP58" s="532"/>
      <c r="JMQ58" s="532"/>
      <c r="JMR58" s="532"/>
      <c r="JMS58" s="532"/>
      <c r="JMT58" s="532"/>
      <c r="JMU58" s="532"/>
      <c r="JMV58" s="532"/>
      <c r="JMW58" s="532"/>
      <c r="JMX58" s="532"/>
      <c r="JMY58" s="532"/>
      <c r="JMZ58" s="532"/>
      <c r="JNA58" s="532"/>
      <c r="JNB58" s="532"/>
      <c r="JNC58" s="532"/>
      <c r="JND58" s="532"/>
      <c r="JNE58" s="532"/>
      <c r="JNF58" s="532"/>
      <c r="JNG58" s="532"/>
      <c r="JNH58" s="532"/>
      <c r="JNI58" s="532"/>
      <c r="JNJ58" s="532"/>
      <c r="JNK58" s="532"/>
      <c r="JNL58" s="532"/>
      <c r="JNM58" s="532"/>
      <c r="JNN58" s="532"/>
      <c r="JNO58" s="532"/>
      <c r="JNP58" s="532"/>
      <c r="JNQ58" s="532"/>
      <c r="JNR58" s="532"/>
      <c r="JNS58" s="532"/>
      <c r="JNT58" s="532"/>
      <c r="JNU58" s="532"/>
      <c r="JNV58" s="532"/>
      <c r="JNW58" s="532"/>
      <c r="JNX58" s="532"/>
      <c r="JNY58" s="532"/>
      <c r="JNZ58" s="532"/>
      <c r="JOA58" s="532"/>
      <c r="JOB58" s="532"/>
      <c r="JOC58" s="532"/>
      <c r="JOD58" s="532"/>
      <c r="JOE58" s="532"/>
      <c r="JOF58" s="532"/>
      <c r="JOG58" s="532"/>
      <c r="JOH58" s="532"/>
      <c r="JOI58" s="532"/>
      <c r="JOJ58" s="532"/>
      <c r="JOK58" s="532"/>
      <c r="JOL58" s="532"/>
      <c r="JOM58" s="532"/>
      <c r="JON58" s="532"/>
      <c r="JOO58" s="532"/>
      <c r="JOP58" s="532"/>
      <c r="JOQ58" s="532"/>
      <c r="JOR58" s="532"/>
      <c r="JOS58" s="532"/>
      <c r="JOT58" s="532"/>
      <c r="JOU58" s="532"/>
      <c r="JOV58" s="532"/>
      <c r="JOW58" s="532"/>
      <c r="JOX58" s="532"/>
      <c r="JOY58" s="532"/>
      <c r="JOZ58" s="532"/>
      <c r="JPA58" s="532"/>
      <c r="JPB58" s="532"/>
      <c r="JPC58" s="532"/>
      <c r="JPD58" s="532"/>
      <c r="JPE58" s="532"/>
      <c r="JPF58" s="532"/>
      <c r="JPG58" s="532"/>
      <c r="JPH58" s="532"/>
      <c r="JPI58" s="532"/>
      <c r="JPJ58" s="532"/>
      <c r="JPK58" s="532"/>
      <c r="JPL58" s="532"/>
      <c r="JPM58" s="532"/>
      <c r="JPN58" s="532"/>
      <c r="JPO58" s="532"/>
      <c r="JPP58" s="532"/>
      <c r="JPQ58" s="532"/>
      <c r="JPR58" s="532"/>
      <c r="JPS58" s="532"/>
      <c r="JPT58" s="532"/>
      <c r="JPU58" s="532"/>
      <c r="JPV58" s="532"/>
      <c r="JPW58" s="532"/>
      <c r="JPX58" s="532"/>
      <c r="JPY58" s="532"/>
      <c r="JPZ58" s="532"/>
      <c r="JQA58" s="532"/>
      <c r="JQB58" s="532"/>
      <c r="JQC58" s="532"/>
      <c r="JQD58" s="532"/>
      <c r="JQE58" s="532"/>
      <c r="JQF58" s="532"/>
      <c r="JQG58" s="532"/>
      <c r="JQH58" s="532"/>
      <c r="JQI58" s="532"/>
      <c r="JQJ58" s="532"/>
      <c r="JQK58" s="532"/>
      <c r="JQL58" s="532"/>
      <c r="JQM58" s="532"/>
      <c r="JQN58" s="532"/>
      <c r="JQO58" s="532"/>
      <c r="JQP58" s="532"/>
      <c r="JQQ58" s="532"/>
      <c r="JQR58" s="532"/>
      <c r="JQS58" s="532"/>
      <c r="JQT58" s="532"/>
      <c r="JQU58" s="532"/>
      <c r="JQV58" s="532"/>
      <c r="JQW58" s="532"/>
      <c r="JQX58" s="532"/>
      <c r="JQY58" s="532"/>
      <c r="JQZ58" s="532"/>
      <c r="JRA58" s="532"/>
      <c r="JRB58" s="532"/>
      <c r="JRC58" s="532"/>
      <c r="JRD58" s="532"/>
      <c r="JRE58" s="532"/>
      <c r="JRF58" s="532"/>
      <c r="JRG58" s="532"/>
      <c r="JRH58" s="532"/>
      <c r="JRI58" s="532"/>
      <c r="JRJ58" s="532"/>
      <c r="JRK58" s="532"/>
      <c r="JRL58" s="532"/>
      <c r="JRM58" s="532"/>
      <c r="JRN58" s="532"/>
      <c r="JRO58" s="532"/>
      <c r="JRP58" s="532"/>
      <c r="JRQ58" s="532"/>
      <c r="JRR58" s="532"/>
      <c r="JRS58" s="532"/>
      <c r="JRT58" s="532"/>
      <c r="JRU58" s="532"/>
      <c r="JRV58" s="532"/>
      <c r="JRW58" s="532"/>
      <c r="JRX58" s="532"/>
      <c r="JRY58" s="532"/>
      <c r="JRZ58" s="532"/>
      <c r="JSA58" s="532"/>
      <c r="JSB58" s="532"/>
      <c r="JSC58" s="532"/>
      <c r="JSD58" s="532"/>
      <c r="JSE58" s="532"/>
      <c r="JSF58" s="532"/>
      <c r="JSG58" s="532"/>
      <c r="JSH58" s="532"/>
      <c r="JSI58" s="532"/>
      <c r="JSJ58" s="532"/>
      <c r="JSK58" s="532"/>
      <c r="JSL58" s="532"/>
      <c r="JSM58" s="532"/>
      <c r="JSN58" s="532"/>
      <c r="JSO58" s="532"/>
      <c r="JSP58" s="532"/>
      <c r="JSQ58" s="532"/>
      <c r="JSR58" s="532"/>
      <c r="JSS58" s="532"/>
      <c r="JST58" s="532"/>
      <c r="JSU58" s="532"/>
      <c r="JSV58" s="532"/>
      <c r="JSW58" s="532"/>
      <c r="JSX58" s="532"/>
      <c r="JSY58" s="532"/>
      <c r="JSZ58" s="532"/>
      <c r="JTA58" s="532"/>
      <c r="JTB58" s="532"/>
      <c r="JTC58" s="532"/>
      <c r="JTD58" s="532"/>
      <c r="JTE58" s="532"/>
      <c r="JTF58" s="532"/>
      <c r="JTG58" s="532"/>
      <c r="JTH58" s="532"/>
      <c r="JTI58" s="532"/>
      <c r="JTJ58" s="532"/>
      <c r="JTK58" s="532"/>
      <c r="JTL58" s="532"/>
      <c r="JTM58" s="532"/>
      <c r="JTN58" s="532"/>
      <c r="JTO58" s="532"/>
      <c r="JTP58" s="532"/>
      <c r="JTQ58" s="532"/>
      <c r="JTR58" s="532"/>
      <c r="JTS58" s="532"/>
      <c r="JTT58" s="532"/>
      <c r="JTU58" s="532"/>
      <c r="JTV58" s="532"/>
      <c r="JTW58" s="532"/>
      <c r="JTX58" s="532"/>
      <c r="JTY58" s="532"/>
      <c r="JTZ58" s="532"/>
      <c r="JUA58" s="532"/>
      <c r="JUB58" s="532"/>
      <c r="JUC58" s="532"/>
      <c r="JUD58" s="532"/>
      <c r="JUE58" s="532"/>
      <c r="JUF58" s="532"/>
      <c r="JUG58" s="532"/>
      <c r="JUH58" s="532"/>
      <c r="JUI58" s="532"/>
      <c r="JUJ58" s="532"/>
      <c r="JUK58" s="532"/>
      <c r="JUL58" s="532"/>
      <c r="JUM58" s="532"/>
      <c r="JUN58" s="532"/>
      <c r="JUO58" s="532"/>
      <c r="JUP58" s="532"/>
      <c r="JUQ58" s="532"/>
      <c r="JUR58" s="532"/>
      <c r="JUS58" s="532"/>
      <c r="JUT58" s="532"/>
      <c r="JUU58" s="532"/>
      <c r="JUV58" s="532"/>
      <c r="JUW58" s="532"/>
      <c r="JUX58" s="532"/>
      <c r="JUY58" s="532"/>
      <c r="JUZ58" s="532"/>
      <c r="JVA58" s="532"/>
      <c r="JVB58" s="532"/>
      <c r="JVC58" s="532"/>
      <c r="JVD58" s="532"/>
      <c r="JVE58" s="532"/>
      <c r="JVF58" s="532"/>
      <c r="JVG58" s="532"/>
      <c r="JVH58" s="532"/>
      <c r="JVI58" s="532"/>
      <c r="JVJ58" s="532"/>
      <c r="JVK58" s="532"/>
      <c r="JVL58" s="532"/>
      <c r="JVM58" s="532"/>
      <c r="JVN58" s="532"/>
      <c r="JVO58" s="532"/>
      <c r="JVP58" s="532"/>
      <c r="JVQ58" s="532"/>
      <c r="JVR58" s="532"/>
      <c r="JVS58" s="532"/>
      <c r="JVT58" s="532"/>
      <c r="JVU58" s="532"/>
      <c r="JVV58" s="532"/>
      <c r="JVW58" s="532"/>
      <c r="JVX58" s="532"/>
      <c r="JVY58" s="532"/>
      <c r="JVZ58" s="532"/>
      <c r="JWA58" s="532"/>
      <c r="JWB58" s="532"/>
      <c r="JWC58" s="532"/>
      <c r="JWD58" s="532"/>
      <c r="JWE58" s="532"/>
      <c r="JWF58" s="532"/>
      <c r="JWG58" s="532"/>
      <c r="JWH58" s="532"/>
      <c r="JWI58" s="532"/>
      <c r="JWJ58" s="532"/>
      <c r="JWK58" s="532"/>
      <c r="JWL58" s="532"/>
      <c r="JWM58" s="532"/>
      <c r="JWN58" s="532"/>
      <c r="JWO58" s="532"/>
      <c r="JWP58" s="532"/>
      <c r="JWQ58" s="532"/>
      <c r="JWR58" s="532"/>
      <c r="JWS58" s="532"/>
      <c r="JWT58" s="532"/>
      <c r="JWU58" s="532"/>
      <c r="JWV58" s="532"/>
      <c r="JWW58" s="532"/>
      <c r="JWX58" s="532"/>
      <c r="JWY58" s="532"/>
      <c r="JWZ58" s="532"/>
      <c r="JXA58" s="532"/>
      <c r="JXB58" s="532"/>
      <c r="JXC58" s="532"/>
      <c r="JXD58" s="532"/>
      <c r="JXE58" s="532"/>
      <c r="JXF58" s="532"/>
      <c r="JXG58" s="532"/>
      <c r="JXH58" s="532"/>
      <c r="JXI58" s="532"/>
      <c r="JXJ58" s="532"/>
      <c r="JXK58" s="532"/>
      <c r="JXL58" s="532"/>
      <c r="JXM58" s="532"/>
      <c r="JXN58" s="532"/>
      <c r="JXO58" s="532"/>
      <c r="JXP58" s="532"/>
      <c r="JXQ58" s="532"/>
      <c r="JXR58" s="532"/>
      <c r="JXS58" s="532"/>
      <c r="JXT58" s="532"/>
      <c r="JXU58" s="532"/>
      <c r="JXV58" s="532"/>
      <c r="JXW58" s="532"/>
      <c r="JXX58" s="532"/>
      <c r="JXY58" s="532"/>
      <c r="JXZ58" s="532"/>
      <c r="JYA58" s="532"/>
      <c r="JYB58" s="532"/>
      <c r="JYC58" s="532"/>
      <c r="JYD58" s="532"/>
      <c r="JYE58" s="532"/>
      <c r="JYF58" s="532"/>
      <c r="JYG58" s="532"/>
      <c r="JYH58" s="532"/>
      <c r="JYI58" s="532"/>
      <c r="JYJ58" s="532"/>
      <c r="JYK58" s="532"/>
      <c r="JYL58" s="532"/>
      <c r="JYM58" s="532"/>
      <c r="JYN58" s="532"/>
      <c r="JYO58" s="532"/>
      <c r="JYP58" s="532"/>
      <c r="JYQ58" s="532"/>
      <c r="JYR58" s="532"/>
      <c r="JYS58" s="532"/>
      <c r="JYT58" s="532"/>
      <c r="JYU58" s="532"/>
      <c r="JYV58" s="532"/>
      <c r="JYW58" s="532"/>
      <c r="JYX58" s="532"/>
      <c r="JYY58" s="532"/>
      <c r="JYZ58" s="532"/>
      <c r="JZA58" s="532"/>
      <c r="JZB58" s="532"/>
      <c r="JZC58" s="532"/>
      <c r="JZD58" s="532"/>
      <c r="JZE58" s="532"/>
      <c r="JZF58" s="532"/>
      <c r="JZG58" s="532"/>
      <c r="JZH58" s="532"/>
      <c r="JZI58" s="532"/>
      <c r="JZJ58" s="532"/>
      <c r="JZK58" s="532"/>
      <c r="JZL58" s="532"/>
      <c r="JZM58" s="532"/>
      <c r="JZN58" s="532"/>
      <c r="JZO58" s="532"/>
      <c r="JZP58" s="532"/>
      <c r="JZQ58" s="532"/>
      <c r="JZR58" s="532"/>
      <c r="JZS58" s="532"/>
      <c r="JZT58" s="532"/>
      <c r="JZU58" s="532"/>
      <c r="JZV58" s="532"/>
      <c r="JZW58" s="532"/>
      <c r="JZX58" s="532"/>
      <c r="JZY58" s="532"/>
      <c r="JZZ58" s="532"/>
      <c r="KAA58" s="532"/>
      <c r="KAB58" s="532"/>
      <c r="KAC58" s="532"/>
      <c r="KAD58" s="532"/>
      <c r="KAE58" s="532"/>
      <c r="KAF58" s="532"/>
      <c r="KAG58" s="532"/>
      <c r="KAH58" s="532"/>
      <c r="KAI58" s="532"/>
      <c r="KAJ58" s="532"/>
      <c r="KAK58" s="532"/>
      <c r="KAL58" s="532"/>
      <c r="KAM58" s="532"/>
      <c r="KAN58" s="532"/>
      <c r="KAO58" s="532"/>
      <c r="KAP58" s="532"/>
      <c r="KAQ58" s="532"/>
      <c r="KAR58" s="532"/>
      <c r="KAS58" s="532"/>
      <c r="KAT58" s="532"/>
      <c r="KAU58" s="532"/>
      <c r="KAV58" s="532"/>
      <c r="KAW58" s="532"/>
      <c r="KAX58" s="532"/>
      <c r="KAY58" s="532"/>
      <c r="KAZ58" s="532"/>
      <c r="KBA58" s="532"/>
      <c r="KBB58" s="532"/>
      <c r="KBC58" s="532"/>
      <c r="KBD58" s="532"/>
      <c r="KBE58" s="532"/>
      <c r="KBF58" s="532"/>
      <c r="KBG58" s="532"/>
      <c r="KBH58" s="532"/>
      <c r="KBI58" s="532"/>
      <c r="KBJ58" s="532"/>
      <c r="KBK58" s="532"/>
      <c r="KBL58" s="532"/>
      <c r="KBM58" s="532"/>
      <c r="KBN58" s="532"/>
      <c r="KBO58" s="532"/>
      <c r="KBP58" s="532"/>
      <c r="KBQ58" s="532"/>
      <c r="KBR58" s="532"/>
      <c r="KBS58" s="532"/>
      <c r="KBT58" s="532"/>
      <c r="KBU58" s="532"/>
      <c r="KBV58" s="532"/>
      <c r="KBW58" s="532"/>
      <c r="KBX58" s="532"/>
      <c r="KBY58" s="532"/>
      <c r="KBZ58" s="532"/>
      <c r="KCA58" s="532"/>
      <c r="KCB58" s="532"/>
      <c r="KCC58" s="532"/>
      <c r="KCD58" s="532"/>
      <c r="KCE58" s="532"/>
      <c r="KCF58" s="532"/>
      <c r="KCG58" s="532"/>
      <c r="KCH58" s="532"/>
      <c r="KCI58" s="532"/>
      <c r="KCJ58" s="532"/>
      <c r="KCK58" s="532"/>
      <c r="KCL58" s="532"/>
      <c r="KCM58" s="532"/>
      <c r="KCN58" s="532"/>
      <c r="KCO58" s="532"/>
      <c r="KCP58" s="532"/>
      <c r="KCQ58" s="532"/>
      <c r="KCR58" s="532"/>
      <c r="KCS58" s="532"/>
      <c r="KCT58" s="532"/>
      <c r="KCU58" s="532"/>
      <c r="KCV58" s="532"/>
      <c r="KCW58" s="532"/>
      <c r="KCX58" s="532"/>
      <c r="KCY58" s="532"/>
      <c r="KCZ58" s="532"/>
      <c r="KDA58" s="532"/>
      <c r="KDB58" s="532"/>
      <c r="KDC58" s="532"/>
      <c r="KDD58" s="532"/>
      <c r="KDE58" s="532"/>
      <c r="KDF58" s="532"/>
      <c r="KDG58" s="532"/>
      <c r="KDH58" s="532"/>
      <c r="KDI58" s="532"/>
      <c r="KDJ58" s="532"/>
      <c r="KDK58" s="532"/>
      <c r="KDL58" s="532"/>
      <c r="KDM58" s="532"/>
      <c r="KDN58" s="532"/>
      <c r="KDO58" s="532"/>
      <c r="KDP58" s="532"/>
      <c r="KDQ58" s="532"/>
      <c r="KDR58" s="532"/>
      <c r="KDS58" s="532"/>
      <c r="KDT58" s="532"/>
      <c r="KDU58" s="532"/>
      <c r="KDV58" s="532"/>
      <c r="KDW58" s="532"/>
      <c r="KDX58" s="532"/>
      <c r="KDY58" s="532"/>
      <c r="KDZ58" s="532"/>
      <c r="KEA58" s="532"/>
      <c r="KEB58" s="532"/>
      <c r="KEC58" s="532"/>
      <c r="KED58" s="532"/>
      <c r="KEE58" s="532"/>
      <c r="KEF58" s="532"/>
      <c r="KEG58" s="532"/>
      <c r="KEH58" s="532"/>
      <c r="KEI58" s="532"/>
      <c r="KEJ58" s="532"/>
      <c r="KEK58" s="532"/>
      <c r="KEL58" s="532"/>
      <c r="KEM58" s="532"/>
      <c r="KEN58" s="532"/>
      <c r="KEO58" s="532"/>
      <c r="KEP58" s="532"/>
      <c r="KEQ58" s="532"/>
      <c r="KER58" s="532"/>
      <c r="KES58" s="532"/>
      <c r="KET58" s="532"/>
      <c r="KEU58" s="532"/>
      <c r="KEV58" s="532"/>
      <c r="KEW58" s="532"/>
      <c r="KEX58" s="532"/>
      <c r="KEY58" s="532"/>
      <c r="KEZ58" s="532"/>
      <c r="KFA58" s="532"/>
      <c r="KFB58" s="532"/>
      <c r="KFC58" s="532"/>
      <c r="KFD58" s="532"/>
      <c r="KFE58" s="532"/>
      <c r="KFF58" s="532"/>
      <c r="KFG58" s="532"/>
      <c r="KFH58" s="532"/>
      <c r="KFI58" s="532"/>
      <c r="KFJ58" s="532"/>
      <c r="KFK58" s="532"/>
      <c r="KFL58" s="532"/>
      <c r="KFM58" s="532"/>
      <c r="KFN58" s="532"/>
      <c r="KFO58" s="532"/>
      <c r="KFP58" s="532"/>
      <c r="KFQ58" s="532"/>
      <c r="KFR58" s="532"/>
      <c r="KFS58" s="532"/>
      <c r="KFT58" s="532"/>
      <c r="KFU58" s="532"/>
      <c r="KFV58" s="532"/>
      <c r="KFW58" s="532"/>
      <c r="KFX58" s="532"/>
      <c r="KFY58" s="532"/>
      <c r="KFZ58" s="532"/>
      <c r="KGA58" s="532"/>
      <c r="KGB58" s="532"/>
      <c r="KGC58" s="532"/>
      <c r="KGD58" s="532"/>
      <c r="KGE58" s="532"/>
      <c r="KGF58" s="532"/>
      <c r="KGG58" s="532"/>
      <c r="KGH58" s="532"/>
      <c r="KGI58" s="532"/>
      <c r="KGJ58" s="532"/>
      <c r="KGK58" s="532"/>
      <c r="KGL58" s="532"/>
      <c r="KGM58" s="532"/>
      <c r="KGN58" s="532"/>
      <c r="KGO58" s="532"/>
      <c r="KGP58" s="532"/>
      <c r="KGQ58" s="532"/>
      <c r="KGR58" s="532"/>
      <c r="KGS58" s="532"/>
      <c r="KGT58" s="532"/>
      <c r="KGU58" s="532"/>
      <c r="KGV58" s="532"/>
      <c r="KGW58" s="532"/>
      <c r="KGX58" s="532"/>
      <c r="KGY58" s="532"/>
      <c r="KGZ58" s="532"/>
      <c r="KHA58" s="532"/>
      <c r="KHB58" s="532"/>
      <c r="KHC58" s="532"/>
      <c r="KHD58" s="532"/>
      <c r="KHE58" s="532"/>
      <c r="KHF58" s="532"/>
      <c r="KHG58" s="532"/>
      <c r="KHH58" s="532"/>
      <c r="KHI58" s="532"/>
      <c r="KHJ58" s="532"/>
      <c r="KHK58" s="532"/>
      <c r="KHL58" s="532"/>
      <c r="KHM58" s="532"/>
      <c r="KHN58" s="532"/>
      <c r="KHO58" s="532"/>
      <c r="KHP58" s="532"/>
      <c r="KHQ58" s="532"/>
      <c r="KHR58" s="532"/>
      <c r="KHS58" s="532"/>
      <c r="KHT58" s="532"/>
      <c r="KHU58" s="532"/>
      <c r="KHV58" s="532"/>
      <c r="KHW58" s="532"/>
      <c r="KHX58" s="532"/>
      <c r="KHY58" s="532"/>
      <c r="KHZ58" s="532"/>
      <c r="KIA58" s="532"/>
      <c r="KIB58" s="532"/>
      <c r="KIC58" s="532"/>
      <c r="KID58" s="532"/>
      <c r="KIE58" s="532"/>
      <c r="KIF58" s="532"/>
      <c r="KIG58" s="532"/>
      <c r="KIH58" s="532"/>
      <c r="KII58" s="532"/>
      <c r="KIJ58" s="532"/>
      <c r="KIK58" s="532"/>
      <c r="KIL58" s="532"/>
      <c r="KIM58" s="532"/>
      <c r="KIN58" s="532"/>
      <c r="KIO58" s="532"/>
      <c r="KIP58" s="532"/>
      <c r="KIQ58" s="532"/>
      <c r="KIR58" s="532"/>
      <c r="KIS58" s="532"/>
      <c r="KIT58" s="532"/>
      <c r="KIU58" s="532"/>
      <c r="KIV58" s="532"/>
      <c r="KIW58" s="532"/>
      <c r="KIX58" s="532"/>
      <c r="KIY58" s="532"/>
      <c r="KIZ58" s="532"/>
      <c r="KJA58" s="532"/>
      <c r="KJB58" s="532"/>
      <c r="KJC58" s="532"/>
      <c r="KJD58" s="532"/>
      <c r="KJE58" s="532"/>
      <c r="KJF58" s="532"/>
      <c r="KJG58" s="532"/>
      <c r="KJH58" s="532"/>
      <c r="KJI58" s="532"/>
      <c r="KJJ58" s="532"/>
      <c r="KJK58" s="532"/>
      <c r="KJL58" s="532"/>
      <c r="KJM58" s="532"/>
      <c r="KJN58" s="532"/>
      <c r="KJO58" s="532"/>
      <c r="KJP58" s="532"/>
      <c r="KJQ58" s="532"/>
      <c r="KJR58" s="532"/>
      <c r="KJS58" s="532"/>
      <c r="KJT58" s="532"/>
      <c r="KJU58" s="532"/>
      <c r="KJV58" s="532"/>
      <c r="KJW58" s="532"/>
      <c r="KJX58" s="532"/>
      <c r="KJY58" s="532"/>
      <c r="KJZ58" s="532"/>
      <c r="KKA58" s="532"/>
      <c r="KKB58" s="532"/>
      <c r="KKC58" s="532"/>
      <c r="KKD58" s="532"/>
      <c r="KKE58" s="532"/>
      <c r="KKF58" s="532"/>
      <c r="KKG58" s="532"/>
      <c r="KKH58" s="532"/>
      <c r="KKI58" s="532"/>
      <c r="KKJ58" s="532"/>
      <c r="KKK58" s="532"/>
      <c r="KKL58" s="532"/>
      <c r="KKM58" s="532"/>
      <c r="KKN58" s="532"/>
      <c r="KKO58" s="532"/>
      <c r="KKP58" s="532"/>
      <c r="KKQ58" s="532"/>
      <c r="KKR58" s="532"/>
      <c r="KKS58" s="532"/>
      <c r="KKT58" s="532"/>
      <c r="KKU58" s="532"/>
      <c r="KKV58" s="532"/>
      <c r="KKW58" s="532"/>
      <c r="KKX58" s="532"/>
      <c r="KKY58" s="532"/>
      <c r="KKZ58" s="532"/>
      <c r="KLA58" s="532"/>
      <c r="KLB58" s="532"/>
      <c r="KLC58" s="532"/>
      <c r="KLD58" s="532"/>
      <c r="KLE58" s="532"/>
      <c r="KLF58" s="532"/>
      <c r="KLG58" s="532"/>
      <c r="KLH58" s="532"/>
      <c r="KLI58" s="532"/>
      <c r="KLJ58" s="532"/>
      <c r="KLK58" s="532"/>
      <c r="KLL58" s="532"/>
      <c r="KLM58" s="532"/>
      <c r="KLN58" s="532"/>
      <c r="KLO58" s="532"/>
      <c r="KLP58" s="532"/>
      <c r="KLQ58" s="532"/>
      <c r="KLR58" s="532"/>
      <c r="KLS58" s="532"/>
      <c r="KLT58" s="532"/>
      <c r="KLU58" s="532"/>
      <c r="KLV58" s="532"/>
      <c r="KLW58" s="532"/>
      <c r="KLX58" s="532"/>
      <c r="KLY58" s="532"/>
      <c r="KLZ58" s="532"/>
      <c r="KMA58" s="532"/>
      <c r="KMB58" s="532"/>
      <c r="KMC58" s="532"/>
      <c r="KMD58" s="532"/>
      <c r="KME58" s="532"/>
      <c r="KMF58" s="532"/>
      <c r="KMG58" s="532"/>
      <c r="KMH58" s="532"/>
      <c r="KMI58" s="532"/>
      <c r="KMJ58" s="532"/>
      <c r="KMK58" s="532"/>
      <c r="KML58" s="532"/>
      <c r="KMM58" s="532"/>
      <c r="KMN58" s="532"/>
      <c r="KMO58" s="532"/>
      <c r="KMP58" s="532"/>
      <c r="KMQ58" s="532"/>
      <c r="KMR58" s="532"/>
      <c r="KMS58" s="532"/>
      <c r="KMT58" s="532"/>
      <c r="KMU58" s="532"/>
      <c r="KMV58" s="532"/>
      <c r="KMW58" s="532"/>
      <c r="KMX58" s="532"/>
      <c r="KMY58" s="532"/>
      <c r="KMZ58" s="532"/>
      <c r="KNA58" s="532"/>
      <c r="KNB58" s="532"/>
      <c r="KNC58" s="532"/>
      <c r="KND58" s="532"/>
      <c r="KNE58" s="532"/>
      <c r="KNF58" s="532"/>
      <c r="KNG58" s="532"/>
      <c r="KNH58" s="532"/>
      <c r="KNI58" s="532"/>
      <c r="KNJ58" s="532"/>
      <c r="KNK58" s="532"/>
      <c r="KNL58" s="532"/>
      <c r="KNM58" s="532"/>
      <c r="KNN58" s="532"/>
      <c r="KNO58" s="532"/>
      <c r="KNP58" s="532"/>
      <c r="KNQ58" s="532"/>
      <c r="KNR58" s="532"/>
      <c r="KNS58" s="532"/>
      <c r="KNT58" s="532"/>
      <c r="KNU58" s="532"/>
      <c r="KNV58" s="532"/>
      <c r="KNW58" s="532"/>
      <c r="KNX58" s="532"/>
      <c r="KNY58" s="532"/>
      <c r="KNZ58" s="532"/>
      <c r="KOA58" s="532"/>
      <c r="KOB58" s="532"/>
      <c r="KOC58" s="532"/>
      <c r="KOD58" s="532"/>
      <c r="KOE58" s="532"/>
      <c r="KOF58" s="532"/>
      <c r="KOG58" s="532"/>
      <c r="KOH58" s="532"/>
      <c r="KOI58" s="532"/>
      <c r="KOJ58" s="532"/>
      <c r="KOK58" s="532"/>
      <c r="KOL58" s="532"/>
      <c r="KOM58" s="532"/>
      <c r="KON58" s="532"/>
      <c r="KOO58" s="532"/>
      <c r="KOP58" s="532"/>
      <c r="KOQ58" s="532"/>
      <c r="KOR58" s="532"/>
      <c r="KOS58" s="532"/>
      <c r="KOT58" s="532"/>
      <c r="KOU58" s="532"/>
      <c r="KOV58" s="532"/>
      <c r="KOW58" s="532"/>
      <c r="KOX58" s="532"/>
      <c r="KOY58" s="532"/>
      <c r="KOZ58" s="532"/>
      <c r="KPA58" s="532"/>
      <c r="KPB58" s="532"/>
      <c r="KPC58" s="532"/>
      <c r="KPD58" s="532"/>
      <c r="KPE58" s="532"/>
      <c r="KPF58" s="532"/>
      <c r="KPG58" s="532"/>
      <c r="KPH58" s="532"/>
      <c r="KPI58" s="532"/>
      <c r="KPJ58" s="532"/>
      <c r="KPK58" s="532"/>
      <c r="KPL58" s="532"/>
      <c r="KPM58" s="532"/>
      <c r="KPN58" s="532"/>
      <c r="KPO58" s="532"/>
      <c r="KPP58" s="532"/>
      <c r="KPQ58" s="532"/>
      <c r="KPR58" s="532"/>
      <c r="KPS58" s="532"/>
      <c r="KPT58" s="532"/>
      <c r="KPU58" s="532"/>
      <c r="KPV58" s="532"/>
      <c r="KPW58" s="532"/>
      <c r="KPX58" s="532"/>
      <c r="KPY58" s="532"/>
      <c r="KPZ58" s="532"/>
      <c r="KQA58" s="532"/>
      <c r="KQB58" s="532"/>
      <c r="KQC58" s="532"/>
      <c r="KQD58" s="532"/>
      <c r="KQE58" s="532"/>
      <c r="KQF58" s="532"/>
      <c r="KQG58" s="532"/>
      <c r="KQH58" s="532"/>
      <c r="KQI58" s="532"/>
      <c r="KQJ58" s="532"/>
      <c r="KQK58" s="532"/>
      <c r="KQL58" s="532"/>
      <c r="KQM58" s="532"/>
      <c r="KQN58" s="532"/>
      <c r="KQO58" s="532"/>
      <c r="KQP58" s="532"/>
      <c r="KQQ58" s="532"/>
      <c r="KQR58" s="532"/>
      <c r="KQS58" s="532"/>
      <c r="KQT58" s="532"/>
      <c r="KQU58" s="532"/>
      <c r="KQV58" s="532"/>
      <c r="KQW58" s="532"/>
      <c r="KQX58" s="532"/>
      <c r="KQY58" s="532"/>
      <c r="KQZ58" s="532"/>
      <c r="KRA58" s="532"/>
      <c r="KRB58" s="532"/>
      <c r="KRC58" s="532"/>
      <c r="KRD58" s="532"/>
      <c r="KRE58" s="532"/>
      <c r="KRF58" s="532"/>
      <c r="KRG58" s="532"/>
      <c r="KRH58" s="532"/>
      <c r="KRI58" s="532"/>
      <c r="KRJ58" s="532"/>
      <c r="KRK58" s="532"/>
      <c r="KRL58" s="532"/>
      <c r="KRM58" s="532"/>
      <c r="KRN58" s="532"/>
      <c r="KRO58" s="532"/>
      <c r="KRP58" s="532"/>
      <c r="KRQ58" s="532"/>
      <c r="KRR58" s="532"/>
      <c r="KRS58" s="532"/>
      <c r="KRT58" s="532"/>
      <c r="KRU58" s="532"/>
      <c r="KRV58" s="532"/>
      <c r="KRW58" s="532"/>
      <c r="KRX58" s="532"/>
      <c r="KRY58" s="532"/>
      <c r="KRZ58" s="532"/>
      <c r="KSA58" s="532"/>
      <c r="KSB58" s="532"/>
      <c r="KSC58" s="532"/>
      <c r="KSD58" s="532"/>
      <c r="KSE58" s="532"/>
      <c r="KSF58" s="532"/>
      <c r="KSG58" s="532"/>
      <c r="KSH58" s="532"/>
      <c r="KSI58" s="532"/>
      <c r="KSJ58" s="532"/>
      <c r="KSK58" s="532"/>
      <c r="KSL58" s="532"/>
      <c r="KSM58" s="532"/>
      <c r="KSN58" s="532"/>
      <c r="KSO58" s="532"/>
      <c r="KSP58" s="532"/>
      <c r="KSQ58" s="532"/>
      <c r="KSR58" s="532"/>
      <c r="KSS58" s="532"/>
      <c r="KST58" s="532"/>
      <c r="KSU58" s="532"/>
      <c r="KSV58" s="532"/>
      <c r="KSW58" s="532"/>
      <c r="KSX58" s="532"/>
      <c r="KSY58" s="532"/>
      <c r="KSZ58" s="532"/>
      <c r="KTA58" s="532"/>
      <c r="KTB58" s="532"/>
      <c r="KTC58" s="532"/>
      <c r="KTD58" s="532"/>
      <c r="KTE58" s="532"/>
      <c r="KTF58" s="532"/>
      <c r="KTG58" s="532"/>
      <c r="KTH58" s="532"/>
      <c r="KTI58" s="532"/>
      <c r="KTJ58" s="532"/>
      <c r="KTK58" s="532"/>
      <c r="KTL58" s="532"/>
      <c r="KTM58" s="532"/>
      <c r="KTN58" s="532"/>
      <c r="KTO58" s="532"/>
      <c r="KTP58" s="532"/>
      <c r="KTQ58" s="532"/>
      <c r="KTR58" s="532"/>
      <c r="KTS58" s="532"/>
      <c r="KTT58" s="532"/>
      <c r="KTU58" s="532"/>
      <c r="KTV58" s="532"/>
      <c r="KTW58" s="532"/>
      <c r="KTX58" s="532"/>
      <c r="KTY58" s="532"/>
      <c r="KTZ58" s="532"/>
      <c r="KUA58" s="532"/>
      <c r="KUB58" s="532"/>
      <c r="KUC58" s="532"/>
      <c r="KUD58" s="532"/>
      <c r="KUE58" s="532"/>
      <c r="KUF58" s="532"/>
      <c r="KUG58" s="532"/>
      <c r="KUH58" s="532"/>
      <c r="KUI58" s="532"/>
      <c r="KUJ58" s="532"/>
      <c r="KUK58" s="532"/>
      <c r="KUL58" s="532"/>
      <c r="KUM58" s="532"/>
      <c r="KUN58" s="532"/>
      <c r="KUO58" s="532"/>
      <c r="KUP58" s="532"/>
      <c r="KUQ58" s="532"/>
      <c r="KUR58" s="532"/>
      <c r="KUS58" s="532"/>
      <c r="KUT58" s="532"/>
      <c r="KUU58" s="532"/>
      <c r="KUV58" s="532"/>
      <c r="KUW58" s="532"/>
      <c r="KUX58" s="532"/>
      <c r="KUY58" s="532"/>
      <c r="KUZ58" s="532"/>
      <c r="KVA58" s="532"/>
      <c r="KVB58" s="532"/>
      <c r="KVC58" s="532"/>
      <c r="KVD58" s="532"/>
      <c r="KVE58" s="532"/>
      <c r="KVF58" s="532"/>
      <c r="KVG58" s="532"/>
      <c r="KVH58" s="532"/>
      <c r="KVI58" s="532"/>
      <c r="KVJ58" s="532"/>
      <c r="KVK58" s="532"/>
      <c r="KVL58" s="532"/>
      <c r="KVM58" s="532"/>
      <c r="KVN58" s="532"/>
      <c r="KVO58" s="532"/>
      <c r="KVP58" s="532"/>
      <c r="KVQ58" s="532"/>
      <c r="KVR58" s="532"/>
      <c r="KVS58" s="532"/>
      <c r="KVT58" s="532"/>
      <c r="KVU58" s="532"/>
      <c r="KVV58" s="532"/>
      <c r="KVW58" s="532"/>
      <c r="KVX58" s="532"/>
      <c r="KVY58" s="532"/>
      <c r="KVZ58" s="532"/>
      <c r="KWA58" s="532"/>
      <c r="KWB58" s="532"/>
      <c r="KWC58" s="532"/>
      <c r="KWD58" s="532"/>
      <c r="KWE58" s="532"/>
      <c r="KWF58" s="532"/>
      <c r="KWG58" s="532"/>
      <c r="KWH58" s="532"/>
      <c r="KWI58" s="532"/>
      <c r="KWJ58" s="532"/>
      <c r="KWK58" s="532"/>
      <c r="KWL58" s="532"/>
      <c r="KWM58" s="532"/>
      <c r="KWN58" s="532"/>
      <c r="KWO58" s="532"/>
      <c r="KWP58" s="532"/>
      <c r="KWQ58" s="532"/>
      <c r="KWR58" s="532"/>
      <c r="KWS58" s="532"/>
      <c r="KWT58" s="532"/>
      <c r="KWU58" s="532"/>
      <c r="KWV58" s="532"/>
      <c r="KWW58" s="532"/>
      <c r="KWX58" s="532"/>
      <c r="KWY58" s="532"/>
      <c r="KWZ58" s="532"/>
      <c r="KXA58" s="532"/>
      <c r="KXB58" s="532"/>
      <c r="KXC58" s="532"/>
      <c r="KXD58" s="532"/>
      <c r="KXE58" s="532"/>
      <c r="KXF58" s="532"/>
      <c r="KXG58" s="532"/>
      <c r="KXH58" s="532"/>
      <c r="KXI58" s="532"/>
      <c r="KXJ58" s="532"/>
      <c r="KXK58" s="532"/>
      <c r="KXL58" s="532"/>
      <c r="KXM58" s="532"/>
      <c r="KXN58" s="532"/>
      <c r="KXO58" s="532"/>
      <c r="KXP58" s="532"/>
      <c r="KXQ58" s="532"/>
      <c r="KXR58" s="532"/>
      <c r="KXS58" s="532"/>
      <c r="KXT58" s="532"/>
      <c r="KXU58" s="532"/>
      <c r="KXV58" s="532"/>
      <c r="KXW58" s="532"/>
      <c r="KXX58" s="532"/>
      <c r="KXY58" s="532"/>
      <c r="KXZ58" s="532"/>
      <c r="KYA58" s="532"/>
      <c r="KYB58" s="532"/>
      <c r="KYC58" s="532"/>
      <c r="KYD58" s="532"/>
      <c r="KYE58" s="532"/>
      <c r="KYF58" s="532"/>
      <c r="KYG58" s="532"/>
      <c r="KYH58" s="532"/>
      <c r="KYI58" s="532"/>
      <c r="KYJ58" s="532"/>
      <c r="KYK58" s="532"/>
      <c r="KYL58" s="532"/>
      <c r="KYM58" s="532"/>
      <c r="KYN58" s="532"/>
      <c r="KYO58" s="532"/>
      <c r="KYP58" s="532"/>
      <c r="KYQ58" s="532"/>
      <c r="KYR58" s="532"/>
      <c r="KYS58" s="532"/>
      <c r="KYT58" s="532"/>
      <c r="KYU58" s="532"/>
      <c r="KYV58" s="532"/>
      <c r="KYW58" s="532"/>
      <c r="KYX58" s="532"/>
      <c r="KYY58" s="532"/>
      <c r="KYZ58" s="532"/>
      <c r="KZA58" s="532"/>
      <c r="KZB58" s="532"/>
      <c r="KZC58" s="532"/>
      <c r="KZD58" s="532"/>
      <c r="KZE58" s="532"/>
      <c r="KZF58" s="532"/>
      <c r="KZG58" s="532"/>
      <c r="KZH58" s="532"/>
      <c r="KZI58" s="532"/>
      <c r="KZJ58" s="532"/>
      <c r="KZK58" s="532"/>
      <c r="KZL58" s="532"/>
      <c r="KZM58" s="532"/>
      <c r="KZN58" s="532"/>
      <c r="KZO58" s="532"/>
      <c r="KZP58" s="532"/>
      <c r="KZQ58" s="532"/>
      <c r="KZR58" s="532"/>
      <c r="KZS58" s="532"/>
      <c r="KZT58" s="532"/>
      <c r="KZU58" s="532"/>
      <c r="KZV58" s="532"/>
      <c r="KZW58" s="532"/>
      <c r="KZX58" s="532"/>
      <c r="KZY58" s="532"/>
      <c r="KZZ58" s="532"/>
      <c r="LAA58" s="532"/>
      <c r="LAB58" s="532"/>
      <c r="LAC58" s="532"/>
      <c r="LAD58" s="532"/>
      <c r="LAE58" s="532"/>
      <c r="LAF58" s="532"/>
      <c r="LAG58" s="532"/>
      <c r="LAH58" s="532"/>
      <c r="LAI58" s="532"/>
      <c r="LAJ58" s="532"/>
      <c r="LAK58" s="532"/>
      <c r="LAL58" s="532"/>
      <c r="LAM58" s="532"/>
      <c r="LAN58" s="532"/>
      <c r="LAO58" s="532"/>
      <c r="LAP58" s="532"/>
      <c r="LAQ58" s="532"/>
      <c r="LAR58" s="532"/>
      <c r="LAS58" s="532"/>
      <c r="LAT58" s="532"/>
      <c r="LAU58" s="532"/>
      <c r="LAV58" s="532"/>
      <c r="LAW58" s="532"/>
      <c r="LAX58" s="532"/>
      <c r="LAY58" s="532"/>
      <c r="LAZ58" s="532"/>
      <c r="LBA58" s="532"/>
      <c r="LBB58" s="532"/>
      <c r="LBC58" s="532"/>
      <c r="LBD58" s="532"/>
      <c r="LBE58" s="532"/>
      <c r="LBF58" s="532"/>
      <c r="LBG58" s="532"/>
      <c r="LBH58" s="532"/>
      <c r="LBI58" s="532"/>
      <c r="LBJ58" s="532"/>
      <c r="LBK58" s="532"/>
      <c r="LBL58" s="532"/>
      <c r="LBM58" s="532"/>
      <c r="LBN58" s="532"/>
      <c r="LBO58" s="532"/>
      <c r="LBP58" s="532"/>
      <c r="LBQ58" s="532"/>
      <c r="LBR58" s="532"/>
      <c r="LBS58" s="532"/>
      <c r="LBT58" s="532"/>
      <c r="LBU58" s="532"/>
      <c r="LBV58" s="532"/>
      <c r="LBW58" s="532"/>
      <c r="LBX58" s="532"/>
      <c r="LBY58" s="532"/>
      <c r="LBZ58" s="532"/>
      <c r="LCA58" s="532"/>
      <c r="LCB58" s="532"/>
      <c r="LCC58" s="532"/>
      <c r="LCD58" s="532"/>
      <c r="LCE58" s="532"/>
      <c r="LCF58" s="532"/>
      <c r="LCG58" s="532"/>
      <c r="LCH58" s="532"/>
      <c r="LCI58" s="532"/>
      <c r="LCJ58" s="532"/>
      <c r="LCK58" s="532"/>
      <c r="LCL58" s="532"/>
      <c r="LCM58" s="532"/>
      <c r="LCN58" s="532"/>
      <c r="LCO58" s="532"/>
      <c r="LCP58" s="532"/>
      <c r="LCQ58" s="532"/>
      <c r="LCR58" s="532"/>
      <c r="LCS58" s="532"/>
      <c r="LCT58" s="532"/>
      <c r="LCU58" s="532"/>
      <c r="LCV58" s="532"/>
      <c r="LCW58" s="532"/>
      <c r="LCX58" s="532"/>
      <c r="LCY58" s="532"/>
      <c r="LCZ58" s="532"/>
      <c r="LDA58" s="532"/>
      <c r="LDB58" s="532"/>
      <c r="LDC58" s="532"/>
      <c r="LDD58" s="532"/>
      <c r="LDE58" s="532"/>
      <c r="LDF58" s="532"/>
      <c r="LDG58" s="532"/>
      <c r="LDH58" s="532"/>
      <c r="LDI58" s="532"/>
      <c r="LDJ58" s="532"/>
      <c r="LDK58" s="532"/>
      <c r="LDL58" s="532"/>
      <c r="LDM58" s="532"/>
      <c r="LDN58" s="532"/>
      <c r="LDO58" s="532"/>
      <c r="LDP58" s="532"/>
      <c r="LDQ58" s="532"/>
      <c r="LDR58" s="532"/>
      <c r="LDS58" s="532"/>
      <c r="LDT58" s="532"/>
      <c r="LDU58" s="532"/>
      <c r="LDV58" s="532"/>
      <c r="LDW58" s="532"/>
      <c r="LDX58" s="532"/>
      <c r="LDY58" s="532"/>
      <c r="LDZ58" s="532"/>
      <c r="LEA58" s="532"/>
      <c r="LEB58" s="532"/>
      <c r="LEC58" s="532"/>
      <c r="LED58" s="532"/>
      <c r="LEE58" s="532"/>
      <c r="LEF58" s="532"/>
      <c r="LEG58" s="532"/>
      <c r="LEH58" s="532"/>
      <c r="LEI58" s="532"/>
      <c r="LEJ58" s="532"/>
      <c r="LEK58" s="532"/>
      <c r="LEL58" s="532"/>
      <c r="LEM58" s="532"/>
      <c r="LEN58" s="532"/>
      <c r="LEO58" s="532"/>
      <c r="LEP58" s="532"/>
      <c r="LEQ58" s="532"/>
      <c r="LER58" s="532"/>
      <c r="LES58" s="532"/>
      <c r="LET58" s="532"/>
      <c r="LEU58" s="532"/>
      <c r="LEV58" s="532"/>
      <c r="LEW58" s="532"/>
      <c r="LEX58" s="532"/>
      <c r="LEY58" s="532"/>
      <c r="LEZ58" s="532"/>
      <c r="LFA58" s="532"/>
      <c r="LFB58" s="532"/>
      <c r="LFC58" s="532"/>
      <c r="LFD58" s="532"/>
      <c r="LFE58" s="532"/>
      <c r="LFF58" s="532"/>
      <c r="LFG58" s="532"/>
      <c r="LFH58" s="532"/>
      <c r="LFI58" s="532"/>
      <c r="LFJ58" s="532"/>
      <c r="LFK58" s="532"/>
      <c r="LFL58" s="532"/>
      <c r="LFM58" s="532"/>
      <c r="LFN58" s="532"/>
      <c r="LFO58" s="532"/>
      <c r="LFP58" s="532"/>
      <c r="LFQ58" s="532"/>
      <c r="LFR58" s="532"/>
      <c r="LFS58" s="532"/>
      <c r="LFT58" s="532"/>
      <c r="LFU58" s="532"/>
      <c r="LFV58" s="532"/>
      <c r="LFW58" s="532"/>
      <c r="LFX58" s="532"/>
      <c r="LFY58" s="532"/>
      <c r="LFZ58" s="532"/>
      <c r="LGA58" s="532"/>
      <c r="LGB58" s="532"/>
      <c r="LGC58" s="532"/>
      <c r="LGD58" s="532"/>
      <c r="LGE58" s="532"/>
      <c r="LGF58" s="532"/>
      <c r="LGG58" s="532"/>
      <c r="LGH58" s="532"/>
      <c r="LGI58" s="532"/>
      <c r="LGJ58" s="532"/>
      <c r="LGK58" s="532"/>
      <c r="LGL58" s="532"/>
      <c r="LGM58" s="532"/>
      <c r="LGN58" s="532"/>
      <c r="LGO58" s="532"/>
      <c r="LGP58" s="532"/>
      <c r="LGQ58" s="532"/>
      <c r="LGR58" s="532"/>
      <c r="LGS58" s="532"/>
      <c r="LGT58" s="532"/>
      <c r="LGU58" s="532"/>
      <c r="LGV58" s="532"/>
      <c r="LGW58" s="532"/>
      <c r="LGX58" s="532"/>
      <c r="LGY58" s="532"/>
      <c r="LGZ58" s="532"/>
      <c r="LHA58" s="532"/>
      <c r="LHB58" s="532"/>
      <c r="LHC58" s="532"/>
      <c r="LHD58" s="532"/>
      <c r="LHE58" s="532"/>
      <c r="LHF58" s="532"/>
      <c r="LHG58" s="532"/>
      <c r="LHH58" s="532"/>
      <c r="LHI58" s="532"/>
      <c r="LHJ58" s="532"/>
      <c r="LHK58" s="532"/>
      <c r="LHL58" s="532"/>
      <c r="LHM58" s="532"/>
      <c r="LHN58" s="532"/>
      <c r="LHO58" s="532"/>
      <c r="LHP58" s="532"/>
      <c r="LHQ58" s="532"/>
      <c r="LHR58" s="532"/>
      <c r="LHS58" s="532"/>
      <c r="LHT58" s="532"/>
      <c r="LHU58" s="532"/>
      <c r="LHV58" s="532"/>
      <c r="LHW58" s="532"/>
      <c r="LHX58" s="532"/>
      <c r="LHY58" s="532"/>
      <c r="LHZ58" s="532"/>
      <c r="LIA58" s="532"/>
      <c r="LIB58" s="532"/>
      <c r="LIC58" s="532"/>
      <c r="LID58" s="532"/>
      <c r="LIE58" s="532"/>
      <c r="LIF58" s="532"/>
      <c r="LIG58" s="532"/>
      <c r="LIH58" s="532"/>
      <c r="LII58" s="532"/>
      <c r="LIJ58" s="532"/>
      <c r="LIK58" s="532"/>
      <c r="LIL58" s="532"/>
      <c r="LIM58" s="532"/>
      <c r="LIN58" s="532"/>
      <c r="LIO58" s="532"/>
      <c r="LIP58" s="532"/>
      <c r="LIQ58" s="532"/>
      <c r="LIR58" s="532"/>
      <c r="LIS58" s="532"/>
      <c r="LIT58" s="532"/>
      <c r="LIU58" s="532"/>
      <c r="LIV58" s="532"/>
      <c r="LIW58" s="532"/>
      <c r="LIX58" s="532"/>
      <c r="LIY58" s="532"/>
      <c r="LIZ58" s="532"/>
      <c r="LJA58" s="532"/>
      <c r="LJB58" s="532"/>
      <c r="LJC58" s="532"/>
      <c r="LJD58" s="532"/>
      <c r="LJE58" s="532"/>
      <c r="LJF58" s="532"/>
      <c r="LJG58" s="532"/>
      <c r="LJH58" s="532"/>
      <c r="LJI58" s="532"/>
      <c r="LJJ58" s="532"/>
      <c r="LJK58" s="532"/>
      <c r="LJL58" s="532"/>
      <c r="LJM58" s="532"/>
      <c r="LJN58" s="532"/>
      <c r="LJO58" s="532"/>
      <c r="LJP58" s="532"/>
      <c r="LJQ58" s="532"/>
      <c r="LJR58" s="532"/>
      <c r="LJS58" s="532"/>
      <c r="LJT58" s="532"/>
      <c r="LJU58" s="532"/>
      <c r="LJV58" s="532"/>
      <c r="LJW58" s="532"/>
      <c r="LJX58" s="532"/>
      <c r="LJY58" s="532"/>
      <c r="LJZ58" s="532"/>
      <c r="LKA58" s="532"/>
      <c r="LKB58" s="532"/>
      <c r="LKC58" s="532"/>
      <c r="LKD58" s="532"/>
      <c r="LKE58" s="532"/>
      <c r="LKF58" s="532"/>
      <c r="LKG58" s="532"/>
      <c r="LKH58" s="532"/>
      <c r="LKI58" s="532"/>
      <c r="LKJ58" s="532"/>
      <c r="LKK58" s="532"/>
      <c r="LKL58" s="532"/>
      <c r="LKM58" s="532"/>
      <c r="LKN58" s="532"/>
      <c r="LKO58" s="532"/>
      <c r="LKP58" s="532"/>
      <c r="LKQ58" s="532"/>
      <c r="LKR58" s="532"/>
      <c r="LKS58" s="532"/>
      <c r="LKT58" s="532"/>
      <c r="LKU58" s="532"/>
      <c r="LKV58" s="532"/>
      <c r="LKW58" s="532"/>
      <c r="LKX58" s="532"/>
      <c r="LKY58" s="532"/>
      <c r="LKZ58" s="532"/>
      <c r="LLA58" s="532"/>
      <c r="LLB58" s="532"/>
      <c r="LLC58" s="532"/>
      <c r="LLD58" s="532"/>
      <c r="LLE58" s="532"/>
      <c r="LLF58" s="532"/>
      <c r="LLG58" s="532"/>
      <c r="LLH58" s="532"/>
      <c r="LLI58" s="532"/>
      <c r="LLJ58" s="532"/>
      <c r="LLK58" s="532"/>
      <c r="LLL58" s="532"/>
      <c r="LLM58" s="532"/>
      <c r="LLN58" s="532"/>
      <c r="LLO58" s="532"/>
      <c r="LLP58" s="532"/>
      <c r="LLQ58" s="532"/>
      <c r="LLR58" s="532"/>
      <c r="LLS58" s="532"/>
      <c r="LLT58" s="532"/>
      <c r="LLU58" s="532"/>
      <c r="LLV58" s="532"/>
      <c r="LLW58" s="532"/>
      <c r="LLX58" s="532"/>
      <c r="LLY58" s="532"/>
      <c r="LLZ58" s="532"/>
      <c r="LMA58" s="532"/>
      <c r="LMB58" s="532"/>
      <c r="LMC58" s="532"/>
      <c r="LMD58" s="532"/>
      <c r="LME58" s="532"/>
      <c r="LMF58" s="532"/>
      <c r="LMG58" s="532"/>
      <c r="LMH58" s="532"/>
      <c r="LMI58" s="532"/>
      <c r="LMJ58" s="532"/>
      <c r="LMK58" s="532"/>
      <c r="LML58" s="532"/>
      <c r="LMM58" s="532"/>
      <c r="LMN58" s="532"/>
      <c r="LMO58" s="532"/>
      <c r="LMP58" s="532"/>
      <c r="LMQ58" s="532"/>
      <c r="LMR58" s="532"/>
      <c r="LMS58" s="532"/>
      <c r="LMT58" s="532"/>
      <c r="LMU58" s="532"/>
      <c r="LMV58" s="532"/>
      <c r="LMW58" s="532"/>
      <c r="LMX58" s="532"/>
      <c r="LMY58" s="532"/>
      <c r="LMZ58" s="532"/>
      <c r="LNA58" s="532"/>
      <c r="LNB58" s="532"/>
      <c r="LNC58" s="532"/>
      <c r="LND58" s="532"/>
      <c r="LNE58" s="532"/>
      <c r="LNF58" s="532"/>
      <c r="LNG58" s="532"/>
      <c r="LNH58" s="532"/>
      <c r="LNI58" s="532"/>
      <c r="LNJ58" s="532"/>
      <c r="LNK58" s="532"/>
      <c r="LNL58" s="532"/>
      <c r="LNM58" s="532"/>
      <c r="LNN58" s="532"/>
      <c r="LNO58" s="532"/>
      <c r="LNP58" s="532"/>
      <c r="LNQ58" s="532"/>
      <c r="LNR58" s="532"/>
      <c r="LNS58" s="532"/>
      <c r="LNT58" s="532"/>
      <c r="LNU58" s="532"/>
      <c r="LNV58" s="532"/>
      <c r="LNW58" s="532"/>
      <c r="LNX58" s="532"/>
      <c r="LNY58" s="532"/>
      <c r="LNZ58" s="532"/>
      <c r="LOA58" s="532"/>
      <c r="LOB58" s="532"/>
      <c r="LOC58" s="532"/>
      <c r="LOD58" s="532"/>
      <c r="LOE58" s="532"/>
      <c r="LOF58" s="532"/>
      <c r="LOG58" s="532"/>
      <c r="LOH58" s="532"/>
      <c r="LOI58" s="532"/>
      <c r="LOJ58" s="532"/>
      <c r="LOK58" s="532"/>
      <c r="LOL58" s="532"/>
      <c r="LOM58" s="532"/>
      <c r="LON58" s="532"/>
      <c r="LOO58" s="532"/>
      <c r="LOP58" s="532"/>
      <c r="LOQ58" s="532"/>
      <c r="LOR58" s="532"/>
      <c r="LOS58" s="532"/>
      <c r="LOT58" s="532"/>
      <c r="LOU58" s="532"/>
      <c r="LOV58" s="532"/>
      <c r="LOW58" s="532"/>
      <c r="LOX58" s="532"/>
      <c r="LOY58" s="532"/>
      <c r="LOZ58" s="532"/>
      <c r="LPA58" s="532"/>
      <c r="LPB58" s="532"/>
      <c r="LPC58" s="532"/>
      <c r="LPD58" s="532"/>
      <c r="LPE58" s="532"/>
      <c r="LPF58" s="532"/>
      <c r="LPG58" s="532"/>
      <c r="LPH58" s="532"/>
      <c r="LPI58" s="532"/>
      <c r="LPJ58" s="532"/>
      <c r="LPK58" s="532"/>
      <c r="LPL58" s="532"/>
      <c r="LPM58" s="532"/>
      <c r="LPN58" s="532"/>
      <c r="LPO58" s="532"/>
      <c r="LPP58" s="532"/>
      <c r="LPQ58" s="532"/>
      <c r="LPR58" s="532"/>
      <c r="LPS58" s="532"/>
      <c r="LPT58" s="532"/>
      <c r="LPU58" s="532"/>
      <c r="LPV58" s="532"/>
      <c r="LPW58" s="532"/>
      <c r="LPX58" s="532"/>
      <c r="LPY58" s="532"/>
      <c r="LPZ58" s="532"/>
      <c r="LQA58" s="532"/>
      <c r="LQB58" s="532"/>
      <c r="LQC58" s="532"/>
      <c r="LQD58" s="532"/>
      <c r="LQE58" s="532"/>
      <c r="LQF58" s="532"/>
      <c r="LQG58" s="532"/>
      <c r="LQH58" s="532"/>
      <c r="LQI58" s="532"/>
      <c r="LQJ58" s="532"/>
      <c r="LQK58" s="532"/>
      <c r="LQL58" s="532"/>
      <c r="LQM58" s="532"/>
      <c r="LQN58" s="532"/>
      <c r="LQO58" s="532"/>
      <c r="LQP58" s="532"/>
      <c r="LQQ58" s="532"/>
      <c r="LQR58" s="532"/>
      <c r="LQS58" s="532"/>
      <c r="LQT58" s="532"/>
      <c r="LQU58" s="532"/>
      <c r="LQV58" s="532"/>
      <c r="LQW58" s="532"/>
      <c r="LQX58" s="532"/>
      <c r="LQY58" s="532"/>
      <c r="LQZ58" s="532"/>
      <c r="LRA58" s="532"/>
      <c r="LRB58" s="532"/>
      <c r="LRC58" s="532"/>
      <c r="LRD58" s="532"/>
      <c r="LRE58" s="532"/>
      <c r="LRF58" s="532"/>
      <c r="LRG58" s="532"/>
      <c r="LRH58" s="532"/>
      <c r="LRI58" s="532"/>
      <c r="LRJ58" s="532"/>
      <c r="LRK58" s="532"/>
      <c r="LRL58" s="532"/>
      <c r="LRM58" s="532"/>
      <c r="LRN58" s="532"/>
      <c r="LRO58" s="532"/>
      <c r="LRP58" s="532"/>
      <c r="LRQ58" s="532"/>
      <c r="LRR58" s="532"/>
      <c r="LRS58" s="532"/>
      <c r="LRT58" s="532"/>
      <c r="LRU58" s="532"/>
      <c r="LRV58" s="532"/>
      <c r="LRW58" s="532"/>
      <c r="LRX58" s="532"/>
      <c r="LRY58" s="532"/>
      <c r="LRZ58" s="532"/>
      <c r="LSA58" s="532"/>
      <c r="LSB58" s="532"/>
      <c r="LSC58" s="532"/>
      <c r="LSD58" s="532"/>
      <c r="LSE58" s="532"/>
      <c r="LSF58" s="532"/>
      <c r="LSG58" s="532"/>
      <c r="LSH58" s="532"/>
      <c r="LSI58" s="532"/>
      <c r="LSJ58" s="532"/>
      <c r="LSK58" s="532"/>
      <c r="LSL58" s="532"/>
      <c r="LSM58" s="532"/>
      <c r="LSN58" s="532"/>
      <c r="LSO58" s="532"/>
      <c r="LSP58" s="532"/>
      <c r="LSQ58" s="532"/>
      <c r="LSR58" s="532"/>
      <c r="LSS58" s="532"/>
      <c r="LST58" s="532"/>
      <c r="LSU58" s="532"/>
      <c r="LSV58" s="532"/>
      <c r="LSW58" s="532"/>
      <c r="LSX58" s="532"/>
      <c r="LSY58" s="532"/>
      <c r="LSZ58" s="532"/>
      <c r="LTA58" s="532"/>
      <c r="LTB58" s="532"/>
      <c r="LTC58" s="532"/>
      <c r="LTD58" s="532"/>
      <c r="LTE58" s="532"/>
      <c r="LTF58" s="532"/>
      <c r="LTG58" s="532"/>
      <c r="LTH58" s="532"/>
      <c r="LTI58" s="532"/>
      <c r="LTJ58" s="532"/>
      <c r="LTK58" s="532"/>
      <c r="LTL58" s="532"/>
      <c r="LTM58" s="532"/>
      <c r="LTN58" s="532"/>
      <c r="LTO58" s="532"/>
      <c r="LTP58" s="532"/>
      <c r="LTQ58" s="532"/>
      <c r="LTR58" s="532"/>
      <c r="LTS58" s="532"/>
      <c r="LTT58" s="532"/>
      <c r="LTU58" s="532"/>
      <c r="LTV58" s="532"/>
      <c r="LTW58" s="532"/>
      <c r="LTX58" s="532"/>
      <c r="LTY58" s="532"/>
      <c r="LTZ58" s="532"/>
      <c r="LUA58" s="532"/>
      <c r="LUB58" s="532"/>
      <c r="LUC58" s="532"/>
      <c r="LUD58" s="532"/>
      <c r="LUE58" s="532"/>
      <c r="LUF58" s="532"/>
      <c r="LUG58" s="532"/>
      <c r="LUH58" s="532"/>
      <c r="LUI58" s="532"/>
      <c r="LUJ58" s="532"/>
      <c r="LUK58" s="532"/>
      <c r="LUL58" s="532"/>
      <c r="LUM58" s="532"/>
      <c r="LUN58" s="532"/>
      <c r="LUO58" s="532"/>
      <c r="LUP58" s="532"/>
      <c r="LUQ58" s="532"/>
      <c r="LUR58" s="532"/>
      <c r="LUS58" s="532"/>
      <c r="LUT58" s="532"/>
      <c r="LUU58" s="532"/>
      <c r="LUV58" s="532"/>
      <c r="LUW58" s="532"/>
      <c r="LUX58" s="532"/>
      <c r="LUY58" s="532"/>
      <c r="LUZ58" s="532"/>
      <c r="LVA58" s="532"/>
      <c r="LVB58" s="532"/>
      <c r="LVC58" s="532"/>
      <c r="LVD58" s="532"/>
      <c r="LVE58" s="532"/>
      <c r="LVF58" s="532"/>
      <c r="LVG58" s="532"/>
      <c r="LVH58" s="532"/>
      <c r="LVI58" s="532"/>
      <c r="LVJ58" s="532"/>
      <c r="LVK58" s="532"/>
      <c r="LVL58" s="532"/>
      <c r="LVM58" s="532"/>
      <c r="LVN58" s="532"/>
      <c r="LVO58" s="532"/>
      <c r="LVP58" s="532"/>
      <c r="LVQ58" s="532"/>
      <c r="LVR58" s="532"/>
      <c r="LVS58" s="532"/>
      <c r="LVT58" s="532"/>
      <c r="LVU58" s="532"/>
      <c r="LVV58" s="532"/>
      <c r="LVW58" s="532"/>
      <c r="LVX58" s="532"/>
      <c r="LVY58" s="532"/>
      <c r="LVZ58" s="532"/>
      <c r="LWA58" s="532"/>
      <c r="LWB58" s="532"/>
      <c r="LWC58" s="532"/>
      <c r="LWD58" s="532"/>
      <c r="LWE58" s="532"/>
      <c r="LWF58" s="532"/>
      <c r="LWG58" s="532"/>
      <c r="LWH58" s="532"/>
      <c r="LWI58" s="532"/>
      <c r="LWJ58" s="532"/>
      <c r="LWK58" s="532"/>
      <c r="LWL58" s="532"/>
      <c r="LWM58" s="532"/>
      <c r="LWN58" s="532"/>
      <c r="LWO58" s="532"/>
      <c r="LWP58" s="532"/>
      <c r="LWQ58" s="532"/>
      <c r="LWR58" s="532"/>
      <c r="LWS58" s="532"/>
      <c r="LWT58" s="532"/>
      <c r="LWU58" s="532"/>
      <c r="LWV58" s="532"/>
      <c r="LWW58" s="532"/>
      <c r="LWX58" s="532"/>
      <c r="LWY58" s="532"/>
      <c r="LWZ58" s="532"/>
      <c r="LXA58" s="532"/>
      <c r="LXB58" s="532"/>
      <c r="LXC58" s="532"/>
      <c r="LXD58" s="532"/>
      <c r="LXE58" s="532"/>
      <c r="LXF58" s="532"/>
      <c r="LXG58" s="532"/>
      <c r="LXH58" s="532"/>
      <c r="LXI58" s="532"/>
      <c r="LXJ58" s="532"/>
      <c r="LXK58" s="532"/>
      <c r="LXL58" s="532"/>
      <c r="LXM58" s="532"/>
      <c r="LXN58" s="532"/>
      <c r="LXO58" s="532"/>
      <c r="LXP58" s="532"/>
      <c r="LXQ58" s="532"/>
      <c r="LXR58" s="532"/>
      <c r="LXS58" s="532"/>
      <c r="LXT58" s="532"/>
      <c r="LXU58" s="532"/>
      <c r="LXV58" s="532"/>
      <c r="LXW58" s="532"/>
      <c r="LXX58" s="532"/>
      <c r="LXY58" s="532"/>
      <c r="LXZ58" s="532"/>
      <c r="LYA58" s="532"/>
      <c r="LYB58" s="532"/>
      <c r="LYC58" s="532"/>
      <c r="LYD58" s="532"/>
      <c r="LYE58" s="532"/>
      <c r="LYF58" s="532"/>
      <c r="LYG58" s="532"/>
      <c r="LYH58" s="532"/>
      <c r="LYI58" s="532"/>
      <c r="LYJ58" s="532"/>
      <c r="LYK58" s="532"/>
      <c r="LYL58" s="532"/>
      <c r="LYM58" s="532"/>
      <c r="LYN58" s="532"/>
      <c r="LYO58" s="532"/>
      <c r="LYP58" s="532"/>
      <c r="LYQ58" s="532"/>
      <c r="LYR58" s="532"/>
      <c r="LYS58" s="532"/>
      <c r="LYT58" s="532"/>
      <c r="LYU58" s="532"/>
      <c r="LYV58" s="532"/>
      <c r="LYW58" s="532"/>
      <c r="LYX58" s="532"/>
      <c r="LYY58" s="532"/>
      <c r="LYZ58" s="532"/>
      <c r="LZA58" s="532"/>
      <c r="LZB58" s="532"/>
      <c r="LZC58" s="532"/>
      <c r="LZD58" s="532"/>
      <c r="LZE58" s="532"/>
      <c r="LZF58" s="532"/>
      <c r="LZG58" s="532"/>
      <c r="LZH58" s="532"/>
      <c r="LZI58" s="532"/>
      <c r="LZJ58" s="532"/>
      <c r="LZK58" s="532"/>
      <c r="LZL58" s="532"/>
      <c r="LZM58" s="532"/>
      <c r="LZN58" s="532"/>
      <c r="LZO58" s="532"/>
      <c r="LZP58" s="532"/>
      <c r="LZQ58" s="532"/>
      <c r="LZR58" s="532"/>
      <c r="LZS58" s="532"/>
      <c r="LZT58" s="532"/>
      <c r="LZU58" s="532"/>
      <c r="LZV58" s="532"/>
      <c r="LZW58" s="532"/>
      <c r="LZX58" s="532"/>
      <c r="LZY58" s="532"/>
      <c r="LZZ58" s="532"/>
      <c r="MAA58" s="532"/>
      <c r="MAB58" s="532"/>
      <c r="MAC58" s="532"/>
      <c r="MAD58" s="532"/>
      <c r="MAE58" s="532"/>
      <c r="MAF58" s="532"/>
      <c r="MAG58" s="532"/>
      <c r="MAH58" s="532"/>
      <c r="MAI58" s="532"/>
      <c r="MAJ58" s="532"/>
      <c r="MAK58" s="532"/>
      <c r="MAL58" s="532"/>
      <c r="MAM58" s="532"/>
      <c r="MAN58" s="532"/>
      <c r="MAO58" s="532"/>
      <c r="MAP58" s="532"/>
      <c r="MAQ58" s="532"/>
      <c r="MAR58" s="532"/>
      <c r="MAS58" s="532"/>
      <c r="MAT58" s="532"/>
      <c r="MAU58" s="532"/>
      <c r="MAV58" s="532"/>
      <c r="MAW58" s="532"/>
      <c r="MAX58" s="532"/>
      <c r="MAY58" s="532"/>
      <c r="MAZ58" s="532"/>
      <c r="MBA58" s="532"/>
      <c r="MBB58" s="532"/>
      <c r="MBC58" s="532"/>
      <c r="MBD58" s="532"/>
      <c r="MBE58" s="532"/>
      <c r="MBF58" s="532"/>
      <c r="MBG58" s="532"/>
      <c r="MBH58" s="532"/>
      <c r="MBI58" s="532"/>
      <c r="MBJ58" s="532"/>
      <c r="MBK58" s="532"/>
      <c r="MBL58" s="532"/>
      <c r="MBM58" s="532"/>
      <c r="MBN58" s="532"/>
      <c r="MBO58" s="532"/>
      <c r="MBP58" s="532"/>
      <c r="MBQ58" s="532"/>
      <c r="MBR58" s="532"/>
      <c r="MBS58" s="532"/>
      <c r="MBT58" s="532"/>
      <c r="MBU58" s="532"/>
      <c r="MBV58" s="532"/>
      <c r="MBW58" s="532"/>
      <c r="MBX58" s="532"/>
      <c r="MBY58" s="532"/>
      <c r="MBZ58" s="532"/>
      <c r="MCA58" s="532"/>
      <c r="MCB58" s="532"/>
      <c r="MCC58" s="532"/>
      <c r="MCD58" s="532"/>
      <c r="MCE58" s="532"/>
      <c r="MCF58" s="532"/>
      <c r="MCG58" s="532"/>
      <c r="MCH58" s="532"/>
      <c r="MCI58" s="532"/>
      <c r="MCJ58" s="532"/>
      <c r="MCK58" s="532"/>
      <c r="MCL58" s="532"/>
      <c r="MCM58" s="532"/>
      <c r="MCN58" s="532"/>
      <c r="MCO58" s="532"/>
      <c r="MCP58" s="532"/>
      <c r="MCQ58" s="532"/>
      <c r="MCR58" s="532"/>
      <c r="MCS58" s="532"/>
      <c r="MCT58" s="532"/>
      <c r="MCU58" s="532"/>
      <c r="MCV58" s="532"/>
      <c r="MCW58" s="532"/>
      <c r="MCX58" s="532"/>
      <c r="MCY58" s="532"/>
      <c r="MCZ58" s="532"/>
      <c r="MDA58" s="532"/>
      <c r="MDB58" s="532"/>
      <c r="MDC58" s="532"/>
      <c r="MDD58" s="532"/>
      <c r="MDE58" s="532"/>
      <c r="MDF58" s="532"/>
      <c r="MDG58" s="532"/>
      <c r="MDH58" s="532"/>
      <c r="MDI58" s="532"/>
      <c r="MDJ58" s="532"/>
      <c r="MDK58" s="532"/>
      <c r="MDL58" s="532"/>
      <c r="MDM58" s="532"/>
      <c r="MDN58" s="532"/>
      <c r="MDO58" s="532"/>
      <c r="MDP58" s="532"/>
      <c r="MDQ58" s="532"/>
      <c r="MDR58" s="532"/>
      <c r="MDS58" s="532"/>
      <c r="MDT58" s="532"/>
      <c r="MDU58" s="532"/>
      <c r="MDV58" s="532"/>
      <c r="MDW58" s="532"/>
      <c r="MDX58" s="532"/>
      <c r="MDY58" s="532"/>
      <c r="MDZ58" s="532"/>
      <c r="MEA58" s="532"/>
      <c r="MEB58" s="532"/>
      <c r="MEC58" s="532"/>
      <c r="MED58" s="532"/>
      <c r="MEE58" s="532"/>
      <c r="MEF58" s="532"/>
      <c r="MEG58" s="532"/>
      <c r="MEH58" s="532"/>
      <c r="MEI58" s="532"/>
      <c r="MEJ58" s="532"/>
      <c r="MEK58" s="532"/>
      <c r="MEL58" s="532"/>
      <c r="MEM58" s="532"/>
      <c r="MEN58" s="532"/>
      <c r="MEO58" s="532"/>
      <c r="MEP58" s="532"/>
      <c r="MEQ58" s="532"/>
      <c r="MER58" s="532"/>
      <c r="MES58" s="532"/>
      <c r="MET58" s="532"/>
      <c r="MEU58" s="532"/>
      <c r="MEV58" s="532"/>
      <c r="MEW58" s="532"/>
      <c r="MEX58" s="532"/>
      <c r="MEY58" s="532"/>
      <c r="MEZ58" s="532"/>
      <c r="MFA58" s="532"/>
      <c r="MFB58" s="532"/>
      <c r="MFC58" s="532"/>
      <c r="MFD58" s="532"/>
      <c r="MFE58" s="532"/>
      <c r="MFF58" s="532"/>
      <c r="MFG58" s="532"/>
      <c r="MFH58" s="532"/>
      <c r="MFI58" s="532"/>
      <c r="MFJ58" s="532"/>
      <c r="MFK58" s="532"/>
      <c r="MFL58" s="532"/>
      <c r="MFM58" s="532"/>
      <c r="MFN58" s="532"/>
      <c r="MFO58" s="532"/>
      <c r="MFP58" s="532"/>
      <c r="MFQ58" s="532"/>
      <c r="MFR58" s="532"/>
      <c r="MFS58" s="532"/>
      <c r="MFT58" s="532"/>
      <c r="MFU58" s="532"/>
      <c r="MFV58" s="532"/>
      <c r="MFW58" s="532"/>
      <c r="MFX58" s="532"/>
      <c r="MFY58" s="532"/>
      <c r="MFZ58" s="532"/>
      <c r="MGA58" s="532"/>
      <c r="MGB58" s="532"/>
      <c r="MGC58" s="532"/>
      <c r="MGD58" s="532"/>
      <c r="MGE58" s="532"/>
      <c r="MGF58" s="532"/>
      <c r="MGG58" s="532"/>
      <c r="MGH58" s="532"/>
      <c r="MGI58" s="532"/>
      <c r="MGJ58" s="532"/>
      <c r="MGK58" s="532"/>
      <c r="MGL58" s="532"/>
      <c r="MGM58" s="532"/>
      <c r="MGN58" s="532"/>
      <c r="MGO58" s="532"/>
      <c r="MGP58" s="532"/>
      <c r="MGQ58" s="532"/>
      <c r="MGR58" s="532"/>
      <c r="MGS58" s="532"/>
      <c r="MGT58" s="532"/>
      <c r="MGU58" s="532"/>
      <c r="MGV58" s="532"/>
      <c r="MGW58" s="532"/>
      <c r="MGX58" s="532"/>
      <c r="MGY58" s="532"/>
      <c r="MGZ58" s="532"/>
      <c r="MHA58" s="532"/>
      <c r="MHB58" s="532"/>
      <c r="MHC58" s="532"/>
      <c r="MHD58" s="532"/>
      <c r="MHE58" s="532"/>
      <c r="MHF58" s="532"/>
      <c r="MHG58" s="532"/>
      <c r="MHH58" s="532"/>
      <c r="MHI58" s="532"/>
      <c r="MHJ58" s="532"/>
      <c r="MHK58" s="532"/>
      <c r="MHL58" s="532"/>
      <c r="MHM58" s="532"/>
      <c r="MHN58" s="532"/>
      <c r="MHO58" s="532"/>
      <c r="MHP58" s="532"/>
      <c r="MHQ58" s="532"/>
      <c r="MHR58" s="532"/>
      <c r="MHS58" s="532"/>
      <c r="MHT58" s="532"/>
      <c r="MHU58" s="532"/>
      <c r="MHV58" s="532"/>
      <c r="MHW58" s="532"/>
      <c r="MHX58" s="532"/>
      <c r="MHY58" s="532"/>
      <c r="MHZ58" s="532"/>
      <c r="MIA58" s="532"/>
      <c r="MIB58" s="532"/>
      <c r="MIC58" s="532"/>
      <c r="MID58" s="532"/>
      <c r="MIE58" s="532"/>
      <c r="MIF58" s="532"/>
      <c r="MIG58" s="532"/>
      <c r="MIH58" s="532"/>
      <c r="MII58" s="532"/>
      <c r="MIJ58" s="532"/>
      <c r="MIK58" s="532"/>
      <c r="MIL58" s="532"/>
      <c r="MIM58" s="532"/>
      <c r="MIN58" s="532"/>
      <c r="MIO58" s="532"/>
      <c r="MIP58" s="532"/>
      <c r="MIQ58" s="532"/>
      <c r="MIR58" s="532"/>
      <c r="MIS58" s="532"/>
      <c r="MIT58" s="532"/>
      <c r="MIU58" s="532"/>
      <c r="MIV58" s="532"/>
      <c r="MIW58" s="532"/>
      <c r="MIX58" s="532"/>
      <c r="MIY58" s="532"/>
      <c r="MIZ58" s="532"/>
      <c r="MJA58" s="532"/>
      <c r="MJB58" s="532"/>
      <c r="MJC58" s="532"/>
      <c r="MJD58" s="532"/>
      <c r="MJE58" s="532"/>
      <c r="MJF58" s="532"/>
      <c r="MJG58" s="532"/>
      <c r="MJH58" s="532"/>
      <c r="MJI58" s="532"/>
      <c r="MJJ58" s="532"/>
      <c r="MJK58" s="532"/>
      <c r="MJL58" s="532"/>
      <c r="MJM58" s="532"/>
      <c r="MJN58" s="532"/>
      <c r="MJO58" s="532"/>
      <c r="MJP58" s="532"/>
      <c r="MJQ58" s="532"/>
      <c r="MJR58" s="532"/>
      <c r="MJS58" s="532"/>
      <c r="MJT58" s="532"/>
      <c r="MJU58" s="532"/>
      <c r="MJV58" s="532"/>
      <c r="MJW58" s="532"/>
      <c r="MJX58" s="532"/>
      <c r="MJY58" s="532"/>
      <c r="MJZ58" s="532"/>
      <c r="MKA58" s="532"/>
      <c r="MKB58" s="532"/>
      <c r="MKC58" s="532"/>
      <c r="MKD58" s="532"/>
      <c r="MKE58" s="532"/>
      <c r="MKF58" s="532"/>
      <c r="MKG58" s="532"/>
      <c r="MKH58" s="532"/>
      <c r="MKI58" s="532"/>
      <c r="MKJ58" s="532"/>
      <c r="MKK58" s="532"/>
      <c r="MKL58" s="532"/>
      <c r="MKM58" s="532"/>
      <c r="MKN58" s="532"/>
      <c r="MKO58" s="532"/>
      <c r="MKP58" s="532"/>
      <c r="MKQ58" s="532"/>
      <c r="MKR58" s="532"/>
      <c r="MKS58" s="532"/>
      <c r="MKT58" s="532"/>
      <c r="MKU58" s="532"/>
      <c r="MKV58" s="532"/>
      <c r="MKW58" s="532"/>
      <c r="MKX58" s="532"/>
      <c r="MKY58" s="532"/>
      <c r="MKZ58" s="532"/>
      <c r="MLA58" s="532"/>
      <c r="MLB58" s="532"/>
      <c r="MLC58" s="532"/>
      <c r="MLD58" s="532"/>
      <c r="MLE58" s="532"/>
      <c r="MLF58" s="532"/>
      <c r="MLG58" s="532"/>
      <c r="MLH58" s="532"/>
      <c r="MLI58" s="532"/>
      <c r="MLJ58" s="532"/>
      <c r="MLK58" s="532"/>
      <c r="MLL58" s="532"/>
      <c r="MLM58" s="532"/>
      <c r="MLN58" s="532"/>
      <c r="MLO58" s="532"/>
      <c r="MLP58" s="532"/>
      <c r="MLQ58" s="532"/>
      <c r="MLR58" s="532"/>
      <c r="MLS58" s="532"/>
      <c r="MLT58" s="532"/>
      <c r="MLU58" s="532"/>
      <c r="MLV58" s="532"/>
      <c r="MLW58" s="532"/>
      <c r="MLX58" s="532"/>
      <c r="MLY58" s="532"/>
      <c r="MLZ58" s="532"/>
      <c r="MMA58" s="532"/>
      <c r="MMB58" s="532"/>
      <c r="MMC58" s="532"/>
      <c r="MMD58" s="532"/>
      <c r="MME58" s="532"/>
      <c r="MMF58" s="532"/>
      <c r="MMG58" s="532"/>
      <c r="MMH58" s="532"/>
      <c r="MMI58" s="532"/>
      <c r="MMJ58" s="532"/>
      <c r="MMK58" s="532"/>
      <c r="MML58" s="532"/>
      <c r="MMM58" s="532"/>
      <c r="MMN58" s="532"/>
      <c r="MMO58" s="532"/>
      <c r="MMP58" s="532"/>
      <c r="MMQ58" s="532"/>
      <c r="MMR58" s="532"/>
      <c r="MMS58" s="532"/>
      <c r="MMT58" s="532"/>
      <c r="MMU58" s="532"/>
      <c r="MMV58" s="532"/>
      <c r="MMW58" s="532"/>
      <c r="MMX58" s="532"/>
      <c r="MMY58" s="532"/>
      <c r="MMZ58" s="532"/>
      <c r="MNA58" s="532"/>
      <c r="MNB58" s="532"/>
      <c r="MNC58" s="532"/>
      <c r="MND58" s="532"/>
      <c r="MNE58" s="532"/>
      <c r="MNF58" s="532"/>
      <c r="MNG58" s="532"/>
      <c r="MNH58" s="532"/>
      <c r="MNI58" s="532"/>
      <c r="MNJ58" s="532"/>
      <c r="MNK58" s="532"/>
      <c r="MNL58" s="532"/>
      <c r="MNM58" s="532"/>
      <c r="MNN58" s="532"/>
      <c r="MNO58" s="532"/>
      <c r="MNP58" s="532"/>
      <c r="MNQ58" s="532"/>
      <c r="MNR58" s="532"/>
      <c r="MNS58" s="532"/>
      <c r="MNT58" s="532"/>
      <c r="MNU58" s="532"/>
      <c r="MNV58" s="532"/>
      <c r="MNW58" s="532"/>
      <c r="MNX58" s="532"/>
      <c r="MNY58" s="532"/>
      <c r="MNZ58" s="532"/>
      <c r="MOA58" s="532"/>
      <c r="MOB58" s="532"/>
      <c r="MOC58" s="532"/>
      <c r="MOD58" s="532"/>
      <c r="MOE58" s="532"/>
      <c r="MOF58" s="532"/>
      <c r="MOG58" s="532"/>
      <c r="MOH58" s="532"/>
      <c r="MOI58" s="532"/>
      <c r="MOJ58" s="532"/>
      <c r="MOK58" s="532"/>
      <c r="MOL58" s="532"/>
      <c r="MOM58" s="532"/>
      <c r="MON58" s="532"/>
      <c r="MOO58" s="532"/>
      <c r="MOP58" s="532"/>
      <c r="MOQ58" s="532"/>
      <c r="MOR58" s="532"/>
      <c r="MOS58" s="532"/>
      <c r="MOT58" s="532"/>
      <c r="MOU58" s="532"/>
      <c r="MOV58" s="532"/>
      <c r="MOW58" s="532"/>
      <c r="MOX58" s="532"/>
      <c r="MOY58" s="532"/>
      <c r="MOZ58" s="532"/>
      <c r="MPA58" s="532"/>
      <c r="MPB58" s="532"/>
      <c r="MPC58" s="532"/>
      <c r="MPD58" s="532"/>
      <c r="MPE58" s="532"/>
      <c r="MPF58" s="532"/>
      <c r="MPG58" s="532"/>
      <c r="MPH58" s="532"/>
      <c r="MPI58" s="532"/>
      <c r="MPJ58" s="532"/>
      <c r="MPK58" s="532"/>
      <c r="MPL58" s="532"/>
      <c r="MPM58" s="532"/>
      <c r="MPN58" s="532"/>
      <c r="MPO58" s="532"/>
      <c r="MPP58" s="532"/>
      <c r="MPQ58" s="532"/>
      <c r="MPR58" s="532"/>
      <c r="MPS58" s="532"/>
      <c r="MPT58" s="532"/>
      <c r="MPU58" s="532"/>
      <c r="MPV58" s="532"/>
      <c r="MPW58" s="532"/>
      <c r="MPX58" s="532"/>
      <c r="MPY58" s="532"/>
      <c r="MPZ58" s="532"/>
      <c r="MQA58" s="532"/>
      <c r="MQB58" s="532"/>
      <c r="MQC58" s="532"/>
      <c r="MQD58" s="532"/>
      <c r="MQE58" s="532"/>
      <c r="MQF58" s="532"/>
      <c r="MQG58" s="532"/>
      <c r="MQH58" s="532"/>
      <c r="MQI58" s="532"/>
      <c r="MQJ58" s="532"/>
      <c r="MQK58" s="532"/>
      <c r="MQL58" s="532"/>
      <c r="MQM58" s="532"/>
      <c r="MQN58" s="532"/>
      <c r="MQO58" s="532"/>
      <c r="MQP58" s="532"/>
      <c r="MQQ58" s="532"/>
      <c r="MQR58" s="532"/>
      <c r="MQS58" s="532"/>
      <c r="MQT58" s="532"/>
      <c r="MQU58" s="532"/>
      <c r="MQV58" s="532"/>
      <c r="MQW58" s="532"/>
      <c r="MQX58" s="532"/>
      <c r="MQY58" s="532"/>
      <c r="MQZ58" s="532"/>
      <c r="MRA58" s="532"/>
      <c r="MRB58" s="532"/>
      <c r="MRC58" s="532"/>
      <c r="MRD58" s="532"/>
      <c r="MRE58" s="532"/>
      <c r="MRF58" s="532"/>
      <c r="MRG58" s="532"/>
      <c r="MRH58" s="532"/>
      <c r="MRI58" s="532"/>
      <c r="MRJ58" s="532"/>
      <c r="MRK58" s="532"/>
      <c r="MRL58" s="532"/>
      <c r="MRM58" s="532"/>
      <c r="MRN58" s="532"/>
      <c r="MRO58" s="532"/>
      <c r="MRP58" s="532"/>
      <c r="MRQ58" s="532"/>
      <c r="MRR58" s="532"/>
      <c r="MRS58" s="532"/>
      <c r="MRT58" s="532"/>
      <c r="MRU58" s="532"/>
      <c r="MRV58" s="532"/>
      <c r="MRW58" s="532"/>
      <c r="MRX58" s="532"/>
      <c r="MRY58" s="532"/>
      <c r="MRZ58" s="532"/>
      <c r="MSA58" s="532"/>
      <c r="MSB58" s="532"/>
      <c r="MSC58" s="532"/>
      <c r="MSD58" s="532"/>
      <c r="MSE58" s="532"/>
      <c r="MSF58" s="532"/>
      <c r="MSG58" s="532"/>
      <c r="MSH58" s="532"/>
      <c r="MSI58" s="532"/>
      <c r="MSJ58" s="532"/>
      <c r="MSK58" s="532"/>
      <c r="MSL58" s="532"/>
      <c r="MSM58" s="532"/>
      <c r="MSN58" s="532"/>
      <c r="MSO58" s="532"/>
      <c r="MSP58" s="532"/>
      <c r="MSQ58" s="532"/>
      <c r="MSR58" s="532"/>
      <c r="MSS58" s="532"/>
      <c r="MST58" s="532"/>
      <c r="MSU58" s="532"/>
      <c r="MSV58" s="532"/>
      <c r="MSW58" s="532"/>
      <c r="MSX58" s="532"/>
      <c r="MSY58" s="532"/>
      <c r="MSZ58" s="532"/>
      <c r="MTA58" s="532"/>
      <c r="MTB58" s="532"/>
      <c r="MTC58" s="532"/>
      <c r="MTD58" s="532"/>
      <c r="MTE58" s="532"/>
      <c r="MTF58" s="532"/>
      <c r="MTG58" s="532"/>
      <c r="MTH58" s="532"/>
      <c r="MTI58" s="532"/>
      <c r="MTJ58" s="532"/>
      <c r="MTK58" s="532"/>
      <c r="MTL58" s="532"/>
      <c r="MTM58" s="532"/>
      <c r="MTN58" s="532"/>
      <c r="MTO58" s="532"/>
      <c r="MTP58" s="532"/>
      <c r="MTQ58" s="532"/>
      <c r="MTR58" s="532"/>
      <c r="MTS58" s="532"/>
      <c r="MTT58" s="532"/>
      <c r="MTU58" s="532"/>
      <c r="MTV58" s="532"/>
      <c r="MTW58" s="532"/>
      <c r="MTX58" s="532"/>
      <c r="MTY58" s="532"/>
      <c r="MTZ58" s="532"/>
      <c r="MUA58" s="532"/>
      <c r="MUB58" s="532"/>
      <c r="MUC58" s="532"/>
      <c r="MUD58" s="532"/>
      <c r="MUE58" s="532"/>
      <c r="MUF58" s="532"/>
      <c r="MUG58" s="532"/>
      <c r="MUH58" s="532"/>
      <c r="MUI58" s="532"/>
      <c r="MUJ58" s="532"/>
      <c r="MUK58" s="532"/>
      <c r="MUL58" s="532"/>
      <c r="MUM58" s="532"/>
      <c r="MUN58" s="532"/>
      <c r="MUO58" s="532"/>
      <c r="MUP58" s="532"/>
      <c r="MUQ58" s="532"/>
      <c r="MUR58" s="532"/>
      <c r="MUS58" s="532"/>
      <c r="MUT58" s="532"/>
      <c r="MUU58" s="532"/>
      <c r="MUV58" s="532"/>
      <c r="MUW58" s="532"/>
      <c r="MUX58" s="532"/>
      <c r="MUY58" s="532"/>
      <c r="MUZ58" s="532"/>
      <c r="MVA58" s="532"/>
      <c r="MVB58" s="532"/>
      <c r="MVC58" s="532"/>
      <c r="MVD58" s="532"/>
      <c r="MVE58" s="532"/>
      <c r="MVF58" s="532"/>
      <c r="MVG58" s="532"/>
      <c r="MVH58" s="532"/>
      <c r="MVI58" s="532"/>
      <c r="MVJ58" s="532"/>
      <c r="MVK58" s="532"/>
      <c r="MVL58" s="532"/>
      <c r="MVM58" s="532"/>
      <c r="MVN58" s="532"/>
      <c r="MVO58" s="532"/>
      <c r="MVP58" s="532"/>
      <c r="MVQ58" s="532"/>
      <c r="MVR58" s="532"/>
      <c r="MVS58" s="532"/>
      <c r="MVT58" s="532"/>
      <c r="MVU58" s="532"/>
      <c r="MVV58" s="532"/>
      <c r="MVW58" s="532"/>
      <c r="MVX58" s="532"/>
      <c r="MVY58" s="532"/>
      <c r="MVZ58" s="532"/>
      <c r="MWA58" s="532"/>
      <c r="MWB58" s="532"/>
      <c r="MWC58" s="532"/>
      <c r="MWD58" s="532"/>
      <c r="MWE58" s="532"/>
      <c r="MWF58" s="532"/>
      <c r="MWG58" s="532"/>
      <c r="MWH58" s="532"/>
      <c r="MWI58" s="532"/>
      <c r="MWJ58" s="532"/>
      <c r="MWK58" s="532"/>
      <c r="MWL58" s="532"/>
      <c r="MWM58" s="532"/>
      <c r="MWN58" s="532"/>
      <c r="MWO58" s="532"/>
      <c r="MWP58" s="532"/>
      <c r="MWQ58" s="532"/>
      <c r="MWR58" s="532"/>
      <c r="MWS58" s="532"/>
      <c r="MWT58" s="532"/>
      <c r="MWU58" s="532"/>
      <c r="MWV58" s="532"/>
      <c r="MWW58" s="532"/>
      <c r="MWX58" s="532"/>
      <c r="MWY58" s="532"/>
      <c r="MWZ58" s="532"/>
      <c r="MXA58" s="532"/>
      <c r="MXB58" s="532"/>
      <c r="MXC58" s="532"/>
      <c r="MXD58" s="532"/>
      <c r="MXE58" s="532"/>
      <c r="MXF58" s="532"/>
      <c r="MXG58" s="532"/>
      <c r="MXH58" s="532"/>
      <c r="MXI58" s="532"/>
      <c r="MXJ58" s="532"/>
      <c r="MXK58" s="532"/>
      <c r="MXL58" s="532"/>
      <c r="MXM58" s="532"/>
      <c r="MXN58" s="532"/>
      <c r="MXO58" s="532"/>
      <c r="MXP58" s="532"/>
      <c r="MXQ58" s="532"/>
      <c r="MXR58" s="532"/>
      <c r="MXS58" s="532"/>
      <c r="MXT58" s="532"/>
      <c r="MXU58" s="532"/>
      <c r="MXV58" s="532"/>
      <c r="MXW58" s="532"/>
      <c r="MXX58" s="532"/>
      <c r="MXY58" s="532"/>
      <c r="MXZ58" s="532"/>
      <c r="MYA58" s="532"/>
      <c r="MYB58" s="532"/>
      <c r="MYC58" s="532"/>
      <c r="MYD58" s="532"/>
      <c r="MYE58" s="532"/>
      <c r="MYF58" s="532"/>
      <c r="MYG58" s="532"/>
      <c r="MYH58" s="532"/>
      <c r="MYI58" s="532"/>
      <c r="MYJ58" s="532"/>
      <c r="MYK58" s="532"/>
      <c r="MYL58" s="532"/>
      <c r="MYM58" s="532"/>
      <c r="MYN58" s="532"/>
      <c r="MYO58" s="532"/>
      <c r="MYP58" s="532"/>
      <c r="MYQ58" s="532"/>
      <c r="MYR58" s="532"/>
      <c r="MYS58" s="532"/>
      <c r="MYT58" s="532"/>
      <c r="MYU58" s="532"/>
      <c r="MYV58" s="532"/>
      <c r="MYW58" s="532"/>
      <c r="MYX58" s="532"/>
      <c r="MYY58" s="532"/>
      <c r="MYZ58" s="532"/>
      <c r="MZA58" s="532"/>
      <c r="MZB58" s="532"/>
      <c r="MZC58" s="532"/>
      <c r="MZD58" s="532"/>
      <c r="MZE58" s="532"/>
      <c r="MZF58" s="532"/>
      <c r="MZG58" s="532"/>
      <c r="MZH58" s="532"/>
      <c r="MZI58" s="532"/>
      <c r="MZJ58" s="532"/>
      <c r="MZK58" s="532"/>
      <c r="MZL58" s="532"/>
      <c r="MZM58" s="532"/>
      <c r="MZN58" s="532"/>
      <c r="MZO58" s="532"/>
      <c r="MZP58" s="532"/>
      <c r="MZQ58" s="532"/>
      <c r="MZR58" s="532"/>
      <c r="MZS58" s="532"/>
      <c r="MZT58" s="532"/>
      <c r="MZU58" s="532"/>
      <c r="MZV58" s="532"/>
      <c r="MZW58" s="532"/>
      <c r="MZX58" s="532"/>
      <c r="MZY58" s="532"/>
      <c r="MZZ58" s="532"/>
      <c r="NAA58" s="532"/>
      <c r="NAB58" s="532"/>
      <c r="NAC58" s="532"/>
      <c r="NAD58" s="532"/>
      <c r="NAE58" s="532"/>
      <c r="NAF58" s="532"/>
      <c r="NAG58" s="532"/>
      <c r="NAH58" s="532"/>
      <c r="NAI58" s="532"/>
      <c r="NAJ58" s="532"/>
      <c r="NAK58" s="532"/>
      <c r="NAL58" s="532"/>
      <c r="NAM58" s="532"/>
      <c r="NAN58" s="532"/>
      <c r="NAO58" s="532"/>
      <c r="NAP58" s="532"/>
      <c r="NAQ58" s="532"/>
      <c r="NAR58" s="532"/>
      <c r="NAS58" s="532"/>
      <c r="NAT58" s="532"/>
      <c r="NAU58" s="532"/>
      <c r="NAV58" s="532"/>
      <c r="NAW58" s="532"/>
      <c r="NAX58" s="532"/>
      <c r="NAY58" s="532"/>
      <c r="NAZ58" s="532"/>
      <c r="NBA58" s="532"/>
      <c r="NBB58" s="532"/>
      <c r="NBC58" s="532"/>
      <c r="NBD58" s="532"/>
      <c r="NBE58" s="532"/>
      <c r="NBF58" s="532"/>
      <c r="NBG58" s="532"/>
      <c r="NBH58" s="532"/>
      <c r="NBI58" s="532"/>
      <c r="NBJ58" s="532"/>
      <c r="NBK58" s="532"/>
      <c r="NBL58" s="532"/>
      <c r="NBM58" s="532"/>
      <c r="NBN58" s="532"/>
      <c r="NBO58" s="532"/>
      <c r="NBP58" s="532"/>
      <c r="NBQ58" s="532"/>
      <c r="NBR58" s="532"/>
      <c r="NBS58" s="532"/>
      <c r="NBT58" s="532"/>
      <c r="NBU58" s="532"/>
      <c r="NBV58" s="532"/>
      <c r="NBW58" s="532"/>
      <c r="NBX58" s="532"/>
      <c r="NBY58" s="532"/>
      <c r="NBZ58" s="532"/>
      <c r="NCA58" s="532"/>
      <c r="NCB58" s="532"/>
      <c r="NCC58" s="532"/>
      <c r="NCD58" s="532"/>
      <c r="NCE58" s="532"/>
      <c r="NCF58" s="532"/>
      <c r="NCG58" s="532"/>
      <c r="NCH58" s="532"/>
      <c r="NCI58" s="532"/>
      <c r="NCJ58" s="532"/>
      <c r="NCK58" s="532"/>
      <c r="NCL58" s="532"/>
      <c r="NCM58" s="532"/>
      <c r="NCN58" s="532"/>
      <c r="NCO58" s="532"/>
      <c r="NCP58" s="532"/>
      <c r="NCQ58" s="532"/>
      <c r="NCR58" s="532"/>
      <c r="NCS58" s="532"/>
      <c r="NCT58" s="532"/>
      <c r="NCU58" s="532"/>
      <c r="NCV58" s="532"/>
      <c r="NCW58" s="532"/>
      <c r="NCX58" s="532"/>
      <c r="NCY58" s="532"/>
      <c r="NCZ58" s="532"/>
      <c r="NDA58" s="532"/>
      <c r="NDB58" s="532"/>
      <c r="NDC58" s="532"/>
      <c r="NDD58" s="532"/>
      <c r="NDE58" s="532"/>
      <c r="NDF58" s="532"/>
      <c r="NDG58" s="532"/>
      <c r="NDH58" s="532"/>
      <c r="NDI58" s="532"/>
      <c r="NDJ58" s="532"/>
      <c r="NDK58" s="532"/>
      <c r="NDL58" s="532"/>
      <c r="NDM58" s="532"/>
      <c r="NDN58" s="532"/>
      <c r="NDO58" s="532"/>
      <c r="NDP58" s="532"/>
      <c r="NDQ58" s="532"/>
      <c r="NDR58" s="532"/>
      <c r="NDS58" s="532"/>
      <c r="NDT58" s="532"/>
      <c r="NDU58" s="532"/>
      <c r="NDV58" s="532"/>
      <c r="NDW58" s="532"/>
      <c r="NDX58" s="532"/>
      <c r="NDY58" s="532"/>
      <c r="NDZ58" s="532"/>
      <c r="NEA58" s="532"/>
      <c r="NEB58" s="532"/>
      <c r="NEC58" s="532"/>
      <c r="NED58" s="532"/>
      <c r="NEE58" s="532"/>
      <c r="NEF58" s="532"/>
      <c r="NEG58" s="532"/>
      <c r="NEH58" s="532"/>
      <c r="NEI58" s="532"/>
      <c r="NEJ58" s="532"/>
      <c r="NEK58" s="532"/>
      <c r="NEL58" s="532"/>
      <c r="NEM58" s="532"/>
      <c r="NEN58" s="532"/>
      <c r="NEO58" s="532"/>
      <c r="NEP58" s="532"/>
      <c r="NEQ58" s="532"/>
      <c r="NER58" s="532"/>
      <c r="NES58" s="532"/>
      <c r="NET58" s="532"/>
      <c r="NEU58" s="532"/>
      <c r="NEV58" s="532"/>
      <c r="NEW58" s="532"/>
      <c r="NEX58" s="532"/>
      <c r="NEY58" s="532"/>
      <c r="NEZ58" s="532"/>
      <c r="NFA58" s="532"/>
      <c r="NFB58" s="532"/>
      <c r="NFC58" s="532"/>
      <c r="NFD58" s="532"/>
      <c r="NFE58" s="532"/>
      <c r="NFF58" s="532"/>
      <c r="NFG58" s="532"/>
      <c r="NFH58" s="532"/>
      <c r="NFI58" s="532"/>
      <c r="NFJ58" s="532"/>
      <c r="NFK58" s="532"/>
      <c r="NFL58" s="532"/>
      <c r="NFM58" s="532"/>
      <c r="NFN58" s="532"/>
      <c r="NFO58" s="532"/>
      <c r="NFP58" s="532"/>
      <c r="NFQ58" s="532"/>
      <c r="NFR58" s="532"/>
      <c r="NFS58" s="532"/>
      <c r="NFT58" s="532"/>
      <c r="NFU58" s="532"/>
      <c r="NFV58" s="532"/>
      <c r="NFW58" s="532"/>
      <c r="NFX58" s="532"/>
      <c r="NFY58" s="532"/>
      <c r="NFZ58" s="532"/>
      <c r="NGA58" s="532"/>
      <c r="NGB58" s="532"/>
      <c r="NGC58" s="532"/>
      <c r="NGD58" s="532"/>
      <c r="NGE58" s="532"/>
      <c r="NGF58" s="532"/>
      <c r="NGG58" s="532"/>
      <c r="NGH58" s="532"/>
      <c r="NGI58" s="532"/>
      <c r="NGJ58" s="532"/>
      <c r="NGK58" s="532"/>
      <c r="NGL58" s="532"/>
      <c r="NGM58" s="532"/>
      <c r="NGN58" s="532"/>
      <c r="NGO58" s="532"/>
      <c r="NGP58" s="532"/>
      <c r="NGQ58" s="532"/>
      <c r="NGR58" s="532"/>
      <c r="NGS58" s="532"/>
      <c r="NGT58" s="532"/>
      <c r="NGU58" s="532"/>
      <c r="NGV58" s="532"/>
      <c r="NGW58" s="532"/>
      <c r="NGX58" s="532"/>
      <c r="NGY58" s="532"/>
      <c r="NGZ58" s="532"/>
      <c r="NHA58" s="532"/>
      <c r="NHB58" s="532"/>
      <c r="NHC58" s="532"/>
      <c r="NHD58" s="532"/>
      <c r="NHE58" s="532"/>
      <c r="NHF58" s="532"/>
      <c r="NHG58" s="532"/>
      <c r="NHH58" s="532"/>
      <c r="NHI58" s="532"/>
      <c r="NHJ58" s="532"/>
      <c r="NHK58" s="532"/>
      <c r="NHL58" s="532"/>
      <c r="NHM58" s="532"/>
      <c r="NHN58" s="532"/>
      <c r="NHO58" s="532"/>
      <c r="NHP58" s="532"/>
      <c r="NHQ58" s="532"/>
      <c r="NHR58" s="532"/>
      <c r="NHS58" s="532"/>
      <c r="NHT58" s="532"/>
      <c r="NHU58" s="532"/>
      <c r="NHV58" s="532"/>
      <c r="NHW58" s="532"/>
      <c r="NHX58" s="532"/>
      <c r="NHY58" s="532"/>
      <c r="NHZ58" s="532"/>
      <c r="NIA58" s="532"/>
      <c r="NIB58" s="532"/>
      <c r="NIC58" s="532"/>
      <c r="NID58" s="532"/>
      <c r="NIE58" s="532"/>
      <c r="NIF58" s="532"/>
      <c r="NIG58" s="532"/>
      <c r="NIH58" s="532"/>
      <c r="NII58" s="532"/>
      <c r="NIJ58" s="532"/>
      <c r="NIK58" s="532"/>
      <c r="NIL58" s="532"/>
      <c r="NIM58" s="532"/>
      <c r="NIN58" s="532"/>
      <c r="NIO58" s="532"/>
      <c r="NIP58" s="532"/>
      <c r="NIQ58" s="532"/>
      <c r="NIR58" s="532"/>
      <c r="NIS58" s="532"/>
      <c r="NIT58" s="532"/>
      <c r="NIU58" s="532"/>
      <c r="NIV58" s="532"/>
      <c r="NIW58" s="532"/>
      <c r="NIX58" s="532"/>
      <c r="NIY58" s="532"/>
      <c r="NIZ58" s="532"/>
      <c r="NJA58" s="532"/>
      <c r="NJB58" s="532"/>
      <c r="NJC58" s="532"/>
      <c r="NJD58" s="532"/>
      <c r="NJE58" s="532"/>
      <c r="NJF58" s="532"/>
      <c r="NJG58" s="532"/>
      <c r="NJH58" s="532"/>
      <c r="NJI58" s="532"/>
      <c r="NJJ58" s="532"/>
      <c r="NJK58" s="532"/>
      <c r="NJL58" s="532"/>
      <c r="NJM58" s="532"/>
      <c r="NJN58" s="532"/>
      <c r="NJO58" s="532"/>
      <c r="NJP58" s="532"/>
      <c r="NJQ58" s="532"/>
      <c r="NJR58" s="532"/>
      <c r="NJS58" s="532"/>
      <c r="NJT58" s="532"/>
      <c r="NJU58" s="532"/>
      <c r="NJV58" s="532"/>
      <c r="NJW58" s="532"/>
      <c r="NJX58" s="532"/>
      <c r="NJY58" s="532"/>
      <c r="NJZ58" s="532"/>
      <c r="NKA58" s="532"/>
      <c r="NKB58" s="532"/>
      <c r="NKC58" s="532"/>
      <c r="NKD58" s="532"/>
      <c r="NKE58" s="532"/>
      <c r="NKF58" s="532"/>
      <c r="NKG58" s="532"/>
      <c r="NKH58" s="532"/>
      <c r="NKI58" s="532"/>
      <c r="NKJ58" s="532"/>
      <c r="NKK58" s="532"/>
      <c r="NKL58" s="532"/>
      <c r="NKM58" s="532"/>
      <c r="NKN58" s="532"/>
      <c r="NKO58" s="532"/>
      <c r="NKP58" s="532"/>
      <c r="NKQ58" s="532"/>
      <c r="NKR58" s="532"/>
      <c r="NKS58" s="532"/>
      <c r="NKT58" s="532"/>
      <c r="NKU58" s="532"/>
      <c r="NKV58" s="532"/>
      <c r="NKW58" s="532"/>
      <c r="NKX58" s="532"/>
      <c r="NKY58" s="532"/>
      <c r="NKZ58" s="532"/>
      <c r="NLA58" s="532"/>
      <c r="NLB58" s="532"/>
      <c r="NLC58" s="532"/>
      <c r="NLD58" s="532"/>
      <c r="NLE58" s="532"/>
      <c r="NLF58" s="532"/>
      <c r="NLG58" s="532"/>
      <c r="NLH58" s="532"/>
      <c r="NLI58" s="532"/>
      <c r="NLJ58" s="532"/>
      <c r="NLK58" s="532"/>
      <c r="NLL58" s="532"/>
      <c r="NLM58" s="532"/>
      <c r="NLN58" s="532"/>
      <c r="NLO58" s="532"/>
      <c r="NLP58" s="532"/>
      <c r="NLQ58" s="532"/>
      <c r="NLR58" s="532"/>
      <c r="NLS58" s="532"/>
      <c r="NLT58" s="532"/>
      <c r="NLU58" s="532"/>
      <c r="NLV58" s="532"/>
      <c r="NLW58" s="532"/>
      <c r="NLX58" s="532"/>
      <c r="NLY58" s="532"/>
      <c r="NLZ58" s="532"/>
      <c r="NMA58" s="532"/>
      <c r="NMB58" s="532"/>
      <c r="NMC58" s="532"/>
      <c r="NMD58" s="532"/>
      <c r="NME58" s="532"/>
      <c r="NMF58" s="532"/>
      <c r="NMG58" s="532"/>
      <c r="NMH58" s="532"/>
      <c r="NMI58" s="532"/>
      <c r="NMJ58" s="532"/>
      <c r="NMK58" s="532"/>
      <c r="NML58" s="532"/>
      <c r="NMM58" s="532"/>
      <c r="NMN58" s="532"/>
      <c r="NMO58" s="532"/>
      <c r="NMP58" s="532"/>
      <c r="NMQ58" s="532"/>
      <c r="NMR58" s="532"/>
      <c r="NMS58" s="532"/>
      <c r="NMT58" s="532"/>
      <c r="NMU58" s="532"/>
      <c r="NMV58" s="532"/>
      <c r="NMW58" s="532"/>
      <c r="NMX58" s="532"/>
      <c r="NMY58" s="532"/>
      <c r="NMZ58" s="532"/>
      <c r="NNA58" s="532"/>
      <c r="NNB58" s="532"/>
      <c r="NNC58" s="532"/>
      <c r="NND58" s="532"/>
      <c r="NNE58" s="532"/>
      <c r="NNF58" s="532"/>
      <c r="NNG58" s="532"/>
      <c r="NNH58" s="532"/>
      <c r="NNI58" s="532"/>
      <c r="NNJ58" s="532"/>
      <c r="NNK58" s="532"/>
      <c r="NNL58" s="532"/>
      <c r="NNM58" s="532"/>
      <c r="NNN58" s="532"/>
      <c r="NNO58" s="532"/>
      <c r="NNP58" s="532"/>
      <c r="NNQ58" s="532"/>
      <c r="NNR58" s="532"/>
      <c r="NNS58" s="532"/>
      <c r="NNT58" s="532"/>
      <c r="NNU58" s="532"/>
      <c r="NNV58" s="532"/>
      <c r="NNW58" s="532"/>
      <c r="NNX58" s="532"/>
      <c r="NNY58" s="532"/>
      <c r="NNZ58" s="532"/>
      <c r="NOA58" s="532"/>
      <c r="NOB58" s="532"/>
      <c r="NOC58" s="532"/>
      <c r="NOD58" s="532"/>
      <c r="NOE58" s="532"/>
      <c r="NOF58" s="532"/>
      <c r="NOG58" s="532"/>
      <c r="NOH58" s="532"/>
      <c r="NOI58" s="532"/>
      <c r="NOJ58" s="532"/>
      <c r="NOK58" s="532"/>
      <c r="NOL58" s="532"/>
      <c r="NOM58" s="532"/>
      <c r="NON58" s="532"/>
      <c r="NOO58" s="532"/>
      <c r="NOP58" s="532"/>
      <c r="NOQ58" s="532"/>
      <c r="NOR58" s="532"/>
      <c r="NOS58" s="532"/>
      <c r="NOT58" s="532"/>
      <c r="NOU58" s="532"/>
      <c r="NOV58" s="532"/>
      <c r="NOW58" s="532"/>
      <c r="NOX58" s="532"/>
      <c r="NOY58" s="532"/>
      <c r="NOZ58" s="532"/>
      <c r="NPA58" s="532"/>
      <c r="NPB58" s="532"/>
      <c r="NPC58" s="532"/>
      <c r="NPD58" s="532"/>
      <c r="NPE58" s="532"/>
      <c r="NPF58" s="532"/>
      <c r="NPG58" s="532"/>
      <c r="NPH58" s="532"/>
      <c r="NPI58" s="532"/>
      <c r="NPJ58" s="532"/>
      <c r="NPK58" s="532"/>
      <c r="NPL58" s="532"/>
      <c r="NPM58" s="532"/>
      <c r="NPN58" s="532"/>
      <c r="NPO58" s="532"/>
      <c r="NPP58" s="532"/>
      <c r="NPQ58" s="532"/>
      <c r="NPR58" s="532"/>
      <c r="NPS58" s="532"/>
      <c r="NPT58" s="532"/>
      <c r="NPU58" s="532"/>
      <c r="NPV58" s="532"/>
      <c r="NPW58" s="532"/>
      <c r="NPX58" s="532"/>
      <c r="NPY58" s="532"/>
      <c r="NPZ58" s="532"/>
      <c r="NQA58" s="532"/>
      <c r="NQB58" s="532"/>
      <c r="NQC58" s="532"/>
      <c r="NQD58" s="532"/>
      <c r="NQE58" s="532"/>
      <c r="NQF58" s="532"/>
      <c r="NQG58" s="532"/>
      <c r="NQH58" s="532"/>
      <c r="NQI58" s="532"/>
      <c r="NQJ58" s="532"/>
      <c r="NQK58" s="532"/>
      <c r="NQL58" s="532"/>
      <c r="NQM58" s="532"/>
      <c r="NQN58" s="532"/>
      <c r="NQO58" s="532"/>
      <c r="NQP58" s="532"/>
      <c r="NQQ58" s="532"/>
      <c r="NQR58" s="532"/>
      <c r="NQS58" s="532"/>
      <c r="NQT58" s="532"/>
      <c r="NQU58" s="532"/>
      <c r="NQV58" s="532"/>
      <c r="NQW58" s="532"/>
      <c r="NQX58" s="532"/>
      <c r="NQY58" s="532"/>
      <c r="NQZ58" s="532"/>
      <c r="NRA58" s="532"/>
      <c r="NRB58" s="532"/>
      <c r="NRC58" s="532"/>
      <c r="NRD58" s="532"/>
      <c r="NRE58" s="532"/>
      <c r="NRF58" s="532"/>
      <c r="NRG58" s="532"/>
      <c r="NRH58" s="532"/>
      <c r="NRI58" s="532"/>
      <c r="NRJ58" s="532"/>
      <c r="NRK58" s="532"/>
      <c r="NRL58" s="532"/>
      <c r="NRM58" s="532"/>
      <c r="NRN58" s="532"/>
      <c r="NRO58" s="532"/>
      <c r="NRP58" s="532"/>
      <c r="NRQ58" s="532"/>
      <c r="NRR58" s="532"/>
      <c r="NRS58" s="532"/>
      <c r="NRT58" s="532"/>
      <c r="NRU58" s="532"/>
      <c r="NRV58" s="532"/>
      <c r="NRW58" s="532"/>
      <c r="NRX58" s="532"/>
      <c r="NRY58" s="532"/>
      <c r="NRZ58" s="532"/>
      <c r="NSA58" s="532"/>
      <c r="NSB58" s="532"/>
      <c r="NSC58" s="532"/>
      <c r="NSD58" s="532"/>
      <c r="NSE58" s="532"/>
      <c r="NSF58" s="532"/>
      <c r="NSG58" s="532"/>
      <c r="NSH58" s="532"/>
      <c r="NSI58" s="532"/>
      <c r="NSJ58" s="532"/>
      <c r="NSK58" s="532"/>
      <c r="NSL58" s="532"/>
      <c r="NSM58" s="532"/>
      <c r="NSN58" s="532"/>
      <c r="NSO58" s="532"/>
      <c r="NSP58" s="532"/>
      <c r="NSQ58" s="532"/>
      <c r="NSR58" s="532"/>
      <c r="NSS58" s="532"/>
      <c r="NST58" s="532"/>
      <c r="NSU58" s="532"/>
      <c r="NSV58" s="532"/>
      <c r="NSW58" s="532"/>
      <c r="NSX58" s="532"/>
      <c r="NSY58" s="532"/>
      <c r="NSZ58" s="532"/>
      <c r="NTA58" s="532"/>
      <c r="NTB58" s="532"/>
      <c r="NTC58" s="532"/>
      <c r="NTD58" s="532"/>
      <c r="NTE58" s="532"/>
      <c r="NTF58" s="532"/>
      <c r="NTG58" s="532"/>
      <c r="NTH58" s="532"/>
      <c r="NTI58" s="532"/>
      <c r="NTJ58" s="532"/>
      <c r="NTK58" s="532"/>
      <c r="NTL58" s="532"/>
      <c r="NTM58" s="532"/>
      <c r="NTN58" s="532"/>
      <c r="NTO58" s="532"/>
      <c r="NTP58" s="532"/>
      <c r="NTQ58" s="532"/>
      <c r="NTR58" s="532"/>
      <c r="NTS58" s="532"/>
      <c r="NTT58" s="532"/>
      <c r="NTU58" s="532"/>
      <c r="NTV58" s="532"/>
      <c r="NTW58" s="532"/>
      <c r="NTX58" s="532"/>
      <c r="NTY58" s="532"/>
      <c r="NTZ58" s="532"/>
      <c r="NUA58" s="532"/>
      <c r="NUB58" s="532"/>
      <c r="NUC58" s="532"/>
      <c r="NUD58" s="532"/>
      <c r="NUE58" s="532"/>
      <c r="NUF58" s="532"/>
      <c r="NUG58" s="532"/>
      <c r="NUH58" s="532"/>
      <c r="NUI58" s="532"/>
      <c r="NUJ58" s="532"/>
      <c r="NUK58" s="532"/>
      <c r="NUL58" s="532"/>
      <c r="NUM58" s="532"/>
      <c r="NUN58" s="532"/>
      <c r="NUO58" s="532"/>
      <c r="NUP58" s="532"/>
      <c r="NUQ58" s="532"/>
      <c r="NUR58" s="532"/>
      <c r="NUS58" s="532"/>
      <c r="NUT58" s="532"/>
      <c r="NUU58" s="532"/>
      <c r="NUV58" s="532"/>
      <c r="NUW58" s="532"/>
      <c r="NUX58" s="532"/>
      <c r="NUY58" s="532"/>
      <c r="NUZ58" s="532"/>
      <c r="NVA58" s="532"/>
      <c r="NVB58" s="532"/>
      <c r="NVC58" s="532"/>
      <c r="NVD58" s="532"/>
      <c r="NVE58" s="532"/>
      <c r="NVF58" s="532"/>
      <c r="NVG58" s="532"/>
      <c r="NVH58" s="532"/>
      <c r="NVI58" s="532"/>
      <c r="NVJ58" s="532"/>
      <c r="NVK58" s="532"/>
      <c r="NVL58" s="532"/>
      <c r="NVM58" s="532"/>
      <c r="NVN58" s="532"/>
      <c r="NVO58" s="532"/>
      <c r="NVP58" s="532"/>
      <c r="NVQ58" s="532"/>
      <c r="NVR58" s="532"/>
      <c r="NVS58" s="532"/>
      <c r="NVT58" s="532"/>
      <c r="NVU58" s="532"/>
      <c r="NVV58" s="532"/>
      <c r="NVW58" s="532"/>
      <c r="NVX58" s="532"/>
      <c r="NVY58" s="532"/>
      <c r="NVZ58" s="532"/>
      <c r="NWA58" s="532"/>
      <c r="NWB58" s="532"/>
      <c r="NWC58" s="532"/>
      <c r="NWD58" s="532"/>
      <c r="NWE58" s="532"/>
      <c r="NWF58" s="532"/>
      <c r="NWG58" s="532"/>
      <c r="NWH58" s="532"/>
      <c r="NWI58" s="532"/>
      <c r="NWJ58" s="532"/>
      <c r="NWK58" s="532"/>
      <c r="NWL58" s="532"/>
      <c r="NWM58" s="532"/>
      <c r="NWN58" s="532"/>
      <c r="NWO58" s="532"/>
      <c r="NWP58" s="532"/>
      <c r="NWQ58" s="532"/>
      <c r="NWR58" s="532"/>
      <c r="NWS58" s="532"/>
      <c r="NWT58" s="532"/>
      <c r="NWU58" s="532"/>
      <c r="NWV58" s="532"/>
      <c r="NWW58" s="532"/>
      <c r="NWX58" s="532"/>
      <c r="NWY58" s="532"/>
      <c r="NWZ58" s="532"/>
      <c r="NXA58" s="532"/>
      <c r="NXB58" s="532"/>
      <c r="NXC58" s="532"/>
      <c r="NXD58" s="532"/>
      <c r="NXE58" s="532"/>
      <c r="NXF58" s="532"/>
      <c r="NXG58" s="532"/>
      <c r="NXH58" s="532"/>
      <c r="NXI58" s="532"/>
      <c r="NXJ58" s="532"/>
      <c r="NXK58" s="532"/>
      <c r="NXL58" s="532"/>
      <c r="NXM58" s="532"/>
      <c r="NXN58" s="532"/>
      <c r="NXO58" s="532"/>
      <c r="NXP58" s="532"/>
      <c r="NXQ58" s="532"/>
      <c r="NXR58" s="532"/>
      <c r="NXS58" s="532"/>
      <c r="NXT58" s="532"/>
      <c r="NXU58" s="532"/>
      <c r="NXV58" s="532"/>
      <c r="NXW58" s="532"/>
      <c r="NXX58" s="532"/>
      <c r="NXY58" s="532"/>
      <c r="NXZ58" s="532"/>
      <c r="NYA58" s="532"/>
      <c r="NYB58" s="532"/>
      <c r="NYC58" s="532"/>
      <c r="NYD58" s="532"/>
      <c r="NYE58" s="532"/>
      <c r="NYF58" s="532"/>
      <c r="NYG58" s="532"/>
      <c r="NYH58" s="532"/>
      <c r="NYI58" s="532"/>
      <c r="NYJ58" s="532"/>
      <c r="NYK58" s="532"/>
      <c r="NYL58" s="532"/>
      <c r="NYM58" s="532"/>
      <c r="NYN58" s="532"/>
      <c r="NYO58" s="532"/>
      <c r="NYP58" s="532"/>
      <c r="NYQ58" s="532"/>
      <c r="NYR58" s="532"/>
      <c r="NYS58" s="532"/>
      <c r="NYT58" s="532"/>
      <c r="NYU58" s="532"/>
      <c r="NYV58" s="532"/>
      <c r="NYW58" s="532"/>
      <c r="NYX58" s="532"/>
      <c r="NYY58" s="532"/>
      <c r="NYZ58" s="532"/>
      <c r="NZA58" s="532"/>
      <c r="NZB58" s="532"/>
      <c r="NZC58" s="532"/>
      <c r="NZD58" s="532"/>
      <c r="NZE58" s="532"/>
      <c r="NZF58" s="532"/>
      <c r="NZG58" s="532"/>
      <c r="NZH58" s="532"/>
      <c r="NZI58" s="532"/>
      <c r="NZJ58" s="532"/>
      <c r="NZK58" s="532"/>
      <c r="NZL58" s="532"/>
      <c r="NZM58" s="532"/>
      <c r="NZN58" s="532"/>
      <c r="NZO58" s="532"/>
      <c r="NZP58" s="532"/>
      <c r="NZQ58" s="532"/>
      <c r="NZR58" s="532"/>
      <c r="NZS58" s="532"/>
      <c r="NZT58" s="532"/>
      <c r="NZU58" s="532"/>
      <c r="NZV58" s="532"/>
      <c r="NZW58" s="532"/>
      <c r="NZX58" s="532"/>
      <c r="NZY58" s="532"/>
      <c r="NZZ58" s="532"/>
      <c r="OAA58" s="532"/>
      <c r="OAB58" s="532"/>
      <c r="OAC58" s="532"/>
      <c r="OAD58" s="532"/>
      <c r="OAE58" s="532"/>
      <c r="OAF58" s="532"/>
      <c r="OAG58" s="532"/>
      <c r="OAH58" s="532"/>
      <c r="OAI58" s="532"/>
      <c r="OAJ58" s="532"/>
      <c r="OAK58" s="532"/>
      <c r="OAL58" s="532"/>
      <c r="OAM58" s="532"/>
      <c r="OAN58" s="532"/>
      <c r="OAO58" s="532"/>
      <c r="OAP58" s="532"/>
      <c r="OAQ58" s="532"/>
      <c r="OAR58" s="532"/>
      <c r="OAS58" s="532"/>
      <c r="OAT58" s="532"/>
      <c r="OAU58" s="532"/>
      <c r="OAV58" s="532"/>
      <c r="OAW58" s="532"/>
      <c r="OAX58" s="532"/>
      <c r="OAY58" s="532"/>
      <c r="OAZ58" s="532"/>
      <c r="OBA58" s="532"/>
      <c r="OBB58" s="532"/>
      <c r="OBC58" s="532"/>
      <c r="OBD58" s="532"/>
      <c r="OBE58" s="532"/>
      <c r="OBF58" s="532"/>
      <c r="OBG58" s="532"/>
      <c r="OBH58" s="532"/>
      <c r="OBI58" s="532"/>
      <c r="OBJ58" s="532"/>
      <c r="OBK58" s="532"/>
      <c r="OBL58" s="532"/>
      <c r="OBM58" s="532"/>
      <c r="OBN58" s="532"/>
      <c r="OBO58" s="532"/>
      <c r="OBP58" s="532"/>
      <c r="OBQ58" s="532"/>
      <c r="OBR58" s="532"/>
      <c r="OBS58" s="532"/>
      <c r="OBT58" s="532"/>
      <c r="OBU58" s="532"/>
      <c r="OBV58" s="532"/>
      <c r="OBW58" s="532"/>
      <c r="OBX58" s="532"/>
      <c r="OBY58" s="532"/>
      <c r="OBZ58" s="532"/>
      <c r="OCA58" s="532"/>
      <c r="OCB58" s="532"/>
      <c r="OCC58" s="532"/>
      <c r="OCD58" s="532"/>
      <c r="OCE58" s="532"/>
      <c r="OCF58" s="532"/>
      <c r="OCG58" s="532"/>
      <c r="OCH58" s="532"/>
      <c r="OCI58" s="532"/>
      <c r="OCJ58" s="532"/>
      <c r="OCK58" s="532"/>
      <c r="OCL58" s="532"/>
      <c r="OCM58" s="532"/>
      <c r="OCN58" s="532"/>
      <c r="OCO58" s="532"/>
      <c r="OCP58" s="532"/>
      <c r="OCQ58" s="532"/>
      <c r="OCR58" s="532"/>
      <c r="OCS58" s="532"/>
      <c r="OCT58" s="532"/>
      <c r="OCU58" s="532"/>
      <c r="OCV58" s="532"/>
      <c r="OCW58" s="532"/>
      <c r="OCX58" s="532"/>
      <c r="OCY58" s="532"/>
      <c r="OCZ58" s="532"/>
      <c r="ODA58" s="532"/>
      <c r="ODB58" s="532"/>
      <c r="ODC58" s="532"/>
      <c r="ODD58" s="532"/>
      <c r="ODE58" s="532"/>
      <c r="ODF58" s="532"/>
      <c r="ODG58" s="532"/>
      <c r="ODH58" s="532"/>
      <c r="ODI58" s="532"/>
      <c r="ODJ58" s="532"/>
      <c r="ODK58" s="532"/>
      <c r="ODL58" s="532"/>
      <c r="ODM58" s="532"/>
      <c r="ODN58" s="532"/>
      <c r="ODO58" s="532"/>
      <c r="ODP58" s="532"/>
      <c r="ODQ58" s="532"/>
      <c r="ODR58" s="532"/>
      <c r="ODS58" s="532"/>
      <c r="ODT58" s="532"/>
      <c r="ODU58" s="532"/>
      <c r="ODV58" s="532"/>
      <c r="ODW58" s="532"/>
      <c r="ODX58" s="532"/>
      <c r="ODY58" s="532"/>
      <c r="ODZ58" s="532"/>
      <c r="OEA58" s="532"/>
      <c r="OEB58" s="532"/>
      <c r="OEC58" s="532"/>
      <c r="OED58" s="532"/>
      <c r="OEE58" s="532"/>
      <c r="OEF58" s="532"/>
      <c r="OEG58" s="532"/>
      <c r="OEH58" s="532"/>
      <c r="OEI58" s="532"/>
      <c r="OEJ58" s="532"/>
      <c r="OEK58" s="532"/>
      <c r="OEL58" s="532"/>
      <c r="OEM58" s="532"/>
      <c r="OEN58" s="532"/>
      <c r="OEO58" s="532"/>
      <c r="OEP58" s="532"/>
      <c r="OEQ58" s="532"/>
      <c r="OER58" s="532"/>
      <c r="OES58" s="532"/>
      <c r="OET58" s="532"/>
      <c r="OEU58" s="532"/>
      <c r="OEV58" s="532"/>
      <c r="OEW58" s="532"/>
      <c r="OEX58" s="532"/>
      <c r="OEY58" s="532"/>
      <c r="OEZ58" s="532"/>
      <c r="OFA58" s="532"/>
      <c r="OFB58" s="532"/>
      <c r="OFC58" s="532"/>
      <c r="OFD58" s="532"/>
      <c r="OFE58" s="532"/>
      <c r="OFF58" s="532"/>
      <c r="OFG58" s="532"/>
      <c r="OFH58" s="532"/>
      <c r="OFI58" s="532"/>
      <c r="OFJ58" s="532"/>
      <c r="OFK58" s="532"/>
      <c r="OFL58" s="532"/>
      <c r="OFM58" s="532"/>
      <c r="OFN58" s="532"/>
      <c r="OFO58" s="532"/>
      <c r="OFP58" s="532"/>
      <c r="OFQ58" s="532"/>
      <c r="OFR58" s="532"/>
      <c r="OFS58" s="532"/>
      <c r="OFT58" s="532"/>
      <c r="OFU58" s="532"/>
      <c r="OFV58" s="532"/>
      <c r="OFW58" s="532"/>
      <c r="OFX58" s="532"/>
      <c r="OFY58" s="532"/>
      <c r="OFZ58" s="532"/>
      <c r="OGA58" s="532"/>
      <c r="OGB58" s="532"/>
      <c r="OGC58" s="532"/>
      <c r="OGD58" s="532"/>
      <c r="OGE58" s="532"/>
      <c r="OGF58" s="532"/>
      <c r="OGG58" s="532"/>
      <c r="OGH58" s="532"/>
      <c r="OGI58" s="532"/>
      <c r="OGJ58" s="532"/>
      <c r="OGK58" s="532"/>
      <c r="OGL58" s="532"/>
      <c r="OGM58" s="532"/>
      <c r="OGN58" s="532"/>
      <c r="OGO58" s="532"/>
      <c r="OGP58" s="532"/>
      <c r="OGQ58" s="532"/>
      <c r="OGR58" s="532"/>
      <c r="OGS58" s="532"/>
      <c r="OGT58" s="532"/>
      <c r="OGU58" s="532"/>
      <c r="OGV58" s="532"/>
      <c r="OGW58" s="532"/>
      <c r="OGX58" s="532"/>
      <c r="OGY58" s="532"/>
      <c r="OGZ58" s="532"/>
      <c r="OHA58" s="532"/>
      <c r="OHB58" s="532"/>
      <c r="OHC58" s="532"/>
      <c r="OHD58" s="532"/>
      <c r="OHE58" s="532"/>
      <c r="OHF58" s="532"/>
      <c r="OHG58" s="532"/>
      <c r="OHH58" s="532"/>
      <c r="OHI58" s="532"/>
      <c r="OHJ58" s="532"/>
      <c r="OHK58" s="532"/>
      <c r="OHL58" s="532"/>
      <c r="OHM58" s="532"/>
      <c r="OHN58" s="532"/>
      <c r="OHO58" s="532"/>
      <c r="OHP58" s="532"/>
      <c r="OHQ58" s="532"/>
      <c r="OHR58" s="532"/>
      <c r="OHS58" s="532"/>
      <c r="OHT58" s="532"/>
      <c r="OHU58" s="532"/>
      <c r="OHV58" s="532"/>
      <c r="OHW58" s="532"/>
      <c r="OHX58" s="532"/>
      <c r="OHY58" s="532"/>
      <c r="OHZ58" s="532"/>
      <c r="OIA58" s="532"/>
      <c r="OIB58" s="532"/>
      <c r="OIC58" s="532"/>
      <c r="OID58" s="532"/>
      <c r="OIE58" s="532"/>
      <c r="OIF58" s="532"/>
      <c r="OIG58" s="532"/>
      <c r="OIH58" s="532"/>
      <c r="OII58" s="532"/>
      <c r="OIJ58" s="532"/>
      <c r="OIK58" s="532"/>
      <c r="OIL58" s="532"/>
      <c r="OIM58" s="532"/>
      <c r="OIN58" s="532"/>
      <c r="OIO58" s="532"/>
      <c r="OIP58" s="532"/>
      <c r="OIQ58" s="532"/>
      <c r="OIR58" s="532"/>
      <c r="OIS58" s="532"/>
      <c r="OIT58" s="532"/>
      <c r="OIU58" s="532"/>
      <c r="OIV58" s="532"/>
      <c r="OIW58" s="532"/>
      <c r="OIX58" s="532"/>
      <c r="OIY58" s="532"/>
      <c r="OIZ58" s="532"/>
      <c r="OJA58" s="532"/>
      <c r="OJB58" s="532"/>
      <c r="OJC58" s="532"/>
      <c r="OJD58" s="532"/>
      <c r="OJE58" s="532"/>
      <c r="OJF58" s="532"/>
      <c r="OJG58" s="532"/>
      <c r="OJH58" s="532"/>
      <c r="OJI58" s="532"/>
      <c r="OJJ58" s="532"/>
      <c r="OJK58" s="532"/>
      <c r="OJL58" s="532"/>
      <c r="OJM58" s="532"/>
      <c r="OJN58" s="532"/>
      <c r="OJO58" s="532"/>
      <c r="OJP58" s="532"/>
      <c r="OJQ58" s="532"/>
      <c r="OJR58" s="532"/>
      <c r="OJS58" s="532"/>
      <c r="OJT58" s="532"/>
      <c r="OJU58" s="532"/>
      <c r="OJV58" s="532"/>
      <c r="OJW58" s="532"/>
      <c r="OJX58" s="532"/>
      <c r="OJY58" s="532"/>
      <c r="OJZ58" s="532"/>
      <c r="OKA58" s="532"/>
      <c r="OKB58" s="532"/>
      <c r="OKC58" s="532"/>
      <c r="OKD58" s="532"/>
      <c r="OKE58" s="532"/>
      <c r="OKF58" s="532"/>
      <c r="OKG58" s="532"/>
      <c r="OKH58" s="532"/>
      <c r="OKI58" s="532"/>
      <c r="OKJ58" s="532"/>
      <c r="OKK58" s="532"/>
      <c r="OKL58" s="532"/>
      <c r="OKM58" s="532"/>
      <c r="OKN58" s="532"/>
      <c r="OKO58" s="532"/>
      <c r="OKP58" s="532"/>
      <c r="OKQ58" s="532"/>
      <c r="OKR58" s="532"/>
      <c r="OKS58" s="532"/>
      <c r="OKT58" s="532"/>
      <c r="OKU58" s="532"/>
      <c r="OKV58" s="532"/>
      <c r="OKW58" s="532"/>
      <c r="OKX58" s="532"/>
      <c r="OKY58" s="532"/>
      <c r="OKZ58" s="532"/>
      <c r="OLA58" s="532"/>
      <c r="OLB58" s="532"/>
      <c r="OLC58" s="532"/>
      <c r="OLD58" s="532"/>
      <c r="OLE58" s="532"/>
      <c r="OLF58" s="532"/>
      <c r="OLG58" s="532"/>
      <c r="OLH58" s="532"/>
      <c r="OLI58" s="532"/>
      <c r="OLJ58" s="532"/>
      <c r="OLK58" s="532"/>
      <c r="OLL58" s="532"/>
      <c r="OLM58" s="532"/>
      <c r="OLN58" s="532"/>
      <c r="OLO58" s="532"/>
      <c r="OLP58" s="532"/>
      <c r="OLQ58" s="532"/>
      <c r="OLR58" s="532"/>
      <c r="OLS58" s="532"/>
      <c r="OLT58" s="532"/>
      <c r="OLU58" s="532"/>
      <c r="OLV58" s="532"/>
      <c r="OLW58" s="532"/>
      <c r="OLX58" s="532"/>
      <c r="OLY58" s="532"/>
      <c r="OLZ58" s="532"/>
      <c r="OMA58" s="532"/>
      <c r="OMB58" s="532"/>
      <c r="OMC58" s="532"/>
      <c r="OMD58" s="532"/>
      <c r="OME58" s="532"/>
      <c r="OMF58" s="532"/>
      <c r="OMG58" s="532"/>
      <c r="OMH58" s="532"/>
      <c r="OMI58" s="532"/>
      <c r="OMJ58" s="532"/>
      <c r="OMK58" s="532"/>
      <c r="OML58" s="532"/>
      <c r="OMM58" s="532"/>
      <c r="OMN58" s="532"/>
      <c r="OMO58" s="532"/>
      <c r="OMP58" s="532"/>
      <c r="OMQ58" s="532"/>
      <c r="OMR58" s="532"/>
      <c r="OMS58" s="532"/>
      <c r="OMT58" s="532"/>
      <c r="OMU58" s="532"/>
      <c r="OMV58" s="532"/>
      <c r="OMW58" s="532"/>
      <c r="OMX58" s="532"/>
      <c r="OMY58" s="532"/>
      <c r="OMZ58" s="532"/>
      <c r="ONA58" s="532"/>
      <c r="ONB58" s="532"/>
      <c r="ONC58" s="532"/>
      <c r="OND58" s="532"/>
      <c r="ONE58" s="532"/>
      <c r="ONF58" s="532"/>
      <c r="ONG58" s="532"/>
      <c r="ONH58" s="532"/>
      <c r="ONI58" s="532"/>
      <c r="ONJ58" s="532"/>
      <c r="ONK58" s="532"/>
      <c r="ONL58" s="532"/>
      <c r="ONM58" s="532"/>
      <c r="ONN58" s="532"/>
      <c r="ONO58" s="532"/>
      <c r="ONP58" s="532"/>
      <c r="ONQ58" s="532"/>
      <c r="ONR58" s="532"/>
      <c r="ONS58" s="532"/>
      <c r="ONT58" s="532"/>
      <c r="ONU58" s="532"/>
      <c r="ONV58" s="532"/>
      <c r="ONW58" s="532"/>
      <c r="ONX58" s="532"/>
      <c r="ONY58" s="532"/>
      <c r="ONZ58" s="532"/>
      <c r="OOA58" s="532"/>
      <c r="OOB58" s="532"/>
      <c r="OOC58" s="532"/>
      <c r="OOD58" s="532"/>
      <c r="OOE58" s="532"/>
      <c r="OOF58" s="532"/>
      <c r="OOG58" s="532"/>
      <c r="OOH58" s="532"/>
      <c r="OOI58" s="532"/>
      <c r="OOJ58" s="532"/>
      <c r="OOK58" s="532"/>
      <c r="OOL58" s="532"/>
      <c r="OOM58" s="532"/>
      <c r="OON58" s="532"/>
      <c r="OOO58" s="532"/>
      <c r="OOP58" s="532"/>
      <c r="OOQ58" s="532"/>
      <c r="OOR58" s="532"/>
      <c r="OOS58" s="532"/>
      <c r="OOT58" s="532"/>
      <c r="OOU58" s="532"/>
      <c r="OOV58" s="532"/>
      <c r="OOW58" s="532"/>
      <c r="OOX58" s="532"/>
      <c r="OOY58" s="532"/>
      <c r="OOZ58" s="532"/>
      <c r="OPA58" s="532"/>
      <c r="OPB58" s="532"/>
      <c r="OPC58" s="532"/>
      <c r="OPD58" s="532"/>
      <c r="OPE58" s="532"/>
      <c r="OPF58" s="532"/>
      <c r="OPG58" s="532"/>
      <c r="OPH58" s="532"/>
      <c r="OPI58" s="532"/>
      <c r="OPJ58" s="532"/>
      <c r="OPK58" s="532"/>
      <c r="OPL58" s="532"/>
      <c r="OPM58" s="532"/>
      <c r="OPN58" s="532"/>
      <c r="OPO58" s="532"/>
      <c r="OPP58" s="532"/>
      <c r="OPQ58" s="532"/>
      <c r="OPR58" s="532"/>
      <c r="OPS58" s="532"/>
      <c r="OPT58" s="532"/>
      <c r="OPU58" s="532"/>
      <c r="OPV58" s="532"/>
      <c r="OPW58" s="532"/>
      <c r="OPX58" s="532"/>
      <c r="OPY58" s="532"/>
      <c r="OPZ58" s="532"/>
      <c r="OQA58" s="532"/>
      <c r="OQB58" s="532"/>
      <c r="OQC58" s="532"/>
      <c r="OQD58" s="532"/>
      <c r="OQE58" s="532"/>
      <c r="OQF58" s="532"/>
      <c r="OQG58" s="532"/>
      <c r="OQH58" s="532"/>
      <c r="OQI58" s="532"/>
      <c r="OQJ58" s="532"/>
      <c r="OQK58" s="532"/>
      <c r="OQL58" s="532"/>
      <c r="OQM58" s="532"/>
      <c r="OQN58" s="532"/>
      <c r="OQO58" s="532"/>
      <c r="OQP58" s="532"/>
      <c r="OQQ58" s="532"/>
      <c r="OQR58" s="532"/>
      <c r="OQS58" s="532"/>
      <c r="OQT58" s="532"/>
      <c r="OQU58" s="532"/>
      <c r="OQV58" s="532"/>
      <c r="OQW58" s="532"/>
      <c r="OQX58" s="532"/>
      <c r="OQY58" s="532"/>
      <c r="OQZ58" s="532"/>
      <c r="ORA58" s="532"/>
      <c r="ORB58" s="532"/>
      <c r="ORC58" s="532"/>
      <c r="ORD58" s="532"/>
      <c r="ORE58" s="532"/>
      <c r="ORF58" s="532"/>
      <c r="ORG58" s="532"/>
      <c r="ORH58" s="532"/>
      <c r="ORI58" s="532"/>
      <c r="ORJ58" s="532"/>
      <c r="ORK58" s="532"/>
      <c r="ORL58" s="532"/>
      <c r="ORM58" s="532"/>
      <c r="ORN58" s="532"/>
      <c r="ORO58" s="532"/>
      <c r="ORP58" s="532"/>
      <c r="ORQ58" s="532"/>
      <c r="ORR58" s="532"/>
      <c r="ORS58" s="532"/>
      <c r="ORT58" s="532"/>
      <c r="ORU58" s="532"/>
      <c r="ORV58" s="532"/>
      <c r="ORW58" s="532"/>
      <c r="ORX58" s="532"/>
      <c r="ORY58" s="532"/>
      <c r="ORZ58" s="532"/>
      <c r="OSA58" s="532"/>
      <c r="OSB58" s="532"/>
      <c r="OSC58" s="532"/>
      <c r="OSD58" s="532"/>
      <c r="OSE58" s="532"/>
      <c r="OSF58" s="532"/>
      <c r="OSG58" s="532"/>
      <c r="OSH58" s="532"/>
      <c r="OSI58" s="532"/>
      <c r="OSJ58" s="532"/>
      <c r="OSK58" s="532"/>
      <c r="OSL58" s="532"/>
      <c r="OSM58" s="532"/>
      <c r="OSN58" s="532"/>
      <c r="OSO58" s="532"/>
      <c r="OSP58" s="532"/>
      <c r="OSQ58" s="532"/>
      <c r="OSR58" s="532"/>
      <c r="OSS58" s="532"/>
      <c r="OST58" s="532"/>
      <c r="OSU58" s="532"/>
      <c r="OSV58" s="532"/>
      <c r="OSW58" s="532"/>
      <c r="OSX58" s="532"/>
      <c r="OSY58" s="532"/>
      <c r="OSZ58" s="532"/>
      <c r="OTA58" s="532"/>
      <c r="OTB58" s="532"/>
      <c r="OTC58" s="532"/>
      <c r="OTD58" s="532"/>
      <c r="OTE58" s="532"/>
      <c r="OTF58" s="532"/>
      <c r="OTG58" s="532"/>
      <c r="OTH58" s="532"/>
      <c r="OTI58" s="532"/>
      <c r="OTJ58" s="532"/>
      <c r="OTK58" s="532"/>
      <c r="OTL58" s="532"/>
      <c r="OTM58" s="532"/>
      <c r="OTN58" s="532"/>
      <c r="OTO58" s="532"/>
      <c r="OTP58" s="532"/>
      <c r="OTQ58" s="532"/>
      <c r="OTR58" s="532"/>
      <c r="OTS58" s="532"/>
      <c r="OTT58" s="532"/>
      <c r="OTU58" s="532"/>
      <c r="OTV58" s="532"/>
      <c r="OTW58" s="532"/>
      <c r="OTX58" s="532"/>
      <c r="OTY58" s="532"/>
      <c r="OTZ58" s="532"/>
      <c r="OUA58" s="532"/>
      <c r="OUB58" s="532"/>
      <c r="OUC58" s="532"/>
      <c r="OUD58" s="532"/>
      <c r="OUE58" s="532"/>
      <c r="OUF58" s="532"/>
      <c r="OUG58" s="532"/>
      <c r="OUH58" s="532"/>
      <c r="OUI58" s="532"/>
      <c r="OUJ58" s="532"/>
      <c r="OUK58" s="532"/>
      <c r="OUL58" s="532"/>
      <c r="OUM58" s="532"/>
      <c r="OUN58" s="532"/>
      <c r="OUO58" s="532"/>
      <c r="OUP58" s="532"/>
      <c r="OUQ58" s="532"/>
      <c r="OUR58" s="532"/>
      <c r="OUS58" s="532"/>
      <c r="OUT58" s="532"/>
      <c r="OUU58" s="532"/>
      <c r="OUV58" s="532"/>
      <c r="OUW58" s="532"/>
      <c r="OUX58" s="532"/>
      <c r="OUY58" s="532"/>
      <c r="OUZ58" s="532"/>
      <c r="OVA58" s="532"/>
      <c r="OVB58" s="532"/>
      <c r="OVC58" s="532"/>
      <c r="OVD58" s="532"/>
      <c r="OVE58" s="532"/>
      <c r="OVF58" s="532"/>
      <c r="OVG58" s="532"/>
      <c r="OVH58" s="532"/>
      <c r="OVI58" s="532"/>
      <c r="OVJ58" s="532"/>
      <c r="OVK58" s="532"/>
      <c r="OVL58" s="532"/>
      <c r="OVM58" s="532"/>
      <c r="OVN58" s="532"/>
      <c r="OVO58" s="532"/>
      <c r="OVP58" s="532"/>
      <c r="OVQ58" s="532"/>
      <c r="OVR58" s="532"/>
      <c r="OVS58" s="532"/>
      <c r="OVT58" s="532"/>
      <c r="OVU58" s="532"/>
      <c r="OVV58" s="532"/>
      <c r="OVW58" s="532"/>
      <c r="OVX58" s="532"/>
      <c r="OVY58" s="532"/>
      <c r="OVZ58" s="532"/>
      <c r="OWA58" s="532"/>
      <c r="OWB58" s="532"/>
      <c r="OWC58" s="532"/>
      <c r="OWD58" s="532"/>
      <c r="OWE58" s="532"/>
      <c r="OWF58" s="532"/>
      <c r="OWG58" s="532"/>
      <c r="OWH58" s="532"/>
      <c r="OWI58" s="532"/>
      <c r="OWJ58" s="532"/>
      <c r="OWK58" s="532"/>
      <c r="OWL58" s="532"/>
      <c r="OWM58" s="532"/>
      <c r="OWN58" s="532"/>
      <c r="OWO58" s="532"/>
      <c r="OWP58" s="532"/>
      <c r="OWQ58" s="532"/>
      <c r="OWR58" s="532"/>
      <c r="OWS58" s="532"/>
      <c r="OWT58" s="532"/>
      <c r="OWU58" s="532"/>
      <c r="OWV58" s="532"/>
      <c r="OWW58" s="532"/>
      <c r="OWX58" s="532"/>
      <c r="OWY58" s="532"/>
      <c r="OWZ58" s="532"/>
      <c r="OXA58" s="532"/>
      <c r="OXB58" s="532"/>
      <c r="OXC58" s="532"/>
      <c r="OXD58" s="532"/>
      <c r="OXE58" s="532"/>
      <c r="OXF58" s="532"/>
      <c r="OXG58" s="532"/>
      <c r="OXH58" s="532"/>
      <c r="OXI58" s="532"/>
      <c r="OXJ58" s="532"/>
      <c r="OXK58" s="532"/>
      <c r="OXL58" s="532"/>
      <c r="OXM58" s="532"/>
      <c r="OXN58" s="532"/>
      <c r="OXO58" s="532"/>
      <c r="OXP58" s="532"/>
      <c r="OXQ58" s="532"/>
      <c r="OXR58" s="532"/>
      <c r="OXS58" s="532"/>
      <c r="OXT58" s="532"/>
      <c r="OXU58" s="532"/>
      <c r="OXV58" s="532"/>
      <c r="OXW58" s="532"/>
      <c r="OXX58" s="532"/>
      <c r="OXY58" s="532"/>
      <c r="OXZ58" s="532"/>
      <c r="OYA58" s="532"/>
      <c r="OYB58" s="532"/>
      <c r="OYC58" s="532"/>
      <c r="OYD58" s="532"/>
      <c r="OYE58" s="532"/>
      <c r="OYF58" s="532"/>
      <c r="OYG58" s="532"/>
      <c r="OYH58" s="532"/>
      <c r="OYI58" s="532"/>
      <c r="OYJ58" s="532"/>
      <c r="OYK58" s="532"/>
      <c r="OYL58" s="532"/>
      <c r="OYM58" s="532"/>
      <c r="OYN58" s="532"/>
      <c r="OYO58" s="532"/>
      <c r="OYP58" s="532"/>
      <c r="OYQ58" s="532"/>
      <c r="OYR58" s="532"/>
      <c r="OYS58" s="532"/>
      <c r="OYT58" s="532"/>
      <c r="OYU58" s="532"/>
      <c r="OYV58" s="532"/>
      <c r="OYW58" s="532"/>
      <c r="OYX58" s="532"/>
      <c r="OYY58" s="532"/>
      <c r="OYZ58" s="532"/>
      <c r="OZA58" s="532"/>
      <c r="OZB58" s="532"/>
      <c r="OZC58" s="532"/>
      <c r="OZD58" s="532"/>
      <c r="OZE58" s="532"/>
      <c r="OZF58" s="532"/>
      <c r="OZG58" s="532"/>
      <c r="OZH58" s="532"/>
      <c r="OZI58" s="532"/>
      <c r="OZJ58" s="532"/>
      <c r="OZK58" s="532"/>
      <c r="OZL58" s="532"/>
      <c r="OZM58" s="532"/>
      <c r="OZN58" s="532"/>
      <c r="OZO58" s="532"/>
      <c r="OZP58" s="532"/>
      <c r="OZQ58" s="532"/>
      <c r="OZR58" s="532"/>
      <c r="OZS58" s="532"/>
      <c r="OZT58" s="532"/>
      <c r="OZU58" s="532"/>
      <c r="OZV58" s="532"/>
      <c r="OZW58" s="532"/>
      <c r="OZX58" s="532"/>
      <c r="OZY58" s="532"/>
      <c r="OZZ58" s="532"/>
      <c r="PAA58" s="532"/>
      <c r="PAB58" s="532"/>
      <c r="PAC58" s="532"/>
      <c r="PAD58" s="532"/>
      <c r="PAE58" s="532"/>
      <c r="PAF58" s="532"/>
      <c r="PAG58" s="532"/>
      <c r="PAH58" s="532"/>
      <c r="PAI58" s="532"/>
      <c r="PAJ58" s="532"/>
      <c r="PAK58" s="532"/>
      <c r="PAL58" s="532"/>
      <c r="PAM58" s="532"/>
      <c r="PAN58" s="532"/>
      <c r="PAO58" s="532"/>
      <c r="PAP58" s="532"/>
      <c r="PAQ58" s="532"/>
      <c r="PAR58" s="532"/>
      <c r="PAS58" s="532"/>
      <c r="PAT58" s="532"/>
      <c r="PAU58" s="532"/>
      <c r="PAV58" s="532"/>
      <c r="PAW58" s="532"/>
      <c r="PAX58" s="532"/>
      <c r="PAY58" s="532"/>
      <c r="PAZ58" s="532"/>
      <c r="PBA58" s="532"/>
      <c r="PBB58" s="532"/>
      <c r="PBC58" s="532"/>
      <c r="PBD58" s="532"/>
      <c r="PBE58" s="532"/>
      <c r="PBF58" s="532"/>
      <c r="PBG58" s="532"/>
      <c r="PBH58" s="532"/>
      <c r="PBI58" s="532"/>
      <c r="PBJ58" s="532"/>
      <c r="PBK58" s="532"/>
      <c r="PBL58" s="532"/>
      <c r="PBM58" s="532"/>
      <c r="PBN58" s="532"/>
      <c r="PBO58" s="532"/>
      <c r="PBP58" s="532"/>
      <c r="PBQ58" s="532"/>
      <c r="PBR58" s="532"/>
      <c r="PBS58" s="532"/>
      <c r="PBT58" s="532"/>
      <c r="PBU58" s="532"/>
      <c r="PBV58" s="532"/>
      <c r="PBW58" s="532"/>
      <c r="PBX58" s="532"/>
      <c r="PBY58" s="532"/>
      <c r="PBZ58" s="532"/>
      <c r="PCA58" s="532"/>
      <c r="PCB58" s="532"/>
      <c r="PCC58" s="532"/>
      <c r="PCD58" s="532"/>
      <c r="PCE58" s="532"/>
      <c r="PCF58" s="532"/>
      <c r="PCG58" s="532"/>
      <c r="PCH58" s="532"/>
      <c r="PCI58" s="532"/>
      <c r="PCJ58" s="532"/>
      <c r="PCK58" s="532"/>
      <c r="PCL58" s="532"/>
      <c r="PCM58" s="532"/>
      <c r="PCN58" s="532"/>
      <c r="PCO58" s="532"/>
      <c r="PCP58" s="532"/>
      <c r="PCQ58" s="532"/>
      <c r="PCR58" s="532"/>
      <c r="PCS58" s="532"/>
      <c r="PCT58" s="532"/>
      <c r="PCU58" s="532"/>
      <c r="PCV58" s="532"/>
      <c r="PCW58" s="532"/>
      <c r="PCX58" s="532"/>
      <c r="PCY58" s="532"/>
      <c r="PCZ58" s="532"/>
      <c r="PDA58" s="532"/>
      <c r="PDB58" s="532"/>
      <c r="PDC58" s="532"/>
      <c r="PDD58" s="532"/>
      <c r="PDE58" s="532"/>
      <c r="PDF58" s="532"/>
      <c r="PDG58" s="532"/>
      <c r="PDH58" s="532"/>
      <c r="PDI58" s="532"/>
      <c r="PDJ58" s="532"/>
      <c r="PDK58" s="532"/>
      <c r="PDL58" s="532"/>
      <c r="PDM58" s="532"/>
      <c r="PDN58" s="532"/>
      <c r="PDO58" s="532"/>
      <c r="PDP58" s="532"/>
      <c r="PDQ58" s="532"/>
      <c r="PDR58" s="532"/>
      <c r="PDS58" s="532"/>
      <c r="PDT58" s="532"/>
      <c r="PDU58" s="532"/>
      <c r="PDV58" s="532"/>
      <c r="PDW58" s="532"/>
      <c r="PDX58" s="532"/>
      <c r="PDY58" s="532"/>
      <c r="PDZ58" s="532"/>
      <c r="PEA58" s="532"/>
      <c r="PEB58" s="532"/>
      <c r="PEC58" s="532"/>
      <c r="PED58" s="532"/>
      <c r="PEE58" s="532"/>
      <c r="PEF58" s="532"/>
      <c r="PEG58" s="532"/>
      <c r="PEH58" s="532"/>
      <c r="PEI58" s="532"/>
      <c r="PEJ58" s="532"/>
      <c r="PEK58" s="532"/>
      <c r="PEL58" s="532"/>
      <c r="PEM58" s="532"/>
      <c r="PEN58" s="532"/>
      <c r="PEO58" s="532"/>
      <c r="PEP58" s="532"/>
      <c r="PEQ58" s="532"/>
      <c r="PER58" s="532"/>
      <c r="PES58" s="532"/>
      <c r="PET58" s="532"/>
      <c r="PEU58" s="532"/>
      <c r="PEV58" s="532"/>
      <c r="PEW58" s="532"/>
      <c r="PEX58" s="532"/>
      <c r="PEY58" s="532"/>
      <c r="PEZ58" s="532"/>
      <c r="PFA58" s="532"/>
      <c r="PFB58" s="532"/>
      <c r="PFC58" s="532"/>
      <c r="PFD58" s="532"/>
      <c r="PFE58" s="532"/>
      <c r="PFF58" s="532"/>
      <c r="PFG58" s="532"/>
      <c r="PFH58" s="532"/>
      <c r="PFI58" s="532"/>
      <c r="PFJ58" s="532"/>
      <c r="PFK58" s="532"/>
      <c r="PFL58" s="532"/>
      <c r="PFM58" s="532"/>
      <c r="PFN58" s="532"/>
      <c r="PFO58" s="532"/>
      <c r="PFP58" s="532"/>
      <c r="PFQ58" s="532"/>
      <c r="PFR58" s="532"/>
      <c r="PFS58" s="532"/>
      <c r="PFT58" s="532"/>
      <c r="PFU58" s="532"/>
      <c r="PFV58" s="532"/>
      <c r="PFW58" s="532"/>
      <c r="PFX58" s="532"/>
      <c r="PFY58" s="532"/>
      <c r="PFZ58" s="532"/>
      <c r="PGA58" s="532"/>
      <c r="PGB58" s="532"/>
      <c r="PGC58" s="532"/>
      <c r="PGD58" s="532"/>
      <c r="PGE58" s="532"/>
      <c r="PGF58" s="532"/>
      <c r="PGG58" s="532"/>
      <c r="PGH58" s="532"/>
      <c r="PGI58" s="532"/>
      <c r="PGJ58" s="532"/>
      <c r="PGK58" s="532"/>
      <c r="PGL58" s="532"/>
      <c r="PGM58" s="532"/>
      <c r="PGN58" s="532"/>
      <c r="PGO58" s="532"/>
      <c r="PGP58" s="532"/>
      <c r="PGQ58" s="532"/>
      <c r="PGR58" s="532"/>
      <c r="PGS58" s="532"/>
      <c r="PGT58" s="532"/>
      <c r="PGU58" s="532"/>
      <c r="PGV58" s="532"/>
      <c r="PGW58" s="532"/>
      <c r="PGX58" s="532"/>
      <c r="PGY58" s="532"/>
      <c r="PGZ58" s="532"/>
      <c r="PHA58" s="532"/>
      <c r="PHB58" s="532"/>
      <c r="PHC58" s="532"/>
      <c r="PHD58" s="532"/>
      <c r="PHE58" s="532"/>
      <c r="PHF58" s="532"/>
      <c r="PHG58" s="532"/>
      <c r="PHH58" s="532"/>
      <c r="PHI58" s="532"/>
      <c r="PHJ58" s="532"/>
      <c r="PHK58" s="532"/>
      <c r="PHL58" s="532"/>
      <c r="PHM58" s="532"/>
      <c r="PHN58" s="532"/>
      <c r="PHO58" s="532"/>
      <c r="PHP58" s="532"/>
      <c r="PHQ58" s="532"/>
      <c r="PHR58" s="532"/>
      <c r="PHS58" s="532"/>
      <c r="PHT58" s="532"/>
      <c r="PHU58" s="532"/>
      <c r="PHV58" s="532"/>
      <c r="PHW58" s="532"/>
      <c r="PHX58" s="532"/>
      <c r="PHY58" s="532"/>
      <c r="PHZ58" s="532"/>
      <c r="PIA58" s="532"/>
      <c r="PIB58" s="532"/>
      <c r="PIC58" s="532"/>
      <c r="PID58" s="532"/>
      <c r="PIE58" s="532"/>
      <c r="PIF58" s="532"/>
      <c r="PIG58" s="532"/>
      <c r="PIH58" s="532"/>
      <c r="PII58" s="532"/>
      <c r="PIJ58" s="532"/>
      <c r="PIK58" s="532"/>
      <c r="PIL58" s="532"/>
      <c r="PIM58" s="532"/>
      <c r="PIN58" s="532"/>
      <c r="PIO58" s="532"/>
      <c r="PIP58" s="532"/>
      <c r="PIQ58" s="532"/>
      <c r="PIR58" s="532"/>
      <c r="PIS58" s="532"/>
      <c r="PIT58" s="532"/>
      <c r="PIU58" s="532"/>
      <c r="PIV58" s="532"/>
      <c r="PIW58" s="532"/>
      <c r="PIX58" s="532"/>
      <c r="PIY58" s="532"/>
      <c r="PIZ58" s="532"/>
      <c r="PJA58" s="532"/>
      <c r="PJB58" s="532"/>
      <c r="PJC58" s="532"/>
      <c r="PJD58" s="532"/>
      <c r="PJE58" s="532"/>
      <c r="PJF58" s="532"/>
      <c r="PJG58" s="532"/>
      <c r="PJH58" s="532"/>
      <c r="PJI58" s="532"/>
      <c r="PJJ58" s="532"/>
      <c r="PJK58" s="532"/>
      <c r="PJL58" s="532"/>
      <c r="PJM58" s="532"/>
      <c r="PJN58" s="532"/>
      <c r="PJO58" s="532"/>
      <c r="PJP58" s="532"/>
      <c r="PJQ58" s="532"/>
      <c r="PJR58" s="532"/>
      <c r="PJS58" s="532"/>
      <c r="PJT58" s="532"/>
      <c r="PJU58" s="532"/>
      <c r="PJV58" s="532"/>
      <c r="PJW58" s="532"/>
      <c r="PJX58" s="532"/>
      <c r="PJY58" s="532"/>
      <c r="PJZ58" s="532"/>
      <c r="PKA58" s="532"/>
      <c r="PKB58" s="532"/>
      <c r="PKC58" s="532"/>
      <c r="PKD58" s="532"/>
      <c r="PKE58" s="532"/>
      <c r="PKF58" s="532"/>
      <c r="PKG58" s="532"/>
      <c r="PKH58" s="532"/>
      <c r="PKI58" s="532"/>
      <c r="PKJ58" s="532"/>
      <c r="PKK58" s="532"/>
      <c r="PKL58" s="532"/>
      <c r="PKM58" s="532"/>
      <c r="PKN58" s="532"/>
      <c r="PKO58" s="532"/>
      <c r="PKP58" s="532"/>
      <c r="PKQ58" s="532"/>
      <c r="PKR58" s="532"/>
      <c r="PKS58" s="532"/>
      <c r="PKT58" s="532"/>
      <c r="PKU58" s="532"/>
      <c r="PKV58" s="532"/>
      <c r="PKW58" s="532"/>
      <c r="PKX58" s="532"/>
      <c r="PKY58" s="532"/>
      <c r="PKZ58" s="532"/>
      <c r="PLA58" s="532"/>
      <c r="PLB58" s="532"/>
      <c r="PLC58" s="532"/>
      <c r="PLD58" s="532"/>
      <c r="PLE58" s="532"/>
      <c r="PLF58" s="532"/>
      <c r="PLG58" s="532"/>
      <c r="PLH58" s="532"/>
      <c r="PLI58" s="532"/>
      <c r="PLJ58" s="532"/>
      <c r="PLK58" s="532"/>
      <c r="PLL58" s="532"/>
      <c r="PLM58" s="532"/>
      <c r="PLN58" s="532"/>
      <c r="PLO58" s="532"/>
      <c r="PLP58" s="532"/>
      <c r="PLQ58" s="532"/>
      <c r="PLR58" s="532"/>
      <c r="PLS58" s="532"/>
      <c r="PLT58" s="532"/>
      <c r="PLU58" s="532"/>
      <c r="PLV58" s="532"/>
      <c r="PLW58" s="532"/>
      <c r="PLX58" s="532"/>
      <c r="PLY58" s="532"/>
      <c r="PLZ58" s="532"/>
      <c r="PMA58" s="532"/>
      <c r="PMB58" s="532"/>
      <c r="PMC58" s="532"/>
      <c r="PMD58" s="532"/>
      <c r="PME58" s="532"/>
      <c r="PMF58" s="532"/>
      <c r="PMG58" s="532"/>
      <c r="PMH58" s="532"/>
      <c r="PMI58" s="532"/>
      <c r="PMJ58" s="532"/>
      <c r="PMK58" s="532"/>
      <c r="PML58" s="532"/>
      <c r="PMM58" s="532"/>
      <c r="PMN58" s="532"/>
      <c r="PMO58" s="532"/>
      <c r="PMP58" s="532"/>
      <c r="PMQ58" s="532"/>
      <c r="PMR58" s="532"/>
      <c r="PMS58" s="532"/>
      <c r="PMT58" s="532"/>
      <c r="PMU58" s="532"/>
      <c r="PMV58" s="532"/>
      <c r="PMW58" s="532"/>
      <c r="PMX58" s="532"/>
      <c r="PMY58" s="532"/>
      <c r="PMZ58" s="532"/>
      <c r="PNA58" s="532"/>
      <c r="PNB58" s="532"/>
      <c r="PNC58" s="532"/>
      <c r="PND58" s="532"/>
      <c r="PNE58" s="532"/>
      <c r="PNF58" s="532"/>
      <c r="PNG58" s="532"/>
      <c r="PNH58" s="532"/>
      <c r="PNI58" s="532"/>
      <c r="PNJ58" s="532"/>
      <c r="PNK58" s="532"/>
      <c r="PNL58" s="532"/>
      <c r="PNM58" s="532"/>
      <c r="PNN58" s="532"/>
      <c r="PNO58" s="532"/>
      <c r="PNP58" s="532"/>
      <c r="PNQ58" s="532"/>
      <c r="PNR58" s="532"/>
      <c r="PNS58" s="532"/>
      <c r="PNT58" s="532"/>
      <c r="PNU58" s="532"/>
      <c r="PNV58" s="532"/>
      <c r="PNW58" s="532"/>
      <c r="PNX58" s="532"/>
      <c r="PNY58" s="532"/>
      <c r="PNZ58" s="532"/>
      <c r="POA58" s="532"/>
      <c r="POB58" s="532"/>
      <c r="POC58" s="532"/>
      <c r="POD58" s="532"/>
      <c r="POE58" s="532"/>
      <c r="POF58" s="532"/>
      <c r="POG58" s="532"/>
      <c r="POH58" s="532"/>
      <c r="POI58" s="532"/>
      <c r="POJ58" s="532"/>
      <c r="POK58" s="532"/>
      <c r="POL58" s="532"/>
      <c r="POM58" s="532"/>
      <c r="PON58" s="532"/>
      <c r="POO58" s="532"/>
      <c r="POP58" s="532"/>
      <c r="POQ58" s="532"/>
      <c r="POR58" s="532"/>
      <c r="POS58" s="532"/>
      <c r="POT58" s="532"/>
      <c r="POU58" s="532"/>
      <c r="POV58" s="532"/>
      <c r="POW58" s="532"/>
      <c r="POX58" s="532"/>
      <c r="POY58" s="532"/>
      <c r="POZ58" s="532"/>
      <c r="PPA58" s="532"/>
      <c r="PPB58" s="532"/>
      <c r="PPC58" s="532"/>
      <c r="PPD58" s="532"/>
      <c r="PPE58" s="532"/>
      <c r="PPF58" s="532"/>
      <c r="PPG58" s="532"/>
      <c r="PPH58" s="532"/>
      <c r="PPI58" s="532"/>
      <c r="PPJ58" s="532"/>
      <c r="PPK58" s="532"/>
      <c r="PPL58" s="532"/>
      <c r="PPM58" s="532"/>
      <c r="PPN58" s="532"/>
      <c r="PPO58" s="532"/>
      <c r="PPP58" s="532"/>
      <c r="PPQ58" s="532"/>
      <c r="PPR58" s="532"/>
      <c r="PPS58" s="532"/>
      <c r="PPT58" s="532"/>
      <c r="PPU58" s="532"/>
      <c r="PPV58" s="532"/>
      <c r="PPW58" s="532"/>
      <c r="PPX58" s="532"/>
      <c r="PPY58" s="532"/>
      <c r="PPZ58" s="532"/>
      <c r="PQA58" s="532"/>
      <c r="PQB58" s="532"/>
      <c r="PQC58" s="532"/>
      <c r="PQD58" s="532"/>
      <c r="PQE58" s="532"/>
      <c r="PQF58" s="532"/>
      <c r="PQG58" s="532"/>
      <c r="PQH58" s="532"/>
      <c r="PQI58" s="532"/>
      <c r="PQJ58" s="532"/>
      <c r="PQK58" s="532"/>
      <c r="PQL58" s="532"/>
      <c r="PQM58" s="532"/>
      <c r="PQN58" s="532"/>
      <c r="PQO58" s="532"/>
      <c r="PQP58" s="532"/>
      <c r="PQQ58" s="532"/>
      <c r="PQR58" s="532"/>
      <c r="PQS58" s="532"/>
      <c r="PQT58" s="532"/>
      <c r="PQU58" s="532"/>
      <c r="PQV58" s="532"/>
      <c r="PQW58" s="532"/>
      <c r="PQX58" s="532"/>
      <c r="PQY58" s="532"/>
      <c r="PQZ58" s="532"/>
      <c r="PRA58" s="532"/>
      <c r="PRB58" s="532"/>
      <c r="PRC58" s="532"/>
      <c r="PRD58" s="532"/>
      <c r="PRE58" s="532"/>
      <c r="PRF58" s="532"/>
      <c r="PRG58" s="532"/>
      <c r="PRH58" s="532"/>
      <c r="PRI58" s="532"/>
      <c r="PRJ58" s="532"/>
      <c r="PRK58" s="532"/>
      <c r="PRL58" s="532"/>
      <c r="PRM58" s="532"/>
      <c r="PRN58" s="532"/>
      <c r="PRO58" s="532"/>
      <c r="PRP58" s="532"/>
      <c r="PRQ58" s="532"/>
      <c r="PRR58" s="532"/>
      <c r="PRS58" s="532"/>
      <c r="PRT58" s="532"/>
      <c r="PRU58" s="532"/>
      <c r="PRV58" s="532"/>
      <c r="PRW58" s="532"/>
      <c r="PRX58" s="532"/>
      <c r="PRY58" s="532"/>
      <c r="PRZ58" s="532"/>
      <c r="PSA58" s="532"/>
      <c r="PSB58" s="532"/>
      <c r="PSC58" s="532"/>
      <c r="PSD58" s="532"/>
      <c r="PSE58" s="532"/>
      <c r="PSF58" s="532"/>
      <c r="PSG58" s="532"/>
      <c r="PSH58" s="532"/>
      <c r="PSI58" s="532"/>
      <c r="PSJ58" s="532"/>
      <c r="PSK58" s="532"/>
      <c r="PSL58" s="532"/>
      <c r="PSM58" s="532"/>
      <c r="PSN58" s="532"/>
      <c r="PSO58" s="532"/>
      <c r="PSP58" s="532"/>
      <c r="PSQ58" s="532"/>
      <c r="PSR58" s="532"/>
      <c r="PSS58" s="532"/>
      <c r="PST58" s="532"/>
      <c r="PSU58" s="532"/>
      <c r="PSV58" s="532"/>
      <c r="PSW58" s="532"/>
      <c r="PSX58" s="532"/>
      <c r="PSY58" s="532"/>
      <c r="PSZ58" s="532"/>
      <c r="PTA58" s="532"/>
      <c r="PTB58" s="532"/>
      <c r="PTC58" s="532"/>
      <c r="PTD58" s="532"/>
      <c r="PTE58" s="532"/>
      <c r="PTF58" s="532"/>
      <c r="PTG58" s="532"/>
      <c r="PTH58" s="532"/>
      <c r="PTI58" s="532"/>
      <c r="PTJ58" s="532"/>
      <c r="PTK58" s="532"/>
      <c r="PTL58" s="532"/>
      <c r="PTM58" s="532"/>
      <c r="PTN58" s="532"/>
      <c r="PTO58" s="532"/>
      <c r="PTP58" s="532"/>
      <c r="PTQ58" s="532"/>
      <c r="PTR58" s="532"/>
      <c r="PTS58" s="532"/>
      <c r="PTT58" s="532"/>
      <c r="PTU58" s="532"/>
      <c r="PTV58" s="532"/>
      <c r="PTW58" s="532"/>
      <c r="PTX58" s="532"/>
      <c r="PTY58" s="532"/>
      <c r="PTZ58" s="532"/>
      <c r="PUA58" s="532"/>
      <c r="PUB58" s="532"/>
      <c r="PUC58" s="532"/>
      <c r="PUD58" s="532"/>
      <c r="PUE58" s="532"/>
      <c r="PUF58" s="532"/>
      <c r="PUG58" s="532"/>
      <c r="PUH58" s="532"/>
      <c r="PUI58" s="532"/>
      <c r="PUJ58" s="532"/>
      <c r="PUK58" s="532"/>
      <c r="PUL58" s="532"/>
      <c r="PUM58" s="532"/>
      <c r="PUN58" s="532"/>
      <c r="PUO58" s="532"/>
      <c r="PUP58" s="532"/>
      <c r="PUQ58" s="532"/>
      <c r="PUR58" s="532"/>
      <c r="PUS58" s="532"/>
      <c r="PUT58" s="532"/>
      <c r="PUU58" s="532"/>
      <c r="PUV58" s="532"/>
      <c r="PUW58" s="532"/>
      <c r="PUX58" s="532"/>
      <c r="PUY58" s="532"/>
      <c r="PUZ58" s="532"/>
      <c r="PVA58" s="532"/>
      <c r="PVB58" s="532"/>
      <c r="PVC58" s="532"/>
      <c r="PVD58" s="532"/>
      <c r="PVE58" s="532"/>
      <c r="PVF58" s="532"/>
      <c r="PVG58" s="532"/>
      <c r="PVH58" s="532"/>
      <c r="PVI58" s="532"/>
      <c r="PVJ58" s="532"/>
      <c r="PVK58" s="532"/>
      <c r="PVL58" s="532"/>
      <c r="PVM58" s="532"/>
      <c r="PVN58" s="532"/>
      <c r="PVO58" s="532"/>
      <c r="PVP58" s="532"/>
      <c r="PVQ58" s="532"/>
      <c r="PVR58" s="532"/>
      <c r="PVS58" s="532"/>
      <c r="PVT58" s="532"/>
      <c r="PVU58" s="532"/>
      <c r="PVV58" s="532"/>
      <c r="PVW58" s="532"/>
      <c r="PVX58" s="532"/>
      <c r="PVY58" s="532"/>
      <c r="PVZ58" s="532"/>
      <c r="PWA58" s="532"/>
      <c r="PWB58" s="532"/>
      <c r="PWC58" s="532"/>
      <c r="PWD58" s="532"/>
      <c r="PWE58" s="532"/>
      <c r="PWF58" s="532"/>
      <c r="PWG58" s="532"/>
      <c r="PWH58" s="532"/>
      <c r="PWI58" s="532"/>
      <c r="PWJ58" s="532"/>
      <c r="PWK58" s="532"/>
      <c r="PWL58" s="532"/>
      <c r="PWM58" s="532"/>
      <c r="PWN58" s="532"/>
      <c r="PWO58" s="532"/>
      <c r="PWP58" s="532"/>
      <c r="PWQ58" s="532"/>
      <c r="PWR58" s="532"/>
      <c r="PWS58" s="532"/>
      <c r="PWT58" s="532"/>
      <c r="PWU58" s="532"/>
      <c r="PWV58" s="532"/>
      <c r="PWW58" s="532"/>
      <c r="PWX58" s="532"/>
      <c r="PWY58" s="532"/>
      <c r="PWZ58" s="532"/>
      <c r="PXA58" s="532"/>
      <c r="PXB58" s="532"/>
      <c r="PXC58" s="532"/>
      <c r="PXD58" s="532"/>
      <c r="PXE58" s="532"/>
      <c r="PXF58" s="532"/>
      <c r="PXG58" s="532"/>
      <c r="PXH58" s="532"/>
      <c r="PXI58" s="532"/>
      <c r="PXJ58" s="532"/>
      <c r="PXK58" s="532"/>
      <c r="PXL58" s="532"/>
      <c r="PXM58" s="532"/>
      <c r="PXN58" s="532"/>
      <c r="PXO58" s="532"/>
      <c r="PXP58" s="532"/>
      <c r="PXQ58" s="532"/>
      <c r="PXR58" s="532"/>
      <c r="PXS58" s="532"/>
      <c r="PXT58" s="532"/>
      <c r="PXU58" s="532"/>
      <c r="PXV58" s="532"/>
      <c r="PXW58" s="532"/>
      <c r="PXX58" s="532"/>
      <c r="PXY58" s="532"/>
      <c r="PXZ58" s="532"/>
      <c r="PYA58" s="532"/>
      <c r="PYB58" s="532"/>
      <c r="PYC58" s="532"/>
      <c r="PYD58" s="532"/>
      <c r="PYE58" s="532"/>
      <c r="PYF58" s="532"/>
      <c r="PYG58" s="532"/>
      <c r="PYH58" s="532"/>
      <c r="PYI58" s="532"/>
      <c r="PYJ58" s="532"/>
      <c r="PYK58" s="532"/>
      <c r="PYL58" s="532"/>
      <c r="PYM58" s="532"/>
      <c r="PYN58" s="532"/>
      <c r="PYO58" s="532"/>
      <c r="PYP58" s="532"/>
      <c r="PYQ58" s="532"/>
      <c r="PYR58" s="532"/>
      <c r="PYS58" s="532"/>
      <c r="PYT58" s="532"/>
      <c r="PYU58" s="532"/>
      <c r="PYV58" s="532"/>
      <c r="PYW58" s="532"/>
      <c r="PYX58" s="532"/>
      <c r="PYY58" s="532"/>
      <c r="PYZ58" s="532"/>
      <c r="PZA58" s="532"/>
      <c r="PZB58" s="532"/>
      <c r="PZC58" s="532"/>
      <c r="PZD58" s="532"/>
      <c r="PZE58" s="532"/>
      <c r="PZF58" s="532"/>
      <c r="PZG58" s="532"/>
      <c r="PZH58" s="532"/>
      <c r="PZI58" s="532"/>
      <c r="PZJ58" s="532"/>
      <c r="PZK58" s="532"/>
      <c r="PZL58" s="532"/>
      <c r="PZM58" s="532"/>
      <c r="PZN58" s="532"/>
      <c r="PZO58" s="532"/>
      <c r="PZP58" s="532"/>
      <c r="PZQ58" s="532"/>
      <c r="PZR58" s="532"/>
      <c r="PZS58" s="532"/>
      <c r="PZT58" s="532"/>
      <c r="PZU58" s="532"/>
      <c r="PZV58" s="532"/>
      <c r="PZW58" s="532"/>
      <c r="PZX58" s="532"/>
      <c r="PZY58" s="532"/>
      <c r="PZZ58" s="532"/>
      <c r="QAA58" s="532"/>
      <c r="QAB58" s="532"/>
      <c r="QAC58" s="532"/>
      <c r="QAD58" s="532"/>
      <c r="QAE58" s="532"/>
      <c r="QAF58" s="532"/>
      <c r="QAG58" s="532"/>
      <c r="QAH58" s="532"/>
      <c r="QAI58" s="532"/>
      <c r="QAJ58" s="532"/>
      <c r="QAK58" s="532"/>
      <c r="QAL58" s="532"/>
      <c r="QAM58" s="532"/>
      <c r="QAN58" s="532"/>
      <c r="QAO58" s="532"/>
      <c r="QAP58" s="532"/>
      <c r="QAQ58" s="532"/>
      <c r="QAR58" s="532"/>
      <c r="QAS58" s="532"/>
      <c r="QAT58" s="532"/>
      <c r="QAU58" s="532"/>
      <c r="QAV58" s="532"/>
      <c r="QAW58" s="532"/>
      <c r="QAX58" s="532"/>
      <c r="QAY58" s="532"/>
      <c r="QAZ58" s="532"/>
      <c r="QBA58" s="532"/>
      <c r="QBB58" s="532"/>
      <c r="QBC58" s="532"/>
      <c r="QBD58" s="532"/>
      <c r="QBE58" s="532"/>
      <c r="QBF58" s="532"/>
      <c r="QBG58" s="532"/>
      <c r="QBH58" s="532"/>
      <c r="QBI58" s="532"/>
      <c r="QBJ58" s="532"/>
      <c r="QBK58" s="532"/>
      <c r="QBL58" s="532"/>
      <c r="QBM58" s="532"/>
      <c r="QBN58" s="532"/>
      <c r="QBO58" s="532"/>
      <c r="QBP58" s="532"/>
      <c r="QBQ58" s="532"/>
      <c r="QBR58" s="532"/>
      <c r="QBS58" s="532"/>
      <c r="QBT58" s="532"/>
      <c r="QBU58" s="532"/>
      <c r="QBV58" s="532"/>
      <c r="QBW58" s="532"/>
      <c r="QBX58" s="532"/>
      <c r="QBY58" s="532"/>
      <c r="QBZ58" s="532"/>
      <c r="QCA58" s="532"/>
      <c r="QCB58" s="532"/>
      <c r="QCC58" s="532"/>
      <c r="QCD58" s="532"/>
      <c r="QCE58" s="532"/>
      <c r="QCF58" s="532"/>
      <c r="QCG58" s="532"/>
      <c r="QCH58" s="532"/>
      <c r="QCI58" s="532"/>
      <c r="QCJ58" s="532"/>
      <c r="QCK58" s="532"/>
      <c r="QCL58" s="532"/>
      <c r="QCM58" s="532"/>
      <c r="QCN58" s="532"/>
      <c r="QCO58" s="532"/>
      <c r="QCP58" s="532"/>
      <c r="QCQ58" s="532"/>
      <c r="QCR58" s="532"/>
      <c r="QCS58" s="532"/>
      <c r="QCT58" s="532"/>
      <c r="QCU58" s="532"/>
      <c r="QCV58" s="532"/>
      <c r="QCW58" s="532"/>
      <c r="QCX58" s="532"/>
      <c r="QCY58" s="532"/>
      <c r="QCZ58" s="532"/>
      <c r="QDA58" s="532"/>
      <c r="QDB58" s="532"/>
      <c r="QDC58" s="532"/>
      <c r="QDD58" s="532"/>
      <c r="QDE58" s="532"/>
      <c r="QDF58" s="532"/>
      <c r="QDG58" s="532"/>
      <c r="QDH58" s="532"/>
      <c r="QDI58" s="532"/>
      <c r="QDJ58" s="532"/>
      <c r="QDK58" s="532"/>
      <c r="QDL58" s="532"/>
      <c r="QDM58" s="532"/>
      <c r="QDN58" s="532"/>
      <c r="QDO58" s="532"/>
      <c r="QDP58" s="532"/>
      <c r="QDQ58" s="532"/>
      <c r="QDR58" s="532"/>
      <c r="QDS58" s="532"/>
      <c r="QDT58" s="532"/>
      <c r="QDU58" s="532"/>
      <c r="QDV58" s="532"/>
      <c r="QDW58" s="532"/>
      <c r="QDX58" s="532"/>
      <c r="QDY58" s="532"/>
      <c r="QDZ58" s="532"/>
      <c r="QEA58" s="532"/>
      <c r="QEB58" s="532"/>
      <c r="QEC58" s="532"/>
      <c r="QED58" s="532"/>
      <c r="QEE58" s="532"/>
      <c r="QEF58" s="532"/>
      <c r="QEG58" s="532"/>
      <c r="QEH58" s="532"/>
      <c r="QEI58" s="532"/>
      <c r="QEJ58" s="532"/>
      <c r="QEK58" s="532"/>
      <c r="QEL58" s="532"/>
      <c r="QEM58" s="532"/>
      <c r="QEN58" s="532"/>
      <c r="QEO58" s="532"/>
      <c r="QEP58" s="532"/>
      <c r="QEQ58" s="532"/>
      <c r="QER58" s="532"/>
      <c r="QES58" s="532"/>
      <c r="QET58" s="532"/>
      <c r="QEU58" s="532"/>
      <c r="QEV58" s="532"/>
      <c r="QEW58" s="532"/>
      <c r="QEX58" s="532"/>
      <c r="QEY58" s="532"/>
      <c r="QEZ58" s="532"/>
      <c r="QFA58" s="532"/>
      <c r="QFB58" s="532"/>
      <c r="QFC58" s="532"/>
      <c r="QFD58" s="532"/>
      <c r="QFE58" s="532"/>
      <c r="QFF58" s="532"/>
      <c r="QFG58" s="532"/>
      <c r="QFH58" s="532"/>
      <c r="QFI58" s="532"/>
      <c r="QFJ58" s="532"/>
      <c r="QFK58" s="532"/>
      <c r="QFL58" s="532"/>
      <c r="QFM58" s="532"/>
      <c r="QFN58" s="532"/>
      <c r="QFO58" s="532"/>
      <c r="QFP58" s="532"/>
      <c r="QFQ58" s="532"/>
      <c r="QFR58" s="532"/>
      <c r="QFS58" s="532"/>
      <c r="QFT58" s="532"/>
      <c r="QFU58" s="532"/>
      <c r="QFV58" s="532"/>
      <c r="QFW58" s="532"/>
      <c r="QFX58" s="532"/>
      <c r="QFY58" s="532"/>
      <c r="QFZ58" s="532"/>
      <c r="QGA58" s="532"/>
      <c r="QGB58" s="532"/>
      <c r="QGC58" s="532"/>
      <c r="QGD58" s="532"/>
      <c r="QGE58" s="532"/>
      <c r="QGF58" s="532"/>
      <c r="QGG58" s="532"/>
      <c r="QGH58" s="532"/>
      <c r="QGI58" s="532"/>
      <c r="QGJ58" s="532"/>
      <c r="QGK58" s="532"/>
      <c r="QGL58" s="532"/>
      <c r="QGM58" s="532"/>
      <c r="QGN58" s="532"/>
      <c r="QGO58" s="532"/>
      <c r="QGP58" s="532"/>
      <c r="QGQ58" s="532"/>
      <c r="QGR58" s="532"/>
      <c r="QGS58" s="532"/>
      <c r="QGT58" s="532"/>
      <c r="QGU58" s="532"/>
      <c r="QGV58" s="532"/>
      <c r="QGW58" s="532"/>
      <c r="QGX58" s="532"/>
      <c r="QGY58" s="532"/>
      <c r="QGZ58" s="532"/>
      <c r="QHA58" s="532"/>
      <c r="QHB58" s="532"/>
      <c r="QHC58" s="532"/>
      <c r="QHD58" s="532"/>
      <c r="QHE58" s="532"/>
      <c r="QHF58" s="532"/>
      <c r="QHG58" s="532"/>
      <c r="QHH58" s="532"/>
      <c r="QHI58" s="532"/>
      <c r="QHJ58" s="532"/>
      <c r="QHK58" s="532"/>
      <c r="QHL58" s="532"/>
      <c r="QHM58" s="532"/>
      <c r="QHN58" s="532"/>
      <c r="QHO58" s="532"/>
      <c r="QHP58" s="532"/>
      <c r="QHQ58" s="532"/>
      <c r="QHR58" s="532"/>
      <c r="QHS58" s="532"/>
      <c r="QHT58" s="532"/>
      <c r="QHU58" s="532"/>
      <c r="QHV58" s="532"/>
      <c r="QHW58" s="532"/>
      <c r="QHX58" s="532"/>
      <c r="QHY58" s="532"/>
      <c r="QHZ58" s="532"/>
      <c r="QIA58" s="532"/>
      <c r="QIB58" s="532"/>
      <c r="QIC58" s="532"/>
      <c r="QID58" s="532"/>
      <c r="QIE58" s="532"/>
      <c r="QIF58" s="532"/>
      <c r="QIG58" s="532"/>
      <c r="QIH58" s="532"/>
      <c r="QII58" s="532"/>
      <c r="QIJ58" s="532"/>
      <c r="QIK58" s="532"/>
      <c r="QIL58" s="532"/>
      <c r="QIM58" s="532"/>
      <c r="QIN58" s="532"/>
      <c r="QIO58" s="532"/>
      <c r="QIP58" s="532"/>
      <c r="QIQ58" s="532"/>
      <c r="QIR58" s="532"/>
      <c r="QIS58" s="532"/>
      <c r="QIT58" s="532"/>
      <c r="QIU58" s="532"/>
      <c r="QIV58" s="532"/>
      <c r="QIW58" s="532"/>
      <c r="QIX58" s="532"/>
      <c r="QIY58" s="532"/>
      <c r="QIZ58" s="532"/>
      <c r="QJA58" s="532"/>
      <c r="QJB58" s="532"/>
      <c r="QJC58" s="532"/>
      <c r="QJD58" s="532"/>
      <c r="QJE58" s="532"/>
      <c r="QJF58" s="532"/>
      <c r="QJG58" s="532"/>
      <c r="QJH58" s="532"/>
      <c r="QJI58" s="532"/>
      <c r="QJJ58" s="532"/>
      <c r="QJK58" s="532"/>
      <c r="QJL58" s="532"/>
      <c r="QJM58" s="532"/>
      <c r="QJN58" s="532"/>
      <c r="QJO58" s="532"/>
      <c r="QJP58" s="532"/>
      <c r="QJQ58" s="532"/>
      <c r="QJR58" s="532"/>
      <c r="QJS58" s="532"/>
      <c r="QJT58" s="532"/>
      <c r="QJU58" s="532"/>
      <c r="QJV58" s="532"/>
      <c r="QJW58" s="532"/>
      <c r="QJX58" s="532"/>
      <c r="QJY58" s="532"/>
      <c r="QJZ58" s="532"/>
      <c r="QKA58" s="532"/>
      <c r="QKB58" s="532"/>
      <c r="QKC58" s="532"/>
      <c r="QKD58" s="532"/>
      <c r="QKE58" s="532"/>
      <c r="QKF58" s="532"/>
      <c r="QKG58" s="532"/>
      <c r="QKH58" s="532"/>
      <c r="QKI58" s="532"/>
      <c r="QKJ58" s="532"/>
      <c r="QKK58" s="532"/>
      <c r="QKL58" s="532"/>
      <c r="QKM58" s="532"/>
      <c r="QKN58" s="532"/>
      <c r="QKO58" s="532"/>
      <c r="QKP58" s="532"/>
      <c r="QKQ58" s="532"/>
      <c r="QKR58" s="532"/>
      <c r="QKS58" s="532"/>
      <c r="QKT58" s="532"/>
      <c r="QKU58" s="532"/>
      <c r="QKV58" s="532"/>
      <c r="QKW58" s="532"/>
      <c r="QKX58" s="532"/>
      <c r="QKY58" s="532"/>
      <c r="QKZ58" s="532"/>
      <c r="QLA58" s="532"/>
      <c r="QLB58" s="532"/>
      <c r="QLC58" s="532"/>
      <c r="QLD58" s="532"/>
      <c r="QLE58" s="532"/>
      <c r="QLF58" s="532"/>
      <c r="QLG58" s="532"/>
      <c r="QLH58" s="532"/>
      <c r="QLI58" s="532"/>
      <c r="QLJ58" s="532"/>
      <c r="QLK58" s="532"/>
      <c r="QLL58" s="532"/>
      <c r="QLM58" s="532"/>
      <c r="QLN58" s="532"/>
      <c r="QLO58" s="532"/>
      <c r="QLP58" s="532"/>
      <c r="QLQ58" s="532"/>
      <c r="QLR58" s="532"/>
      <c r="QLS58" s="532"/>
      <c r="QLT58" s="532"/>
      <c r="QLU58" s="532"/>
      <c r="QLV58" s="532"/>
      <c r="QLW58" s="532"/>
      <c r="QLX58" s="532"/>
      <c r="QLY58" s="532"/>
      <c r="QLZ58" s="532"/>
      <c r="QMA58" s="532"/>
      <c r="QMB58" s="532"/>
      <c r="QMC58" s="532"/>
      <c r="QMD58" s="532"/>
      <c r="QME58" s="532"/>
      <c r="QMF58" s="532"/>
      <c r="QMG58" s="532"/>
      <c r="QMH58" s="532"/>
      <c r="QMI58" s="532"/>
      <c r="QMJ58" s="532"/>
      <c r="QMK58" s="532"/>
      <c r="QML58" s="532"/>
      <c r="QMM58" s="532"/>
      <c r="QMN58" s="532"/>
      <c r="QMO58" s="532"/>
      <c r="QMP58" s="532"/>
      <c r="QMQ58" s="532"/>
      <c r="QMR58" s="532"/>
      <c r="QMS58" s="532"/>
      <c r="QMT58" s="532"/>
      <c r="QMU58" s="532"/>
      <c r="QMV58" s="532"/>
      <c r="QMW58" s="532"/>
      <c r="QMX58" s="532"/>
      <c r="QMY58" s="532"/>
      <c r="QMZ58" s="532"/>
      <c r="QNA58" s="532"/>
      <c r="QNB58" s="532"/>
      <c r="QNC58" s="532"/>
      <c r="QND58" s="532"/>
      <c r="QNE58" s="532"/>
      <c r="QNF58" s="532"/>
      <c r="QNG58" s="532"/>
      <c r="QNH58" s="532"/>
      <c r="QNI58" s="532"/>
      <c r="QNJ58" s="532"/>
      <c r="QNK58" s="532"/>
      <c r="QNL58" s="532"/>
      <c r="QNM58" s="532"/>
      <c r="QNN58" s="532"/>
      <c r="QNO58" s="532"/>
      <c r="QNP58" s="532"/>
      <c r="QNQ58" s="532"/>
      <c r="QNR58" s="532"/>
      <c r="QNS58" s="532"/>
      <c r="QNT58" s="532"/>
      <c r="QNU58" s="532"/>
      <c r="QNV58" s="532"/>
      <c r="QNW58" s="532"/>
      <c r="QNX58" s="532"/>
      <c r="QNY58" s="532"/>
      <c r="QNZ58" s="532"/>
      <c r="QOA58" s="532"/>
      <c r="QOB58" s="532"/>
      <c r="QOC58" s="532"/>
      <c r="QOD58" s="532"/>
      <c r="QOE58" s="532"/>
      <c r="QOF58" s="532"/>
      <c r="QOG58" s="532"/>
      <c r="QOH58" s="532"/>
      <c r="QOI58" s="532"/>
      <c r="QOJ58" s="532"/>
      <c r="QOK58" s="532"/>
      <c r="QOL58" s="532"/>
      <c r="QOM58" s="532"/>
      <c r="QON58" s="532"/>
      <c r="QOO58" s="532"/>
      <c r="QOP58" s="532"/>
      <c r="QOQ58" s="532"/>
      <c r="QOR58" s="532"/>
      <c r="QOS58" s="532"/>
      <c r="QOT58" s="532"/>
      <c r="QOU58" s="532"/>
      <c r="QOV58" s="532"/>
      <c r="QOW58" s="532"/>
      <c r="QOX58" s="532"/>
      <c r="QOY58" s="532"/>
      <c r="QOZ58" s="532"/>
      <c r="QPA58" s="532"/>
      <c r="QPB58" s="532"/>
      <c r="QPC58" s="532"/>
      <c r="QPD58" s="532"/>
      <c r="QPE58" s="532"/>
      <c r="QPF58" s="532"/>
      <c r="QPG58" s="532"/>
      <c r="QPH58" s="532"/>
      <c r="QPI58" s="532"/>
      <c r="QPJ58" s="532"/>
      <c r="QPK58" s="532"/>
      <c r="QPL58" s="532"/>
      <c r="QPM58" s="532"/>
      <c r="QPN58" s="532"/>
      <c r="QPO58" s="532"/>
      <c r="QPP58" s="532"/>
      <c r="QPQ58" s="532"/>
      <c r="QPR58" s="532"/>
      <c r="QPS58" s="532"/>
      <c r="QPT58" s="532"/>
      <c r="QPU58" s="532"/>
      <c r="QPV58" s="532"/>
      <c r="QPW58" s="532"/>
      <c r="QPX58" s="532"/>
      <c r="QPY58" s="532"/>
      <c r="QPZ58" s="532"/>
      <c r="QQA58" s="532"/>
      <c r="QQB58" s="532"/>
      <c r="QQC58" s="532"/>
      <c r="QQD58" s="532"/>
      <c r="QQE58" s="532"/>
      <c r="QQF58" s="532"/>
      <c r="QQG58" s="532"/>
      <c r="QQH58" s="532"/>
      <c r="QQI58" s="532"/>
      <c r="QQJ58" s="532"/>
      <c r="QQK58" s="532"/>
      <c r="QQL58" s="532"/>
      <c r="QQM58" s="532"/>
      <c r="QQN58" s="532"/>
      <c r="QQO58" s="532"/>
      <c r="QQP58" s="532"/>
      <c r="QQQ58" s="532"/>
      <c r="QQR58" s="532"/>
      <c r="QQS58" s="532"/>
      <c r="QQT58" s="532"/>
      <c r="QQU58" s="532"/>
      <c r="QQV58" s="532"/>
      <c r="QQW58" s="532"/>
      <c r="QQX58" s="532"/>
      <c r="QQY58" s="532"/>
      <c r="QQZ58" s="532"/>
      <c r="QRA58" s="532"/>
      <c r="QRB58" s="532"/>
      <c r="QRC58" s="532"/>
      <c r="QRD58" s="532"/>
      <c r="QRE58" s="532"/>
      <c r="QRF58" s="532"/>
      <c r="QRG58" s="532"/>
      <c r="QRH58" s="532"/>
      <c r="QRI58" s="532"/>
      <c r="QRJ58" s="532"/>
      <c r="QRK58" s="532"/>
      <c r="QRL58" s="532"/>
      <c r="QRM58" s="532"/>
      <c r="QRN58" s="532"/>
      <c r="QRO58" s="532"/>
      <c r="QRP58" s="532"/>
      <c r="QRQ58" s="532"/>
      <c r="QRR58" s="532"/>
      <c r="QRS58" s="532"/>
      <c r="QRT58" s="532"/>
      <c r="QRU58" s="532"/>
      <c r="QRV58" s="532"/>
      <c r="QRW58" s="532"/>
      <c r="QRX58" s="532"/>
      <c r="QRY58" s="532"/>
      <c r="QRZ58" s="532"/>
      <c r="QSA58" s="532"/>
      <c r="QSB58" s="532"/>
      <c r="QSC58" s="532"/>
      <c r="QSD58" s="532"/>
      <c r="QSE58" s="532"/>
      <c r="QSF58" s="532"/>
      <c r="QSG58" s="532"/>
      <c r="QSH58" s="532"/>
      <c r="QSI58" s="532"/>
      <c r="QSJ58" s="532"/>
      <c r="QSK58" s="532"/>
      <c r="QSL58" s="532"/>
      <c r="QSM58" s="532"/>
      <c r="QSN58" s="532"/>
      <c r="QSO58" s="532"/>
      <c r="QSP58" s="532"/>
      <c r="QSQ58" s="532"/>
      <c r="QSR58" s="532"/>
      <c r="QSS58" s="532"/>
      <c r="QST58" s="532"/>
      <c r="QSU58" s="532"/>
      <c r="QSV58" s="532"/>
      <c r="QSW58" s="532"/>
      <c r="QSX58" s="532"/>
      <c r="QSY58" s="532"/>
      <c r="QSZ58" s="532"/>
      <c r="QTA58" s="532"/>
      <c r="QTB58" s="532"/>
      <c r="QTC58" s="532"/>
      <c r="QTD58" s="532"/>
      <c r="QTE58" s="532"/>
      <c r="QTF58" s="532"/>
      <c r="QTG58" s="532"/>
      <c r="QTH58" s="532"/>
      <c r="QTI58" s="532"/>
      <c r="QTJ58" s="532"/>
      <c r="QTK58" s="532"/>
      <c r="QTL58" s="532"/>
      <c r="QTM58" s="532"/>
      <c r="QTN58" s="532"/>
      <c r="QTO58" s="532"/>
      <c r="QTP58" s="532"/>
      <c r="QTQ58" s="532"/>
      <c r="QTR58" s="532"/>
      <c r="QTS58" s="532"/>
      <c r="QTT58" s="532"/>
      <c r="QTU58" s="532"/>
      <c r="QTV58" s="532"/>
      <c r="QTW58" s="532"/>
      <c r="QTX58" s="532"/>
      <c r="QTY58" s="532"/>
      <c r="QTZ58" s="532"/>
      <c r="QUA58" s="532"/>
      <c r="QUB58" s="532"/>
      <c r="QUC58" s="532"/>
      <c r="QUD58" s="532"/>
      <c r="QUE58" s="532"/>
      <c r="QUF58" s="532"/>
      <c r="QUG58" s="532"/>
      <c r="QUH58" s="532"/>
      <c r="QUI58" s="532"/>
      <c r="QUJ58" s="532"/>
      <c r="QUK58" s="532"/>
      <c r="QUL58" s="532"/>
      <c r="QUM58" s="532"/>
      <c r="QUN58" s="532"/>
      <c r="QUO58" s="532"/>
      <c r="QUP58" s="532"/>
      <c r="QUQ58" s="532"/>
      <c r="QUR58" s="532"/>
      <c r="QUS58" s="532"/>
      <c r="QUT58" s="532"/>
      <c r="QUU58" s="532"/>
      <c r="QUV58" s="532"/>
      <c r="QUW58" s="532"/>
      <c r="QUX58" s="532"/>
      <c r="QUY58" s="532"/>
      <c r="QUZ58" s="532"/>
      <c r="QVA58" s="532"/>
      <c r="QVB58" s="532"/>
      <c r="QVC58" s="532"/>
      <c r="QVD58" s="532"/>
      <c r="QVE58" s="532"/>
      <c r="QVF58" s="532"/>
      <c r="QVG58" s="532"/>
      <c r="QVH58" s="532"/>
      <c r="QVI58" s="532"/>
      <c r="QVJ58" s="532"/>
      <c r="QVK58" s="532"/>
      <c r="QVL58" s="532"/>
      <c r="QVM58" s="532"/>
      <c r="QVN58" s="532"/>
      <c r="QVO58" s="532"/>
      <c r="QVP58" s="532"/>
      <c r="QVQ58" s="532"/>
      <c r="QVR58" s="532"/>
      <c r="QVS58" s="532"/>
      <c r="QVT58" s="532"/>
      <c r="QVU58" s="532"/>
      <c r="QVV58" s="532"/>
      <c r="QVW58" s="532"/>
      <c r="QVX58" s="532"/>
      <c r="QVY58" s="532"/>
      <c r="QVZ58" s="532"/>
      <c r="QWA58" s="532"/>
      <c r="QWB58" s="532"/>
      <c r="QWC58" s="532"/>
      <c r="QWD58" s="532"/>
      <c r="QWE58" s="532"/>
      <c r="QWF58" s="532"/>
      <c r="QWG58" s="532"/>
      <c r="QWH58" s="532"/>
      <c r="QWI58" s="532"/>
      <c r="QWJ58" s="532"/>
      <c r="QWK58" s="532"/>
      <c r="QWL58" s="532"/>
      <c r="QWM58" s="532"/>
      <c r="QWN58" s="532"/>
      <c r="QWO58" s="532"/>
      <c r="QWP58" s="532"/>
      <c r="QWQ58" s="532"/>
      <c r="QWR58" s="532"/>
      <c r="QWS58" s="532"/>
      <c r="QWT58" s="532"/>
      <c r="QWU58" s="532"/>
      <c r="QWV58" s="532"/>
      <c r="QWW58" s="532"/>
      <c r="QWX58" s="532"/>
      <c r="QWY58" s="532"/>
      <c r="QWZ58" s="532"/>
      <c r="QXA58" s="532"/>
      <c r="QXB58" s="532"/>
      <c r="QXC58" s="532"/>
      <c r="QXD58" s="532"/>
      <c r="QXE58" s="532"/>
      <c r="QXF58" s="532"/>
      <c r="QXG58" s="532"/>
      <c r="QXH58" s="532"/>
      <c r="QXI58" s="532"/>
      <c r="QXJ58" s="532"/>
      <c r="QXK58" s="532"/>
      <c r="QXL58" s="532"/>
      <c r="QXM58" s="532"/>
      <c r="QXN58" s="532"/>
      <c r="QXO58" s="532"/>
      <c r="QXP58" s="532"/>
      <c r="QXQ58" s="532"/>
      <c r="QXR58" s="532"/>
      <c r="QXS58" s="532"/>
      <c r="QXT58" s="532"/>
      <c r="QXU58" s="532"/>
      <c r="QXV58" s="532"/>
      <c r="QXW58" s="532"/>
      <c r="QXX58" s="532"/>
      <c r="QXY58" s="532"/>
      <c r="QXZ58" s="532"/>
      <c r="QYA58" s="532"/>
      <c r="QYB58" s="532"/>
      <c r="QYC58" s="532"/>
      <c r="QYD58" s="532"/>
      <c r="QYE58" s="532"/>
      <c r="QYF58" s="532"/>
      <c r="QYG58" s="532"/>
      <c r="QYH58" s="532"/>
      <c r="QYI58" s="532"/>
      <c r="QYJ58" s="532"/>
      <c r="QYK58" s="532"/>
      <c r="QYL58" s="532"/>
      <c r="QYM58" s="532"/>
      <c r="QYN58" s="532"/>
      <c r="QYO58" s="532"/>
      <c r="QYP58" s="532"/>
      <c r="QYQ58" s="532"/>
      <c r="QYR58" s="532"/>
      <c r="QYS58" s="532"/>
      <c r="QYT58" s="532"/>
      <c r="QYU58" s="532"/>
      <c r="QYV58" s="532"/>
      <c r="QYW58" s="532"/>
      <c r="QYX58" s="532"/>
      <c r="QYY58" s="532"/>
      <c r="QYZ58" s="532"/>
      <c r="QZA58" s="532"/>
      <c r="QZB58" s="532"/>
      <c r="QZC58" s="532"/>
      <c r="QZD58" s="532"/>
      <c r="QZE58" s="532"/>
      <c r="QZF58" s="532"/>
      <c r="QZG58" s="532"/>
      <c r="QZH58" s="532"/>
      <c r="QZI58" s="532"/>
      <c r="QZJ58" s="532"/>
      <c r="QZK58" s="532"/>
      <c r="QZL58" s="532"/>
      <c r="QZM58" s="532"/>
      <c r="QZN58" s="532"/>
      <c r="QZO58" s="532"/>
      <c r="QZP58" s="532"/>
      <c r="QZQ58" s="532"/>
      <c r="QZR58" s="532"/>
      <c r="QZS58" s="532"/>
      <c r="QZT58" s="532"/>
      <c r="QZU58" s="532"/>
      <c r="QZV58" s="532"/>
      <c r="QZW58" s="532"/>
      <c r="QZX58" s="532"/>
      <c r="QZY58" s="532"/>
      <c r="QZZ58" s="532"/>
      <c r="RAA58" s="532"/>
      <c r="RAB58" s="532"/>
      <c r="RAC58" s="532"/>
      <c r="RAD58" s="532"/>
      <c r="RAE58" s="532"/>
      <c r="RAF58" s="532"/>
      <c r="RAG58" s="532"/>
      <c r="RAH58" s="532"/>
      <c r="RAI58" s="532"/>
      <c r="RAJ58" s="532"/>
      <c r="RAK58" s="532"/>
      <c r="RAL58" s="532"/>
      <c r="RAM58" s="532"/>
      <c r="RAN58" s="532"/>
      <c r="RAO58" s="532"/>
      <c r="RAP58" s="532"/>
      <c r="RAQ58" s="532"/>
      <c r="RAR58" s="532"/>
      <c r="RAS58" s="532"/>
      <c r="RAT58" s="532"/>
      <c r="RAU58" s="532"/>
      <c r="RAV58" s="532"/>
      <c r="RAW58" s="532"/>
      <c r="RAX58" s="532"/>
      <c r="RAY58" s="532"/>
      <c r="RAZ58" s="532"/>
      <c r="RBA58" s="532"/>
      <c r="RBB58" s="532"/>
      <c r="RBC58" s="532"/>
      <c r="RBD58" s="532"/>
      <c r="RBE58" s="532"/>
      <c r="RBF58" s="532"/>
      <c r="RBG58" s="532"/>
      <c r="RBH58" s="532"/>
      <c r="RBI58" s="532"/>
      <c r="RBJ58" s="532"/>
      <c r="RBK58" s="532"/>
      <c r="RBL58" s="532"/>
      <c r="RBM58" s="532"/>
      <c r="RBN58" s="532"/>
      <c r="RBO58" s="532"/>
      <c r="RBP58" s="532"/>
      <c r="RBQ58" s="532"/>
      <c r="RBR58" s="532"/>
      <c r="RBS58" s="532"/>
      <c r="RBT58" s="532"/>
      <c r="RBU58" s="532"/>
      <c r="RBV58" s="532"/>
      <c r="RBW58" s="532"/>
      <c r="RBX58" s="532"/>
      <c r="RBY58" s="532"/>
      <c r="RBZ58" s="532"/>
      <c r="RCA58" s="532"/>
      <c r="RCB58" s="532"/>
      <c r="RCC58" s="532"/>
      <c r="RCD58" s="532"/>
      <c r="RCE58" s="532"/>
      <c r="RCF58" s="532"/>
      <c r="RCG58" s="532"/>
      <c r="RCH58" s="532"/>
      <c r="RCI58" s="532"/>
      <c r="RCJ58" s="532"/>
      <c r="RCK58" s="532"/>
      <c r="RCL58" s="532"/>
      <c r="RCM58" s="532"/>
      <c r="RCN58" s="532"/>
      <c r="RCO58" s="532"/>
      <c r="RCP58" s="532"/>
      <c r="RCQ58" s="532"/>
      <c r="RCR58" s="532"/>
      <c r="RCS58" s="532"/>
      <c r="RCT58" s="532"/>
      <c r="RCU58" s="532"/>
      <c r="RCV58" s="532"/>
      <c r="RCW58" s="532"/>
      <c r="RCX58" s="532"/>
      <c r="RCY58" s="532"/>
      <c r="RCZ58" s="532"/>
      <c r="RDA58" s="532"/>
      <c r="RDB58" s="532"/>
      <c r="RDC58" s="532"/>
      <c r="RDD58" s="532"/>
      <c r="RDE58" s="532"/>
      <c r="RDF58" s="532"/>
      <c r="RDG58" s="532"/>
      <c r="RDH58" s="532"/>
      <c r="RDI58" s="532"/>
      <c r="RDJ58" s="532"/>
      <c r="RDK58" s="532"/>
      <c r="RDL58" s="532"/>
      <c r="RDM58" s="532"/>
      <c r="RDN58" s="532"/>
      <c r="RDO58" s="532"/>
      <c r="RDP58" s="532"/>
      <c r="RDQ58" s="532"/>
      <c r="RDR58" s="532"/>
      <c r="RDS58" s="532"/>
      <c r="RDT58" s="532"/>
      <c r="RDU58" s="532"/>
      <c r="RDV58" s="532"/>
      <c r="RDW58" s="532"/>
      <c r="RDX58" s="532"/>
      <c r="RDY58" s="532"/>
      <c r="RDZ58" s="532"/>
      <c r="REA58" s="532"/>
      <c r="REB58" s="532"/>
      <c r="REC58" s="532"/>
      <c r="RED58" s="532"/>
      <c r="REE58" s="532"/>
      <c r="REF58" s="532"/>
      <c r="REG58" s="532"/>
      <c r="REH58" s="532"/>
      <c r="REI58" s="532"/>
      <c r="REJ58" s="532"/>
      <c r="REK58" s="532"/>
      <c r="REL58" s="532"/>
      <c r="REM58" s="532"/>
      <c r="REN58" s="532"/>
      <c r="REO58" s="532"/>
      <c r="REP58" s="532"/>
      <c r="REQ58" s="532"/>
      <c r="RER58" s="532"/>
      <c r="RES58" s="532"/>
      <c r="RET58" s="532"/>
      <c r="REU58" s="532"/>
      <c r="REV58" s="532"/>
      <c r="REW58" s="532"/>
      <c r="REX58" s="532"/>
      <c r="REY58" s="532"/>
      <c r="REZ58" s="532"/>
      <c r="RFA58" s="532"/>
      <c r="RFB58" s="532"/>
      <c r="RFC58" s="532"/>
      <c r="RFD58" s="532"/>
      <c r="RFE58" s="532"/>
      <c r="RFF58" s="532"/>
      <c r="RFG58" s="532"/>
      <c r="RFH58" s="532"/>
      <c r="RFI58" s="532"/>
      <c r="RFJ58" s="532"/>
      <c r="RFK58" s="532"/>
      <c r="RFL58" s="532"/>
      <c r="RFM58" s="532"/>
      <c r="RFN58" s="532"/>
      <c r="RFO58" s="532"/>
      <c r="RFP58" s="532"/>
      <c r="RFQ58" s="532"/>
      <c r="RFR58" s="532"/>
      <c r="RFS58" s="532"/>
      <c r="RFT58" s="532"/>
      <c r="RFU58" s="532"/>
      <c r="RFV58" s="532"/>
      <c r="RFW58" s="532"/>
      <c r="RFX58" s="532"/>
      <c r="RFY58" s="532"/>
      <c r="RFZ58" s="532"/>
      <c r="RGA58" s="532"/>
      <c r="RGB58" s="532"/>
      <c r="RGC58" s="532"/>
      <c r="RGD58" s="532"/>
      <c r="RGE58" s="532"/>
      <c r="RGF58" s="532"/>
      <c r="RGG58" s="532"/>
      <c r="RGH58" s="532"/>
      <c r="RGI58" s="532"/>
      <c r="RGJ58" s="532"/>
      <c r="RGK58" s="532"/>
      <c r="RGL58" s="532"/>
      <c r="RGM58" s="532"/>
      <c r="RGN58" s="532"/>
      <c r="RGO58" s="532"/>
      <c r="RGP58" s="532"/>
      <c r="RGQ58" s="532"/>
      <c r="RGR58" s="532"/>
      <c r="RGS58" s="532"/>
      <c r="RGT58" s="532"/>
      <c r="RGU58" s="532"/>
      <c r="RGV58" s="532"/>
      <c r="RGW58" s="532"/>
      <c r="RGX58" s="532"/>
      <c r="RGY58" s="532"/>
      <c r="RGZ58" s="532"/>
      <c r="RHA58" s="532"/>
      <c r="RHB58" s="532"/>
      <c r="RHC58" s="532"/>
      <c r="RHD58" s="532"/>
      <c r="RHE58" s="532"/>
      <c r="RHF58" s="532"/>
      <c r="RHG58" s="532"/>
      <c r="RHH58" s="532"/>
      <c r="RHI58" s="532"/>
      <c r="RHJ58" s="532"/>
      <c r="RHK58" s="532"/>
      <c r="RHL58" s="532"/>
      <c r="RHM58" s="532"/>
      <c r="RHN58" s="532"/>
      <c r="RHO58" s="532"/>
      <c r="RHP58" s="532"/>
      <c r="RHQ58" s="532"/>
      <c r="RHR58" s="532"/>
      <c r="RHS58" s="532"/>
      <c r="RHT58" s="532"/>
      <c r="RHU58" s="532"/>
      <c r="RHV58" s="532"/>
      <c r="RHW58" s="532"/>
      <c r="RHX58" s="532"/>
      <c r="RHY58" s="532"/>
      <c r="RHZ58" s="532"/>
      <c r="RIA58" s="532"/>
      <c r="RIB58" s="532"/>
      <c r="RIC58" s="532"/>
      <c r="RID58" s="532"/>
      <c r="RIE58" s="532"/>
      <c r="RIF58" s="532"/>
      <c r="RIG58" s="532"/>
      <c r="RIH58" s="532"/>
      <c r="RII58" s="532"/>
      <c r="RIJ58" s="532"/>
      <c r="RIK58" s="532"/>
      <c r="RIL58" s="532"/>
      <c r="RIM58" s="532"/>
      <c r="RIN58" s="532"/>
      <c r="RIO58" s="532"/>
      <c r="RIP58" s="532"/>
      <c r="RIQ58" s="532"/>
      <c r="RIR58" s="532"/>
      <c r="RIS58" s="532"/>
      <c r="RIT58" s="532"/>
      <c r="RIU58" s="532"/>
      <c r="RIV58" s="532"/>
      <c r="RIW58" s="532"/>
      <c r="RIX58" s="532"/>
      <c r="RIY58" s="532"/>
      <c r="RIZ58" s="532"/>
      <c r="RJA58" s="532"/>
      <c r="RJB58" s="532"/>
      <c r="RJC58" s="532"/>
      <c r="RJD58" s="532"/>
      <c r="RJE58" s="532"/>
      <c r="RJF58" s="532"/>
      <c r="RJG58" s="532"/>
      <c r="RJH58" s="532"/>
      <c r="RJI58" s="532"/>
      <c r="RJJ58" s="532"/>
      <c r="RJK58" s="532"/>
      <c r="RJL58" s="532"/>
      <c r="RJM58" s="532"/>
      <c r="RJN58" s="532"/>
      <c r="RJO58" s="532"/>
      <c r="RJP58" s="532"/>
      <c r="RJQ58" s="532"/>
      <c r="RJR58" s="532"/>
      <c r="RJS58" s="532"/>
      <c r="RJT58" s="532"/>
      <c r="RJU58" s="532"/>
      <c r="RJV58" s="532"/>
      <c r="RJW58" s="532"/>
      <c r="RJX58" s="532"/>
      <c r="RJY58" s="532"/>
      <c r="RJZ58" s="532"/>
      <c r="RKA58" s="532"/>
      <c r="RKB58" s="532"/>
      <c r="RKC58" s="532"/>
      <c r="RKD58" s="532"/>
      <c r="RKE58" s="532"/>
      <c r="RKF58" s="532"/>
      <c r="RKG58" s="532"/>
      <c r="RKH58" s="532"/>
      <c r="RKI58" s="532"/>
      <c r="RKJ58" s="532"/>
      <c r="RKK58" s="532"/>
      <c r="RKL58" s="532"/>
      <c r="RKM58" s="532"/>
      <c r="RKN58" s="532"/>
      <c r="RKO58" s="532"/>
      <c r="RKP58" s="532"/>
      <c r="RKQ58" s="532"/>
      <c r="RKR58" s="532"/>
      <c r="RKS58" s="532"/>
      <c r="RKT58" s="532"/>
      <c r="RKU58" s="532"/>
      <c r="RKV58" s="532"/>
      <c r="RKW58" s="532"/>
      <c r="RKX58" s="532"/>
      <c r="RKY58" s="532"/>
      <c r="RKZ58" s="532"/>
      <c r="RLA58" s="532"/>
      <c r="RLB58" s="532"/>
      <c r="RLC58" s="532"/>
      <c r="RLD58" s="532"/>
      <c r="RLE58" s="532"/>
      <c r="RLF58" s="532"/>
      <c r="RLG58" s="532"/>
      <c r="RLH58" s="532"/>
      <c r="RLI58" s="532"/>
      <c r="RLJ58" s="532"/>
      <c r="RLK58" s="532"/>
      <c r="RLL58" s="532"/>
      <c r="RLM58" s="532"/>
      <c r="RLN58" s="532"/>
      <c r="RLO58" s="532"/>
      <c r="RLP58" s="532"/>
      <c r="RLQ58" s="532"/>
      <c r="RLR58" s="532"/>
      <c r="RLS58" s="532"/>
      <c r="RLT58" s="532"/>
      <c r="RLU58" s="532"/>
      <c r="RLV58" s="532"/>
      <c r="RLW58" s="532"/>
      <c r="RLX58" s="532"/>
      <c r="RLY58" s="532"/>
      <c r="RLZ58" s="532"/>
      <c r="RMA58" s="532"/>
      <c r="RMB58" s="532"/>
      <c r="RMC58" s="532"/>
      <c r="RMD58" s="532"/>
      <c r="RME58" s="532"/>
      <c r="RMF58" s="532"/>
      <c r="RMG58" s="532"/>
      <c r="RMH58" s="532"/>
      <c r="RMI58" s="532"/>
      <c r="RMJ58" s="532"/>
      <c r="RMK58" s="532"/>
      <c r="RML58" s="532"/>
      <c r="RMM58" s="532"/>
      <c r="RMN58" s="532"/>
      <c r="RMO58" s="532"/>
      <c r="RMP58" s="532"/>
      <c r="RMQ58" s="532"/>
      <c r="RMR58" s="532"/>
      <c r="RMS58" s="532"/>
      <c r="RMT58" s="532"/>
      <c r="RMU58" s="532"/>
      <c r="RMV58" s="532"/>
      <c r="RMW58" s="532"/>
      <c r="RMX58" s="532"/>
      <c r="RMY58" s="532"/>
      <c r="RMZ58" s="532"/>
      <c r="RNA58" s="532"/>
      <c r="RNB58" s="532"/>
      <c r="RNC58" s="532"/>
      <c r="RND58" s="532"/>
      <c r="RNE58" s="532"/>
      <c r="RNF58" s="532"/>
      <c r="RNG58" s="532"/>
      <c r="RNH58" s="532"/>
      <c r="RNI58" s="532"/>
      <c r="RNJ58" s="532"/>
      <c r="RNK58" s="532"/>
      <c r="RNL58" s="532"/>
      <c r="RNM58" s="532"/>
      <c r="RNN58" s="532"/>
      <c r="RNO58" s="532"/>
      <c r="RNP58" s="532"/>
      <c r="RNQ58" s="532"/>
      <c r="RNR58" s="532"/>
      <c r="RNS58" s="532"/>
      <c r="RNT58" s="532"/>
      <c r="RNU58" s="532"/>
      <c r="RNV58" s="532"/>
      <c r="RNW58" s="532"/>
      <c r="RNX58" s="532"/>
      <c r="RNY58" s="532"/>
      <c r="RNZ58" s="532"/>
      <c r="ROA58" s="532"/>
      <c r="ROB58" s="532"/>
      <c r="ROC58" s="532"/>
      <c r="ROD58" s="532"/>
      <c r="ROE58" s="532"/>
      <c r="ROF58" s="532"/>
      <c r="ROG58" s="532"/>
      <c r="ROH58" s="532"/>
      <c r="ROI58" s="532"/>
      <c r="ROJ58" s="532"/>
      <c r="ROK58" s="532"/>
      <c r="ROL58" s="532"/>
      <c r="ROM58" s="532"/>
      <c r="RON58" s="532"/>
      <c r="ROO58" s="532"/>
      <c r="ROP58" s="532"/>
      <c r="ROQ58" s="532"/>
      <c r="ROR58" s="532"/>
      <c r="ROS58" s="532"/>
      <c r="ROT58" s="532"/>
      <c r="ROU58" s="532"/>
      <c r="ROV58" s="532"/>
      <c r="ROW58" s="532"/>
      <c r="ROX58" s="532"/>
      <c r="ROY58" s="532"/>
      <c r="ROZ58" s="532"/>
      <c r="RPA58" s="532"/>
      <c r="RPB58" s="532"/>
      <c r="RPC58" s="532"/>
      <c r="RPD58" s="532"/>
      <c r="RPE58" s="532"/>
      <c r="RPF58" s="532"/>
      <c r="RPG58" s="532"/>
      <c r="RPH58" s="532"/>
      <c r="RPI58" s="532"/>
      <c r="RPJ58" s="532"/>
      <c r="RPK58" s="532"/>
      <c r="RPL58" s="532"/>
      <c r="RPM58" s="532"/>
      <c r="RPN58" s="532"/>
      <c r="RPO58" s="532"/>
      <c r="RPP58" s="532"/>
      <c r="RPQ58" s="532"/>
      <c r="RPR58" s="532"/>
      <c r="RPS58" s="532"/>
      <c r="RPT58" s="532"/>
      <c r="RPU58" s="532"/>
      <c r="RPV58" s="532"/>
      <c r="RPW58" s="532"/>
      <c r="RPX58" s="532"/>
      <c r="RPY58" s="532"/>
      <c r="RPZ58" s="532"/>
      <c r="RQA58" s="532"/>
      <c r="RQB58" s="532"/>
      <c r="RQC58" s="532"/>
      <c r="RQD58" s="532"/>
      <c r="RQE58" s="532"/>
      <c r="RQF58" s="532"/>
      <c r="RQG58" s="532"/>
      <c r="RQH58" s="532"/>
      <c r="RQI58" s="532"/>
      <c r="RQJ58" s="532"/>
      <c r="RQK58" s="532"/>
      <c r="RQL58" s="532"/>
      <c r="RQM58" s="532"/>
      <c r="RQN58" s="532"/>
      <c r="RQO58" s="532"/>
      <c r="RQP58" s="532"/>
      <c r="RQQ58" s="532"/>
      <c r="RQR58" s="532"/>
      <c r="RQS58" s="532"/>
      <c r="RQT58" s="532"/>
      <c r="RQU58" s="532"/>
      <c r="RQV58" s="532"/>
      <c r="RQW58" s="532"/>
      <c r="RQX58" s="532"/>
      <c r="RQY58" s="532"/>
      <c r="RQZ58" s="532"/>
      <c r="RRA58" s="532"/>
      <c r="RRB58" s="532"/>
      <c r="RRC58" s="532"/>
      <c r="RRD58" s="532"/>
      <c r="RRE58" s="532"/>
      <c r="RRF58" s="532"/>
      <c r="RRG58" s="532"/>
      <c r="RRH58" s="532"/>
      <c r="RRI58" s="532"/>
      <c r="RRJ58" s="532"/>
      <c r="RRK58" s="532"/>
      <c r="RRL58" s="532"/>
      <c r="RRM58" s="532"/>
      <c r="RRN58" s="532"/>
      <c r="RRO58" s="532"/>
      <c r="RRP58" s="532"/>
      <c r="RRQ58" s="532"/>
      <c r="RRR58" s="532"/>
      <c r="RRS58" s="532"/>
      <c r="RRT58" s="532"/>
      <c r="RRU58" s="532"/>
      <c r="RRV58" s="532"/>
      <c r="RRW58" s="532"/>
      <c r="RRX58" s="532"/>
      <c r="RRY58" s="532"/>
      <c r="RRZ58" s="532"/>
      <c r="RSA58" s="532"/>
      <c r="RSB58" s="532"/>
      <c r="RSC58" s="532"/>
      <c r="RSD58" s="532"/>
      <c r="RSE58" s="532"/>
      <c r="RSF58" s="532"/>
      <c r="RSG58" s="532"/>
      <c r="RSH58" s="532"/>
      <c r="RSI58" s="532"/>
      <c r="RSJ58" s="532"/>
      <c r="RSK58" s="532"/>
      <c r="RSL58" s="532"/>
      <c r="RSM58" s="532"/>
      <c r="RSN58" s="532"/>
      <c r="RSO58" s="532"/>
      <c r="RSP58" s="532"/>
      <c r="RSQ58" s="532"/>
      <c r="RSR58" s="532"/>
      <c r="RSS58" s="532"/>
      <c r="RST58" s="532"/>
      <c r="RSU58" s="532"/>
      <c r="RSV58" s="532"/>
      <c r="RSW58" s="532"/>
      <c r="RSX58" s="532"/>
      <c r="RSY58" s="532"/>
      <c r="RSZ58" s="532"/>
      <c r="RTA58" s="532"/>
      <c r="RTB58" s="532"/>
      <c r="RTC58" s="532"/>
      <c r="RTD58" s="532"/>
      <c r="RTE58" s="532"/>
      <c r="RTF58" s="532"/>
      <c r="RTG58" s="532"/>
      <c r="RTH58" s="532"/>
      <c r="RTI58" s="532"/>
      <c r="RTJ58" s="532"/>
      <c r="RTK58" s="532"/>
      <c r="RTL58" s="532"/>
      <c r="RTM58" s="532"/>
      <c r="RTN58" s="532"/>
      <c r="RTO58" s="532"/>
      <c r="RTP58" s="532"/>
      <c r="RTQ58" s="532"/>
      <c r="RTR58" s="532"/>
      <c r="RTS58" s="532"/>
      <c r="RTT58" s="532"/>
      <c r="RTU58" s="532"/>
      <c r="RTV58" s="532"/>
      <c r="RTW58" s="532"/>
      <c r="RTX58" s="532"/>
      <c r="RTY58" s="532"/>
      <c r="RTZ58" s="532"/>
      <c r="RUA58" s="532"/>
      <c r="RUB58" s="532"/>
      <c r="RUC58" s="532"/>
      <c r="RUD58" s="532"/>
      <c r="RUE58" s="532"/>
      <c r="RUF58" s="532"/>
      <c r="RUG58" s="532"/>
      <c r="RUH58" s="532"/>
      <c r="RUI58" s="532"/>
      <c r="RUJ58" s="532"/>
      <c r="RUK58" s="532"/>
      <c r="RUL58" s="532"/>
      <c r="RUM58" s="532"/>
      <c r="RUN58" s="532"/>
      <c r="RUO58" s="532"/>
      <c r="RUP58" s="532"/>
      <c r="RUQ58" s="532"/>
      <c r="RUR58" s="532"/>
      <c r="RUS58" s="532"/>
      <c r="RUT58" s="532"/>
      <c r="RUU58" s="532"/>
      <c r="RUV58" s="532"/>
      <c r="RUW58" s="532"/>
      <c r="RUX58" s="532"/>
      <c r="RUY58" s="532"/>
      <c r="RUZ58" s="532"/>
      <c r="RVA58" s="532"/>
      <c r="RVB58" s="532"/>
      <c r="RVC58" s="532"/>
      <c r="RVD58" s="532"/>
      <c r="RVE58" s="532"/>
      <c r="RVF58" s="532"/>
      <c r="RVG58" s="532"/>
      <c r="RVH58" s="532"/>
      <c r="RVI58" s="532"/>
      <c r="RVJ58" s="532"/>
      <c r="RVK58" s="532"/>
      <c r="RVL58" s="532"/>
      <c r="RVM58" s="532"/>
      <c r="RVN58" s="532"/>
      <c r="RVO58" s="532"/>
      <c r="RVP58" s="532"/>
      <c r="RVQ58" s="532"/>
      <c r="RVR58" s="532"/>
      <c r="RVS58" s="532"/>
      <c r="RVT58" s="532"/>
      <c r="RVU58" s="532"/>
      <c r="RVV58" s="532"/>
      <c r="RVW58" s="532"/>
      <c r="RVX58" s="532"/>
      <c r="RVY58" s="532"/>
      <c r="RVZ58" s="532"/>
      <c r="RWA58" s="532"/>
      <c r="RWB58" s="532"/>
      <c r="RWC58" s="532"/>
      <c r="RWD58" s="532"/>
      <c r="RWE58" s="532"/>
      <c r="RWF58" s="532"/>
      <c r="RWG58" s="532"/>
      <c r="RWH58" s="532"/>
      <c r="RWI58" s="532"/>
      <c r="RWJ58" s="532"/>
      <c r="RWK58" s="532"/>
      <c r="RWL58" s="532"/>
      <c r="RWM58" s="532"/>
      <c r="RWN58" s="532"/>
      <c r="RWO58" s="532"/>
      <c r="RWP58" s="532"/>
      <c r="RWQ58" s="532"/>
      <c r="RWR58" s="532"/>
      <c r="RWS58" s="532"/>
      <c r="RWT58" s="532"/>
      <c r="RWU58" s="532"/>
      <c r="RWV58" s="532"/>
      <c r="RWW58" s="532"/>
      <c r="RWX58" s="532"/>
      <c r="RWY58" s="532"/>
      <c r="RWZ58" s="532"/>
      <c r="RXA58" s="532"/>
      <c r="RXB58" s="532"/>
      <c r="RXC58" s="532"/>
      <c r="RXD58" s="532"/>
      <c r="RXE58" s="532"/>
      <c r="RXF58" s="532"/>
      <c r="RXG58" s="532"/>
      <c r="RXH58" s="532"/>
      <c r="RXI58" s="532"/>
      <c r="RXJ58" s="532"/>
      <c r="RXK58" s="532"/>
      <c r="RXL58" s="532"/>
      <c r="RXM58" s="532"/>
      <c r="RXN58" s="532"/>
      <c r="RXO58" s="532"/>
      <c r="RXP58" s="532"/>
      <c r="RXQ58" s="532"/>
      <c r="RXR58" s="532"/>
      <c r="RXS58" s="532"/>
      <c r="RXT58" s="532"/>
      <c r="RXU58" s="532"/>
      <c r="RXV58" s="532"/>
      <c r="RXW58" s="532"/>
      <c r="RXX58" s="532"/>
      <c r="RXY58" s="532"/>
      <c r="RXZ58" s="532"/>
      <c r="RYA58" s="532"/>
      <c r="RYB58" s="532"/>
      <c r="RYC58" s="532"/>
      <c r="RYD58" s="532"/>
      <c r="RYE58" s="532"/>
      <c r="RYF58" s="532"/>
      <c r="RYG58" s="532"/>
      <c r="RYH58" s="532"/>
      <c r="RYI58" s="532"/>
      <c r="RYJ58" s="532"/>
      <c r="RYK58" s="532"/>
      <c r="RYL58" s="532"/>
      <c r="RYM58" s="532"/>
      <c r="RYN58" s="532"/>
      <c r="RYO58" s="532"/>
      <c r="RYP58" s="532"/>
      <c r="RYQ58" s="532"/>
      <c r="RYR58" s="532"/>
      <c r="RYS58" s="532"/>
      <c r="RYT58" s="532"/>
      <c r="RYU58" s="532"/>
      <c r="RYV58" s="532"/>
      <c r="RYW58" s="532"/>
      <c r="RYX58" s="532"/>
      <c r="RYY58" s="532"/>
      <c r="RYZ58" s="532"/>
      <c r="RZA58" s="532"/>
      <c r="RZB58" s="532"/>
      <c r="RZC58" s="532"/>
      <c r="RZD58" s="532"/>
      <c r="RZE58" s="532"/>
      <c r="RZF58" s="532"/>
      <c r="RZG58" s="532"/>
      <c r="RZH58" s="532"/>
      <c r="RZI58" s="532"/>
      <c r="RZJ58" s="532"/>
      <c r="RZK58" s="532"/>
      <c r="RZL58" s="532"/>
      <c r="RZM58" s="532"/>
      <c r="RZN58" s="532"/>
      <c r="RZO58" s="532"/>
      <c r="RZP58" s="532"/>
      <c r="RZQ58" s="532"/>
      <c r="RZR58" s="532"/>
      <c r="RZS58" s="532"/>
      <c r="RZT58" s="532"/>
      <c r="RZU58" s="532"/>
      <c r="RZV58" s="532"/>
      <c r="RZW58" s="532"/>
      <c r="RZX58" s="532"/>
      <c r="RZY58" s="532"/>
      <c r="RZZ58" s="532"/>
      <c r="SAA58" s="532"/>
      <c r="SAB58" s="532"/>
      <c r="SAC58" s="532"/>
      <c r="SAD58" s="532"/>
      <c r="SAE58" s="532"/>
      <c r="SAF58" s="532"/>
      <c r="SAG58" s="532"/>
      <c r="SAH58" s="532"/>
      <c r="SAI58" s="532"/>
      <c r="SAJ58" s="532"/>
      <c r="SAK58" s="532"/>
      <c r="SAL58" s="532"/>
      <c r="SAM58" s="532"/>
      <c r="SAN58" s="532"/>
      <c r="SAO58" s="532"/>
      <c r="SAP58" s="532"/>
      <c r="SAQ58" s="532"/>
      <c r="SAR58" s="532"/>
      <c r="SAS58" s="532"/>
      <c r="SAT58" s="532"/>
      <c r="SAU58" s="532"/>
      <c r="SAV58" s="532"/>
      <c r="SAW58" s="532"/>
      <c r="SAX58" s="532"/>
      <c r="SAY58" s="532"/>
      <c r="SAZ58" s="532"/>
      <c r="SBA58" s="532"/>
      <c r="SBB58" s="532"/>
      <c r="SBC58" s="532"/>
      <c r="SBD58" s="532"/>
      <c r="SBE58" s="532"/>
      <c r="SBF58" s="532"/>
      <c r="SBG58" s="532"/>
      <c r="SBH58" s="532"/>
      <c r="SBI58" s="532"/>
      <c r="SBJ58" s="532"/>
      <c r="SBK58" s="532"/>
      <c r="SBL58" s="532"/>
      <c r="SBM58" s="532"/>
      <c r="SBN58" s="532"/>
      <c r="SBO58" s="532"/>
      <c r="SBP58" s="532"/>
      <c r="SBQ58" s="532"/>
      <c r="SBR58" s="532"/>
      <c r="SBS58" s="532"/>
      <c r="SBT58" s="532"/>
      <c r="SBU58" s="532"/>
      <c r="SBV58" s="532"/>
      <c r="SBW58" s="532"/>
      <c r="SBX58" s="532"/>
      <c r="SBY58" s="532"/>
      <c r="SBZ58" s="532"/>
      <c r="SCA58" s="532"/>
      <c r="SCB58" s="532"/>
      <c r="SCC58" s="532"/>
      <c r="SCD58" s="532"/>
      <c r="SCE58" s="532"/>
      <c r="SCF58" s="532"/>
      <c r="SCG58" s="532"/>
      <c r="SCH58" s="532"/>
      <c r="SCI58" s="532"/>
      <c r="SCJ58" s="532"/>
      <c r="SCK58" s="532"/>
      <c r="SCL58" s="532"/>
      <c r="SCM58" s="532"/>
      <c r="SCN58" s="532"/>
      <c r="SCO58" s="532"/>
      <c r="SCP58" s="532"/>
      <c r="SCQ58" s="532"/>
      <c r="SCR58" s="532"/>
      <c r="SCS58" s="532"/>
      <c r="SCT58" s="532"/>
      <c r="SCU58" s="532"/>
      <c r="SCV58" s="532"/>
      <c r="SCW58" s="532"/>
      <c r="SCX58" s="532"/>
      <c r="SCY58" s="532"/>
      <c r="SCZ58" s="532"/>
      <c r="SDA58" s="532"/>
      <c r="SDB58" s="532"/>
      <c r="SDC58" s="532"/>
      <c r="SDD58" s="532"/>
      <c r="SDE58" s="532"/>
      <c r="SDF58" s="532"/>
      <c r="SDG58" s="532"/>
      <c r="SDH58" s="532"/>
      <c r="SDI58" s="532"/>
      <c r="SDJ58" s="532"/>
      <c r="SDK58" s="532"/>
      <c r="SDL58" s="532"/>
      <c r="SDM58" s="532"/>
      <c r="SDN58" s="532"/>
      <c r="SDO58" s="532"/>
      <c r="SDP58" s="532"/>
      <c r="SDQ58" s="532"/>
      <c r="SDR58" s="532"/>
      <c r="SDS58" s="532"/>
      <c r="SDT58" s="532"/>
      <c r="SDU58" s="532"/>
      <c r="SDV58" s="532"/>
      <c r="SDW58" s="532"/>
      <c r="SDX58" s="532"/>
      <c r="SDY58" s="532"/>
      <c r="SDZ58" s="532"/>
      <c r="SEA58" s="532"/>
      <c r="SEB58" s="532"/>
      <c r="SEC58" s="532"/>
      <c r="SED58" s="532"/>
      <c r="SEE58" s="532"/>
      <c r="SEF58" s="532"/>
      <c r="SEG58" s="532"/>
      <c r="SEH58" s="532"/>
      <c r="SEI58" s="532"/>
      <c r="SEJ58" s="532"/>
      <c r="SEK58" s="532"/>
      <c r="SEL58" s="532"/>
      <c r="SEM58" s="532"/>
      <c r="SEN58" s="532"/>
      <c r="SEO58" s="532"/>
      <c r="SEP58" s="532"/>
      <c r="SEQ58" s="532"/>
      <c r="SER58" s="532"/>
      <c r="SES58" s="532"/>
      <c r="SET58" s="532"/>
      <c r="SEU58" s="532"/>
      <c r="SEV58" s="532"/>
      <c r="SEW58" s="532"/>
      <c r="SEX58" s="532"/>
      <c r="SEY58" s="532"/>
      <c r="SEZ58" s="532"/>
      <c r="SFA58" s="532"/>
      <c r="SFB58" s="532"/>
      <c r="SFC58" s="532"/>
      <c r="SFD58" s="532"/>
      <c r="SFE58" s="532"/>
      <c r="SFF58" s="532"/>
      <c r="SFG58" s="532"/>
      <c r="SFH58" s="532"/>
      <c r="SFI58" s="532"/>
      <c r="SFJ58" s="532"/>
      <c r="SFK58" s="532"/>
      <c r="SFL58" s="532"/>
      <c r="SFM58" s="532"/>
      <c r="SFN58" s="532"/>
      <c r="SFO58" s="532"/>
      <c r="SFP58" s="532"/>
      <c r="SFQ58" s="532"/>
      <c r="SFR58" s="532"/>
      <c r="SFS58" s="532"/>
      <c r="SFT58" s="532"/>
      <c r="SFU58" s="532"/>
      <c r="SFV58" s="532"/>
      <c r="SFW58" s="532"/>
      <c r="SFX58" s="532"/>
      <c r="SFY58" s="532"/>
      <c r="SFZ58" s="532"/>
      <c r="SGA58" s="532"/>
      <c r="SGB58" s="532"/>
      <c r="SGC58" s="532"/>
      <c r="SGD58" s="532"/>
      <c r="SGE58" s="532"/>
      <c r="SGF58" s="532"/>
      <c r="SGG58" s="532"/>
      <c r="SGH58" s="532"/>
      <c r="SGI58" s="532"/>
      <c r="SGJ58" s="532"/>
      <c r="SGK58" s="532"/>
      <c r="SGL58" s="532"/>
      <c r="SGM58" s="532"/>
      <c r="SGN58" s="532"/>
      <c r="SGO58" s="532"/>
      <c r="SGP58" s="532"/>
      <c r="SGQ58" s="532"/>
      <c r="SGR58" s="532"/>
      <c r="SGS58" s="532"/>
      <c r="SGT58" s="532"/>
      <c r="SGU58" s="532"/>
      <c r="SGV58" s="532"/>
      <c r="SGW58" s="532"/>
      <c r="SGX58" s="532"/>
      <c r="SGY58" s="532"/>
      <c r="SGZ58" s="532"/>
      <c r="SHA58" s="532"/>
      <c r="SHB58" s="532"/>
      <c r="SHC58" s="532"/>
      <c r="SHD58" s="532"/>
      <c r="SHE58" s="532"/>
      <c r="SHF58" s="532"/>
      <c r="SHG58" s="532"/>
      <c r="SHH58" s="532"/>
      <c r="SHI58" s="532"/>
      <c r="SHJ58" s="532"/>
      <c r="SHK58" s="532"/>
      <c r="SHL58" s="532"/>
      <c r="SHM58" s="532"/>
      <c r="SHN58" s="532"/>
      <c r="SHO58" s="532"/>
      <c r="SHP58" s="532"/>
      <c r="SHQ58" s="532"/>
      <c r="SHR58" s="532"/>
      <c r="SHS58" s="532"/>
      <c r="SHT58" s="532"/>
      <c r="SHU58" s="532"/>
      <c r="SHV58" s="532"/>
      <c r="SHW58" s="532"/>
      <c r="SHX58" s="532"/>
      <c r="SHY58" s="532"/>
      <c r="SHZ58" s="532"/>
      <c r="SIA58" s="532"/>
      <c r="SIB58" s="532"/>
      <c r="SIC58" s="532"/>
      <c r="SID58" s="532"/>
      <c r="SIE58" s="532"/>
      <c r="SIF58" s="532"/>
      <c r="SIG58" s="532"/>
      <c r="SIH58" s="532"/>
      <c r="SII58" s="532"/>
      <c r="SIJ58" s="532"/>
      <c r="SIK58" s="532"/>
      <c r="SIL58" s="532"/>
      <c r="SIM58" s="532"/>
      <c r="SIN58" s="532"/>
      <c r="SIO58" s="532"/>
      <c r="SIP58" s="532"/>
      <c r="SIQ58" s="532"/>
      <c r="SIR58" s="532"/>
      <c r="SIS58" s="532"/>
      <c r="SIT58" s="532"/>
      <c r="SIU58" s="532"/>
      <c r="SIV58" s="532"/>
      <c r="SIW58" s="532"/>
      <c r="SIX58" s="532"/>
      <c r="SIY58" s="532"/>
      <c r="SIZ58" s="532"/>
      <c r="SJA58" s="532"/>
      <c r="SJB58" s="532"/>
      <c r="SJC58" s="532"/>
      <c r="SJD58" s="532"/>
      <c r="SJE58" s="532"/>
      <c r="SJF58" s="532"/>
      <c r="SJG58" s="532"/>
      <c r="SJH58" s="532"/>
      <c r="SJI58" s="532"/>
      <c r="SJJ58" s="532"/>
      <c r="SJK58" s="532"/>
      <c r="SJL58" s="532"/>
      <c r="SJM58" s="532"/>
      <c r="SJN58" s="532"/>
      <c r="SJO58" s="532"/>
      <c r="SJP58" s="532"/>
      <c r="SJQ58" s="532"/>
      <c r="SJR58" s="532"/>
      <c r="SJS58" s="532"/>
      <c r="SJT58" s="532"/>
      <c r="SJU58" s="532"/>
      <c r="SJV58" s="532"/>
      <c r="SJW58" s="532"/>
      <c r="SJX58" s="532"/>
      <c r="SJY58" s="532"/>
      <c r="SJZ58" s="532"/>
      <c r="SKA58" s="532"/>
      <c r="SKB58" s="532"/>
      <c r="SKC58" s="532"/>
      <c r="SKD58" s="532"/>
      <c r="SKE58" s="532"/>
      <c r="SKF58" s="532"/>
      <c r="SKG58" s="532"/>
      <c r="SKH58" s="532"/>
      <c r="SKI58" s="532"/>
      <c r="SKJ58" s="532"/>
      <c r="SKK58" s="532"/>
      <c r="SKL58" s="532"/>
      <c r="SKM58" s="532"/>
      <c r="SKN58" s="532"/>
      <c r="SKO58" s="532"/>
      <c r="SKP58" s="532"/>
      <c r="SKQ58" s="532"/>
      <c r="SKR58" s="532"/>
      <c r="SKS58" s="532"/>
      <c r="SKT58" s="532"/>
      <c r="SKU58" s="532"/>
      <c r="SKV58" s="532"/>
      <c r="SKW58" s="532"/>
      <c r="SKX58" s="532"/>
      <c r="SKY58" s="532"/>
      <c r="SKZ58" s="532"/>
      <c r="SLA58" s="532"/>
      <c r="SLB58" s="532"/>
      <c r="SLC58" s="532"/>
      <c r="SLD58" s="532"/>
      <c r="SLE58" s="532"/>
      <c r="SLF58" s="532"/>
      <c r="SLG58" s="532"/>
      <c r="SLH58" s="532"/>
      <c r="SLI58" s="532"/>
      <c r="SLJ58" s="532"/>
      <c r="SLK58" s="532"/>
      <c r="SLL58" s="532"/>
      <c r="SLM58" s="532"/>
      <c r="SLN58" s="532"/>
      <c r="SLO58" s="532"/>
      <c r="SLP58" s="532"/>
      <c r="SLQ58" s="532"/>
      <c r="SLR58" s="532"/>
      <c r="SLS58" s="532"/>
      <c r="SLT58" s="532"/>
      <c r="SLU58" s="532"/>
      <c r="SLV58" s="532"/>
      <c r="SLW58" s="532"/>
      <c r="SLX58" s="532"/>
      <c r="SLY58" s="532"/>
      <c r="SLZ58" s="532"/>
      <c r="SMA58" s="532"/>
      <c r="SMB58" s="532"/>
      <c r="SMC58" s="532"/>
      <c r="SMD58" s="532"/>
      <c r="SME58" s="532"/>
      <c r="SMF58" s="532"/>
      <c r="SMG58" s="532"/>
      <c r="SMH58" s="532"/>
      <c r="SMI58" s="532"/>
      <c r="SMJ58" s="532"/>
      <c r="SMK58" s="532"/>
      <c r="SML58" s="532"/>
      <c r="SMM58" s="532"/>
      <c r="SMN58" s="532"/>
      <c r="SMO58" s="532"/>
      <c r="SMP58" s="532"/>
      <c r="SMQ58" s="532"/>
      <c r="SMR58" s="532"/>
      <c r="SMS58" s="532"/>
      <c r="SMT58" s="532"/>
      <c r="SMU58" s="532"/>
      <c r="SMV58" s="532"/>
      <c r="SMW58" s="532"/>
      <c r="SMX58" s="532"/>
      <c r="SMY58" s="532"/>
      <c r="SMZ58" s="532"/>
      <c r="SNA58" s="532"/>
      <c r="SNB58" s="532"/>
      <c r="SNC58" s="532"/>
      <c r="SND58" s="532"/>
      <c r="SNE58" s="532"/>
      <c r="SNF58" s="532"/>
      <c r="SNG58" s="532"/>
      <c r="SNH58" s="532"/>
      <c r="SNI58" s="532"/>
      <c r="SNJ58" s="532"/>
      <c r="SNK58" s="532"/>
      <c r="SNL58" s="532"/>
      <c r="SNM58" s="532"/>
      <c r="SNN58" s="532"/>
      <c r="SNO58" s="532"/>
      <c r="SNP58" s="532"/>
      <c r="SNQ58" s="532"/>
      <c r="SNR58" s="532"/>
      <c r="SNS58" s="532"/>
      <c r="SNT58" s="532"/>
      <c r="SNU58" s="532"/>
      <c r="SNV58" s="532"/>
      <c r="SNW58" s="532"/>
      <c r="SNX58" s="532"/>
      <c r="SNY58" s="532"/>
      <c r="SNZ58" s="532"/>
      <c r="SOA58" s="532"/>
      <c r="SOB58" s="532"/>
      <c r="SOC58" s="532"/>
      <c r="SOD58" s="532"/>
      <c r="SOE58" s="532"/>
      <c r="SOF58" s="532"/>
      <c r="SOG58" s="532"/>
      <c r="SOH58" s="532"/>
      <c r="SOI58" s="532"/>
      <c r="SOJ58" s="532"/>
      <c r="SOK58" s="532"/>
      <c r="SOL58" s="532"/>
      <c r="SOM58" s="532"/>
      <c r="SON58" s="532"/>
      <c r="SOO58" s="532"/>
      <c r="SOP58" s="532"/>
      <c r="SOQ58" s="532"/>
      <c r="SOR58" s="532"/>
      <c r="SOS58" s="532"/>
      <c r="SOT58" s="532"/>
      <c r="SOU58" s="532"/>
      <c r="SOV58" s="532"/>
      <c r="SOW58" s="532"/>
      <c r="SOX58" s="532"/>
      <c r="SOY58" s="532"/>
      <c r="SOZ58" s="532"/>
      <c r="SPA58" s="532"/>
      <c r="SPB58" s="532"/>
      <c r="SPC58" s="532"/>
      <c r="SPD58" s="532"/>
      <c r="SPE58" s="532"/>
      <c r="SPF58" s="532"/>
      <c r="SPG58" s="532"/>
      <c r="SPH58" s="532"/>
      <c r="SPI58" s="532"/>
      <c r="SPJ58" s="532"/>
      <c r="SPK58" s="532"/>
      <c r="SPL58" s="532"/>
      <c r="SPM58" s="532"/>
      <c r="SPN58" s="532"/>
      <c r="SPO58" s="532"/>
      <c r="SPP58" s="532"/>
      <c r="SPQ58" s="532"/>
      <c r="SPR58" s="532"/>
      <c r="SPS58" s="532"/>
      <c r="SPT58" s="532"/>
      <c r="SPU58" s="532"/>
      <c r="SPV58" s="532"/>
      <c r="SPW58" s="532"/>
      <c r="SPX58" s="532"/>
      <c r="SPY58" s="532"/>
      <c r="SPZ58" s="532"/>
      <c r="SQA58" s="532"/>
      <c r="SQB58" s="532"/>
      <c r="SQC58" s="532"/>
      <c r="SQD58" s="532"/>
      <c r="SQE58" s="532"/>
      <c r="SQF58" s="532"/>
      <c r="SQG58" s="532"/>
      <c r="SQH58" s="532"/>
      <c r="SQI58" s="532"/>
      <c r="SQJ58" s="532"/>
      <c r="SQK58" s="532"/>
      <c r="SQL58" s="532"/>
      <c r="SQM58" s="532"/>
      <c r="SQN58" s="532"/>
      <c r="SQO58" s="532"/>
      <c r="SQP58" s="532"/>
      <c r="SQQ58" s="532"/>
      <c r="SQR58" s="532"/>
      <c r="SQS58" s="532"/>
      <c r="SQT58" s="532"/>
      <c r="SQU58" s="532"/>
      <c r="SQV58" s="532"/>
      <c r="SQW58" s="532"/>
      <c r="SQX58" s="532"/>
      <c r="SQY58" s="532"/>
      <c r="SQZ58" s="532"/>
      <c r="SRA58" s="532"/>
      <c r="SRB58" s="532"/>
      <c r="SRC58" s="532"/>
      <c r="SRD58" s="532"/>
      <c r="SRE58" s="532"/>
      <c r="SRF58" s="532"/>
      <c r="SRG58" s="532"/>
      <c r="SRH58" s="532"/>
      <c r="SRI58" s="532"/>
      <c r="SRJ58" s="532"/>
      <c r="SRK58" s="532"/>
      <c r="SRL58" s="532"/>
      <c r="SRM58" s="532"/>
      <c r="SRN58" s="532"/>
      <c r="SRO58" s="532"/>
      <c r="SRP58" s="532"/>
      <c r="SRQ58" s="532"/>
      <c r="SRR58" s="532"/>
      <c r="SRS58" s="532"/>
      <c r="SRT58" s="532"/>
      <c r="SRU58" s="532"/>
      <c r="SRV58" s="532"/>
      <c r="SRW58" s="532"/>
      <c r="SRX58" s="532"/>
      <c r="SRY58" s="532"/>
      <c r="SRZ58" s="532"/>
      <c r="SSA58" s="532"/>
      <c r="SSB58" s="532"/>
      <c r="SSC58" s="532"/>
      <c r="SSD58" s="532"/>
      <c r="SSE58" s="532"/>
      <c r="SSF58" s="532"/>
      <c r="SSG58" s="532"/>
      <c r="SSH58" s="532"/>
      <c r="SSI58" s="532"/>
      <c r="SSJ58" s="532"/>
      <c r="SSK58" s="532"/>
      <c r="SSL58" s="532"/>
      <c r="SSM58" s="532"/>
      <c r="SSN58" s="532"/>
      <c r="SSO58" s="532"/>
      <c r="SSP58" s="532"/>
      <c r="SSQ58" s="532"/>
      <c r="SSR58" s="532"/>
      <c r="SSS58" s="532"/>
      <c r="SST58" s="532"/>
      <c r="SSU58" s="532"/>
      <c r="SSV58" s="532"/>
      <c r="SSW58" s="532"/>
      <c r="SSX58" s="532"/>
      <c r="SSY58" s="532"/>
      <c r="SSZ58" s="532"/>
      <c r="STA58" s="532"/>
      <c r="STB58" s="532"/>
      <c r="STC58" s="532"/>
      <c r="STD58" s="532"/>
      <c r="STE58" s="532"/>
      <c r="STF58" s="532"/>
      <c r="STG58" s="532"/>
      <c r="STH58" s="532"/>
      <c r="STI58" s="532"/>
      <c r="STJ58" s="532"/>
      <c r="STK58" s="532"/>
      <c r="STL58" s="532"/>
      <c r="STM58" s="532"/>
      <c r="STN58" s="532"/>
      <c r="STO58" s="532"/>
      <c r="STP58" s="532"/>
      <c r="STQ58" s="532"/>
      <c r="STR58" s="532"/>
      <c r="STS58" s="532"/>
      <c r="STT58" s="532"/>
      <c r="STU58" s="532"/>
      <c r="STV58" s="532"/>
      <c r="STW58" s="532"/>
      <c r="STX58" s="532"/>
      <c r="STY58" s="532"/>
      <c r="STZ58" s="532"/>
      <c r="SUA58" s="532"/>
      <c r="SUB58" s="532"/>
      <c r="SUC58" s="532"/>
      <c r="SUD58" s="532"/>
      <c r="SUE58" s="532"/>
      <c r="SUF58" s="532"/>
      <c r="SUG58" s="532"/>
      <c r="SUH58" s="532"/>
      <c r="SUI58" s="532"/>
      <c r="SUJ58" s="532"/>
      <c r="SUK58" s="532"/>
      <c r="SUL58" s="532"/>
      <c r="SUM58" s="532"/>
      <c r="SUN58" s="532"/>
      <c r="SUO58" s="532"/>
      <c r="SUP58" s="532"/>
      <c r="SUQ58" s="532"/>
      <c r="SUR58" s="532"/>
      <c r="SUS58" s="532"/>
      <c r="SUT58" s="532"/>
      <c r="SUU58" s="532"/>
      <c r="SUV58" s="532"/>
      <c r="SUW58" s="532"/>
      <c r="SUX58" s="532"/>
      <c r="SUY58" s="532"/>
      <c r="SUZ58" s="532"/>
      <c r="SVA58" s="532"/>
      <c r="SVB58" s="532"/>
      <c r="SVC58" s="532"/>
      <c r="SVD58" s="532"/>
      <c r="SVE58" s="532"/>
      <c r="SVF58" s="532"/>
      <c r="SVG58" s="532"/>
      <c r="SVH58" s="532"/>
      <c r="SVI58" s="532"/>
      <c r="SVJ58" s="532"/>
      <c r="SVK58" s="532"/>
      <c r="SVL58" s="532"/>
      <c r="SVM58" s="532"/>
      <c r="SVN58" s="532"/>
      <c r="SVO58" s="532"/>
      <c r="SVP58" s="532"/>
      <c r="SVQ58" s="532"/>
      <c r="SVR58" s="532"/>
      <c r="SVS58" s="532"/>
      <c r="SVT58" s="532"/>
      <c r="SVU58" s="532"/>
      <c r="SVV58" s="532"/>
      <c r="SVW58" s="532"/>
      <c r="SVX58" s="532"/>
      <c r="SVY58" s="532"/>
      <c r="SVZ58" s="532"/>
      <c r="SWA58" s="532"/>
      <c r="SWB58" s="532"/>
      <c r="SWC58" s="532"/>
      <c r="SWD58" s="532"/>
      <c r="SWE58" s="532"/>
      <c r="SWF58" s="532"/>
      <c r="SWG58" s="532"/>
      <c r="SWH58" s="532"/>
      <c r="SWI58" s="532"/>
      <c r="SWJ58" s="532"/>
      <c r="SWK58" s="532"/>
      <c r="SWL58" s="532"/>
      <c r="SWM58" s="532"/>
      <c r="SWN58" s="532"/>
      <c r="SWO58" s="532"/>
      <c r="SWP58" s="532"/>
      <c r="SWQ58" s="532"/>
      <c r="SWR58" s="532"/>
      <c r="SWS58" s="532"/>
      <c r="SWT58" s="532"/>
      <c r="SWU58" s="532"/>
      <c r="SWV58" s="532"/>
      <c r="SWW58" s="532"/>
      <c r="SWX58" s="532"/>
      <c r="SWY58" s="532"/>
      <c r="SWZ58" s="532"/>
      <c r="SXA58" s="532"/>
      <c r="SXB58" s="532"/>
      <c r="SXC58" s="532"/>
      <c r="SXD58" s="532"/>
      <c r="SXE58" s="532"/>
      <c r="SXF58" s="532"/>
      <c r="SXG58" s="532"/>
      <c r="SXH58" s="532"/>
      <c r="SXI58" s="532"/>
      <c r="SXJ58" s="532"/>
      <c r="SXK58" s="532"/>
      <c r="SXL58" s="532"/>
      <c r="SXM58" s="532"/>
      <c r="SXN58" s="532"/>
      <c r="SXO58" s="532"/>
      <c r="SXP58" s="532"/>
      <c r="SXQ58" s="532"/>
      <c r="SXR58" s="532"/>
      <c r="SXS58" s="532"/>
      <c r="SXT58" s="532"/>
      <c r="SXU58" s="532"/>
      <c r="SXV58" s="532"/>
      <c r="SXW58" s="532"/>
      <c r="SXX58" s="532"/>
      <c r="SXY58" s="532"/>
      <c r="SXZ58" s="532"/>
      <c r="SYA58" s="532"/>
      <c r="SYB58" s="532"/>
      <c r="SYC58" s="532"/>
      <c r="SYD58" s="532"/>
      <c r="SYE58" s="532"/>
      <c r="SYF58" s="532"/>
      <c r="SYG58" s="532"/>
      <c r="SYH58" s="532"/>
      <c r="SYI58" s="532"/>
      <c r="SYJ58" s="532"/>
      <c r="SYK58" s="532"/>
      <c r="SYL58" s="532"/>
      <c r="SYM58" s="532"/>
      <c r="SYN58" s="532"/>
      <c r="SYO58" s="532"/>
      <c r="SYP58" s="532"/>
      <c r="SYQ58" s="532"/>
      <c r="SYR58" s="532"/>
      <c r="SYS58" s="532"/>
      <c r="SYT58" s="532"/>
      <c r="SYU58" s="532"/>
      <c r="SYV58" s="532"/>
      <c r="SYW58" s="532"/>
      <c r="SYX58" s="532"/>
      <c r="SYY58" s="532"/>
      <c r="SYZ58" s="532"/>
      <c r="SZA58" s="532"/>
      <c r="SZB58" s="532"/>
      <c r="SZC58" s="532"/>
      <c r="SZD58" s="532"/>
      <c r="SZE58" s="532"/>
      <c r="SZF58" s="532"/>
      <c r="SZG58" s="532"/>
      <c r="SZH58" s="532"/>
      <c r="SZI58" s="532"/>
      <c r="SZJ58" s="532"/>
      <c r="SZK58" s="532"/>
      <c r="SZL58" s="532"/>
      <c r="SZM58" s="532"/>
      <c r="SZN58" s="532"/>
      <c r="SZO58" s="532"/>
      <c r="SZP58" s="532"/>
      <c r="SZQ58" s="532"/>
      <c r="SZR58" s="532"/>
      <c r="SZS58" s="532"/>
      <c r="SZT58" s="532"/>
      <c r="SZU58" s="532"/>
      <c r="SZV58" s="532"/>
      <c r="SZW58" s="532"/>
      <c r="SZX58" s="532"/>
      <c r="SZY58" s="532"/>
      <c r="SZZ58" s="532"/>
      <c r="TAA58" s="532"/>
      <c r="TAB58" s="532"/>
      <c r="TAC58" s="532"/>
      <c r="TAD58" s="532"/>
      <c r="TAE58" s="532"/>
      <c r="TAF58" s="532"/>
      <c r="TAG58" s="532"/>
      <c r="TAH58" s="532"/>
      <c r="TAI58" s="532"/>
      <c r="TAJ58" s="532"/>
      <c r="TAK58" s="532"/>
      <c r="TAL58" s="532"/>
      <c r="TAM58" s="532"/>
      <c r="TAN58" s="532"/>
      <c r="TAO58" s="532"/>
      <c r="TAP58" s="532"/>
      <c r="TAQ58" s="532"/>
      <c r="TAR58" s="532"/>
      <c r="TAS58" s="532"/>
      <c r="TAT58" s="532"/>
      <c r="TAU58" s="532"/>
      <c r="TAV58" s="532"/>
      <c r="TAW58" s="532"/>
      <c r="TAX58" s="532"/>
      <c r="TAY58" s="532"/>
      <c r="TAZ58" s="532"/>
      <c r="TBA58" s="532"/>
      <c r="TBB58" s="532"/>
      <c r="TBC58" s="532"/>
      <c r="TBD58" s="532"/>
      <c r="TBE58" s="532"/>
      <c r="TBF58" s="532"/>
      <c r="TBG58" s="532"/>
      <c r="TBH58" s="532"/>
      <c r="TBI58" s="532"/>
      <c r="TBJ58" s="532"/>
      <c r="TBK58" s="532"/>
      <c r="TBL58" s="532"/>
      <c r="TBM58" s="532"/>
      <c r="TBN58" s="532"/>
      <c r="TBO58" s="532"/>
      <c r="TBP58" s="532"/>
      <c r="TBQ58" s="532"/>
      <c r="TBR58" s="532"/>
      <c r="TBS58" s="532"/>
      <c r="TBT58" s="532"/>
      <c r="TBU58" s="532"/>
      <c r="TBV58" s="532"/>
      <c r="TBW58" s="532"/>
      <c r="TBX58" s="532"/>
      <c r="TBY58" s="532"/>
      <c r="TBZ58" s="532"/>
      <c r="TCA58" s="532"/>
      <c r="TCB58" s="532"/>
      <c r="TCC58" s="532"/>
      <c r="TCD58" s="532"/>
      <c r="TCE58" s="532"/>
      <c r="TCF58" s="532"/>
      <c r="TCG58" s="532"/>
      <c r="TCH58" s="532"/>
      <c r="TCI58" s="532"/>
      <c r="TCJ58" s="532"/>
      <c r="TCK58" s="532"/>
      <c r="TCL58" s="532"/>
      <c r="TCM58" s="532"/>
      <c r="TCN58" s="532"/>
      <c r="TCO58" s="532"/>
      <c r="TCP58" s="532"/>
      <c r="TCQ58" s="532"/>
      <c r="TCR58" s="532"/>
      <c r="TCS58" s="532"/>
      <c r="TCT58" s="532"/>
      <c r="TCU58" s="532"/>
      <c r="TCV58" s="532"/>
      <c r="TCW58" s="532"/>
      <c r="TCX58" s="532"/>
      <c r="TCY58" s="532"/>
      <c r="TCZ58" s="532"/>
      <c r="TDA58" s="532"/>
      <c r="TDB58" s="532"/>
      <c r="TDC58" s="532"/>
      <c r="TDD58" s="532"/>
      <c r="TDE58" s="532"/>
      <c r="TDF58" s="532"/>
      <c r="TDG58" s="532"/>
      <c r="TDH58" s="532"/>
      <c r="TDI58" s="532"/>
      <c r="TDJ58" s="532"/>
      <c r="TDK58" s="532"/>
      <c r="TDL58" s="532"/>
      <c r="TDM58" s="532"/>
      <c r="TDN58" s="532"/>
      <c r="TDO58" s="532"/>
      <c r="TDP58" s="532"/>
      <c r="TDQ58" s="532"/>
      <c r="TDR58" s="532"/>
      <c r="TDS58" s="532"/>
      <c r="TDT58" s="532"/>
      <c r="TDU58" s="532"/>
      <c r="TDV58" s="532"/>
      <c r="TDW58" s="532"/>
      <c r="TDX58" s="532"/>
      <c r="TDY58" s="532"/>
      <c r="TDZ58" s="532"/>
      <c r="TEA58" s="532"/>
      <c r="TEB58" s="532"/>
      <c r="TEC58" s="532"/>
      <c r="TED58" s="532"/>
      <c r="TEE58" s="532"/>
      <c r="TEF58" s="532"/>
      <c r="TEG58" s="532"/>
      <c r="TEH58" s="532"/>
      <c r="TEI58" s="532"/>
      <c r="TEJ58" s="532"/>
      <c r="TEK58" s="532"/>
      <c r="TEL58" s="532"/>
      <c r="TEM58" s="532"/>
      <c r="TEN58" s="532"/>
      <c r="TEO58" s="532"/>
      <c r="TEP58" s="532"/>
      <c r="TEQ58" s="532"/>
      <c r="TER58" s="532"/>
      <c r="TES58" s="532"/>
      <c r="TET58" s="532"/>
      <c r="TEU58" s="532"/>
      <c r="TEV58" s="532"/>
      <c r="TEW58" s="532"/>
      <c r="TEX58" s="532"/>
      <c r="TEY58" s="532"/>
      <c r="TEZ58" s="532"/>
      <c r="TFA58" s="532"/>
      <c r="TFB58" s="532"/>
      <c r="TFC58" s="532"/>
      <c r="TFD58" s="532"/>
      <c r="TFE58" s="532"/>
      <c r="TFF58" s="532"/>
      <c r="TFG58" s="532"/>
      <c r="TFH58" s="532"/>
      <c r="TFI58" s="532"/>
      <c r="TFJ58" s="532"/>
      <c r="TFK58" s="532"/>
      <c r="TFL58" s="532"/>
      <c r="TFM58" s="532"/>
      <c r="TFN58" s="532"/>
      <c r="TFO58" s="532"/>
      <c r="TFP58" s="532"/>
      <c r="TFQ58" s="532"/>
      <c r="TFR58" s="532"/>
      <c r="TFS58" s="532"/>
      <c r="TFT58" s="532"/>
      <c r="TFU58" s="532"/>
      <c r="TFV58" s="532"/>
      <c r="TFW58" s="532"/>
      <c r="TFX58" s="532"/>
      <c r="TFY58" s="532"/>
      <c r="TFZ58" s="532"/>
      <c r="TGA58" s="532"/>
      <c r="TGB58" s="532"/>
      <c r="TGC58" s="532"/>
      <c r="TGD58" s="532"/>
      <c r="TGE58" s="532"/>
      <c r="TGF58" s="532"/>
      <c r="TGG58" s="532"/>
      <c r="TGH58" s="532"/>
      <c r="TGI58" s="532"/>
      <c r="TGJ58" s="532"/>
      <c r="TGK58" s="532"/>
      <c r="TGL58" s="532"/>
      <c r="TGM58" s="532"/>
      <c r="TGN58" s="532"/>
      <c r="TGO58" s="532"/>
      <c r="TGP58" s="532"/>
      <c r="TGQ58" s="532"/>
      <c r="TGR58" s="532"/>
      <c r="TGS58" s="532"/>
      <c r="TGT58" s="532"/>
      <c r="TGU58" s="532"/>
      <c r="TGV58" s="532"/>
      <c r="TGW58" s="532"/>
      <c r="TGX58" s="532"/>
      <c r="TGY58" s="532"/>
      <c r="TGZ58" s="532"/>
      <c r="THA58" s="532"/>
      <c r="THB58" s="532"/>
      <c r="THC58" s="532"/>
      <c r="THD58" s="532"/>
      <c r="THE58" s="532"/>
      <c r="THF58" s="532"/>
      <c r="THG58" s="532"/>
      <c r="THH58" s="532"/>
      <c r="THI58" s="532"/>
      <c r="THJ58" s="532"/>
      <c r="THK58" s="532"/>
      <c r="THL58" s="532"/>
      <c r="THM58" s="532"/>
      <c r="THN58" s="532"/>
      <c r="THO58" s="532"/>
      <c r="THP58" s="532"/>
      <c r="THQ58" s="532"/>
      <c r="THR58" s="532"/>
      <c r="THS58" s="532"/>
      <c r="THT58" s="532"/>
      <c r="THU58" s="532"/>
      <c r="THV58" s="532"/>
      <c r="THW58" s="532"/>
      <c r="THX58" s="532"/>
      <c r="THY58" s="532"/>
      <c r="THZ58" s="532"/>
      <c r="TIA58" s="532"/>
      <c r="TIB58" s="532"/>
      <c r="TIC58" s="532"/>
      <c r="TID58" s="532"/>
      <c r="TIE58" s="532"/>
      <c r="TIF58" s="532"/>
      <c r="TIG58" s="532"/>
      <c r="TIH58" s="532"/>
      <c r="TII58" s="532"/>
      <c r="TIJ58" s="532"/>
      <c r="TIK58" s="532"/>
      <c r="TIL58" s="532"/>
      <c r="TIM58" s="532"/>
      <c r="TIN58" s="532"/>
      <c r="TIO58" s="532"/>
      <c r="TIP58" s="532"/>
      <c r="TIQ58" s="532"/>
      <c r="TIR58" s="532"/>
      <c r="TIS58" s="532"/>
      <c r="TIT58" s="532"/>
      <c r="TIU58" s="532"/>
      <c r="TIV58" s="532"/>
      <c r="TIW58" s="532"/>
      <c r="TIX58" s="532"/>
      <c r="TIY58" s="532"/>
      <c r="TIZ58" s="532"/>
      <c r="TJA58" s="532"/>
      <c r="TJB58" s="532"/>
      <c r="TJC58" s="532"/>
      <c r="TJD58" s="532"/>
      <c r="TJE58" s="532"/>
      <c r="TJF58" s="532"/>
      <c r="TJG58" s="532"/>
      <c r="TJH58" s="532"/>
      <c r="TJI58" s="532"/>
      <c r="TJJ58" s="532"/>
      <c r="TJK58" s="532"/>
      <c r="TJL58" s="532"/>
      <c r="TJM58" s="532"/>
      <c r="TJN58" s="532"/>
      <c r="TJO58" s="532"/>
      <c r="TJP58" s="532"/>
      <c r="TJQ58" s="532"/>
      <c r="TJR58" s="532"/>
      <c r="TJS58" s="532"/>
      <c r="TJT58" s="532"/>
      <c r="TJU58" s="532"/>
      <c r="TJV58" s="532"/>
      <c r="TJW58" s="532"/>
      <c r="TJX58" s="532"/>
      <c r="TJY58" s="532"/>
      <c r="TJZ58" s="532"/>
      <c r="TKA58" s="532"/>
      <c r="TKB58" s="532"/>
      <c r="TKC58" s="532"/>
      <c r="TKD58" s="532"/>
      <c r="TKE58" s="532"/>
      <c r="TKF58" s="532"/>
      <c r="TKG58" s="532"/>
      <c r="TKH58" s="532"/>
      <c r="TKI58" s="532"/>
      <c r="TKJ58" s="532"/>
      <c r="TKK58" s="532"/>
      <c r="TKL58" s="532"/>
      <c r="TKM58" s="532"/>
      <c r="TKN58" s="532"/>
      <c r="TKO58" s="532"/>
      <c r="TKP58" s="532"/>
      <c r="TKQ58" s="532"/>
      <c r="TKR58" s="532"/>
      <c r="TKS58" s="532"/>
      <c r="TKT58" s="532"/>
      <c r="TKU58" s="532"/>
      <c r="TKV58" s="532"/>
      <c r="TKW58" s="532"/>
      <c r="TKX58" s="532"/>
      <c r="TKY58" s="532"/>
      <c r="TKZ58" s="532"/>
      <c r="TLA58" s="532"/>
      <c r="TLB58" s="532"/>
      <c r="TLC58" s="532"/>
      <c r="TLD58" s="532"/>
      <c r="TLE58" s="532"/>
      <c r="TLF58" s="532"/>
      <c r="TLG58" s="532"/>
      <c r="TLH58" s="532"/>
      <c r="TLI58" s="532"/>
      <c r="TLJ58" s="532"/>
      <c r="TLK58" s="532"/>
      <c r="TLL58" s="532"/>
      <c r="TLM58" s="532"/>
      <c r="TLN58" s="532"/>
      <c r="TLO58" s="532"/>
      <c r="TLP58" s="532"/>
      <c r="TLQ58" s="532"/>
      <c r="TLR58" s="532"/>
      <c r="TLS58" s="532"/>
      <c r="TLT58" s="532"/>
      <c r="TLU58" s="532"/>
      <c r="TLV58" s="532"/>
      <c r="TLW58" s="532"/>
      <c r="TLX58" s="532"/>
      <c r="TLY58" s="532"/>
      <c r="TLZ58" s="532"/>
      <c r="TMA58" s="532"/>
      <c r="TMB58" s="532"/>
      <c r="TMC58" s="532"/>
      <c r="TMD58" s="532"/>
      <c r="TME58" s="532"/>
      <c r="TMF58" s="532"/>
      <c r="TMG58" s="532"/>
      <c r="TMH58" s="532"/>
      <c r="TMI58" s="532"/>
      <c r="TMJ58" s="532"/>
      <c r="TMK58" s="532"/>
      <c r="TML58" s="532"/>
      <c r="TMM58" s="532"/>
      <c r="TMN58" s="532"/>
      <c r="TMO58" s="532"/>
      <c r="TMP58" s="532"/>
      <c r="TMQ58" s="532"/>
      <c r="TMR58" s="532"/>
      <c r="TMS58" s="532"/>
      <c r="TMT58" s="532"/>
      <c r="TMU58" s="532"/>
      <c r="TMV58" s="532"/>
      <c r="TMW58" s="532"/>
      <c r="TMX58" s="532"/>
      <c r="TMY58" s="532"/>
      <c r="TMZ58" s="532"/>
      <c r="TNA58" s="532"/>
      <c r="TNB58" s="532"/>
      <c r="TNC58" s="532"/>
      <c r="TND58" s="532"/>
      <c r="TNE58" s="532"/>
      <c r="TNF58" s="532"/>
      <c r="TNG58" s="532"/>
      <c r="TNH58" s="532"/>
      <c r="TNI58" s="532"/>
      <c r="TNJ58" s="532"/>
      <c r="TNK58" s="532"/>
      <c r="TNL58" s="532"/>
      <c r="TNM58" s="532"/>
      <c r="TNN58" s="532"/>
      <c r="TNO58" s="532"/>
      <c r="TNP58" s="532"/>
      <c r="TNQ58" s="532"/>
      <c r="TNR58" s="532"/>
      <c r="TNS58" s="532"/>
      <c r="TNT58" s="532"/>
      <c r="TNU58" s="532"/>
      <c r="TNV58" s="532"/>
      <c r="TNW58" s="532"/>
      <c r="TNX58" s="532"/>
      <c r="TNY58" s="532"/>
      <c r="TNZ58" s="532"/>
      <c r="TOA58" s="532"/>
      <c r="TOB58" s="532"/>
      <c r="TOC58" s="532"/>
      <c r="TOD58" s="532"/>
      <c r="TOE58" s="532"/>
      <c r="TOF58" s="532"/>
      <c r="TOG58" s="532"/>
      <c r="TOH58" s="532"/>
      <c r="TOI58" s="532"/>
      <c r="TOJ58" s="532"/>
      <c r="TOK58" s="532"/>
      <c r="TOL58" s="532"/>
      <c r="TOM58" s="532"/>
      <c r="TON58" s="532"/>
      <c r="TOO58" s="532"/>
      <c r="TOP58" s="532"/>
      <c r="TOQ58" s="532"/>
      <c r="TOR58" s="532"/>
      <c r="TOS58" s="532"/>
      <c r="TOT58" s="532"/>
      <c r="TOU58" s="532"/>
      <c r="TOV58" s="532"/>
      <c r="TOW58" s="532"/>
      <c r="TOX58" s="532"/>
      <c r="TOY58" s="532"/>
      <c r="TOZ58" s="532"/>
      <c r="TPA58" s="532"/>
      <c r="TPB58" s="532"/>
      <c r="TPC58" s="532"/>
      <c r="TPD58" s="532"/>
      <c r="TPE58" s="532"/>
      <c r="TPF58" s="532"/>
      <c r="TPG58" s="532"/>
      <c r="TPH58" s="532"/>
      <c r="TPI58" s="532"/>
      <c r="TPJ58" s="532"/>
      <c r="TPK58" s="532"/>
      <c r="TPL58" s="532"/>
      <c r="TPM58" s="532"/>
      <c r="TPN58" s="532"/>
      <c r="TPO58" s="532"/>
      <c r="TPP58" s="532"/>
      <c r="TPQ58" s="532"/>
      <c r="TPR58" s="532"/>
      <c r="TPS58" s="532"/>
      <c r="TPT58" s="532"/>
      <c r="TPU58" s="532"/>
      <c r="TPV58" s="532"/>
      <c r="TPW58" s="532"/>
      <c r="TPX58" s="532"/>
      <c r="TPY58" s="532"/>
      <c r="TPZ58" s="532"/>
      <c r="TQA58" s="532"/>
      <c r="TQB58" s="532"/>
      <c r="TQC58" s="532"/>
      <c r="TQD58" s="532"/>
      <c r="TQE58" s="532"/>
      <c r="TQF58" s="532"/>
      <c r="TQG58" s="532"/>
      <c r="TQH58" s="532"/>
      <c r="TQI58" s="532"/>
      <c r="TQJ58" s="532"/>
      <c r="TQK58" s="532"/>
      <c r="TQL58" s="532"/>
      <c r="TQM58" s="532"/>
      <c r="TQN58" s="532"/>
      <c r="TQO58" s="532"/>
      <c r="TQP58" s="532"/>
      <c r="TQQ58" s="532"/>
      <c r="TQR58" s="532"/>
      <c r="TQS58" s="532"/>
      <c r="TQT58" s="532"/>
      <c r="TQU58" s="532"/>
      <c r="TQV58" s="532"/>
      <c r="TQW58" s="532"/>
      <c r="TQX58" s="532"/>
      <c r="TQY58" s="532"/>
      <c r="TQZ58" s="532"/>
      <c r="TRA58" s="532"/>
      <c r="TRB58" s="532"/>
      <c r="TRC58" s="532"/>
      <c r="TRD58" s="532"/>
      <c r="TRE58" s="532"/>
      <c r="TRF58" s="532"/>
      <c r="TRG58" s="532"/>
      <c r="TRH58" s="532"/>
      <c r="TRI58" s="532"/>
      <c r="TRJ58" s="532"/>
      <c r="TRK58" s="532"/>
      <c r="TRL58" s="532"/>
      <c r="TRM58" s="532"/>
      <c r="TRN58" s="532"/>
      <c r="TRO58" s="532"/>
      <c r="TRP58" s="532"/>
      <c r="TRQ58" s="532"/>
      <c r="TRR58" s="532"/>
      <c r="TRS58" s="532"/>
      <c r="TRT58" s="532"/>
      <c r="TRU58" s="532"/>
      <c r="TRV58" s="532"/>
      <c r="TRW58" s="532"/>
      <c r="TRX58" s="532"/>
      <c r="TRY58" s="532"/>
      <c r="TRZ58" s="532"/>
      <c r="TSA58" s="532"/>
      <c r="TSB58" s="532"/>
      <c r="TSC58" s="532"/>
      <c r="TSD58" s="532"/>
      <c r="TSE58" s="532"/>
      <c r="TSF58" s="532"/>
      <c r="TSG58" s="532"/>
      <c r="TSH58" s="532"/>
      <c r="TSI58" s="532"/>
      <c r="TSJ58" s="532"/>
      <c r="TSK58" s="532"/>
      <c r="TSL58" s="532"/>
      <c r="TSM58" s="532"/>
      <c r="TSN58" s="532"/>
      <c r="TSO58" s="532"/>
      <c r="TSP58" s="532"/>
      <c r="TSQ58" s="532"/>
      <c r="TSR58" s="532"/>
      <c r="TSS58" s="532"/>
      <c r="TST58" s="532"/>
      <c r="TSU58" s="532"/>
      <c r="TSV58" s="532"/>
      <c r="TSW58" s="532"/>
      <c r="TSX58" s="532"/>
      <c r="TSY58" s="532"/>
      <c r="TSZ58" s="532"/>
      <c r="TTA58" s="532"/>
      <c r="TTB58" s="532"/>
      <c r="TTC58" s="532"/>
      <c r="TTD58" s="532"/>
      <c r="TTE58" s="532"/>
      <c r="TTF58" s="532"/>
      <c r="TTG58" s="532"/>
      <c r="TTH58" s="532"/>
      <c r="TTI58" s="532"/>
      <c r="TTJ58" s="532"/>
      <c r="TTK58" s="532"/>
      <c r="TTL58" s="532"/>
      <c r="TTM58" s="532"/>
      <c r="TTN58" s="532"/>
      <c r="TTO58" s="532"/>
      <c r="TTP58" s="532"/>
      <c r="TTQ58" s="532"/>
      <c r="TTR58" s="532"/>
      <c r="TTS58" s="532"/>
      <c r="TTT58" s="532"/>
      <c r="TTU58" s="532"/>
      <c r="TTV58" s="532"/>
      <c r="TTW58" s="532"/>
      <c r="TTX58" s="532"/>
      <c r="TTY58" s="532"/>
      <c r="TTZ58" s="532"/>
      <c r="TUA58" s="532"/>
      <c r="TUB58" s="532"/>
      <c r="TUC58" s="532"/>
      <c r="TUD58" s="532"/>
      <c r="TUE58" s="532"/>
      <c r="TUF58" s="532"/>
      <c r="TUG58" s="532"/>
      <c r="TUH58" s="532"/>
      <c r="TUI58" s="532"/>
      <c r="TUJ58" s="532"/>
      <c r="TUK58" s="532"/>
      <c r="TUL58" s="532"/>
      <c r="TUM58" s="532"/>
      <c r="TUN58" s="532"/>
      <c r="TUO58" s="532"/>
      <c r="TUP58" s="532"/>
      <c r="TUQ58" s="532"/>
      <c r="TUR58" s="532"/>
      <c r="TUS58" s="532"/>
      <c r="TUT58" s="532"/>
      <c r="TUU58" s="532"/>
      <c r="TUV58" s="532"/>
      <c r="TUW58" s="532"/>
      <c r="TUX58" s="532"/>
      <c r="TUY58" s="532"/>
      <c r="TUZ58" s="532"/>
      <c r="TVA58" s="532"/>
      <c r="TVB58" s="532"/>
      <c r="TVC58" s="532"/>
      <c r="TVD58" s="532"/>
      <c r="TVE58" s="532"/>
      <c r="TVF58" s="532"/>
      <c r="TVG58" s="532"/>
      <c r="TVH58" s="532"/>
      <c r="TVI58" s="532"/>
      <c r="TVJ58" s="532"/>
      <c r="TVK58" s="532"/>
      <c r="TVL58" s="532"/>
      <c r="TVM58" s="532"/>
      <c r="TVN58" s="532"/>
      <c r="TVO58" s="532"/>
      <c r="TVP58" s="532"/>
      <c r="TVQ58" s="532"/>
      <c r="TVR58" s="532"/>
      <c r="TVS58" s="532"/>
      <c r="TVT58" s="532"/>
      <c r="TVU58" s="532"/>
      <c r="TVV58" s="532"/>
      <c r="TVW58" s="532"/>
      <c r="TVX58" s="532"/>
      <c r="TVY58" s="532"/>
      <c r="TVZ58" s="532"/>
      <c r="TWA58" s="532"/>
      <c r="TWB58" s="532"/>
      <c r="TWC58" s="532"/>
      <c r="TWD58" s="532"/>
      <c r="TWE58" s="532"/>
      <c r="TWF58" s="532"/>
      <c r="TWG58" s="532"/>
      <c r="TWH58" s="532"/>
      <c r="TWI58" s="532"/>
      <c r="TWJ58" s="532"/>
      <c r="TWK58" s="532"/>
      <c r="TWL58" s="532"/>
      <c r="TWM58" s="532"/>
      <c r="TWN58" s="532"/>
      <c r="TWO58" s="532"/>
      <c r="TWP58" s="532"/>
      <c r="TWQ58" s="532"/>
      <c r="TWR58" s="532"/>
      <c r="TWS58" s="532"/>
      <c r="TWT58" s="532"/>
      <c r="TWU58" s="532"/>
      <c r="TWV58" s="532"/>
      <c r="TWW58" s="532"/>
      <c r="TWX58" s="532"/>
      <c r="TWY58" s="532"/>
      <c r="TWZ58" s="532"/>
      <c r="TXA58" s="532"/>
      <c r="TXB58" s="532"/>
      <c r="TXC58" s="532"/>
      <c r="TXD58" s="532"/>
      <c r="TXE58" s="532"/>
      <c r="TXF58" s="532"/>
      <c r="TXG58" s="532"/>
      <c r="TXH58" s="532"/>
      <c r="TXI58" s="532"/>
      <c r="TXJ58" s="532"/>
      <c r="TXK58" s="532"/>
      <c r="TXL58" s="532"/>
      <c r="TXM58" s="532"/>
      <c r="TXN58" s="532"/>
      <c r="TXO58" s="532"/>
      <c r="TXP58" s="532"/>
      <c r="TXQ58" s="532"/>
      <c r="TXR58" s="532"/>
      <c r="TXS58" s="532"/>
      <c r="TXT58" s="532"/>
      <c r="TXU58" s="532"/>
      <c r="TXV58" s="532"/>
      <c r="TXW58" s="532"/>
      <c r="TXX58" s="532"/>
      <c r="TXY58" s="532"/>
      <c r="TXZ58" s="532"/>
      <c r="TYA58" s="532"/>
      <c r="TYB58" s="532"/>
      <c r="TYC58" s="532"/>
      <c r="TYD58" s="532"/>
      <c r="TYE58" s="532"/>
      <c r="TYF58" s="532"/>
      <c r="TYG58" s="532"/>
      <c r="TYH58" s="532"/>
      <c r="TYI58" s="532"/>
      <c r="TYJ58" s="532"/>
      <c r="TYK58" s="532"/>
      <c r="TYL58" s="532"/>
      <c r="TYM58" s="532"/>
      <c r="TYN58" s="532"/>
      <c r="TYO58" s="532"/>
      <c r="TYP58" s="532"/>
      <c r="TYQ58" s="532"/>
      <c r="TYR58" s="532"/>
      <c r="TYS58" s="532"/>
      <c r="TYT58" s="532"/>
      <c r="TYU58" s="532"/>
      <c r="TYV58" s="532"/>
      <c r="TYW58" s="532"/>
      <c r="TYX58" s="532"/>
      <c r="TYY58" s="532"/>
      <c r="TYZ58" s="532"/>
      <c r="TZA58" s="532"/>
      <c r="TZB58" s="532"/>
      <c r="TZC58" s="532"/>
      <c r="TZD58" s="532"/>
      <c r="TZE58" s="532"/>
      <c r="TZF58" s="532"/>
      <c r="TZG58" s="532"/>
      <c r="TZH58" s="532"/>
      <c r="TZI58" s="532"/>
      <c r="TZJ58" s="532"/>
      <c r="TZK58" s="532"/>
      <c r="TZL58" s="532"/>
      <c r="TZM58" s="532"/>
      <c r="TZN58" s="532"/>
      <c r="TZO58" s="532"/>
      <c r="TZP58" s="532"/>
      <c r="TZQ58" s="532"/>
      <c r="TZR58" s="532"/>
      <c r="TZS58" s="532"/>
      <c r="TZT58" s="532"/>
      <c r="TZU58" s="532"/>
      <c r="TZV58" s="532"/>
      <c r="TZW58" s="532"/>
      <c r="TZX58" s="532"/>
      <c r="TZY58" s="532"/>
      <c r="TZZ58" s="532"/>
      <c r="UAA58" s="532"/>
      <c r="UAB58" s="532"/>
      <c r="UAC58" s="532"/>
      <c r="UAD58" s="532"/>
      <c r="UAE58" s="532"/>
      <c r="UAF58" s="532"/>
      <c r="UAG58" s="532"/>
      <c r="UAH58" s="532"/>
      <c r="UAI58" s="532"/>
      <c r="UAJ58" s="532"/>
      <c r="UAK58" s="532"/>
      <c r="UAL58" s="532"/>
      <c r="UAM58" s="532"/>
      <c r="UAN58" s="532"/>
      <c r="UAO58" s="532"/>
      <c r="UAP58" s="532"/>
      <c r="UAQ58" s="532"/>
      <c r="UAR58" s="532"/>
      <c r="UAS58" s="532"/>
      <c r="UAT58" s="532"/>
      <c r="UAU58" s="532"/>
      <c r="UAV58" s="532"/>
      <c r="UAW58" s="532"/>
      <c r="UAX58" s="532"/>
      <c r="UAY58" s="532"/>
      <c r="UAZ58" s="532"/>
      <c r="UBA58" s="532"/>
      <c r="UBB58" s="532"/>
      <c r="UBC58" s="532"/>
      <c r="UBD58" s="532"/>
      <c r="UBE58" s="532"/>
      <c r="UBF58" s="532"/>
      <c r="UBG58" s="532"/>
      <c r="UBH58" s="532"/>
      <c r="UBI58" s="532"/>
      <c r="UBJ58" s="532"/>
      <c r="UBK58" s="532"/>
      <c r="UBL58" s="532"/>
      <c r="UBM58" s="532"/>
      <c r="UBN58" s="532"/>
      <c r="UBO58" s="532"/>
      <c r="UBP58" s="532"/>
      <c r="UBQ58" s="532"/>
      <c r="UBR58" s="532"/>
      <c r="UBS58" s="532"/>
      <c r="UBT58" s="532"/>
      <c r="UBU58" s="532"/>
      <c r="UBV58" s="532"/>
      <c r="UBW58" s="532"/>
      <c r="UBX58" s="532"/>
      <c r="UBY58" s="532"/>
      <c r="UBZ58" s="532"/>
      <c r="UCA58" s="532"/>
      <c r="UCB58" s="532"/>
      <c r="UCC58" s="532"/>
      <c r="UCD58" s="532"/>
      <c r="UCE58" s="532"/>
      <c r="UCF58" s="532"/>
      <c r="UCG58" s="532"/>
      <c r="UCH58" s="532"/>
      <c r="UCI58" s="532"/>
      <c r="UCJ58" s="532"/>
      <c r="UCK58" s="532"/>
      <c r="UCL58" s="532"/>
      <c r="UCM58" s="532"/>
      <c r="UCN58" s="532"/>
      <c r="UCO58" s="532"/>
      <c r="UCP58" s="532"/>
      <c r="UCQ58" s="532"/>
      <c r="UCR58" s="532"/>
      <c r="UCS58" s="532"/>
      <c r="UCT58" s="532"/>
      <c r="UCU58" s="532"/>
      <c r="UCV58" s="532"/>
      <c r="UCW58" s="532"/>
      <c r="UCX58" s="532"/>
      <c r="UCY58" s="532"/>
      <c r="UCZ58" s="532"/>
      <c r="UDA58" s="532"/>
      <c r="UDB58" s="532"/>
      <c r="UDC58" s="532"/>
      <c r="UDD58" s="532"/>
      <c r="UDE58" s="532"/>
      <c r="UDF58" s="532"/>
      <c r="UDG58" s="532"/>
      <c r="UDH58" s="532"/>
      <c r="UDI58" s="532"/>
      <c r="UDJ58" s="532"/>
      <c r="UDK58" s="532"/>
      <c r="UDL58" s="532"/>
      <c r="UDM58" s="532"/>
      <c r="UDN58" s="532"/>
      <c r="UDO58" s="532"/>
      <c r="UDP58" s="532"/>
      <c r="UDQ58" s="532"/>
      <c r="UDR58" s="532"/>
      <c r="UDS58" s="532"/>
      <c r="UDT58" s="532"/>
      <c r="UDU58" s="532"/>
      <c r="UDV58" s="532"/>
      <c r="UDW58" s="532"/>
      <c r="UDX58" s="532"/>
      <c r="UDY58" s="532"/>
      <c r="UDZ58" s="532"/>
      <c r="UEA58" s="532"/>
      <c r="UEB58" s="532"/>
      <c r="UEC58" s="532"/>
      <c r="UED58" s="532"/>
      <c r="UEE58" s="532"/>
      <c r="UEF58" s="532"/>
      <c r="UEG58" s="532"/>
      <c r="UEH58" s="532"/>
      <c r="UEI58" s="532"/>
      <c r="UEJ58" s="532"/>
      <c r="UEK58" s="532"/>
      <c r="UEL58" s="532"/>
      <c r="UEM58" s="532"/>
      <c r="UEN58" s="532"/>
      <c r="UEO58" s="532"/>
      <c r="UEP58" s="532"/>
      <c r="UEQ58" s="532"/>
      <c r="UER58" s="532"/>
      <c r="UES58" s="532"/>
      <c r="UET58" s="532"/>
      <c r="UEU58" s="532"/>
      <c r="UEV58" s="532"/>
      <c r="UEW58" s="532"/>
      <c r="UEX58" s="532"/>
      <c r="UEY58" s="532"/>
      <c r="UEZ58" s="532"/>
      <c r="UFA58" s="532"/>
      <c r="UFB58" s="532"/>
      <c r="UFC58" s="532"/>
      <c r="UFD58" s="532"/>
      <c r="UFE58" s="532"/>
      <c r="UFF58" s="532"/>
      <c r="UFG58" s="532"/>
      <c r="UFH58" s="532"/>
      <c r="UFI58" s="532"/>
      <c r="UFJ58" s="532"/>
      <c r="UFK58" s="532"/>
      <c r="UFL58" s="532"/>
      <c r="UFM58" s="532"/>
      <c r="UFN58" s="532"/>
      <c r="UFO58" s="532"/>
      <c r="UFP58" s="532"/>
      <c r="UFQ58" s="532"/>
      <c r="UFR58" s="532"/>
      <c r="UFS58" s="532"/>
      <c r="UFT58" s="532"/>
      <c r="UFU58" s="532"/>
      <c r="UFV58" s="532"/>
      <c r="UFW58" s="532"/>
      <c r="UFX58" s="532"/>
      <c r="UFY58" s="532"/>
      <c r="UFZ58" s="532"/>
      <c r="UGA58" s="532"/>
      <c r="UGB58" s="532"/>
      <c r="UGC58" s="532"/>
      <c r="UGD58" s="532"/>
      <c r="UGE58" s="532"/>
      <c r="UGF58" s="532"/>
      <c r="UGG58" s="532"/>
      <c r="UGH58" s="532"/>
      <c r="UGI58" s="532"/>
      <c r="UGJ58" s="532"/>
      <c r="UGK58" s="532"/>
      <c r="UGL58" s="532"/>
      <c r="UGM58" s="532"/>
      <c r="UGN58" s="532"/>
      <c r="UGO58" s="532"/>
      <c r="UGP58" s="532"/>
      <c r="UGQ58" s="532"/>
      <c r="UGR58" s="532"/>
      <c r="UGS58" s="532"/>
      <c r="UGT58" s="532"/>
      <c r="UGU58" s="532"/>
      <c r="UGV58" s="532"/>
      <c r="UGW58" s="532"/>
      <c r="UGX58" s="532"/>
      <c r="UGY58" s="532"/>
      <c r="UGZ58" s="532"/>
      <c r="UHA58" s="532"/>
      <c r="UHB58" s="532"/>
      <c r="UHC58" s="532"/>
      <c r="UHD58" s="532"/>
      <c r="UHE58" s="532"/>
      <c r="UHF58" s="532"/>
      <c r="UHG58" s="532"/>
      <c r="UHH58" s="532"/>
      <c r="UHI58" s="532"/>
      <c r="UHJ58" s="532"/>
      <c r="UHK58" s="532"/>
      <c r="UHL58" s="532"/>
      <c r="UHM58" s="532"/>
      <c r="UHN58" s="532"/>
      <c r="UHO58" s="532"/>
      <c r="UHP58" s="532"/>
      <c r="UHQ58" s="532"/>
      <c r="UHR58" s="532"/>
      <c r="UHS58" s="532"/>
      <c r="UHT58" s="532"/>
      <c r="UHU58" s="532"/>
      <c r="UHV58" s="532"/>
      <c r="UHW58" s="532"/>
      <c r="UHX58" s="532"/>
      <c r="UHY58" s="532"/>
      <c r="UHZ58" s="532"/>
      <c r="UIA58" s="532"/>
      <c r="UIB58" s="532"/>
      <c r="UIC58" s="532"/>
      <c r="UID58" s="532"/>
      <c r="UIE58" s="532"/>
      <c r="UIF58" s="532"/>
      <c r="UIG58" s="532"/>
      <c r="UIH58" s="532"/>
      <c r="UII58" s="532"/>
      <c r="UIJ58" s="532"/>
      <c r="UIK58" s="532"/>
      <c r="UIL58" s="532"/>
      <c r="UIM58" s="532"/>
      <c r="UIN58" s="532"/>
      <c r="UIO58" s="532"/>
      <c r="UIP58" s="532"/>
      <c r="UIQ58" s="532"/>
      <c r="UIR58" s="532"/>
      <c r="UIS58" s="532"/>
      <c r="UIT58" s="532"/>
      <c r="UIU58" s="532"/>
      <c r="UIV58" s="532"/>
      <c r="UIW58" s="532"/>
      <c r="UIX58" s="532"/>
      <c r="UIY58" s="532"/>
      <c r="UIZ58" s="532"/>
      <c r="UJA58" s="532"/>
      <c r="UJB58" s="532"/>
      <c r="UJC58" s="532"/>
      <c r="UJD58" s="532"/>
      <c r="UJE58" s="532"/>
      <c r="UJF58" s="532"/>
      <c r="UJG58" s="532"/>
      <c r="UJH58" s="532"/>
      <c r="UJI58" s="532"/>
      <c r="UJJ58" s="532"/>
      <c r="UJK58" s="532"/>
      <c r="UJL58" s="532"/>
      <c r="UJM58" s="532"/>
      <c r="UJN58" s="532"/>
      <c r="UJO58" s="532"/>
      <c r="UJP58" s="532"/>
      <c r="UJQ58" s="532"/>
      <c r="UJR58" s="532"/>
      <c r="UJS58" s="532"/>
      <c r="UJT58" s="532"/>
      <c r="UJU58" s="532"/>
      <c r="UJV58" s="532"/>
      <c r="UJW58" s="532"/>
      <c r="UJX58" s="532"/>
      <c r="UJY58" s="532"/>
      <c r="UJZ58" s="532"/>
      <c r="UKA58" s="532"/>
      <c r="UKB58" s="532"/>
      <c r="UKC58" s="532"/>
      <c r="UKD58" s="532"/>
      <c r="UKE58" s="532"/>
      <c r="UKF58" s="532"/>
      <c r="UKG58" s="532"/>
      <c r="UKH58" s="532"/>
      <c r="UKI58" s="532"/>
      <c r="UKJ58" s="532"/>
      <c r="UKK58" s="532"/>
      <c r="UKL58" s="532"/>
      <c r="UKM58" s="532"/>
      <c r="UKN58" s="532"/>
      <c r="UKO58" s="532"/>
      <c r="UKP58" s="532"/>
      <c r="UKQ58" s="532"/>
      <c r="UKR58" s="532"/>
      <c r="UKS58" s="532"/>
      <c r="UKT58" s="532"/>
      <c r="UKU58" s="532"/>
      <c r="UKV58" s="532"/>
      <c r="UKW58" s="532"/>
      <c r="UKX58" s="532"/>
      <c r="UKY58" s="532"/>
      <c r="UKZ58" s="532"/>
      <c r="ULA58" s="532"/>
      <c r="ULB58" s="532"/>
      <c r="ULC58" s="532"/>
      <c r="ULD58" s="532"/>
      <c r="ULE58" s="532"/>
      <c r="ULF58" s="532"/>
      <c r="ULG58" s="532"/>
      <c r="ULH58" s="532"/>
      <c r="ULI58" s="532"/>
      <c r="ULJ58" s="532"/>
      <c r="ULK58" s="532"/>
      <c r="ULL58" s="532"/>
      <c r="ULM58" s="532"/>
      <c r="ULN58" s="532"/>
      <c r="ULO58" s="532"/>
      <c r="ULP58" s="532"/>
      <c r="ULQ58" s="532"/>
      <c r="ULR58" s="532"/>
      <c r="ULS58" s="532"/>
      <c r="ULT58" s="532"/>
      <c r="ULU58" s="532"/>
      <c r="ULV58" s="532"/>
      <c r="ULW58" s="532"/>
      <c r="ULX58" s="532"/>
      <c r="ULY58" s="532"/>
      <c r="ULZ58" s="532"/>
      <c r="UMA58" s="532"/>
      <c r="UMB58" s="532"/>
      <c r="UMC58" s="532"/>
      <c r="UMD58" s="532"/>
      <c r="UME58" s="532"/>
      <c r="UMF58" s="532"/>
      <c r="UMG58" s="532"/>
      <c r="UMH58" s="532"/>
      <c r="UMI58" s="532"/>
      <c r="UMJ58" s="532"/>
      <c r="UMK58" s="532"/>
      <c r="UML58" s="532"/>
      <c r="UMM58" s="532"/>
      <c r="UMN58" s="532"/>
      <c r="UMO58" s="532"/>
      <c r="UMP58" s="532"/>
      <c r="UMQ58" s="532"/>
      <c r="UMR58" s="532"/>
      <c r="UMS58" s="532"/>
      <c r="UMT58" s="532"/>
      <c r="UMU58" s="532"/>
      <c r="UMV58" s="532"/>
      <c r="UMW58" s="532"/>
      <c r="UMX58" s="532"/>
      <c r="UMY58" s="532"/>
      <c r="UMZ58" s="532"/>
      <c r="UNA58" s="532"/>
      <c r="UNB58" s="532"/>
      <c r="UNC58" s="532"/>
      <c r="UND58" s="532"/>
      <c r="UNE58" s="532"/>
      <c r="UNF58" s="532"/>
      <c r="UNG58" s="532"/>
      <c r="UNH58" s="532"/>
      <c r="UNI58" s="532"/>
      <c r="UNJ58" s="532"/>
      <c r="UNK58" s="532"/>
      <c r="UNL58" s="532"/>
      <c r="UNM58" s="532"/>
      <c r="UNN58" s="532"/>
      <c r="UNO58" s="532"/>
      <c r="UNP58" s="532"/>
      <c r="UNQ58" s="532"/>
      <c r="UNR58" s="532"/>
      <c r="UNS58" s="532"/>
      <c r="UNT58" s="532"/>
      <c r="UNU58" s="532"/>
      <c r="UNV58" s="532"/>
      <c r="UNW58" s="532"/>
      <c r="UNX58" s="532"/>
      <c r="UNY58" s="532"/>
      <c r="UNZ58" s="532"/>
      <c r="UOA58" s="532"/>
      <c r="UOB58" s="532"/>
      <c r="UOC58" s="532"/>
      <c r="UOD58" s="532"/>
      <c r="UOE58" s="532"/>
      <c r="UOF58" s="532"/>
      <c r="UOG58" s="532"/>
      <c r="UOH58" s="532"/>
      <c r="UOI58" s="532"/>
      <c r="UOJ58" s="532"/>
      <c r="UOK58" s="532"/>
      <c r="UOL58" s="532"/>
      <c r="UOM58" s="532"/>
      <c r="UON58" s="532"/>
      <c r="UOO58" s="532"/>
      <c r="UOP58" s="532"/>
      <c r="UOQ58" s="532"/>
      <c r="UOR58" s="532"/>
      <c r="UOS58" s="532"/>
      <c r="UOT58" s="532"/>
      <c r="UOU58" s="532"/>
      <c r="UOV58" s="532"/>
      <c r="UOW58" s="532"/>
      <c r="UOX58" s="532"/>
      <c r="UOY58" s="532"/>
      <c r="UOZ58" s="532"/>
      <c r="UPA58" s="532"/>
      <c r="UPB58" s="532"/>
      <c r="UPC58" s="532"/>
      <c r="UPD58" s="532"/>
      <c r="UPE58" s="532"/>
      <c r="UPF58" s="532"/>
      <c r="UPG58" s="532"/>
      <c r="UPH58" s="532"/>
      <c r="UPI58" s="532"/>
      <c r="UPJ58" s="532"/>
      <c r="UPK58" s="532"/>
      <c r="UPL58" s="532"/>
      <c r="UPM58" s="532"/>
      <c r="UPN58" s="532"/>
      <c r="UPO58" s="532"/>
      <c r="UPP58" s="532"/>
      <c r="UPQ58" s="532"/>
      <c r="UPR58" s="532"/>
      <c r="UPS58" s="532"/>
      <c r="UPT58" s="532"/>
      <c r="UPU58" s="532"/>
      <c r="UPV58" s="532"/>
      <c r="UPW58" s="532"/>
      <c r="UPX58" s="532"/>
      <c r="UPY58" s="532"/>
      <c r="UPZ58" s="532"/>
      <c r="UQA58" s="532"/>
      <c r="UQB58" s="532"/>
      <c r="UQC58" s="532"/>
      <c r="UQD58" s="532"/>
      <c r="UQE58" s="532"/>
      <c r="UQF58" s="532"/>
      <c r="UQG58" s="532"/>
      <c r="UQH58" s="532"/>
      <c r="UQI58" s="532"/>
      <c r="UQJ58" s="532"/>
      <c r="UQK58" s="532"/>
      <c r="UQL58" s="532"/>
      <c r="UQM58" s="532"/>
      <c r="UQN58" s="532"/>
      <c r="UQO58" s="532"/>
      <c r="UQP58" s="532"/>
      <c r="UQQ58" s="532"/>
      <c r="UQR58" s="532"/>
      <c r="UQS58" s="532"/>
      <c r="UQT58" s="532"/>
      <c r="UQU58" s="532"/>
      <c r="UQV58" s="532"/>
      <c r="UQW58" s="532"/>
      <c r="UQX58" s="532"/>
      <c r="UQY58" s="532"/>
      <c r="UQZ58" s="532"/>
      <c r="URA58" s="532"/>
      <c r="URB58" s="532"/>
      <c r="URC58" s="532"/>
      <c r="URD58" s="532"/>
      <c r="URE58" s="532"/>
      <c r="URF58" s="532"/>
      <c r="URG58" s="532"/>
      <c r="URH58" s="532"/>
      <c r="URI58" s="532"/>
      <c r="URJ58" s="532"/>
      <c r="URK58" s="532"/>
      <c r="URL58" s="532"/>
      <c r="URM58" s="532"/>
      <c r="URN58" s="532"/>
      <c r="URO58" s="532"/>
      <c r="URP58" s="532"/>
      <c r="URQ58" s="532"/>
      <c r="URR58" s="532"/>
      <c r="URS58" s="532"/>
      <c r="URT58" s="532"/>
      <c r="URU58" s="532"/>
      <c r="URV58" s="532"/>
      <c r="URW58" s="532"/>
      <c r="URX58" s="532"/>
      <c r="URY58" s="532"/>
      <c r="URZ58" s="532"/>
      <c r="USA58" s="532"/>
      <c r="USB58" s="532"/>
      <c r="USC58" s="532"/>
      <c r="USD58" s="532"/>
      <c r="USE58" s="532"/>
      <c r="USF58" s="532"/>
      <c r="USG58" s="532"/>
      <c r="USH58" s="532"/>
      <c r="USI58" s="532"/>
      <c r="USJ58" s="532"/>
      <c r="USK58" s="532"/>
      <c r="USL58" s="532"/>
      <c r="USM58" s="532"/>
      <c r="USN58" s="532"/>
      <c r="USO58" s="532"/>
      <c r="USP58" s="532"/>
      <c r="USQ58" s="532"/>
      <c r="USR58" s="532"/>
      <c r="USS58" s="532"/>
      <c r="UST58" s="532"/>
      <c r="USU58" s="532"/>
      <c r="USV58" s="532"/>
      <c r="USW58" s="532"/>
      <c r="USX58" s="532"/>
      <c r="USY58" s="532"/>
      <c r="USZ58" s="532"/>
      <c r="UTA58" s="532"/>
      <c r="UTB58" s="532"/>
      <c r="UTC58" s="532"/>
      <c r="UTD58" s="532"/>
      <c r="UTE58" s="532"/>
      <c r="UTF58" s="532"/>
      <c r="UTG58" s="532"/>
      <c r="UTH58" s="532"/>
      <c r="UTI58" s="532"/>
      <c r="UTJ58" s="532"/>
      <c r="UTK58" s="532"/>
      <c r="UTL58" s="532"/>
      <c r="UTM58" s="532"/>
      <c r="UTN58" s="532"/>
      <c r="UTO58" s="532"/>
      <c r="UTP58" s="532"/>
      <c r="UTQ58" s="532"/>
      <c r="UTR58" s="532"/>
      <c r="UTS58" s="532"/>
      <c r="UTT58" s="532"/>
      <c r="UTU58" s="532"/>
      <c r="UTV58" s="532"/>
      <c r="UTW58" s="532"/>
      <c r="UTX58" s="532"/>
      <c r="UTY58" s="532"/>
      <c r="UTZ58" s="532"/>
      <c r="UUA58" s="532"/>
      <c r="UUB58" s="532"/>
      <c r="UUC58" s="532"/>
      <c r="UUD58" s="532"/>
      <c r="UUE58" s="532"/>
      <c r="UUF58" s="532"/>
      <c r="UUG58" s="532"/>
      <c r="UUH58" s="532"/>
      <c r="UUI58" s="532"/>
      <c r="UUJ58" s="532"/>
      <c r="UUK58" s="532"/>
      <c r="UUL58" s="532"/>
      <c r="UUM58" s="532"/>
      <c r="UUN58" s="532"/>
      <c r="UUO58" s="532"/>
      <c r="UUP58" s="532"/>
      <c r="UUQ58" s="532"/>
      <c r="UUR58" s="532"/>
      <c r="UUS58" s="532"/>
      <c r="UUT58" s="532"/>
      <c r="UUU58" s="532"/>
      <c r="UUV58" s="532"/>
      <c r="UUW58" s="532"/>
      <c r="UUX58" s="532"/>
      <c r="UUY58" s="532"/>
      <c r="UUZ58" s="532"/>
      <c r="UVA58" s="532"/>
      <c r="UVB58" s="532"/>
      <c r="UVC58" s="532"/>
      <c r="UVD58" s="532"/>
      <c r="UVE58" s="532"/>
      <c r="UVF58" s="532"/>
      <c r="UVG58" s="532"/>
      <c r="UVH58" s="532"/>
      <c r="UVI58" s="532"/>
      <c r="UVJ58" s="532"/>
      <c r="UVK58" s="532"/>
      <c r="UVL58" s="532"/>
      <c r="UVM58" s="532"/>
      <c r="UVN58" s="532"/>
      <c r="UVO58" s="532"/>
      <c r="UVP58" s="532"/>
      <c r="UVQ58" s="532"/>
      <c r="UVR58" s="532"/>
      <c r="UVS58" s="532"/>
      <c r="UVT58" s="532"/>
      <c r="UVU58" s="532"/>
      <c r="UVV58" s="532"/>
      <c r="UVW58" s="532"/>
      <c r="UVX58" s="532"/>
      <c r="UVY58" s="532"/>
      <c r="UVZ58" s="532"/>
      <c r="UWA58" s="532"/>
      <c r="UWB58" s="532"/>
      <c r="UWC58" s="532"/>
      <c r="UWD58" s="532"/>
      <c r="UWE58" s="532"/>
      <c r="UWF58" s="532"/>
      <c r="UWG58" s="532"/>
      <c r="UWH58" s="532"/>
      <c r="UWI58" s="532"/>
      <c r="UWJ58" s="532"/>
      <c r="UWK58" s="532"/>
      <c r="UWL58" s="532"/>
      <c r="UWM58" s="532"/>
      <c r="UWN58" s="532"/>
      <c r="UWO58" s="532"/>
      <c r="UWP58" s="532"/>
      <c r="UWQ58" s="532"/>
      <c r="UWR58" s="532"/>
      <c r="UWS58" s="532"/>
      <c r="UWT58" s="532"/>
      <c r="UWU58" s="532"/>
      <c r="UWV58" s="532"/>
      <c r="UWW58" s="532"/>
      <c r="UWX58" s="532"/>
      <c r="UWY58" s="532"/>
      <c r="UWZ58" s="532"/>
      <c r="UXA58" s="532"/>
      <c r="UXB58" s="532"/>
      <c r="UXC58" s="532"/>
      <c r="UXD58" s="532"/>
      <c r="UXE58" s="532"/>
      <c r="UXF58" s="532"/>
      <c r="UXG58" s="532"/>
      <c r="UXH58" s="532"/>
      <c r="UXI58" s="532"/>
      <c r="UXJ58" s="532"/>
      <c r="UXK58" s="532"/>
      <c r="UXL58" s="532"/>
      <c r="UXM58" s="532"/>
      <c r="UXN58" s="532"/>
      <c r="UXO58" s="532"/>
      <c r="UXP58" s="532"/>
      <c r="UXQ58" s="532"/>
      <c r="UXR58" s="532"/>
      <c r="UXS58" s="532"/>
      <c r="UXT58" s="532"/>
      <c r="UXU58" s="532"/>
      <c r="UXV58" s="532"/>
      <c r="UXW58" s="532"/>
      <c r="UXX58" s="532"/>
      <c r="UXY58" s="532"/>
      <c r="UXZ58" s="532"/>
      <c r="UYA58" s="532"/>
      <c r="UYB58" s="532"/>
      <c r="UYC58" s="532"/>
      <c r="UYD58" s="532"/>
      <c r="UYE58" s="532"/>
      <c r="UYF58" s="532"/>
      <c r="UYG58" s="532"/>
      <c r="UYH58" s="532"/>
      <c r="UYI58" s="532"/>
      <c r="UYJ58" s="532"/>
      <c r="UYK58" s="532"/>
      <c r="UYL58" s="532"/>
      <c r="UYM58" s="532"/>
      <c r="UYN58" s="532"/>
      <c r="UYO58" s="532"/>
      <c r="UYP58" s="532"/>
      <c r="UYQ58" s="532"/>
      <c r="UYR58" s="532"/>
      <c r="UYS58" s="532"/>
      <c r="UYT58" s="532"/>
      <c r="UYU58" s="532"/>
      <c r="UYV58" s="532"/>
      <c r="UYW58" s="532"/>
      <c r="UYX58" s="532"/>
      <c r="UYY58" s="532"/>
      <c r="UYZ58" s="532"/>
      <c r="UZA58" s="532"/>
      <c r="UZB58" s="532"/>
      <c r="UZC58" s="532"/>
      <c r="UZD58" s="532"/>
      <c r="UZE58" s="532"/>
      <c r="UZF58" s="532"/>
      <c r="UZG58" s="532"/>
      <c r="UZH58" s="532"/>
      <c r="UZI58" s="532"/>
      <c r="UZJ58" s="532"/>
      <c r="UZK58" s="532"/>
      <c r="UZL58" s="532"/>
      <c r="UZM58" s="532"/>
      <c r="UZN58" s="532"/>
      <c r="UZO58" s="532"/>
      <c r="UZP58" s="532"/>
      <c r="UZQ58" s="532"/>
      <c r="UZR58" s="532"/>
      <c r="UZS58" s="532"/>
      <c r="UZT58" s="532"/>
      <c r="UZU58" s="532"/>
      <c r="UZV58" s="532"/>
      <c r="UZW58" s="532"/>
      <c r="UZX58" s="532"/>
      <c r="UZY58" s="532"/>
      <c r="UZZ58" s="532"/>
      <c r="VAA58" s="532"/>
      <c r="VAB58" s="532"/>
      <c r="VAC58" s="532"/>
      <c r="VAD58" s="532"/>
      <c r="VAE58" s="532"/>
      <c r="VAF58" s="532"/>
      <c r="VAG58" s="532"/>
      <c r="VAH58" s="532"/>
      <c r="VAI58" s="532"/>
      <c r="VAJ58" s="532"/>
      <c r="VAK58" s="532"/>
      <c r="VAL58" s="532"/>
      <c r="VAM58" s="532"/>
      <c r="VAN58" s="532"/>
      <c r="VAO58" s="532"/>
      <c r="VAP58" s="532"/>
      <c r="VAQ58" s="532"/>
      <c r="VAR58" s="532"/>
      <c r="VAS58" s="532"/>
      <c r="VAT58" s="532"/>
      <c r="VAU58" s="532"/>
      <c r="VAV58" s="532"/>
      <c r="VAW58" s="532"/>
      <c r="VAX58" s="532"/>
      <c r="VAY58" s="532"/>
      <c r="VAZ58" s="532"/>
      <c r="VBA58" s="532"/>
      <c r="VBB58" s="532"/>
      <c r="VBC58" s="532"/>
      <c r="VBD58" s="532"/>
      <c r="VBE58" s="532"/>
      <c r="VBF58" s="532"/>
      <c r="VBG58" s="532"/>
      <c r="VBH58" s="532"/>
      <c r="VBI58" s="532"/>
      <c r="VBJ58" s="532"/>
      <c r="VBK58" s="532"/>
      <c r="VBL58" s="532"/>
      <c r="VBM58" s="532"/>
      <c r="VBN58" s="532"/>
      <c r="VBO58" s="532"/>
      <c r="VBP58" s="532"/>
      <c r="VBQ58" s="532"/>
      <c r="VBR58" s="532"/>
      <c r="VBS58" s="532"/>
      <c r="VBT58" s="532"/>
      <c r="VBU58" s="532"/>
      <c r="VBV58" s="532"/>
      <c r="VBW58" s="532"/>
      <c r="VBX58" s="532"/>
      <c r="VBY58" s="532"/>
      <c r="VBZ58" s="532"/>
      <c r="VCA58" s="532"/>
      <c r="VCB58" s="532"/>
      <c r="VCC58" s="532"/>
      <c r="VCD58" s="532"/>
      <c r="VCE58" s="532"/>
      <c r="VCF58" s="532"/>
      <c r="VCG58" s="532"/>
      <c r="VCH58" s="532"/>
      <c r="VCI58" s="532"/>
      <c r="VCJ58" s="532"/>
      <c r="VCK58" s="532"/>
      <c r="VCL58" s="532"/>
      <c r="VCM58" s="532"/>
      <c r="VCN58" s="532"/>
      <c r="VCO58" s="532"/>
      <c r="VCP58" s="532"/>
      <c r="VCQ58" s="532"/>
      <c r="VCR58" s="532"/>
      <c r="VCS58" s="532"/>
      <c r="VCT58" s="532"/>
      <c r="VCU58" s="532"/>
      <c r="VCV58" s="532"/>
      <c r="VCW58" s="532"/>
      <c r="VCX58" s="532"/>
      <c r="VCY58" s="532"/>
      <c r="VCZ58" s="532"/>
      <c r="VDA58" s="532"/>
      <c r="VDB58" s="532"/>
      <c r="VDC58" s="532"/>
      <c r="VDD58" s="532"/>
      <c r="VDE58" s="532"/>
      <c r="VDF58" s="532"/>
      <c r="VDG58" s="532"/>
      <c r="VDH58" s="532"/>
      <c r="VDI58" s="532"/>
      <c r="VDJ58" s="532"/>
      <c r="VDK58" s="532"/>
      <c r="VDL58" s="532"/>
      <c r="VDM58" s="532"/>
      <c r="VDN58" s="532"/>
      <c r="VDO58" s="532"/>
      <c r="VDP58" s="532"/>
      <c r="VDQ58" s="532"/>
      <c r="VDR58" s="532"/>
      <c r="VDS58" s="532"/>
      <c r="VDT58" s="532"/>
      <c r="VDU58" s="532"/>
      <c r="VDV58" s="532"/>
      <c r="VDW58" s="532"/>
      <c r="VDX58" s="532"/>
      <c r="VDY58" s="532"/>
      <c r="VDZ58" s="532"/>
      <c r="VEA58" s="532"/>
      <c r="VEB58" s="532"/>
      <c r="VEC58" s="532"/>
      <c r="VED58" s="532"/>
      <c r="VEE58" s="532"/>
      <c r="VEF58" s="532"/>
      <c r="VEG58" s="532"/>
      <c r="VEH58" s="532"/>
      <c r="VEI58" s="532"/>
      <c r="VEJ58" s="532"/>
      <c r="VEK58" s="532"/>
      <c r="VEL58" s="532"/>
      <c r="VEM58" s="532"/>
      <c r="VEN58" s="532"/>
      <c r="VEO58" s="532"/>
      <c r="VEP58" s="532"/>
      <c r="VEQ58" s="532"/>
      <c r="VER58" s="532"/>
      <c r="VES58" s="532"/>
      <c r="VET58" s="532"/>
      <c r="VEU58" s="532"/>
      <c r="VEV58" s="532"/>
      <c r="VEW58" s="532"/>
      <c r="VEX58" s="532"/>
      <c r="VEY58" s="532"/>
      <c r="VEZ58" s="532"/>
      <c r="VFA58" s="532"/>
      <c r="VFB58" s="532"/>
      <c r="VFC58" s="532"/>
      <c r="VFD58" s="532"/>
      <c r="VFE58" s="532"/>
      <c r="VFF58" s="532"/>
      <c r="VFG58" s="532"/>
      <c r="VFH58" s="532"/>
      <c r="VFI58" s="532"/>
      <c r="VFJ58" s="532"/>
      <c r="VFK58" s="532"/>
      <c r="VFL58" s="532"/>
      <c r="VFM58" s="532"/>
      <c r="VFN58" s="532"/>
      <c r="VFO58" s="532"/>
      <c r="VFP58" s="532"/>
      <c r="VFQ58" s="532"/>
      <c r="VFR58" s="532"/>
      <c r="VFS58" s="532"/>
      <c r="VFT58" s="532"/>
      <c r="VFU58" s="532"/>
      <c r="VFV58" s="532"/>
      <c r="VFW58" s="532"/>
      <c r="VFX58" s="532"/>
      <c r="VFY58" s="532"/>
      <c r="VFZ58" s="532"/>
      <c r="VGA58" s="532"/>
      <c r="VGB58" s="532"/>
      <c r="VGC58" s="532"/>
      <c r="VGD58" s="532"/>
      <c r="VGE58" s="532"/>
      <c r="VGF58" s="532"/>
      <c r="VGG58" s="532"/>
      <c r="VGH58" s="532"/>
      <c r="VGI58" s="532"/>
      <c r="VGJ58" s="532"/>
      <c r="VGK58" s="532"/>
      <c r="VGL58" s="532"/>
      <c r="VGM58" s="532"/>
      <c r="VGN58" s="532"/>
      <c r="VGO58" s="532"/>
      <c r="VGP58" s="532"/>
      <c r="VGQ58" s="532"/>
      <c r="VGR58" s="532"/>
      <c r="VGS58" s="532"/>
      <c r="VGT58" s="532"/>
      <c r="VGU58" s="532"/>
      <c r="VGV58" s="532"/>
      <c r="VGW58" s="532"/>
      <c r="VGX58" s="532"/>
      <c r="VGY58" s="532"/>
      <c r="VGZ58" s="532"/>
      <c r="VHA58" s="532"/>
      <c r="VHB58" s="532"/>
      <c r="VHC58" s="532"/>
      <c r="VHD58" s="532"/>
      <c r="VHE58" s="532"/>
      <c r="VHF58" s="532"/>
      <c r="VHG58" s="532"/>
      <c r="VHH58" s="532"/>
      <c r="VHI58" s="532"/>
      <c r="VHJ58" s="532"/>
      <c r="VHK58" s="532"/>
      <c r="VHL58" s="532"/>
      <c r="VHM58" s="532"/>
      <c r="VHN58" s="532"/>
      <c r="VHO58" s="532"/>
      <c r="VHP58" s="532"/>
      <c r="VHQ58" s="532"/>
      <c r="VHR58" s="532"/>
      <c r="VHS58" s="532"/>
      <c r="VHT58" s="532"/>
      <c r="VHU58" s="532"/>
      <c r="VHV58" s="532"/>
      <c r="VHW58" s="532"/>
      <c r="VHX58" s="532"/>
      <c r="VHY58" s="532"/>
      <c r="VHZ58" s="532"/>
      <c r="VIA58" s="532"/>
      <c r="VIB58" s="532"/>
      <c r="VIC58" s="532"/>
      <c r="VID58" s="532"/>
      <c r="VIE58" s="532"/>
      <c r="VIF58" s="532"/>
      <c r="VIG58" s="532"/>
      <c r="VIH58" s="532"/>
      <c r="VII58" s="532"/>
      <c r="VIJ58" s="532"/>
      <c r="VIK58" s="532"/>
      <c r="VIL58" s="532"/>
      <c r="VIM58" s="532"/>
      <c r="VIN58" s="532"/>
      <c r="VIO58" s="532"/>
      <c r="VIP58" s="532"/>
      <c r="VIQ58" s="532"/>
      <c r="VIR58" s="532"/>
      <c r="VIS58" s="532"/>
      <c r="VIT58" s="532"/>
      <c r="VIU58" s="532"/>
      <c r="VIV58" s="532"/>
      <c r="VIW58" s="532"/>
      <c r="VIX58" s="532"/>
      <c r="VIY58" s="532"/>
      <c r="VIZ58" s="532"/>
      <c r="VJA58" s="532"/>
      <c r="VJB58" s="532"/>
      <c r="VJC58" s="532"/>
      <c r="VJD58" s="532"/>
      <c r="VJE58" s="532"/>
      <c r="VJF58" s="532"/>
      <c r="VJG58" s="532"/>
      <c r="VJH58" s="532"/>
      <c r="VJI58" s="532"/>
      <c r="VJJ58" s="532"/>
      <c r="VJK58" s="532"/>
      <c r="VJL58" s="532"/>
      <c r="VJM58" s="532"/>
      <c r="VJN58" s="532"/>
      <c r="VJO58" s="532"/>
      <c r="VJP58" s="532"/>
      <c r="VJQ58" s="532"/>
      <c r="VJR58" s="532"/>
      <c r="VJS58" s="532"/>
      <c r="VJT58" s="532"/>
      <c r="VJU58" s="532"/>
      <c r="VJV58" s="532"/>
      <c r="VJW58" s="532"/>
      <c r="VJX58" s="532"/>
      <c r="VJY58" s="532"/>
      <c r="VJZ58" s="532"/>
      <c r="VKA58" s="532"/>
      <c r="VKB58" s="532"/>
      <c r="VKC58" s="532"/>
      <c r="VKD58" s="532"/>
      <c r="VKE58" s="532"/>
      <c r="VKF58" s="532"/>
      <c r="VKG58" s="532"/>
      <c r="VKH58" s="532"/>
      <c r="VKI58" s="532"/>
      <c r="VKJ58" s="532"/>
      <c r="VKK58" s="532"/>
      <c r="VKL58" s="532"/>
      <c r="VKM58" s="532"/>
      <c r="VKN58" s="532"/>
      <c r="VKO58" s="532"/>
      <c r="VKP58" s="532"/>
      <c r="VKQ58" s="532"/>
      <c r="VKR58" s="532"/>
      <c r="VKS58" s="532"/>
      <c r="VKT58" s="532"/>
      <c r="VKU58" s="532"/>
      <c r="VKV58" s="532"/>
      <c r="VKW58" s="532"/>
      <c r="VKX58" s="532"/>
      <c r="VKY58" s="532"/>
      <c r="VKZ58" s="532"/>
      <c r="VLA58" s="532"/>
      <c r="VLB58" s="532"/>
      <c r="VLC58" s="532"/>
      <c r="VLD58" s="532"/>
      <c r="VLE58" s="532"/>
      <c r="VLF58" s="532"/>
      <c r="VLG58" s="532"/>
      <c r="VLH58" s="532"/>
      <c r="VLI58" s="532"/>
      <c r="VLJ58" s="532"/>
      <c r="VLK58" s="532"/>
      <c r="VLL58" s="532"/>
      <c r="VLM58" s="532"/>
      <c r="VLN58" s="532"/>
      <c r="VLO58" s="532"/>
      <c r="VLP58" s="532"/>
      <c r="VLQ58" s="532"/>
      <c r="VLR58" s="532"/>
      <c r="VLS58" s="532"/>
      <c r="VLT58" s="532"/>
      <c r="VLU58" s="532"/>
      <c r="VLV58" s="532"/>
      <c r="VLW58" s="532"/>
      <c r="VLX58" s="532"/>
      <c r="VLY58" s="532"/>
      <c r="VLZ58" s="532"/>
      <c r="VMA58" s="532"/>
      <c r="VMB58" s="532"/>
      <c r="VMC58" s="532"/>
      <c r="VMD58" s="532"/>
      <c r="VME58" s="532"/>
      <c r="VMF58" s="532"/>
      <c r="VMG58" s="532"/>
      <c r="VMH58" s="532"/>
      <c r="VMI58" s="532"/>
      <c r="VMJ58" s="532"/>
      <c r="VMK58" s="532"/>
      <c r="VML58" s="532"/>
      <c r="VMM58" s="532"/>
      <c r="VMN58" s="532"/>
      <c r="VMO58" s="532"/>
      <c r="VMP58" s="532"/>
      <c r="VMQ58" s="532"/>
      <c r="VMR58" s="532"/>
      <c r="VMS58" s="532"/>
      <c r="VMT58" s="532"/>
      <c r="VMU58" s="532"/>
      <c r="VMV58" s="532"/>
      <c r="VMW58" s="532"/>
      <c r="VMX58" s="532"/>
      <c r="VMY58" s="532"/>
      <c r="VMZ58" s="532"/>
      <c r="VNA58" s="532"/>
      <c r="VNB58" s="532"/>
      <c r="VNC58" s="532"/>
      <c r="VND58" s="532"/>
      <c r="VNE58" s="532"/>
      <c r="VNF58" s="532"/>
      <c r="VNG58" s="532"/>
      <c r="VNH58" s="532"/>
      <c r="VNI58" s="532"/>
      <c r="VNJ58" s="532"/>
      <c r="VNK58" s="532"/>
      <c r="VNL58" s="532"/>
      <c r="VNM58" s="532"/>
      <c r="VNN58" s="532"/>
      <c r="VNO58" s="532"/>
      <c r="VNP58" s="532"/>
      <c r="VNQ58" s="532"/>
      <c r="VNR58" s="532"/>
      <c r="VNS58" s="532"/>
      <c r="VNT58" s="532"/>
      <c r="VNU58" s="532"/>
      <c r="VNV58" s="532"/>
      <c r="VNW58" s="532"/>
      <c r="VNX58" s="532"/>
      <c r="VNY58" s="532"/>
      <c r="VNZ58" s="532"/>
      <c r="VOA58" s="532"/>
      <c r="VOB58" s="532"/>
      <c r="VOC58" s="532"/>
      <c r="VOD58" s="532"/>
      <c r="VOE58" s="532"/>
      <c r="VOF58" s="532"/>
      <c r="VOG58" s="532"/>
      <c r="VOH58" s="532"/>
      <c r="VOI58" s="532"/>
      <c r="VOJ58" s="532"/>
      <c r="VOK58" s="532"/>
      <c r="VOL58" s="532"/>
      <c r="VOM58" s="532"/>
      <c r="VON58" s="532"/>
      <c r="VOO58" s="532"/>
      <c r="VOP58" s="532"/>
      <c r="VOQ58" s="532"/>
      <c r="VOR58" s="532"/>
      <c r="VOS58" s="532"/>
      <c r="VOT58" s="532"/>
      <c r="VOU58" s="532"/>
      <c r="VOV58" s="532"/>
      <c r="VOW58" s="532"/>
      <c r="VOX58" s="532"/>
      <c r="VOY58" s="532"/>
      <c r="VOZ58" s="532"/>
      <c r="VPA58" s="532"/>
      <c r="VPB58" s="532"/>
      <c r="VPC58" s="532"/>
      <c r="VPD58" s="532"/>
      <c r="VPE58" s="532"/>
      <c r="VPF58" s="532"/>
      <c r="VPG58" s="532"/>
      <c r="VPH58" s="532"/>
      <c r="VPI58" s="532"/>
      <c r="VPJ58" s="532"/>
      <c r="VPK58" s="532"/>
      <c r="VPL58" s="532"/>
      <c r="VPM58" s="532"/>
      <c r="VPN58" s="532"/>
      <c r="VPO58" s="532"/>
      <c r="VPP58" s="532"/>
      <c r="VPQ58" s="532"/>
      <c r="VPR58" s="532"/>
      <c r="VPS58" s="532"/>
      <c r="VPT58" s="532"/>
      <c r="VPU58" s="532"/>
      <c r="VPV58" s="532"/>
      <c r="VPW58" s="532"/>
      <c r="VPX58" s="532"/>
      <c r="VPY58" s="532"/>
      <c r="VPZ58" s="532"/>
      <c r="VQA58" s="532"/>
      <c r="VQB58" s="532"/>
      <c r="VQC58" s="532"/>
      <c r="VQD58" s="532"/>
      <c r="VQE58" s="532"/>
      <c r="VQF58" s="532"/>
      <c r="VQG58" s="532"/>
      <c r="VQH58" s="532"/>
      <c r="VQI58" s="532"/>
      <c r="VQJ58" s="532"/>
      <c r="VQK58" s="532"/>
      <c r="VQL58" s="532"/>
      <c r="VQM58" s="532"/>
      <c r="VQN58" s="532"/>
      <c r="VQO58" s="532"/>
      <c r="VQP58" s="532"/>
      <c r="VQQ58" s="532"/>
      <c r="VQR58" s="532"/>
      <c r="VQS58" s="532"/>
      <c r="VQT58" s="532"/>
      <c r="VQU58" s="532"/>
      <c r="VQV58" s="532"/>
      <c r="VQW58" s="532"/>
      <c r="VQX58" s="532"/>
      <c r="VQY58" s="532"/>
      <c r="VQZ58" s="532"/>
      <c r="VRA58" s="532"/>
      <c r="VRB58" s="532"/>
      <c r="VRC58" s="532"/>
      <c r="VRD58" s="532"/>
      <c r="VRE58" s="532"/>
      <c r="VRF58" s="532"/>
      <c r="VRG58" s="532"/>
      <c r="VRH58" s="532"/>
      <c r="VRI58" s="532"/>
      <c r="VRJ58" s="532"/>
      <c r="VRK58" s="532"/>
      <c r="VRL58" s="532"/>
      <c r="VRM58" s="532"/>
      <c r="VRN58" s="532"/>
      <c r="VRO58" s="532"/>
      <c r="VRP58" s="532"/>
      <c r="VRQ58" s="532"/>
      <c r="VRR58" s="532"/>
      <c r="VRS58" s="532"/>
      <c r="VRT58" s="532"/>
      <c r="VRU58" s="532"/>
      <c r="VRV58" s="532"/>
      <c r="VRW58" s="532"/>
      <c r="VRX58" s="532"/>
      <c r="VRY58" s="532"/>
      <c r="VRZ58" s="532"/>
      <c r="VSA58" s="532"/>
      <c r="VSB58" s="532"/>
      <c r="VSC58" s="532"/>
      <c r="VSD58" s="532"/>
      <c r="VSE58" s="532"/>
      <c r="VSF58" s="532"/>
      <c r="VSG58" s="532"/>
      <c r="VSH58" s="532"/>
      <c r="VSI58" s="532"/>
      <c r="VSJ58" s="532"/>
      <c r="VSK58" s="532"/>
      <c r="VSL58" s="532"/>
      <c r="VSM58" s="532"/>
      <c r="VSN58" s="532"/>
      <c r="VSO58" s="532"/>
      <c r="VSP58" s="532"/>
      <c r="VSQ58" s="532"/>
      <c r="VSR58" s="532"/>
      <c r="VSS58" s="532"/>
      <c r="VST58" s="532"/>
      <c r="VSU58" s="532"/>
      <c r="VSV58" s="532"/>
      <c r="VSW58" s="532"/>
      <c r="VSX58" s="532"/>
      <c r="VSY58" s="532"/>
      <c r="VSZ58" s="532"/>
      <c r="VTA58" s="532"/>
      <c r="VTB58" s="532"/>
      <c r="VTC58" s="532"/>
      <c r="VTD58" s="532"/>
      <c r="VTE58" s="532"/>
      <c r="VTF58" s="532"/>
      <c r="VTG58" s="532"/>
      <c r="VTH58" s="532"/>
      <c r="VTI58" s="532"/>
      <c r="VTJ58" s="532"/>
      <c r="VTK58" s="532"/>
      <c r="VTL58" s="532"/>
      <c r="VTM58" s="532"/>
      <c r="VTN58" s="532"/>
      <c r="VTO58" s="532"/>
      <c r="VTP58" s="532"/>
      <c r="VTQ58" s="532"/>
      <c r="VTR58" s="532"/>
      <c r="VTS58" s="532"/>
      <c r="VTT58" s="532"/>
      <c r="VTU58" s="532"/>
      <c r="VTV58" s="532"/>
      <c r="VTW58" s="532"/>
      <c r="VTX58" s="532"/>
      <c r="VTY58" s="532"/>
      <c r="VTZ58" s="532"/>
      <c r="VUA58" s="532"/>
      <c r="VUB58" s="532"/>
      <c r="VUC58" s="532"/>
      <c r="VUD58" s="532"/>
      <c r="VUE58" s="532"/>
      <c r="VUF58" s="532"/>
      <c r="VUG58" s="532"/>
      <c r="VUH58" s="532"/>
      <c r="VUI58" s="532"/>
      <c r="VUJ58" s="532"/>
      <c r="VUK58" s="532"/>
      <c r="VUL58" s="532"/>
      <c r="VUM58" s="532"/>
      <c r="VUN58" s="532"/>
      <c r="VUO58" s="532"/>
      <c r="VUP58" s="532"/>
      <c r="VUQ58" s="532"/>
      <c r="VUR58" s="532"/>
      <c r="VUS58" s="532"/>
      <c r="VUT58" s="532"/>
      <c r="VUU58" s="532"/>
      <c r="VUV58" s="532"/>
      <c r="VUW58" s="532"/>
      <c r="VUX58" s="532"/>
      <c r="VUY58" s="532"/>
      <c r="VUZ58" s="532"/>
      <c r="VVA58" s="532"/>
      <c r="VVB58" s="532"/>
      <c r="VVC58" s="532"/>
      <c r="VVD58" s="532"/>
      <c r="VVE58" s="532"/>
      <c r="VVF58" s="532"/>
      <c r="VVG58" s="532"/>
      <c r="VVH58" s="532"/>
      <c r="VVI58" s="532"/>
      <c r="VVJ58" s="532"/>
      <c r="VVK58" s="532"/>
      <c r="VVL58" s="532"/>
      <c r="VVM58" s="532"/>
      <c r="VVN58" s="532"/>
      <c r="VVO58" s="532"/>
      <c r="VVP58" s="532"/>
      <c r="VVQ58" s="532"/>
      <c r="VVR58" s="532"/>
      <c r="VVS58" s="532"/>
      <c r="VVT58" s="532"/>
      <c r="VVU58" s="532"/>
      <c r="VVV58" s="532"/>
      <c r="VVW58" s="532"/>
      <c r="VVX58" s="532"/>
      <c r="VVY58" s="532"/>
      <c r="VVZ58" s="532"/>
      <c r="VWA58" s="532"/>
      <c r="VWB58" s="532"/>
      <c r="VWC58" s="532"/>
      <c r="VWD58" s="532"/>
      <c r="VWE58" s="532"/>
      <c r="VWF58" s="532"/>
      <c r="VWG58" s="532"/>
      <c r="VWH58" s="532"/>
      <c r="VWI58" s="532"/>
      <c r="VWJ58" s="532"/>
      <c r="VWK58" s="532"/>
      <c r="VWL58" s="532"/>
      <c r="VWM58" s="532"/>
      <c r="VWN58" s="532"/>
      <c r="VWO58" s="532"/>
      <c r="VWP58" s="532"/>
      <c r="VWQ58" s="532"/>
      <c r="VWR58" s="532"/>
      <c r="VWS58" s="532"/>
      <c r="VWT58" s="532"/>
      <c r="VWU58" s="532"/>
      <c r="VWV58" s="532"/>
      <c r="VWW58" s="532"/>
      <c r="VWX58" s="532"/>
      <c r="VWY58" s="532"/>
      <c r="VWZ58" s="532"/>
      <c r="VXA58" s="532"/>
      <c r="VXB58" s="532"/>
      <c r="VXC58" s="532"/>
      <c r="VXD58" s="532"/>
      <c r="VXE58" s="532"/>
      <c r="VXF58" s="532"/>
      <c r="VXG58" s="532"/>
      <c r="VXH58" s="532"/>
      <c r="VXI58" s="532"/>
      <c r="VXJ58" s="532"/>
      <c r="VXK58" s="532"/>
      <c r="VXL58" s="532"/>
      <c r="VXM58" s="532"/>
      <c r="VXN58" s="532"/>
      <c r="VXO58" s="532"/>
      <c r="VXP58" s="532"/>
      <c r="VXQ58" s="532"/>
      <c r="VXR58" s="532"/>
      <c r="VXS58" s="532"/>
      <c r="VXT58" s="532"/>
      <c r="VXU58" s="532"/>
      <c r="VXV58" s="532"/>
      <c r="VXW58" s="532"/>
      <c r="VXX58" s="532"/>
      <c r="VXY58" s="532"/>
      <c r="VXZ58" s="532"/>
      <c r="VYA58" s="532"/>
      <c r="VYB58" s="532"/>
      <c r="VYC58" s="532"/>
      <c r="VYD58" s="532"/>
      <c r="VYE58" s="532"/>
      <c r="VYF58" s="532"/>
      <c r="VYG58" s="532"/>
      <c r="VYH58" s="532"/>
      <c r="VYI58" s="532"/>
      <c r="VYJ58" s="532"/>
      <c r="VYK58" s="532"/>
      <c r="VYL58" s="532"/>
      <c r="VYM58" s="532"/>
      <c r="VYN58" s="532"/>
      <c r="VYO58" s="532"/>
      <c r="VYP58" s="532"/>
      <c r="VYQ58" s="532"/>
      <c r="VYR58" s="532"/>
      <c r="VYS58" s="532"/>
      <c r="VYT58" s="532"/>
      <c r="VYU58" s="532"/>
      <c r="VYV58" s="532"/>
      <c r="VYW58" s="532"/>
      <c r="VYX58" s="532"/>
      <c r="VYY58" s="532"/>
      <c r="VYZ58" s="532"/>
      <c r="VZA58" s="532"/>
      <c r="VZB58" s="532"/>
      <c r="VZC58" s="532"/>
      <c r="VZD58" s="532"/>
      <c r="VZE58" s="532"/>
      <c r="VZF58" s="532"/>
      <c r="VZG58" s="532"/>
      <c r="VZH58" s="532"/>
      <c r="VZI58" s="532"/>
      <c r="VZJ58" s="532"/>
      <c r="VZK58" s="532"/>
      <c r="VZL58" s="532"/>
      <c r="VZM58" s="532"/>
      <c r="VZN58" s="532"/>
      <c r="VZO58" s="532"/>
      <c r="VZP58" s="532"/>
      <c r="VZQ58" s="532"/>
      <c r="VZR58" s="532"/>
      <c r="VZS58" s="532"/>
      <c r="VZT58" s="532"/>
      <c r="VZU58" s="532"/>
      <c r="VZV58" s="532"/>
      <c r="VZW58" s="532"/>
      <c r="VZX58" s="532"/>
      <c r="VZY58" s="532"/>
      <c r="VZZ58" s="532"/>
      <c r="WAA58" s="532"/>
      <c r="WAB58" s="532"/>
      <c r="WAC58" s="532"/>
      <c r="WAD58" s="532"/>
      <c r="WAE58" s="532"/>
      <c r="WAF58" s="532"/>
      <c r="WAG58" s="532"/>
      <c r="WAH58" s="532"/>
      <c r="WAI58" s="532"/>
      <c r="WAJ58" s="532"/>
      <c r="WAK58" s="532"/>
      <c r="WAL58" s="532"/>
      <c r="WAM58" s="532"/>
      <c r="WAN58" s="532"/>
      <c r="WAO58" s="532"/>
      <c r="WAP58" s="532"/>
      <c r="WAQ58" s="532"/>
      <c r="WAR58" s="532"/>
      <c r="WAS58" s="532"/>
      <c r="WAT58" s="532"/>
      <c r="WAU58" s="532"/>
      <c r="WAV58" s="532"/>
      <c r="WAW58" s="532"/>
      <c r="WAX58" s="532"/>
      <c r="WAY58" s="532"/>
      <c r="WAZ58" s="532"/>
      <c r="WBA58" s="532"/>
      <c r="WBB58" s="532"/>
      <c r="WBC58" s="532"/>
      <c r="WBD58" s="532"/>
      <c r="WBE58" s="532"/>
      <c r="WBF58" s="532"/>
      <c r="WBG58" s="532"/>
      <c r="WBH58" s="532"/>
      <c r="WBI58" s="532"/>
      <c r="WBJ58" s="532"/>
      <c r="WBK58" s="532"/>
      <c r="WBL58" s="532"/>
      <c r="WBM58" s="532"/>
      <c r="WBN58" s="532"/>
      <c r="WBO58" s="532"/>
      <c r="WBP58" s="532"/>
      <c r="WBQ58" s="532"/>
      <c r="WBR58" s="532"/>
      <c r="WBS58" s="532"/>
      <c r="WBT58" s="532"/>
      <c r="WBU58" s="532"/>
      <c r="WBV58" s="532"/>
      <c r="WBW58" s="532"/>
      <c r="WBX58" s="532"/>
      <c r="WBY58" s="532"/>
      <c r="WBZ58" s="532"/>
      <c r="WCA58" s="532"/>
      <c r="WCB58" s="532"/>
      <c r="WCC58" s="532"/>
      <c r="WCD58" s="532"/>
      <c r="WCE58" s="532"/>
      <c r="WCF58" s="532"/>
      <c r="WCG58" s="532"/>
      <c r="WCH58" s="532"/>
      <c r="WCI58" s="532"/>
      <c r="WCJ58" s="532"/>
      <c r="WCK58" s="532"/>
      <c r="WCL58" s="532"/>
      <c r="WCM58" s="532"/>
      <c r="WCN58" s="532"/>
      <c r="WCO58" s="532"/>
      <c r="WCP58" s="532"/>
      <c r="WCQ58" s="532"/>
      <c r="WCR58" s="532"/>
      <c r="WCS58" s="532"/>
      <c r="WCT58" s="532"/>
      <c r="WCU58" s="532"/>
      <c r="WCV58" s="532"/>
      <c r="WCW58" s="532"/>
      <c r="WCX58" s="532"/>
      <c r="WCY58" s="532"/>
      <c r="WCZ58" s="532"/>
      <c r="WDA58" s="532"/>
      <c r="WDB58" s="532"/>
      <c r="WDC58" s="532"/>
      <c r="WDD58" s="532"/>
      <c r="WDE58" s="532"/>
      <c r="WDF58" s="532"/>
      <c r="WDG58" s="532"/>
      <c r="WDH58" s="532"/>
      <c r="WDI58" s="532"/>
      <c r="WDJ58" s="532"/>
      <c r="WDK58" s="532"/>
      <c r="WDL58" s="532"/>
      <c r="WDM58" s="532"/>
      <c r="WDN58" s="532"/>
      <c r="WDO58" s="532"/>
      <c r="WDP58" s="532"/>
      <c r="WDQ58" s="532"/>
      <c r="WDR58" s="532"/>
      <c r="WDS58" s="532"/>
      <c r="WDT58" s="532"/>
      <c r="WDU58" s="532"/>
      <c r="WDV58" s="532"/>
      <c r="WDW58" s="532"/>
      <c r="WDX58" s="532"/>
      <c r="WDY58" s="532"/>
      <c r="WDZ58" s="532"/>
      <c r="WEA58" s="532"/>
      <c r="WEB58" s="532"/>
      <c r="WEC58" s="532"/>
      <c r="WED58" s="532"/>
      <c r="WEE58" s="532"/>
      <c r="WEF58" s="532"/>
      <c r="WEG58" s="532"/>
      <c r="WEH58" s="532"/>
      <c r="WEI58" s="532"/>
      <c r="WEJ58" s="532"/>
      <c r="WEK58" s="532"/>
      <c r="WEL58" s="532"/>
      <c r="WEM58" s="532"/>
      <c r="WEN58" s="532"/>
      <c r="WEO58" s="532"/>
      <c r="WEP58" s="532"/>
      <c r="WEQ58" s="532"/>
      <c r="WER58" s="532"/>
      <c r="WES58" s="532"/>
      <c r="WET58" s="532"/>
      <c r="WEU58" s="532"/>
      <c r="WEV58" s="532"/>
      <c r="WEW58" s="532"/>
      <c r="WEX58" s="532"/>
      <c r="WEY58" s="532"/>
      <c r="WEZ58" s="532"/>
      <c r="WFA58" s="532"/>
      <c r="WFB58" s="532"/>
      <c r="WFC58" s="532"/>
      <c r="WFD58" s="532"/>
      <c r="WFE58" s="532"/>
      <c r="WFF58" s="532"/>
      <c r="WFG58" s="532"/>
      <c r="WFH58" s="532"/>
      <c r="WFI58" s="532"/>
      <c r="WFJ58" s="532"/>
      <c r="WFK58" s="532"/>
      <c r="WFL58" s="532"/>
      <c r="WFM58" s="532"/>
      <c r="WFN58" s="532"/>
      <c r="WFO58" s="532"/>
      <c r="WFP58" s="532"/>
      <c r="WFQ58" s="532"/>
      <c r="WFR58" s="532"/>
      <c r="WFS58" s="532"/>
      <c r="WFT58" s="532"/>
      <c r="WFU58" s="532"/>
      <c r="WFV58" s="532"/>
      <c r="WFW58" s="532"/>
      <c r="WFX58" s="532"/>
      <c r="WFY58" s="532"/>
      <c r="WFZ58" s="532"/>
      <c r="WGA58" s="532"/>
      <c r="WGB58" s="532"/>
      <c r="WGC58" s="532"/>
      <c r="WGD58" s="532"/>
      <c r="WGE58" s="532"/>
      <c r="WGF58" s="532"/>
      <c r="WGG58" s="532"/>
      <c r="WGH58" s="532"/>
      <c r="WGI58" s="532"/>
      <c r="WGJ58" s="532"/>
      <c r="WGK58" s="532"/>
      <c r="WGL58" s="532"/>
      <c r="WGM58" s="532"/>
      <c r="WGN58" s="532"/>
      <c r="WGO58" s="532"/>
      <c r="WGP58" s="532"/>
      <c r="WGQ58" s="532"/>
      <c r="WGR58" s="532"/>
      <c r="WGS58" s="532"/>
      <c r="WGT58" s="532"/>
      <c r="WGU58" s="532"/>
      <c r="WGV58" s="532"/>
      <c r="WGW58" s="532"/>
      <c r="WGX58" s="532"/>
      <c r="WGY58" s="532"/>
      <c r="WGZ58" s="532"/>
      <c r="WHA58" s="532"/>
      <c r="WHB58" s="532"/>
      <c r="WHC58" s="532"/>
      <c r="WHD58" s="532"/>
      <c r="WHE58" s="532"/>
      <c r="WHF58" s="532"/>
      <c r="WHG58" s="532"/>
      <c r="WHH58" s="532"/>
      <c r="WHI58" s="532"/>
      <c r="WHJ58" s="532"/>
      <c r="WHK58" s="532"/>
      <c r="WHL58" s="532"/>
      <c r="WHM58" s="532"/>
      <c r="WHN58" s="532"/>
      <c r="WHO58" s="532"/>
      <c r="WHP58" s="532"/>
      <c r="WHQ58" s="532"/>
      <c r="WHR58" s="532"/>
      <c r="WHS58" s="532"/>
      <c r="WHT58" s="532"/>
      <c r="WHU58" s="532"/>
      <c r="WHV58" s="532"/>
      <c r="WHW58" s="532"/>
      <c r="WHX58" s="532"/>
      <c r="WHY58" s="532"/>
      <c r="WHZ58" s="532"/>
      <c r="WIA58" s="532"/>
      <c r="WIB58" s="532"/>
      <c r="WIC58" s="532"/>
      <c r="WID58" s="532"/>
      <c r="WIE58" s="532"/>
      <c r="WIF58" s="532"/>
      <c r="WIG58" s="532"/>
      <c r="WIH58" s="532"/>
      <c r="WII58" s="532"/>
      <c r="WIJ58" s="532"/>
      <c r="WIK58" s="532"/>
      <c r="WIL58" s="532"/>
      <c r="WIM58" s="532"/>
      <c r="WIN58" s="532"/>
      <c r="WIO58" s="532"/>
      <c r="WIP58" s="532"/>
      <c r="WIQ58" s="532"/>
      <c r="WIR58" s="532"/>
      <c r="WIS58" s="532"/>
      <c r="WIT58" s="532"/>
      <c r="WIU58" s="532"/>
      <c r="WIV58" s="532"/>
      <c r="WIW58" s="532"/>
      <c r="WIX58" s="532"/>
      <c r="WIY58" s="532"/>
      <c r="WIZ58" s="532"/>
      <c r="WJA58" s="532"/>
      <c r="WJB58" s="532"/>
      <c r="WJC58" s="532"/>
      <c r="WJD58" s="532"/>
      <c r="WJE58" s="532"/>
      <c r="WJF58" s="532"/>
      <c r="WJG58" s="532"/>
      <c r="WJH58" s="532"/>
      <c r="WJI58" s="532"/>
      <c r="WJJ58" s="532"/>
      <c r="WJK58" s="532"/>
      <c r="WJL58" s="532"/>
      <c r="WJM58" s="532"/>
      <c r="WJN58" s="532"/>
      <c r="WJO58" s="532"/>
      <c r="WJP58" s="532"/>
      <c r="WJQ58" s="532"/>
      <c r="WJR58" s="532"/>
      <c r="WJS58" s="532"/>
      <c r="WJT58" s="532"/>
      <c r="WJU58" s="532"/>
      <c r="WJV58" s="532"/>
      <c r="WJW58" s="532"/>
      <c r="WJX58" s="532"/>
      <c r="WJY58" s="532"/>
      <c r="WJZ58" s="532"/>
      <c r="WKA58" s="532"/>
      <c r="WKB58" s="532"/>
      <c r="WKC58" s="532"/>
      <c r="WKD58" s="532"/>
      <c r="WKE58" s="532"/>
      <c r="WKF58" s="532"/>
      <c r="WKG58" s="532"/>
      <c r="WKH58" s="532"/>
      <c r="WKI58" s="532"/>
      <c r="WKJ58" s="532"/>
      <c r="WKK58" s="532"/>
      <c r="WKL58" s="532"/>
      <c r="WKM58" s="532"/>
      <c r="WKN58" s="532"/>
      <c r="WKO58" s="532"/>
      <c r="WKP58" s="532"/>
      <c r="WKQ58" s="532"/>
      <c r="WKR58" s="532"/>
      <c r="WKS58" s="532"/>
      <c r="WKT58" s="532"/>
      <c r="WKU58" s="532"/>
      <c r="WKV58" s="532"/>
      <c r="WKW58" s="532"/>
      <c r="WKX58" s="532"/>
      <c r="WKY58" s="532"/>
      <c r="WKZ58" s="532"/>
      <c r="WLA58" s="532"/>
      <c r="WLB58" s="532"/>
      <c r="WLC58" s="532"/>
      <c r="WLD58" s="532"/>
      <c r="WLE58" s="532"/>
      <c r="WLF58" s="532"/>
      <c r="WLG58" s="532"/>
      <c r="WLH58" s="532"/>
      <c r="WLI58" s="532"/>
      <c r="WLJ58" s="532"/>
      <c r="WLK58" s="532"/>
      <c r="WLL58" s="532"/>
      <c r="WLM58" s="532"/>
      <c r="WLN58" s="532"/>
      <c r="WLO58" s="532"/>
      <c r="WLP58" s="532"/>
      <c r="WLQ58" s="532"/>
      <c r="WLR58" s="532"/>
      <c r="WLS58" s="532"/>
      <c r="WLT58" s="532"/>
      <c r="WLU58" s="532"/>
      <c r="WLV58" s="532"/>
      <c r="WLW58" s="532"/>
      <c r="WLX58" s="532"/>
      <c r="WLY58" s="532"/>
      <c r="WLZ58" s="532"/>
      <c r="WMA58" s="532"/>
      <c r="WMB58" s="532"/>
      <c r="WMC58" s="532"/>
      <c r="WMD58" s="532"/>
      <c r="WME58" s="532"/>
      <c r="WMF58" s="532"/>
      <c r="WMG58" s="532"/>
      <c r="WMH58" s="532"/>
      <c r="WMI58" s="532"/>
      <c r="WMJ58" s="532"/>
      <c r="WMK58" s="532"/>
      <c r="WML58" s="532"/>
      <c r="WMM58" s="532"/>
      <c r="WMN58" s="532"/>
      <c r="WMO58" s="532"/>
      <c r="WMP58" s="532"/>
      <c r="WMQ58" s="532"/>
      <c r="WMR58" s="532"/>
      <c r="WMS58" s="532"/>
      <c r="WMT58" s="532"/>
      <c r="WMU58" s="532"/>
      <c r="WMV58" s="532"/>
      <c r="WMW58" s="532"/>
      <c r="WMX58" s="532"/>
      <c r="WMY58" s="532"/>
      <c r="WMZ58" s="532"/>
      <c r="WNA58" s="532"/>
      <c r="WNB58" s="532"/>
      <c r="WNC58" s="532"/>
      <c r="WND58" s="532"/>
      <c r="WNE58" s="532"/>
      <c r="WNF58" s="532"/>
      <c r="WNG58" s="532"/>
      <c r="WNH58" s="532"/>
      <c r="WNI58" s="532"/>
      <c r="WNJ58" s="532"/>
      <c r="WNK58" s="532"/>
      <c r="WNL58" s="532"/>
      <c r="WNM58" s="532"/>
      <c r="WNN58" s="532"/>
      <c r="WNO58" s="532"/>
      <c r="WNP58" s="532"/>
      <c r="WNQ58" s="532"/>
      <c r="WNR58" s="532"/>
      <c r="WNS58" s="532"/>
      <c r="WNT58" s="532"/>
      <c r="WNU58" s="532"/>
      <c r="WNV58" s="532"/>
      <c r="WNW58" s="532"/>
      <c r="WNX58" s="532"/>
      <c r="WNY58" s="532"/>
      <c r="WNZ58" s="532"/>
      <c r="WOA58" s="532"/>
      <c r="WOB58" s="532"/>
      <c r="WOC58" s="532"/>
      <c r="WOD58" s="532"/>
      <c r="WOE58" s="532"/>
      <c r="WOF58" s="532"/>
      <c r="WOG58" s="532"/>
      <c r="WOH58" s="532"/>
      <c r="WOI58" s="532"/>
      <c r="WOJ58" s="532"/>
      <c r="WOK58" s="532"/>
      <c r="WOL58" s="532"/>
      <c r="WOM58" s="532"/>
      <c r="WON58" s="532"/>
      <c r="WOO58" s="532"/>
      <c r="WOP58" s="532"/>
      <c r="WOQ58" s="532"/>
      <c r="WOR58" s="532"/>
      <c r="WOS58" s="532"/>
      <c r="WOT58" s="532"/>
      <c r="WOU58" s="532"/>
      <c r="WOV58" s="532"/>
      <c r="WOW58" s="532"/>
      <c r="WOX58" s="532"/>
      <c r="WOY58" s="532"/>
      <c r="WOZ58" s="532"/>
      <c r="WPA58" s="532"/>
      <c r="WPB58" s="532"/>
      <c r="WPC58" s="532"/>
      <c r="WPD58" s="532"/>
      <c r="WPE58" s="532"/>
      <c r="WPF58" s="532"/>
      <c r="WPG58" s="532"/>
      <c r="WPH58" s="532"/>
      <c r="WPI58" s="532"/>
      <c r="WPJ58" s="532"/>
      <c r="WPK58" s="532"/>
      <c r="WPL58" s="532"/>
      <c r="WPM58" s="532"/>
      <c r="WPN58" s="532"/>
      <c r="WPO58" s="532"/>
      <c r="WPP58" s="532"/>
      <c r="WPQ58" s="532"/>
      <c r="WPR58" s="532"/>
      <c r="WPS58" s="532"/>
      <c r="WPT58" s="532"/>
      <c r="WPU58" s="532"/>
      <c r="WPV58" s="532"/>
      <c r="WPW58" s="532"/>
      <c r="WPX58" s="532"/>
      <c r="WPY58" s="532"/>
      <c r="WPZ58" s="532"/>
      <c r="WQA58" s="532"/>
      <c r="WQB58" s="532"/>
      <c r="WQC58" s="532"/>
      <c r="WQD58" s="532"/>
      <c r="WQE58" s="532"/>
      <c r="WQF58" s="532"/>
      <c r="WQG58" s="532"/>
      <c r="WQH58" s="532"/>
      <c r="WQI58" s="532"/>
      <c r="WQJ58" s="532"/>
      <c r="WQK58" s="532"/>
      <c r="WQL58" s="532"/>
      <c r="WQM58" s="532"/>
      <c r="WQN58" s="532"/>
      <c r="WQO58" s="532"/>
      <c r="WQP58" s="532"/>
      <c r="WQQ58" s="532"/>
      <c r="WQR58" s="532"/>
      <c r="WQS58" s="532"/>
      <c r="WQT58" s="532"/>
      <c r="WQU58" s="532"/>
      <c r="WQV58" s="532"/>
      <c r="WQW58" s="532"/>
      <c r="WQX58" s="532"/>
      <c r="WQY58" s="532"/>
      <c r="WQZ58" s="532"/>
      <c r="WRA58" s="532"/>
      <c r="WRB58" s="532"/>
      <c r="WRC58" s="532"/>
      <c r="WRD58" s="532"/>
      <c r="WRE58" s="532"/>
      <c r="WRF58" s="532"/>
      <c r="WRG58" s="532"/>
      <c r="WRH58" s="532"/>
      <c r="WRI58" s="532"/>
      <c r="WRJ58" s="532"/>
      <c r="WRK58" s="532"/>
      <c r="WRL58" s="532"/>
      <c r="WRM58" s="532"/>
      <c r="WRN58" s="532"/>
      <c r="WRO58" s="532"/>
      <c r="WRP58" s="532"/>
      <c r="WRQ58" s="532"/>
      <c r="WRR58" s="532"/>
      <c r="WRS58" s="532"/>
      <c r="WRT58" s="532"/>
      <c r="WRU58" s="532"/>
      <c r="WRV58" s="532"/>
      <c r="WRW58" s="532"/>
      <c r="WRX58" s="532"/>
      <c r="WRY58" s="532"/>
      <c r="WRZ58" s="532"/>
      <c r="WSA58" s="532"/>
      <c r="WSB58" s="532"/>
      <c r="WSC58" s="532"/>
      <c r="WSD58" s="532"/>
      <c r="WSE58" s="532"/>
      <c r="WSF58" s="532"/>
      <c r="WSG58" s="532"/>
      <c r="WSH58" s="532"/>
      <c r="WSI58" s="532"/>
      <c r="WSJ58" s="532"/>
      <c r="WSK58" s="532"/>
      <c r="WSL58" s="532"/>
      <c r="WSM58" s="532"/>
      <c r="WSN58" s="532"/>
      <c r="WSO58" s="532"/>
      <c r="WSP58" s="532"/>
      <c r="WSQ58" s="532"/>
      <c r="WSR58" s="532"/>
      <c r="WSS58" s="532"/>
      <c r="WST58" s="532"/>
      <c r="WSU58" s="532"/>
      <c r="WSV58" s="532"/>
      <c r="WSW58" s="532"/>
      <c r="WSX58" s="532"/>
      <c r="WSY58" s="532"/>
      <c r="WSZ58" s="532"/>
      <c r="WTA58" s="532"/>
      <c r="WTB58" s="532"/>
      <c r="WTC58" s="532"/>
      <c r="WTD58" s="532"/>
      <c r="WTE58" s="532"/>
      <c r="WTF58" s="532"/>
      <c r="WTG58" s="532"/>
      <c r="WTH58" s="532"/>
      <c r="WTI58" s="532"/>
      <c r="WTJ58" s="532"/>
      <c r="WTK58" s="532"/>
      <c r="WTL58" s="532"/>
      <c r="WTM58" s="532"/>
      <c r="WTN58" s="532"/>
      <c r="WTO58" s="532"/>
      <c r="WTP58" s="532"/>
      <c r="WTQ58" s="532"/>
      <c r="WTR58" s="532"/>
      <c r="WTS58" s="532"/>
      <c r="WTT58" s="532"/>
      <c r="WTU58" s="532"/>
      <c r="WTV58" s="532"/>
      <c r="WTW58" s="532"/>
      <c r="WTX58" s="532"/>
      <c r="WTY58" s="532"/>
      <c r="WTZ58" s="532"/>
      <c r="WUA58" s="532"/>
      <c r="WUB58" s="532"/>
      <c r="WUC58" s="532"/>
      <c r="WUD58" s="532"/>
      <c r="WUE58" s="532"/>
      <c r="WUF58" s="532"/>
      <c r="WUG58" s="532"/>
      <c r="WUH58" s="532"/>
      <c r="WUI58" s="532"/>
      <c r="WUJ58" s="532"/>
      <c r="WUK58" s="532"/>
      <c r="WUL58" s="532"/>
      <c r="WUM58" s="532"/>
      <c r="WUN58" s="532"/>
      <c r="WUO58" s="532"/>
      <c r="WUP58" s="532"/>
      <c r="WUQ58" s="532"/>
      <c r="WUR58" s="532"/>
      <c r="WUS58" s="532"/>
      <c r="WUT58" s="532"/>
      <c r="WUU58" s="532"/>
      <c r="WUV58" s="532"/>
      <c r="WUW58" s="532"/>
      <c r="WUX58" s="532"/>
      <c r="WUY58" s="532"/>
      <c r="WUZ58" s="532"/>
      <c r="WVA58" s="532"/>
      <c r="WVB58" s="532"/>
      <c r="WVC58" s="532"/>
      <c r="WVD58" s="532"/>
      <c r="WVE58" s="532"/>
      <c r="WVF58" s="532"/>
      <c r="WVG58" s="532"/>
      <c r="WVH58" s="532"/>
      <c r="WVI58" s="532"/>
      <c r="WVJ58" s="532"/>
      <c r="WVK58" s="532"/>
      <c r="WVL58" s="532"/>
      <c r="WVM58" s="532"/>
      <c r="WVN58" s="532"/>
      <c r="WVO58" s="532"/>
      <c r="WVP58" s="532"/>
      <c r="WVQ58" s="532"/>
      <c r="WVR58" s="532"/>
      <c r="WVS58" s="532"/>
      <c r="WVT58" s="532"/>
      <c r="WVU58" s="532"/>
      <c r="WVV58" s="532"/>
      <c r="WVW58" s="532"/>
      <c r="WVX58" s="532"/>
      <c r="WVY58" s="532"/>
      <c r="WVZ58" s="532"/>
      <c r="WWA58" s="532"/>
      <c r="WWB58" s="532"/>
      <c r="WWC58" s="532"/>
      <c r="WWD58" s="532"/>
      <c r="WWE58" s="532"/>
      <c r="WWF58" s="532"/>
      <c r="WWG58" s="532"/>
      <c r="WWH58" s="532"/>
      <c r="WWI58" s="532"/>
      <c r="WWJ58" s="532"/>
      <c r="WWK58" s="532"/>
      <c r="WWL58" s="532"/>
      <c r="WWM58" s="532"/>
      <c r="WWN58" s="532"/>
      <c r="WWO58" s="532"/>
      <c r="WWP58" s="532"/>
      <c r="WWQ58" s="532"/>
      <c r="WWR58" s="532"/>
      <c r="WWS58" s="532"/>
      <c r="WWT58" s="532"/>
      <c r="WWU58" s="532"/>
      <c r="WWV58" s="532"/>
      <c r="WWW58" s="532"/>
      <c r="WWX58" s="532"/>
      <c r="WWY58" s="532"/>
      <c r="WWZ58" s="532"/>
      <c r="WXA58" s="532"/>
      <c r="WXB58" s="532"/>
      <c r="WXC58" s="532"/>
      <c r="WXD58" s="532"/>
      <c r="WXE58" s="532"/>
      <c r="WXF58" s="532"/>
      <c r="WXG58" s="532"/>
      <c r="WXH58" s="532"/>
      <c r="WXI58" s="532"/>
      <c r="WXJ58" s="532"/>
      <c r="WXK58" s="532"/>
      <c r="WXL58" s="532"/>
      <c r="WXM58" s="532"/>
      <c r="WXN58" s="532"/>
      <c r="WXO58" s="532"/>
      <c r="WXP58" s="532"/>
      <c r="WXQ58" s="532"/>
      <c r="WXR58" s="532"/>
      <c r="WXS58" s="532"/>
      <c r="WXT58" s="532"/>
      <c r="WXU58" s="532"/>
      <c r="WXV58" s="532"/>
      <c r="WXW58" s="532"/>
      <c r="WXX58" s="532"/>
      <c r="WXY58" s="532"/>
      <c r="WXZ58" s="532"/>
      <c r="WYA58" s="532"/>
      <c r="WYB58" s="532"/>
      <c r="WYC58" s="532"/>
      <c r="WYD58" s="532"/>
      <c r="WYE58" s="532"/>
      <c r="WYF58" s="532"/>
      <c r="WYG58" s="532"/>
      <c r="WYH58" s="532"/>
      <c r="WYI58" s="532"/>
      <c r="WYJ58" s="532"/>
      <c r="WYK58" s="532"/>
      <c r="WYL58" s="532"/>
      <c r="WYM58" s="532"/>
      <c r="WYN58" s="532"/>
      <c r="WYO58" s="532"/>
      <c r="WYP58" s="532"/>
      <c r="WYQ58" s="532"/>
      <c r="WYR58" s="532"/>
      <c r="WYS58" s="532"/>
      <c r="WYT58" s="532"/>
      <c r="WYU58" s="532"/>
      <c r="WYV58" s="532"/>
      <c r="WYW58" s="532"/>
      <c r="WYX58" s="532"/>
      <c r="WYY58" s="532"/>
      <c r="WYZ58" s="532"/>
      <c r="WZA58" s="532"/>
      <c r="WZB58" s="532"/>
      <c r="WZC58" s="532"/>
      <c r="WZD58" s="532"/>
      <c r="WZE58" s="532"/>
      <c r="WZF58" s="532"/>
      <c r="WZG58" s="532"/>
      <c r="WZH58" s="532"/>
      <c r="WZI58" s="532"/>
      <c r="WZJ58" s="532"/>
      <c r="WZK58" s="532"/>
      <c r="WZL58" s="532"/>
      <c r="WZM58" s="532"/>
      <c r="WZN58" s="532"/>
      <c r="WZO58" s="532"/>
      <c r="WZP58" s="532"/>
      <c r="WZQ58" s="532"/>
      <c r="WZR58" s="532"/>
      <c r="WZS58" s="532"/>
      <c r="WZT58" s="532"/>
      <c r="WZU58" s="532"/>
      <c r="WZV58" s="532"/>
      <c r="WZW58" s="532"/>
      <c r="WZX58" s="532"/>
      <c r="WZY58" s="532"/>
      <c r="WZZ58" s="532"/>
      <c r="XAA58" s="532"/>
      <c r="XAB58" s="532"/>
      <c r="XAC58" s="532"/>
      <c r="XAD58" s="532"/>
      <c r="XAE58" s="532"/>
      <c r="XAF58" s="532"/>
      <c r="XAG58" s="532"/>
      <c r="XAH58" s="532"/>
      <c r="XAI58" s="532"/>
      <c r="XAJ58" s="532"/>
      <c r="XAK58" s="532"/>
      <c r="XAL58" s="532"/>
      <c r="XAM58" s="532"/>
      <c r="XAN58" s="532"/>
      <c r="XAO58" s="532"/>
      <c r="XAP58" s="532"/>
      <c r="XAQ58" s="532"/>
      <c r="XAR58" s="532"/>
      <c r="XAS58" s="532"/>
      <c r="XAT58" s="532"/>
      <c r="XAU58" s="532"/>
      <c r="XAV58" s="532"/>
      <c r="XAW58" s="532"/>
      <c r="XAX58" s="532"/>
      <c r="XAY58" s="532"/>
      <c r="XAZ58" s="532"/>
      <c r="XBA58" s="532"/>
      <c r="XBB58" s="532"/>
      <c r="XBC58" s="532"/>
      <c r="XBD58" s="532"/>
      <c r="XBE58" s="532"/>
      <c r="XBF58" s="532"/>
      <c r="XBG58" s="532"/>
      <c r="XBH58" s="532"/>
      <c r="XBI58" s="532"/>
      <c r="XBJ58" s="532"/>
      <c r="XBK58" s="532"/>
      <c r="XBL58" s="532"/>
      <c r="XBM58" s="532"/>
      <c r="XBN58" s="532"/>
      <c r="XBO58" s="532"/>
      <c r="XBP58" s="532"/>
      <c r="XBQ58" s="532"/>
      <c r="XBR58" s="532"/>
      <c r="XBS58" s="532"/>
      <c r="XBT58" s="532"/>
      <c r="XBU58" s="532"/>
      <c r="XBV58" s="532"/>
      <c r="XBW58" s="532"/>
      <c r="XBX58" s="532"/>
      <c r="XBY58" s="532"/>
      <c r="XBZ58" s="532"/>
      <c r="XCA58" s="532"/>
      <c r="XCB58" s="532"/>
      <c r="XCC58" s="532"/>
      <c r="XCD58" s="532"/>
      <c r="XCE58" s="532"/>
      <c r="XCF58" s="532"/>
      <c r="XCG58" s="532"/>
      <c r="XCH58" s="532"/>
      <c r="XCI58" s="532"/>
      <c r="XCJ58" s="532"/>
      <c r="XCK58" s="532"/>
      <c r="XCL58" s="532"/>
      <c r="XCM58" s="532"/>
      <c r="XCN58" s="532"/>
      <c r="XCO58" s="532"/>
      <c r="XCP58" s="532"/>
      <c r="XCQ58" s="532"/>
      <c r="XCR58" s="532"/>
      <c r="XCS58" s="532"/>
      <c r="XCT58" s="532"/>
      <c r="XCU58" s="532"/>
      <c r="XCV58" s="532"/>
      <c r="XCW58" s="532"/>
      <c r="XCX58" s="532"/>
      <c r="XCY58" s="532"/>
      <c r="XCZ58" s="532"/>
      <c r="XDA58" s="532"/>
      <c r="XDB58" s="532"/>
      <c r="XDC58" s="532"/>
      <c r="XDD58" s="532"/>
      <c r="XDE58" s="532"/>
      <c r="XDF58" s="532"/>
      <c r="XDG58" s="532"/>
      <c r="XDH58" s="532"/>
      <c r="XDI58" s="532"/>
      <c r="XDJ58" s="532"/>
      <c r="XDK58" s="532"/>
      <c r="XDL58" s="532"/>
      <c r="XDM58" s="532"/>
      <c r="XDN58" s="532"/>
      <c r="XDO58" s="532"/>
      <c r="XDP58" s="532"/>
      <c r="XDQ58" s="532"/>
      <c r="XDR58" s="532"/>
      <c r="XDS58" s="532"/>
      <c r="XDT58" s="532"/>
      <c r="XDU58" s="532"/>
      <c r="XDV58" s="532"/>
      <c r="XDW58" s="532"/>
      <c r="XDX58" s="532"/>
      <c r="XDY58" s="532"/>
      <c r="XDZ58" s="532"/>
      <c r="XEA58" s="532"/>
      <c r="XEB58" s="532"/>
      <c r="XEC58" s="532"/>
      <c r="XED58" s="532"/>
      <c r="XEE58" s="532"/>
      <c r="XEF58" s="532"/>
      <c r="XEG58" s="532"/>
      <c r="XEH58" s="532"/>
      <c r="XEI58" s="532"/>
      <c r="XEJ58" s="532"/>
      <c r="XEK58" s="532"/>
      <c r="XEL58" s="532"/>
      <c r="XEM58" s="532"/>
      <c r="XEN58" s="532"/>
      <c r="XEO58" s="532"/>
      <c r="XEP58" s="532"/>
      <c r="XEQ58" s="532"/>
      <c r="XER58" s="532"/>
      <c r="XES58" s="532"/>
      <c r="XET58" s="532"/>
      <c r="XEU58" s="532"/>
      <c r="XEV58" s="532"/>
      <c r="XEW58" s="532"/>
      <c r="XEX58" s="532"/>
      <c r="XEY58" s="532"/>
      <c r="XEZ58" s="532"/>
      <c r="XFA58" s="532"/>
      <c r="XFB58" s="532"/>
      <c r="XFC58" s="533"/>
    </row>
    <row r="59" spans="1:16383" ht="17.25" hidden="1" thickTop="1" x14ac:dyDescent="0.3"/>
    <row r="60" spans="1:16383" hidden="1" x14ac:dyDescent="0.3"/>
    <row r="61" spans="1:16383" hidden="1" x14ac:dyDescent="0.3">
      <c r="A61" s="513"/>
      <c r="D61" s="520"/>
      <c r="E61" s="513"/>
      <c r="F61" s="513"/>
      <c r="G61" s="513"/>
      <c r="H61" s="513"/>
      <c r="I61" s="513"/>
      <c r="J61" s="513"/>
      <c r="K61" s="513"/>
      <c r="L61" s="513"/>
    </row>
    <row r="62" spans="1:16383" hidden="1" x14ac:dyDescent="0.3">
      <c r="A62" s="513"/>
      <c r="D62" s="520"/>
      <c r="F62" s="513"/>
      <c r="G62" s="513"/>
      <c r="H62" s="513"/>
      <c r="I62" s="513"/>
      <c r="J62" s="513"/>
      <c r="K62" s="513"/>
      <c r="L62" s="513"/>
    </row>
    <row r="63" spans="1:16383" hidden="1" x14ac:dyDescent="0.3">
      <c r="A63" s="513"/>
      <c r="B63" s="513"/>
      <c r="C63" s="520"/>
      <c r="D63" s="520"/>
      <c r="F63" s="513"/>
      <c r="G63" s="513"/>
      <c r="H63" s="513"/>
      <c r="I63" s="513"/>
      <c r="J63" s="513"/>
      <c r="K63" s="513"/>
      <c r="L63" s="513"/>
    </row>
    <row r="64" spans="1:16383" hidden="1" x14ac:dyDescent="0.3">
      <c r="C64" s="520"/>
      <c r="D64" s="520"/>
    </row>
    <row r="65" spans="3:4" hidden="1" x14ac:dyDescent="0.3">
      <c r="C65" s="520"/>
      <c r="D65" s="520"/>
    </row>
    <row r="66" spans="3:4" hidden="1" x14ac:dyDescent="0.3">
      <c r="C66" s="520"/>
      <c r="D66" s="520"/>
    </row>
    <row r="67" spans="3:4" hidden="1" x14ac:dyDescent="0.3">
      <c r="C67" s="520"/>
      <c r="D67" s="520"/>
    </row>
    <row r="68" spans="3:4" hidden="1" x14ac:dyDescent="0.3">
      <c r="C68" s="520"/>
      <c r="D68" s="520"/>
    </row>
    <row r="69" spans="3:4" hidden="1" x14ac:dyDescent="0.3">
      <c r="D69" s="534"/>
    </row>
    <row r="70" spans="3:4" hidden="1" x14ac:dyDescent="0.3">
      <c r="D70" s="534"/>
    </row>
    <row r="71" spans="3:4" hidden="1" x14ac:dyDescent="0.3"/>
    <row r="72" spans="3:4" hidden="1" x14ac:dyDescent="0.3"/>
    <row r="73" spans="3:4" hidden="1" x14ac:dyDescent="0.3"/>
    <row r="74" spans="3:4" hidden="1" x14ac:dyDescent="0.3"/>
    <row r="75" spans="3:4" hidden="1" x14ac:dyDescent="0.3"/>
    <row r="76" spans="3:4" hidden="1" x14ac:dyDescent="0.3"/>
    <row r="77" spans="3:4" hidden="1" x14ac:dyDescent="0.3"/>
    <row r="78" spans="3:4" hidden="1" x14ac:dyDescent="0.3"/>
    <row r="79" spans="3:4" hidden="1" x14ac:dyDescent="0.3"/>
    <row r="80" spans="3:4" hidden="1" x14ac:dyDescent="0.3"/>
  </sheetData>
  <sheetProtection algorithmName="SHA-512" hashValue="C1D28dDEbNnVy/yk2JXdeTExJi1GyBJ2SoaMJ28nh1qMsUEvARxb8al0c/W4m5w0k/+66ppRoLATvcHHQ+/O1g==" saltValue="QeO85cUxaNSjg3/e9bKPeg==" spinCount="100000" sheet="1" objects="1" scenarios="1"/>
  <mergeCells count="32">
    <mergeCell ref="K44:L44"/>
    <mergeCell ref="B37:K40"/>
    <mergeCell ref="B26:K28"/>
    <mergeCell ref="B30:K33"/>
    <mergeCell ref="E15:I15"/>
    <mergeCell ref="B23:K24"/>
    <mergeCell ref="E16:I16"/>
    <mergeCell ref="A7:C7"/>
    <mergeCell ref="A12:L12"/>
    <mergeCell ref="A13:L13"/>
    <mergeCell ref="E19:H19"/>
    <mergeCell ref="E20:H20"/>
    <mergeCell ref="C55:L55"/>
    <mergeCell ref="C56:L56"/>
    <mergeCell ref="C57:L57"/>
    <mergeCell ref="C58:L58"/>
    <mergeCell ref="A55:B55"/>
    <mergeCell ref="A56:B56"/>
    <mergeCell ref="A57:B57"/>
    <mergeCell ref="A58:B58"/>
    <mergeCell ref="A50:B50"/>
    <mergeCell ref="A53:B53"/>
    <mergeCell ref="A45:B45"/>
    <mergeCell ref="A54:B54"/>
    <mergeCell ref="C50:L50"/>
    <mergeCell ref="C53:L53"/>
    <mergeCell ref="C54:L54"/>
    <mergeCell ref="A51:B51"/>
    <mergeCell ref="A52:B52"/>
    <mergeCell ref="C51:L51"/>
    <mergeCell ref="C52:L52"/>
    <mergeCell ref="B46:L46"/>
  </mergeCells>
  <dataValidations count="1">
    <dataValidation type="list" allowBlank="1" showInputMessage="1" showErrorMessage="1" sqref="E20:H20">
      <formula1>$E$47:$E$49</formula1>
    </dataValidation>
  </dataValidations>
  <hyperlinks>
    <hyperlink ref="L1" r:id="rId1" display="Joinup"/>
    <hyperlink ref="K44:L44" r:id="rId2" display="Send feedback"/>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130"/>
  <sheetViews>
    <sheetView topLeftCell="B1" workbookViewId="0">
      <selection activeCell="H13" sqref="H13:Q13"/>
    </sheetView>
  </sheetViews>
  <sheetFormatPr defaultColWidth="0" defaultRowHeight="15" zeroHeight="1" x14ac:dyDescent="0.25"/>
  <cols>
    <col min="1" max="1" width="9" hidden="1" customWidth="1"/>
    <col min="2" max="2" width="3" customWidth="1"/>
    <col min="3" max="3" width="5" customWidth="1"/>
    <col min="4" max="5" width="9" customWidth="1"/>
    <col min="6" max="6" width="16.85546875" customWidth="1"/>
    <col min="7" max="7" width="3.28515625" style="159" customWidth="1"/>
    <col min="8" max="8" width="9" customWidth="1"/>
    <col min="9" max="9" width="11.5703125" customWidth="1"/>
    <col min="10" max="10" width="9" customWidth="1"/>
    <col min="11" max="11" width="3" customWidth="1"/>
    <col min="12" max="12" width="9" customWidth="1"/>
    <col min="13" max="13" width="2.85546875" customWidth="1"/>
    <col min="14" max="14" width="9" customWidth="1"/>
    <col min="15" max="15" width="7.28515625" customWidth="1"/>
    <col min="16" max="17" width="9" customWidth="1"/>
    <col min="18" max="18" width="3.5703125" customWidth="1"/>
    <col min="19" max="16384" width="9" hidden="1"/>
  </cols>
  <sheetData>
    <row r="1" spans="1:23" ht="30" customHeight="1" x14ac:dyDescent="0.25">
      <c r="A1" s="68"/>
      <c r="B1" s="450"/>
      <c r="C1" s="69"/>
      <c r="D1" s="69"/>
      <c r="E1" s="92"/>
      <c r="F1" s="622" t="s">
        <v>415</v>
      </c>
      <c r="G1" s="623" t="s">
        <v>10</v>
      </c>
      <c r="H1" s="623" t="s">
        <v>10</v>
      </c>
      <c r="I1" s="623" t="s">
        <v>10</v>
      </c>
      <c r="J1" s="623" t="s">
        <v>10</v>
      </c>
      <c r="K1" s="623" t="s">
        <v>10</v>
      </c>
      <c r="L1" s="623" t="s">
        <v>10</v>
      </c>
      <c r="M1" s="623" t="s">
        <v>10</v>
      </c>
      <c r="N1" s="623" t="s">
        <v>10</v>
      </c>
      <c r="O1" s="623" t="s">
        <v>10</v>
      </c>
      <c r="P1" s="623" t="s">
        <v>10</v>
      </c>
      <c r="Q1" s="623" t="s">
        <v>10</v>
      </c>
      <c r="R1" s="623" t="s">
        <v>10</v>
      </c>
      <c r="S1" s="623"/>
      <c r="T1" s="623"/>
      <c r="U1" s="623"/>
      <c r="V1" s="623"/>
      <c r="W1" s="623"/>
    </row>
    <row r="2" spans="1:23" ht="30.6" customHeight="1" x14ac:dyDescent="0.25">
      <c r="A2" s="69"/>
      <c r="B2" s="69"/>
      <c r="C2" s="555"/>
      <c r="D2" s="624" t="s">
        <v>425</v>
      </c>
      <c r="E2" s="625"/>
      <c r="F2" s="625"/>
      <c r="G2" s="625"/>
      <c r="H2" s="625"/>
      <c r="I2" s="625"/>
      <c r="J2" s="625"/>
      <c r="K2" s="625"/>
      <c r="L2" s="625"/>
      <c r="M2" s="625"/>
      <c r="N2" s="625"/>
      <c r="O2" s="625"/>
      <c r="P2" s="625"/>
      <c r="Q2" s="626"/>
      <c r="R2" s="69"/>
    </row>
    <row r="3" spans="1:23" ht="30" customHeight="1" x14ac:dyDescent="0.25">
      <c r="A3" s="537"/>
      <c r="B3" s="538"/>
      <c r="C3" s="555"/>
      <c r="D3" s="627" t="s">
        <v>416</v>
      </c>
      <c r="E3" s="628"/>
      <c r="F3" s="628"/>
      <c r="G3" s="628"/>
      <c r="H3" s="628"/>
      <c r="I3" s="628"/>
      <c r="J3" s="628"/>
      <c r="K3" s="628"/>
      <c r="L3" s="628"/>
      <c r="M3" s="628"/>
      <c r="N3" s="628"/>
      <c r="O3" s="628"/>
      <c r="P3" s="628"/>
      <c r="Q3" s="629"/>
      <c r="R3" s="538"/>
    </row>
    <row r="4" spans="1:23" ht="15" customHeight="1" x14ac:dyDescent="0.25">
      <c r="A4" s="68"/>
      <c r="B4" s="69"/>
      <c r="C4" s="69"/>
      <c r="D4" s="69"/>
      <c r="E4" s="509"/>
      <c r="F4" s="68"/>
      <c r="G4" s="134"/>
      <c r="H4" s="68"/>
      <c r="I4" s="68"/>
      <c r="J4" s="68"/>
      <c r="K4" s="68"/>
      <c r="L4" s="68"/>
      <c r="M4" s="68"/>
      <c r="N4" s="68"/>
      <c r="O4" s="69"/>
      <c r="P4" s="69"/>
      <c r="Q4" s="69"/>
      <c r="R4" s="69"/>
    </row>
    <row r="5" spans="1:23" x14ac:dyDescent="0.25">
      <c r="A5" s="69"/>
      <c r="B5" s="73"/>
      <c r="C5" s="73"/>
      <c r="D5" s="469" t="s">
        <v>11</v>
      </c>
      <c r="E5" s="71"/>
      <c r="F5" s="72"/>
      <c r="G5" s="156"/>
      <c r="H5" s="72"/>
      <c r="I5" s="72"/>
      <c r="J5" s="72"/>
      <c r="K5" s="72"/>
      <c r="L5" s="72"/>
      <c r="M5" s="72"/>
      <c r="N5" s="73"/>
      <c r="O5" s="73"/>
      <c r="P5" s="73"/>
      <c r="Q5" s="73"/>
      <c r="R5" s="73"/>
    </row>
    <row r="6" spans="1:23" x14ac:dyDescent="0.25">
      <c r="A6" s="74"/>
      <c r="B6" s="70"/>
      <c r="C6" s="70"/>
      <c r="D6" s="70"/>
      <c r="E6" s="70"/>
      <c r="F6" s="74"/>
      <c r="G6" s="75"/>
      <c r="H6" s="74"/>
      <c r="I6" s="74"/>
      <c r="J6" s="74"/>
      <c r="K6" s="74"/>
      <c r="L6" s="74"/>
      <c r="M6" s="74"/>
      <c r="N6" s="74"/>
      <c r="O6" s="70"/>
      <c r="P6" s="70"/>
      <c r="Q6" s="70"/>
      <c r="R6" s="69"/>
    </row>
    <row r="7" spans="1:23" x14ac:dyDescent="0.25">
      <c r="A7" s="74"/>
      <c r="B7" s="74"/>
      <c r="C7" s="83" t="s">
        <v>12</v>
      </c>
      <c r="D7" s="616" t="s">
        <v>13</v>
      </c>
      <c r="E7" s="617"/>
      <c r="F7" s="618"/>
      <c r="G7" s="75"/>
      <c r="H7" s="610"/>
      <c r="I7" s="611"/>
      <c r="J7" s="611"/>
      <c r="K7" s="611"/>
      <c r="L7" s="611"/>
      <c r="M7" s="611"/>
      <c r="N7" s="611"/>
      <c r="O7" s="611"/>
      <c r="P7" s="611"/>
      <c r="Q7" s="612"/>
      <c r="R7" s="69"/>
    </row>
    <row r="8" spans="1:23" x14ac:dyDescent="0.25">
      <c r="A8" s="74"/>
      <c r="B8" s="74"/>
      <c r="C8" s="83"/>
      <c r="D8" s="76"/>
      <c r="E8" s="77"/>
      <c r="F8" s="75"/>
      <c r="G8" s="75"/>
      <c r="H8" s="435"/>
      <c r="I8" s="435"/>
      <c r="J8" s="435"/>
      <c r="K8" s="435"/>
      <c r="L8" s="435"/>
      <c r="M8" s="435"/>
      <c r="N8" s="435"/>
      <c r="O8" s="436"/>
      <c r="P8" s="436"/>
      <c r="Q8" s="436"/>
      <c r="R8" s="69"/>
    </row>
    <row r="9" spans="1:23" x14ac:dyDescent="0.25">
      <c r="A9" s="74"/>
      <c r="B9" s="74"/>
      <c r="C9" s="83" t="s">
        <v>14</v>
      </c>
      <c r="D9" s="616" t="s">
        <v>15</v>
      </c>
      <c r="E9" s="617"/>
      <c r="F9" s="618"/>
      <c r="G9" s="75"/>
      <c r="H9" s="610"/>
      <c r="I9" s="611"/>
      <c r="J9" s="611"/>
      <c r="K9" s="611"/>
      <c r="L9" s="611"/>
      <c r="M9" s="611"/>
      <c r="N9" s="611"/>
      <c r="O9" s="611"/>
      <c r="P9" s="611"/>
      <c r="Q9" s="612"/>
      <c r="R9" s="69"/>
    </row>
    <row r="10" spans="1:23" x14ac:dyDescent="0.25">
      <c r="A10" s="74"/>
      <c r="B10" s="74"/>
      <c r="C10" s="83"/>
      <c r="D10" s="76"/>
      <c r="E10" s="77"/>
      <c r="F10" s="75"/>
      <c r="G10" s="75"/>
      <c r="H10" s="435"/>
      <c r="I10" s="435"/>
      <c r="J10" s="435"/>
      <c r="K10" s="435"/>
      <c r="L10" s="435"/>
      <c r="M10" s="435"/>
      <c r="N10" s="435"/>
      <c r="O10" s="435"/>
      <c r="P10" s="435"/>
      <c r="Q10" s="435"/>
      <c r="R10" s="69"/>
    </row>
    <row r="11" spans="1:23" x14ac:dyDescent="0.25">
      <c r="A11" s="74"/>
      <c r="B11" s="74"/>
      <c r="C11" s="83" t="s">
        <v>16</v>
      </c>
      <c r="D11" s="616" t="s">
        <v>17</v>
      </c>
      <c r="E11" s="617"/>
      <c r="F11" s="618"/>
      <c r="G11" s="75"/>
      <c r="H11" s="610"/>
      <c r="I11" s="611"/>
      <c r="J11" s="611"/>
      <c r="K11" s="611"/>
      <c r="L11" s="611"/>
      <c r="M11" s="611"/>
      <c r="N11" s="611"/>
      <c r="O11" s="611"/>
      <c r="P11" s="611"/>
      <c r="Q11" s="612"/>
      <c r="R11" s="69"/>
    </row>
    <row r="12" spans="1:23" x14ac:dyDescent="0.25">
      <c r="A12" s="74"/>
      <c r="B12" s="74"/>
      <c r="C12" s="83"/>
      <c r="D12" s="76"/>
      <c r="E12" s="77"/>
      <c r="F12" s="75"/>
      <c r="G12" s="75"/>
      <c r="H12" s="435"/>
      <c r="I12" s="435"/>
      <c r="J12" s="435"/>
      <c r="K12" s="435"/>
      <c r="L12" s="435"/>
      <c r="M12" s="435"/>
      <c r="N12" s="435"/>
      <c r="O12" s="435"/>
      <c r="P12" s="435"/>
      <c r="Q12" s="435"/>
      <c r="R12" s="69"/>
    </row>
    <row r="13" spans="1:23" x14ac:dyDescent="0.25">
      <c r="A13" s="74"/>
      <c r="B13" s="74"/>
      <c r="C13" s="83" t="s">
        <v>18</v>
      </c>
      <c r="D13" s="616" t="s">
        <v>19</v>
      </c>
      <c r="E13" s="617"/>
      <c r="F13" s="618"/>
      <c r="G13" s="75"/>
      <c r="H13" s="610"/>
      <c r="I13" s="611"/>
      <c r="J13" s="611"/>
      <c r="K13" s="611"/>
      <c r="L13" s="611"/>
      <c r="M13" s="611"/>
      <c r="N13" s="611"/>
      <c r="O13" s="611"/>
      <c r="P13" s="611"/>
      <c r="Q13" s="612"/>
      <c r="R13" s="69"/>
    </row>
    <row r="14" spans="1:23" x14ac:dyDescent="0.25">
      <c r="A14" s="74"/>
      <c r="B14" s="74"/>
      <c r="C14" s="83"/>
      <c r="D14" s="76"/>
      <c r="E14" s="77"/>
      <c r="F14" s="75"/>
      <c r="G14" s="75"/>
      <c r="H14" s="435"/>
      <c r="I14" s="435"/>
      <c r="J14" s="435"/>
      <c r="K14" s="435"/>
      <c r="L14" s="435"/>
      <c r="M14" s="435"/>
      <c r="N14" s="435"/>
      <c r="O14" s="435"/>
      <c r="P14" s="435"/>
      <c r="Q14" s="435"/>
      <c r="R14" s="69"/>
    </row>
    <row r="15" spans="1:23" x14ac:dyDescent="0.25">
      <c r="A15" s="74"/>
      <c r="B15" s="74"/>
      <c r="C15" s="83" t="s">
        <v>20</v>
      </c>
      <c r="D15" s="616" t="s">
        <v>21</v>
      </c>
      <c r="E15" s="617"/>
      <c r="F15" s="618"/>
      <c r="G15" s="75"/>
      <c r="H15" s="610"/>
      <c r="I15" s="611"/>
      <c r="J15" s="611"/>
      <c r="K15" s="611"/>
      <c r="L15" s="611"/>
      <c r="M15" s="611"/>
      <c r="N15" s="611"/>
      <c r="O15" s="611"/>
      <c r="P15" s="611"/>
      <c r="Q15" s="612"/>
      <c r="R15" s="69"/>
    </row>
    <row r="16" spans="1:23" x14ac:dyDescent="0.25">
      <c r="A16" s="74"/>
      <c r="B16" s="74"/>
      <c r="C16" s="83"/>
      <c r="D16" s="76"/>
      <c r="E16" s="77"/>
      <c r="F16" s="75"/>
      <c r="G16" s="75"/>
      <c r="H16" s="435"/>
      <c r="I16" s="435"/>
      <c r="J16" s="435"/>
      <c r="K16" s="435"/>
      <c r="L16" s="435"/>
      <c r="M16" s="435"/>
      <c r="N16" s="435"/>
      <c r="O16" s="435"/>
      <c r="P16" s="435"/>
      <c r="Q16" s="435"/>
      <c r="R16" s="69"/>
    </row>
    <row r="17" spans="1:20" x14ac:dyDescent="0.25">
      <c r="A17" s="74"/>
      <c r="B17" s="74"/>
      <c r="C17" s="83" t="s">
        <v>22</v>
      </c>
      <c r="D17" s="616" t="s">
        <v>23</v>
      </c>
      <c r="E17" s="617"/>
      <c r="F17" s="618"/>
      <c r="G17" s="75"/>
      <c r="H17" s="610"/>
      <c r="I17" s="611"/>
      <c r="J17" s="611"/>
      <c r="K17" s="611"/>
      <c r="L17" s="611"/>
      <c r="M17" s="611"/>
      <c r="N17" s="611"/>
      <c r="O17" s="611"/>
      <c r="P17" s="611"/>
      <c r="Q17" s="612"/>
      <c r="R17" s="69"/>
    </row>
    <row r="18" spans="1:20" x14ac:dyDescent="0.25">
      <c r="A18" s="74"/>
      <c r="B18" s="74"/>
      <c r="C18" s="74"/>
      <c r="D18" s="75"/>
      <c r="E18" s="79"/>
      <c r="F18" s="75"/>
      <c r="G18" s="75"/>
      <c r="H18" s="435"/>
      <c r="I18" s="435"/>
      <c r="J18" s="435"/>
      <c r="K18" s="435"/>
      <c r="L18" s="435"/>
      <c r="M18" s="435"/>
      <c r="N18" s="435"/>
      <c r="O18" s="435"/>
      <c r="P18" s="435"/>
      <c r="Q18" s="435"/>
      <c r="R18" s="68"/>
    </row>
    <row r="19" spans="1:20" x14ac:dyDescent="0.25">
      <c r="A19" s="74"/>
      <c r="B19" s="78"/>
      <c r="C19" s="83" t="s">
        <v>24</v>
      </c>
      <c r="D19" s="616" t="s">
        <v>25</v>
      </c>
      <c r="E19" s="617"/>
      <c r="F19" s="618"/>
      <c r="G19" s="157" t="s">
        <v>26</v>
      </c>
      <c r="H19" s="619"/>
      <c r="I19" s="620"/>
      <c r="J19" s="620"/>
      <c r="K19" s="620"/>
      <c r="L19" s="620"/>
      <c r="M19" s="620"/>
      <c r="N19" s="620"/>
      <c r="O19" s="620"/>
      <c r="P19" s="620"/>
      <c r="Q19" s="621"/>
      <c r="R19" s="69"/>
    </row>
    <row r="20" spans="1:20" x14ac:dyDescent="0.25">
      <c r="A20" s="74"/>
      <c r="B20" s="74"/>
      <c r="C20" s="74"/>
      <c r="D20" s="75"/>
      <c r="E20" s="79"/>
      <c r="F20" s="75"/>
      <c r="G20" s="75"/>
      <c r="H20" s="435"/>
      <c r="I20" s="435"/>
      <c r="J20" s="435"/>
      <c r="K20" s="435"/>
      <c r="L20" s="435"/>
      <c r="M20" s="435"/>
      <c r="N20" s="435"/>
      <c r="O20" s="435"/>
      <c r="P20" s="435"/>
      <c r="Q20" s="435"/>
      <c r="R20" s="68"/>
    </row>
    <row r="21" spans="1:20" x14ac:dyDescent="0.25">
      <c r="A21" s="82"/>
      <c r="B21" s="82"/>
      <c r="C21" s="82"/>
      <c r="D21" s="468" t="s">
        <v>27</v>
      </c>
      <c r="E21" s="81"/>
      <c r="F21" s="80"/>
      <c r="G21" s="82"/>
      <c r="H21" s="437"/>
      <c r="I21" s="437"/>
      <c r="J21" s="437"/>
      <c r="K21" s="437"/>
      <c r="L21" s="437"/>
      <c r="M21" s="437"/>
      <c r="N21" s="437"/>
      <c r="O21" s="437"/>
      <c r="P21" s="437"/>
      <c r="Q21" s="437"/>
      <c r="R21" s="82"/>
    </row>
    <row r="22" spans="1:20" x14ac:dyDescent="0.25">
      <c r="A22" s="74"/>
      <c r="B22" s="74"/>
      <c r="C22" s="74"/>
      <c r="D22" s="74"/>
      <c r="E22" s="93"/>
      <c r="F22" s="74"/>
      <c r="G22" s="75"/>
      <c r="H22" s="435"/>
      <c r="I22" s="435"/>
      <c r="J22" s="435"/>
      <c r="K22" s="435"/>
      <c r="L22" s="435"/>
      <c r="M22" s="435"/>
      <c r="N22" s="435"/>
      <c r="O22" s="435"/>
      <c r="P22" s="435"/>
      <c r="Q22" s="435"/>
      <c r="R22" s="68"/>
    </row>
    <row r="23" spans="1:20" x14ac:dyDescent="0.25">
      <c r="A23" s="74"/>
      <c r="B23" s="78"/>
      <c r="C23" s="83" t="s">
        <v>28</v>
      </c>
      <c r="D23" s="616" t="s">
        <v>29</v>
      </c>
      <c r="E23" s="617"/>
      <c r="F23" s="618"/>
      <c r="G23" s="157" t="s">
        <v>26</v>
      </c>
      <c r="H23" s="613"/>
      <c r="I23" s="611"/>
      <c r="J23" s="611"/>
      <c r="K23" s="611"/>
      <c r="L23" s="611"/>
      <c r="M23" s="611"/>
      <c r="N23" s="611"/>
      <c r="O23" s="611"/>
      <c r="P23" s="611"/>
      <c r="Q23" s="612"/>
      <c r="R23" s="83"/>
    </row>
    <row r="24" spans="1:20" x14ac:dyDescent="0.25">
      <c r="A24" s="74"/>
      <c r="B24" s="78"/>
      <c r="C24" s="78"/>
      <c r="D24" s="79"/>
      <c r="E24" s="79"/>
      <c r="F24" s="79"/>
      <c r="G24" s="508"/>
      <c r="H24" s="435"/>
      <c r="I24" s="435"/>
      <c r="J24" s="435"/>
      <c r="K24" s="435"/>
      <c r="L24" s="435"/>
      <c r="M24" s="435"/>
      <c r="N24" s="435"/>
      <c r="O24" s="435"/>
      <c r="P24" s="435"/>
      <c r="Q24" s="435"/>
      <c r="R24" s="83"/>
    </row>
    <row r="25" spans="1:20" ht="33.75" x14ac:dyDescent="0.5">
      <c r="A25" s="74"/>
      <c r="B25" s="74"/>
      <c r="C25" s="78" t="s">
        <v>30</v>
      </c>
      <c r="D25" s="607" t="s">
        <v>31</v>
      </c>
      <c r="E25" s="608"/>
      <c r="F25" s="609"/>
      <c r="G25" s="75"/>
      <c r="H25" s="610"/>
      <c r="I25" s="611"/>
      <c r="J25" s="611"/>
      <c r="K25" s="611"/>
      <c r="L25" s="611"/>
      <c r="M25" s="611"/>
      <c r="N25" s="611"/>
      <c r="O25" s="611"/>
      <c r="P25" s="611"/>
      <c r="Q25" s="612"/>
      <c r="R25" s="68"/>
      <c r="T25" s="422" t="s">
        <v>32</v>
      </c>
    </row>
    <row r="26" spans="1:20" x14ac:dyDescent="0.25">
      <c r="A26" s="74"/>
      <c r="B26" s="78"/>
      <c r="C26" s="83"/>
      <c r="D26" s="79"/>
      <c r="E26" s="79"/>
      <c r="F26" s="79"/>
      <c r="G26" s="508"/>
      <c r="H26" s="438"/>
      <c r="I26" s="435"/>
      <c r="J26" s="435"/>
      <c r="K26" s="435"/>
      <c r="L26" s="435"/>
      <c r="M26" s="435"/>
      <c r="N26" s="435"/>
      <c r="O26" s="435"/>
      <c r="P26" s="435"/>
      <c r="Q26" s="435"/>
      <c r="R26" s="83"/>
    </row>
    <row r="27" spans="1:20" ht="66.75" x14ac:dyDescent="1">
      <c r="A27" s="74"/>
      <c r="B27" s="78"/>
      <c r="C27" s="78" t="s">
        <v>33</v>
      </c>
      <c r="D27" s="607" t="s">
        <v>34</v>
      </c>
      <c r="E27" s="608"/>
      <c r="F27" s="609"/>
      <c r="G27" s="158" t="s">
        <v>26</v>
      </c>
      <c r="H27" s="610"/>
      <c r="I27" s="611"/>
      <c r="J27" s="611"/>
      <c r="K27" s="611"/>
      <c r="L27" s="611"/>
      <c r="M27" s="611"/>
      <c r="N27" s="611"/>
      <c r="O27" s="611"/>
      <c r="P27" s="611"/>
      <c r="Q27" s="612"/>
      <c r="R27" s="83"/>
      <c r="T27" s="429" t="s">
        <v>32</v>
      </c>
    </row>
    <row r="28" spans="1:20" x14ac:dyDescent="0.25">
      <c r="A28" s="74"/>
      <c r="B28" s="74"/>
      <c r="C28" s="78"/>
      <c r="D28" s="79"/>
      <c r="E28" s="79"/>
      <c r="F28" s="79"/>
      <c r="G28" s="75"/>
      <c r="H28" s="435"/>
      <c r="I28" s="435"/>
      <c r="J28" s="435"/>
      <c r="K28" s="435"/>
      <c r="L28" s="435"/>
      <c r="M28" s="435"/>
      <c r="N28" s="435"/>
      <c r="O28" s="435"/>
      <c r="P28" s="435"/>
      <c r="Q28" s="435"/>
      <c r="R28" s="68"/>
    </row>
    <row r="29" spans="1:20" ht="51" x14ac:dyDescent="0.75">
      <c r="A29" s="74"/>
      <c r="B29" s="74"/>
      <c r="C29" s="83" t="s">
        <v>35</v>
      </c>
      <c r="D29" s="607" t="s">
        <v>36</v>
      </c>
      <c r="E29" s="608"/>
      <c r="F29" s="609"/>
      <c r="G29" s="75"/>
      <c r="H29" s="610"/>
      <c r="I29" s="611"/>
      <c r="J29" s="611"/>
      <c r="K29" s="611"/>
      <c r="L29" s="611"/>
      <c r="M29" s="611"/>
      <c r="N29" s="611"/>
      <c r="O29" s="611"/>
      <c r="P29" s="611"/>
      <c r="Q29" s="612"/>
      <c r="R29" s="68"/>
      <c r="T29" s="424" t="s">
        <v>32</v>
      </c>
    </row>
    <row r="30" spans="1:20" x14ac:dyDescent="0.25">
      <c r="A30" s="74"/>
      <c r="B30" s="74"/>
      <c r="C30" s="78"/>
      <c r="D30" s="79"/>
      <c r="E30" s="79"/>
      <c r="F30" s="79"/>
      <c r="G30" s="75"/>
      <c r="H30" s="435"/>
      <c r="I30" s="435"/>
      <c r="J30" s="435"/>
      <c r="K30" s="435"/>
      <c r="L30" s="435"/>
      <c r="M30" s="435"/>
      <c r="N30" s="435"/>
      <c r="O30" s="435"/>
      <c r="P30" s="435"/>
      <c r="Q30" s="435"/>
      <c r="R30" s="68"/>
    </row>
    <row r="31" spans="1:20" ht="33.75" x14ac:dyDescent="0.5">
      <c r="A31" s="74"/>
      <c r="B31" s="74"/>
      <c r="C31" s="78" t="s">
        <v>37</v>
      </c>
      <c r="D31" s="607" t="s">
        <v>38</v>
      </c>
      <c r="E31" s="608"/>
      <c r="F31" s="609"/>
      <c r="G31" s="75"/>
      <c r="H31" s="615"/>
      <c r="I31" s="611"/>
      <c r="J31" s="611"/>
      <c r="K31" s="611"/>
      <c r="L31" s="611"/>
      <c r="M31" s="611"/>
      <c r="N31" s="611"/>
      <c r="O31" s="611"/>
      <c r="P31" s="611"/>
      <c r="Q31" s="612"/>
      <c r="R31" s="68"/>
      <c r="T31" s="422" t="s">
        <v>32</v>
      </c>
    </row>
    <row r="32" spans="1:20" x14ac:dyDescent="0.25">
      <c r="A32" s="74"/>
      <c r="B32" s="74"/>
      <c r="C32" s="83"/>
      <c r="D32" s="79"/>
      <c r="E32" s="79"/>
      <c r="F32" s="79"/>
      <c r="G32" s="75"/>
      <c r="H32" s="435"/>
      <c r="I32" s="435"/>
      <c r="J32" s="435"/>
      <c r="K32" s="435"/>
      <c r="L32" s="435"/>
      <c r="M32" s="435"/>
      <c r="N32" s="435"/>
      <c r="O32" s="435"/>
      <c r="P32" s="435"/>
      <c r="Q32" s="435"/>
      <c r="R32" s="68"/>
    </row>
    <row r="33" spans="1:20" ht="76.5" x14ac:dyDescent="1.1000000000000001">
      <c r="A33" s="74"/>
      <c r="B33" s="74"/>
      <c r="C33" s="78" t="s">
        <v>39</v>
      </c>
      <c r="D33" s="607" t="s">
        <v>40</v>
      </c>
      <c r="E33" s="608"/>
      <c r="F33" s="609"/>
      <c r="G33" s="75"/>
      <c r="H33" s="615"/>
      <c r="I33" s="611"/>
      <c r="J33" s="611"/>
      <c r="K33" s="611"/>
      <c r="L33" s="611"/>
      <c r="M33" s="611"/>
      <c r="N33" s="611"/>
      <c r="O33" s="611"/>
      <c r="P33" s="611"/>
      <c r="Q33" s="612"/>
      <c r="R33" s="68"/>
      <c r="T33" s="423" t="s">
        <v>32</v>
      </c>
    </row>
    <row r="34" spans="1:20" x14ac:dyDescent="0.25">
      <c r="A34" s="74"/>
      <c r="B34" s="74"/>
      <c r="C34" s="78"/>
      <c r="D34" s="93"/>
      <c r="E34" s="93"/>
      <c r="F34" s="93"/>
      <c r="G34" s="75"/>
      <c r="H34" s="435"/>
      <c r="I34" s="435"/>
      <c r="J34" s="435"/>
      <c r="K34" s="435"/>
      <c r="L34" s="435"/>
      <c r="M34" s="435"/>
      <c r="N34" s="435"/>
      <c r="O34" s="435"/>
      <c r="P34" s="435"/>
      <c r="Q34" s="435"/>
      <c r="R34" s="68"/>
    </row>
    <row r="35" spans="1:20" ht="127.5" x14ac:dyDescent="1.85">
      <c r="A35" s="74"/>
      <c r="B35" s="74"/>
      <c r="C35" s="83" t="s">
        <v>41</v>
      </c>
      <c r="D35" s="607" t="s">
        <v>42</v>
      </c>
      <c r="E35" s="608"/>
      <c r="F35" s="609"/>
      <c r="G35" s="75"/>
      <c r="H35" s="610"/>
      <c r="I35" s="611"/>
      <c r="J35" s="611"/>
      <c r="K35" s="611"/>
      <c r="L35" s="611"/>
      <c r="M35" s="611"/>
      <c r="N35" s="611"/>
      <c r="O35" s="611"/>
      <c r="P35" s="611"/>
      <c r="Q35" s="612"/>
      <c r="R35" s="68"/>
      <c r="T35" s="430" t="s">
        <v>32</v>
      </c>
    </row>
    <row r="36" spans="1:20" x14ac:dyDescent="0.25">
      <c r="A36" s="74"/>
      <c r="B36" s="74"/>
      <c r="C36" s="74"/>
      <c r="D36" s="93"/>
      <c r="E36" s="93"/>
      <c r="F36" s="93"/>
      <c r="G36" s="75"/>
      <c r="H36" s="435"/>
      <c r="I36" s="435"/>
      <c r="J36" s="435"/>
      <c r="K36" s="435"/>
      <c r="L36" s="435"/>
      <c r="M36" s="435"/>
      <c r="N36" s="435"/>
      <c r="O36" s="435"/>
      <c r="P36" s="435"/>
      <c r="Q36" s="435"/>
      <c r="R36" s="68"/>
    </row>
    <row r="37" spans="1:20" ht="66.75" x14ac:dyDescent="1">
      <c r="A37" s="74"/>
      <c r="B37" s="74"/>
      <c r="C37" s="78" t="s">
        <v>43</v>
      </c>
      <c r="D37" s="607" t="s">
        <v>44</v>
      </c>
      <c r="E37" s="608"/>
      <c r="F37" s="609"/>
      <c r="G37" s="75"/>
      <c r="H37" s="610"/>
      <c r="I37" s="611"/>
      <c r="J37" s="611"/>
      <c r="K37" s="611"/>
      <c r="L37" s="611"/>
      <c r="M37" s="611"/>
      <c r="N37" s="611"/>
      <c r="O37" s="611"/>
      <c r="P37" s="611"/>
      <c r="Q37" s="612"/>
      <c r="R37" s="68"/>
      <c r="T37" s="429" t="s">
        <v>32</v>
      </c>
    </row>
    <row r="38" spans="1:20" x14ac:dyDescent="0.25">
      <c r="A38" s="74"/>
      <c r="B38" s="74"/>
      <c r="C38" s="83"/>
      <c r="D38" s="93"/>
      <c r="E38" s="93"/>
      <c r="F38" s="93"/>
      <c r="G38" s="75"/>
      <c r="H38" s="435"/>
      <c r="I38" s="435"/>
      <c r="J38" s="435"/>
      <c r="K38" s="435"/>
      <c r="L38" s="435"/>
      <c r="M38" s="435"/>
      <c r="N38" s="435"/>
      <c r="O38" s="435"/>
      <c r="P38" s="435"/>
      <c r="Q38" s="435"/>
      <c r="R38" s="68"/>
    </row>
    <row r="39" spans="1:20" ht="83.25" x14ac:dyDescent="1.2">
      <c r="A39" s="74"/>
      <c r="B39" s="74"/>
      <c r="C39" s="78" t="s">
        <v>45</v>
      </c>
      <c r="D39" s="607" t="s">
        <v>46</v>
      </c>
      <c r="E39" s="608"/>
      <c r="F39" s="609"/>
      <c r="G39" s="75"/>
      <c r="H39" s="610"/>
      <c r="I39" s="611"/>
      <c r="J39" s="611"/>
      <c r="K39" s="611"/>
      <c r="L39" s="611"/>
      <c r="M39" s="611"/>
      <c r="N39" s="611"/>
      <c r="O39" s="611"/>
      <c r="P39" s="611"/>
      <c r="Q39" s="612"/>
      <c r="R39" s="68"/>
      <c r="T39" s="431" t="s">
        <v>32</v>
      </c>
    </row>
    <row r="40" spans="1:20" x14ac:dyDescent="0.25">
      <c r="A40" s="74"/>
      <c r="B40" s="74"/>
      <c r="C40" s="78"/>
      <c r="D40" s="93"/>
      <c r="E40" s="93"/>
      <c r="F40" s="93"/>
      <c r="G40" s="75"/>
      <c r="H40" s="435"/>
      <c r="I40" s="435"/>
      <c r="J40" s="435"/>
      <c r="K40" s="435"/>
      <c r="L40" s="435"/>
      <c r="M40" s="435"/>
      <c r="N40" s="435"/>
      <c r="O40" s="435"/>
      <c r="P40" s="435"/>
      <c r="Q40" s="435"/>
      <c r="R40" s="68"/>
    </row>
    <row r="41" spans="1:20" ht="127.5" x14ac:dyDescent="1.85">
      <c r="A41" s="74"/>
      <c r="B41" s="74"/>
      <c r="C41" s="78" t="s">
        <v>47</v>
      </c>
      <c r="D41" s="607" t="s">
        <v>48</v>
      </c>
      <c r="E41" s="608"/>
      <c r="F41" s="609"/>
      <c r="G41" s="75"/>
      <c r="H41" s="613"/>
      <c r="I41" s="611"/>
      <c r="J41" s="611"/>
      <c r="K41" s="611"/>
      <c r="L41" s="611"/>
      <c r="M41" s="611"/>
      <c r="N41" s="611"/>
      <c r="O41" s="611"/>
      <c r="P41" s="611"/>
      <c r="Q41" s="612"/>
      <c r="R41" s="68"/>
      <c r="T41" s="430" t="s">
        <v>32</v>
      </c>
    </row>
    <row r="42" spans="1:20" x14ac:dyDescent="0.25">
      <c r="A42" s="74"/>
      <c r="B42" s="74"/>
      <c r="C42" s="74"/>
      <c r="D42" s="74"/>
      <c r="E42" s="93"/>
      <c r="F42" s="74"/>
      <c r="G42" s="75"/>
      <c r="H42" s="78"/>
      <c r="I42" s="74"/>
      <c r="J42" s="74"/>
      <c r="K42" s="74"/>
      <c r="L42" s="74"/>
      <c r="M42" s="74"/>
      <c r="N42" s="78"/>
      <c r="O42" s="74"/>
      <c r="P42" s="74"/>
      <c r="Q42" s="74"/>
      <c r="R42" s="68"/>
    </row>
    <row r="43" spans="1:20" x14ac:dyDescent="0.25">
      <c r="A43" s="84"/>
      <c r="B43" s="84"/>
      <c r="C43" s="84"/>
      <c r="D43" s="470" t="s">
        <v>49</v>
      </c>
      <c r="E43" s="85"/>
      <c r="F43" s="84"/>
      <c r="G43" s="84"/>
      <c r="H43" s="84"/>
      <c r="I43" s="84"/>
      <c r="J43" s="84"/>
      <c r="K43" s="84"/>
      <c r="L43" s="84"/>
      <c r="M43" s="84"/>
      <c r="N43" s="84"/>
      <c r="O43" s="84"/>
      <c r="P43" s="84"/>
      <c r="Q43" s="84"/>
      <c r="R43" s="84"/>
    </row>
    <row r="44" spans="1:20" x14ac:dyDescent="0.25">
      <c r="A44" s="74"/>
      <c r="B44" s="74"/>
      <c r="C44" s="78"/>
      <c r="D44" s="78"/>
      <c r="E44" s="78"/>
      <c r="F44" s="78"/>
      <c r="G44" s="508"/>
      <c r="H44" s="78"/>
      <c r="I44" s="78"/>
      <c r="J44" s="78"/>
      <c r="K44" s="74"/>
      <c r="L44" s="508"/>
      <c r="M44" s="74"/>
      <c r="N44" s="614"/>
      <c r="O44" s="614"/>
      <c r="P44" s="614"/>
      <c r="Q44" s="614"/>
      <c r="R44" s="68"/>
    </row>
    <row r="45" spans="1:20" hidden="1" x14ac:dyDescent="0.25">
      <c r="A45" s="74"/>
      <c r="B45" s="74"/>
      <c r="C45" s="86"/>
      <c r="D45" s="471" t="s">
        <v>50</v>
      </c>
      <c r="E45" s="86"/>
      <c r="F45" s="86"/>
      <c r="G45" s="89"/>
      <c r="H45" s="86"/>
      <c r="I45" s="86"/>
      <c r="J45" s="86"/>
      <c r="K45" s="86"/>
      <c r="L45" s="86"/>
      <c r="M45" s="86"/>
      <c r="N45" s="86"/>
      <c r="O45" s="86"/>
      <c r="P45" s="86"/>
      <c r="Q45" s="86"/>
      <c r="R45" s="68"/>
    </row>
    <row r="46" spans="1:20" hidden="1" x14ac:dyDescent="0.25">
      <c r="A46" s="74"/>
      <c r="B46" s="74"/>
      <c r="C46" s="70"/>
      <c r="D46" s="70"/>
      <c r="E46" s="93"/>
      <c r="F46" s="74"/>
      <c r="G46" s="75"/>
      <c r="H46" s="70"/>
      <c r="I46" s="74"/>
      <c r="J46" s="74"/>
      <c r="K46" s="74"/>
      <c r="L46" s="70"/>
      <c r="M46" s="74"/>
      <c r="N46" s="70"/>
      <c r="O46" s="74"/>
      <c r="P46" s="74"/>
      <c r="Q46" s="74"/>
      <c r="R46" s="68"/>
    </row>
    <row r="47" spans="1:20" x14ac:dyDescent="0.25">
      <c r="A47" s="74"/>
      <c r="B47" s="74"/>
      <c r="C47" s="83" t="s">
        <v>51</v>
      </c>
      <c r="D47" s="600" t="s">
        <v>52</v>
      </c>
      <c r="E47" s="601"/>
      <c r="F47" s="601"/>
      <c r="G47" s="601"/>
      <c r="H47" s="601"/>
      <c r="I47" s="601"/>
      <c r="J47" s="602"/>
      <c r="K47" s="74"/>
      <c r="L47" s="87"/>
      <c r="M47" s="74"/>
      <c r="N47" s="603"/>
      <c r="O47" s="604"/>
      <c r="P47" s="604"/>
      <c r="Q47" s="604"/>
      <c r="R47" s="68"/>
    </row>
    <row r="48" spans="1:20" x14ac:dyDescent="0.25">
      <c r="A48" s="74"/>
      <c r="B48" s="74"/>
      <c r="C48" s="93"/>
      <c r="D48" s="74"/>
      <c r="E48" s="74"/>
      <c r="F48" s="75"/>
      <c r="G48" s="75"/>
      <c r="H48" s="75"/>
      <c r="I48" s="74"/>
      <c r="J48" s="74"/>
      <c r="K48" s="74"/>
      <c r="L48" s="74"/>
      <c r="M48" s="74"/>
      <c r="N48" s="432"/>
      <c r="O48" s="432"/>
      <c r="P48" s="433"/>
      <c r="Q48" s="432"/>
      <c r="R48" s="68"/>
    </row>
    <row r="49" spans="1:20" x14ac:dyDescent="0.25">
      <c r="A49" s="74"/>
      <c r="B49" s="74"/>
      <c r="C49" s="78" t="s">
        <v>53</v>
      </c>
      <c r="D49" s="600" t="s">
        <v>54</v>
      </c>
      <c r="E49" s="601"/>
      <c r="F49" s="601"/>
      <c r="G49" s="601"/>
      <c r="H49" s="601"/>
      <c r="I49" s="601"/>
      <c r="J49" s="602"/>
      <c r="K49" s="74"/>
      <c r="L49" s="87"/>
      <c r="M49" s="74"/>
      <c r="N49" s="603"/>
      <c r="O49" s="604"/>
      <c r="P49" s="604"/>
      <c r="Q49" s="604"/>
      <c r="R49" s="68"/>
    </row>
    <row r="50" spans="1:20" x14ac:dyDescent="0.25">
      <c r="A50" s="74"/>
      <c r="B50" s="74"/>
      <c r="C50" s="88"/>
      <c r="D50" s="88"/>
      <c r="E50" s="93"/>
      <c r="F50" s="74"/>
      <c r="G50" s="75"/>
      <c r="H50" s="75"/>
      <c r="I50" s="75"/>
      <c r="J50" s="75"/>
      <c r="K50" s="74"/>
      <c r="L50" s="74"/>
      <c r="M50" s="74"/>
      <c r="N50" s="432"/>
      <c r="O50" s="432"/>
      <c r="P50" s="432"/>
      <c r="Q50" s="432"/>
      <c r="R50" s="68"/>
    </row>
    <row r="51" spans="1:20" hidden="1" x14ac:dyDescent="0.25">
      <c r="A51" s="74"/>
      <c r="B51" s="74"/>
      <c r="C51" s="90"/>
      <c r="D51" s="85" t="s">
        <v>55</v>
      </c>
      <c r="E51" s="90"/>
      <c r="F51" s="90"/>
      <c r="G51" s="84"/>
      <c r="H51" s="90"/>
      <c r="I51" s="90"/>
      <c r="J51" s="90"/>
      <c r="K51" s="90"/>
      <c r="L51" s="90"/>
      <c r="M51" s="90"/>
      <c r="N51" s="434"/>
      <c r="O51" s="434"/>
      <c r="P51" s="434"/>
      <c r="Q51" s="434"/>
      <c r="R51" s="68"/>
    </row>
    <row r="52" spans="1:20" hidden="1" x14ac:dyDescent="0.25">
      <c r="A52" s="74"/>
      <c r="B52" s="74"/>
      <c r="C52" s="88"/>
      <c r="D52" s="88"/>
      <c r="E52" s="93"/>
      <c r="F52" s="74"/>
      <c r="G52" s="75"/>
      <c r="H52" s="75"/>
      <c r="I52" s="75"/>
      <c r="J52" s="75"/>
      <c r="K52" s="74"/>
      <c r="L52" s="74"/>
      <c r="M52" s="74"/>
      <c r="N52" s="432"/>
      <c r="O52" s="432"/>
      <c r="P52" s="432"/>
      <c r="Q52" s="432"/>
      <c r="R52" s="68"/>
    </row>
    <row r="53" spans="1:20" ht="33.75" x14ac:dyDescent="0.5">
      <c r="A53" s="74"/>
      <c r="B53" s="74"/>
      <c r="C53" s="78" t="s">
        <v>56</v>
      </c>
      <c r="D53" s="600" t="s">
        <v>57</v>
      </c>
      <c r="E53" s="601"/>
      <c r="F53" s="601"/>
      <c r="G53" s="601"/>
      <c r="H53" s="601"/>
      <c r="I53" s="601"/>
      <c r="J53" s="602"/>
      <c r="K53" s="74"/>
      <c r="L53" s="87"/>
      <c r="M53" s="74"/>
      <c r="N53" s="603"/>
      <c r="O53" s="604"/>
      <c r="P53" s="604"/>
      <c r="Q53" s="604"/>
      <c r="R53" s="68"/>
      <c r="T53" s="422" t="s">
        <v>32</v>
      </c>
    </row>
    <row r="54" spans="1:20" x14ac:dyDescent="0.25">
      <c r="A54" s="74"/>
      <c r="B54" s="74"/>
      <c r="C54" s="88"/>
      <c r="D54" s="88"/>
      <c r="E54" s="93"/>
      <c r="F54" s="74"/>
      <c r="G54" s="75"/>
      <c r="H54" s="75"/>
      <c r="I54" s="75"/>
      <c r="J54" s="75"/>
      <c r="K54" s="74"/>
      <c r="L54" s="74"/>
      <c r="M54" s="74"/>
      <c r="N54" s="432"/>
      <c r="O54" s="432"/>
      <c r="P54" s="432"/>
      <c r="Q54" s="432"/>
      <c r="R54" s="68"/>
    </row>
    <row r="55" spans="1:20" x14ac:dyDescent="0.25">
      <c r="A55" s="74"/>
      <c r="B55" s="78"/>
      <c r="C55" s="78" t="s">
        <v>58</v>
      </c>
      <c r="D55" s="600" t="s">
        <v>59</v>
      </c>
      <c r="E55" s="601"/>
      <c r="F55" s="601"/>
      <c r="G55" s="601"/>
      <c r="H55" s="601"/>
      <c r="I55" s="601"/>
      <c r="J55" s="602"/>
      <c r="K55" s="74"/>
      <c r="L55" s="87"/>
      <c r="M55" s="74"/>
      <c r="N55" s="603"/>
      <c r="O55" s="604"/>
      <c r="P55" s="604"/>
      <c r="Q55" s="604"/>
      <c r="R55" s="68"/>
    </row>
    <row r="56" spans="1:20" x14ac:dyDescent="0.25">
      <c r="A56" s="74"/>
      <c r="B56" s="78"/>
      <c r="C56" s="78"/>
      <c r="D56" s="77"/>
      <c r="E56" s="77"/>
      <c r="F56" s="77"/>
      <c r="G56" s="77"/>
      <c r="H56" s="77"/>
      <c r="I56" s="77"/>
      <c r="J56" s="77"/>
      <c r="K56" s="74"/>
      <c r="L56" s="479"/>
      <c r="M56" s="74"/>
      <c r="N56" s="480"/>
      <c r="O56" s="480"/>
      <c r="P56" s="480"/>
      <c r="Q56" s="480"/>
      <c r="R56" s="68"/>
    </row>
    <row r="57" spans="1:20" hidden="1" x14ac:dyDescent="0.25">
      <c r="A57" s="74"/>
      <c r="B57" s="78"/>
      <c r="C57" s="90"/>
      <c r="D57" s="85" t="s">
        <v>60</v>
      </c>
      <c r="E57" s="90"/>
      <c r="F57" s="90"/>
      <c r="G57" s="84"/>
      <c r="H57" s="90"/>
      <c r="I57" s="90"/>
      <c r="J57" s="90"/>
      <c r="K57" s="90"/>
      <c r="L57" s="90"/>
      <c r="M57" s="90"/>
      <c r="N57" s="434"/>
      <c r="O57" s="434"/>
      <c r="P57" s="434"/>
      <c r="Q57" s="434"/>
      <c r="R57" s="68"/>
    </row>
    <row r="58" spans="1:20" hidden="1" x14ac:dyDescent="0.25">
      <c r="A58" s="74"/>
      <c r="B58" s="74"/>
      <c r="C58" s="88"/>
      <c r="D58" s="88"/>
      <c r="E58" s="93"/>
      <c r="F58" s="74"/>
      <c r="G58" s="75"/>
      <c r="H58" s="75"/>
      <c r="I58" s="75"/>
      <c r="J58" s="75"/>
      <c r="K58" s="74"/>
      <c r="L58" s="74"/>
      <c r="M58" s="74"/>
      <c r="N58" s="432"/>
      <c r="O58" s="432"/>
      <c r="P58" s="432"/>
      <c r="Q58" s="432"/>
      <c r="R58" s="68"/>
    </row>
    <row r="59" spans="1:20" ht="33.75" x14ac:dyDescent="0.5">
      <c r="A59" s="74"/>
      <c r="B59" s="68"/>
      <c r="C59" s="78" t="s">
        <v>61</v>
      </c>
      <c r="D59" s="600" t="s">
        <v>62</v>
      </c>
      <c r="E59" s="601"/>
      <c r="F59" s="601"/>
      <c r="G59" s="601"/>
      <c r="H59" s="601"/>
      <c r="I59" s="601"/>
      <c r="J59" s="602"/>
      <c r="K59" s="74"/>
      <c r="L59" s="87"/>
      <c r="M59" s="74"/>
      <c r="N59" s="603"/>
      <c r="O59" s="604"/>
      <c r="P59" s="604"/>
      <c r="Q59" s="604"/>
      <c r="R59" s="68"/>
      <c r="T59" s="422" t="s">
        <v>32</v>
      </c>
    </row>
    <row r="60" spans="1:20" x14ac:dyDescent="0.25">
      <c r="A60" s="74"/>
      <c r="B60" s="78"/>
      <c r="C60" s="78"/>
      <c r="D60" s="78"/>
      <c r="E60" s="78"/>
      <c r="F60" s="78"/>
      <c r="G60" s="508"/>
      <c r="H60" s="78"/>
      <c r="I60" s="78"/>
      <c r="J60" s="78"/>
      <c r="K60" s="78"/>
      <c r="L60" s="78"/>
      <c r="M60" s="78"/>
      <c r="N60" s="78"/>
      <c r="O60" s="78"/>
      <c r="P60" s="78"/>
      <c r="Q60" s="78"/>
      <c r="R60" s="78"/>
    </row>
    <row r="61" spans="1:20" ht="18.75" customHeight="1" x14ac:dyDescent="0.25">
      <c r="A61" s="605" t="s">
        <v>63</v>
      </c>
      <c r="B61" s="606"/>
      <c r="C61" s="606"/>
      <c r="D61" s="606"/>
      <c r="E61" s="606"/>
      <c r="F61" s="606"/>
      <c r="G61" s="606"/>
      <c r="H61" s="606"/>
      <c r="I61" s="606"/>
      <c r="J61" s="606"/>
      <c r="K61" s="606"/>
      <c r="L61" s="606"/>
      <c r="M61" s="606"/>
      <c r="N61" s="606"/>
      <c r="O61" s="606"/>
      <c r="P61" s="606"/>
      <c r="Q61" s="606"/>
      <c r="R61" s="91"/>
    </row>
    <row r="62" spans="1:20" hidden="1" x14ac:dyDescent="0.25"/>
    <row r="63" spans="1:20" hidden="1" x14ac:dyDescent="0.25"/>
    <row r="64" spans="1:20"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sheetData>
  <sheetProtection formatCells="0" formatColumns="0" formatRows="0" insertColumns="0" insertRows="0" insertHyperlinks="0" deleteColumns="0" deleteRows="0" sort="0" autoFilter="0" pivotTables="0"/>
  <mergeCells count="49">
    <mergeCell ref="F1:W1"/>
    <mergeCell ref="D2:Q2"/>
    <mergeCell ref="D3:Q3"/>
    <mergeCell ref="D7:F7"/>
    <mergeCell ref="H7:Q7"/>
    <mergeCell ref="D9:F9"/>
    <mergeCell ref="H9:Q9"/>
    <mergeCell ref="D11:F11"/>
    <mergeCell ref="H11:Q11"/>
    <mergeCell ref="D13:F13"/>
    <mergeCell ref="H13:Q13"/>
    <mergeCell ref="D15:F15"/>
    <mergeCell ref="H15:Q15"/>
    <mergeCell ref="D17:F17"/>
    <mergeCell ref="H17:Q17"/>
    <mergeCell ref="D19:F19"/>
    <mergeCell ref="H19:Q19"/>
    <mergeCell ref="D23:F23"/>
    <mergeCell ref="H23:Q23"/>
    <mergeCell ref="D25:F25"/>
    <mergeCell ref="H25:Q25"/>
    <mergeCell ref="D27:F27"/>
    <mergeCell ref="H27:Q27"/>
    <mergeCell ref="D29:F29"/>
    <mergeCell ref="H29:Q29"/>
    <mergeCell ref="D53:J53"/>
    <mergeCell ref="N53:Q53"/>
    <mergeCell ref="D31:F31"/>
    <mergeCell ref="H31:Q31"/>
    <mergeCell ref="D33:F33"/>
    <mergeCell ref="H33:Q33"/>
    <mergeCell ref="D35:F35"/>
    <mergeCell ref="H35:Q35"/>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s>
  <dataValidations count="4">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 type="list" allowBlank="1" showInputMessage="1" showErrorMessage="1" sqref="C2:C3">
      <formula1>" ✓"</formula1>
    </dataValidation>
  </dataValidations>
  <hyperlinks>
    <hyperlink ref="D2:Q2" r:id="rId1" display="* I have read and agreed to the following CAMSS Privacy Statement: here"/>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D3" sqref="D3:Q3"/>
    </sheetView>
  </sheetViews>
  <sheetFormatPr defaultColWidth="0" defaultRowHeight="15" zeroHeight="1" x14ac:dyDescent="0.25"/>
  <cols>
    <col min="1" max="1" width="9" hidden="1" customWidth="1"/>
    <col min="2" max="2" width="2.7109375" customWidth="1"/>
    <col min="3" max="3" width="5.28515625" customWidth="1"/>
    <col min="4" max="5" width="9" style="129" customWidth="1"/>
    <col min="6" max="6" width="14.28515625" style="129" customWidth="1"/>
    <col min="7" max="7" width="2.7109375" style="129" customWidth="1"/>
    <col min="8" max="10" width="9" customWidth="1"/>
    <col min="11" max="11" width="1.5703125" customWidth="1"/>
    <col min="12" max="12" width="9" customWidth="1"/>
    <col min="13" max="13" width="1.28515625" customWidth="1"/>
    <col min="14" max="15" width="9" hidden="1" customWidth="1"/>
    <col min="16" max="16" width="7.28515625" hidden="1" customWidth="1"/>
    <col min="17" max="17" width="44" customWidth="1"/>
    <col min="18" max="18" width="2.7109375" customWidth="1"/>
    <col min="19" max="16384" width="9" hidden="1"/>
  </cols>
  <sheetData>
    <row r="1" spans="1:18" s="142" customFormat="1" ht="30" customHeight="1" x14ac:dyDescent="0.25">
      <c r="A1"/>
      <c r="B1" s="474"/>
      <c r="C1" s="3"/>
      <c r="D1" s="557"/>
      <c r="E1" s="654" t="s">
        <v>417</v>
      </c>
      <c r="F1" s="654"/>
      <c r="G1" s="654"/>
      <c r="H1" s="654"/>
      <c r="I1" s="654"/>
      <c r="J1" s="654"/>
      <c r="K1" s="654"/>
      <c r="L1" s="654"/>
      <c r="M1" s="654"/>
      <c r="N1" s="654"/>
      <c r="O1" s="654"/>
      <c r="P1" s="654"/>
      <c r="Q1" s="654"/>
      <c r="R1" s="3"/>
    </row>
    <row r="2" spans="1:18" s="141" customFormat="1" ht="30" customHeight="1" x14ac:dyDescent="0.25">
      <c r="A2"/>
      <c r="B2" s="143"/>
      <c r="C2" s="556" t="s">
        <v>229</v>
      </c>
      <c r="D2" s="655" t="s">
        <v>426</v>
      </c>
      <c r="E2" s="656"/>
      <c r="F2" s="656"/>
      <c r="G2" s="656"/>
      <c r="H2" s="656"/>
      <c r="I2" s="656"/>
      <c r="J2" s="656"/>
      <c r="K2" s="656"/>
      <c r="L2" s="656"/>
      <c r="M2" s="656"/>
      <c r="N2" s="656"/>
      <c r="O2" s="656"/>
      <c r="P2" s="656"/>
      <c r="Q2" s="657"/>
      <c r="R2" s="3"/>
    </row>
    <row r="3" spans="1:18" s="145" customFormat="1" ht="30" customHeight="1" x14ac:dyDescent="0.25">
      <c r="A3"/>
      <c r="B3" s="144"/>
      <c r="C3" s="556" t="s">
        <v>230</v>
      </c>
      <c r="D3" s="658" t="s">
        <v>416</v>
      </c>
      <c r="E3" s="659"/>
      <c r="F3" s="659"/>
      <c r="G3" s="659"/>
      <c r="H3" s="659"/>
      <c r="I3" s="659"/>
      <c r="J3" s="659"/>
      <c r="K3" s="659"/>
      <c r="L3" s="659"/>
      <c r="M3" s="659"/>
      <c r="N3" s="659"/>
      <c r="O3" s="659"/>
      <c r="P3" s="659"/>
      <c r="Q3" s="660"/>
      <c r="R3" s="3"/>
    </row>
    <row r="4" spans="1:18" x14ac:dyDescent="0.25">
      <c r="B4" s="3"/>
      <c r="C4" s="3"/>
      <c r="D4" s="3"/>
      <c r="E4" s="3"/>
      <c r="F4" s="2"/>
      <c r="G4" s="2"/>
      <c r="H4" s="2"/>
      <c r="I4" s="2"/>
      <c r="J4" s="2"/>
      <c r="K4" s="2"/>
      <c r="L4" s="5"/>
      <c r="M4" s="5"/>
      <c r="N4" s="2"/>
      <c r="O4" s="3"/>
      <c r="P4" s="3"/>
      <c r="Q4" s="3"/>
      <c r="R4" s="3"/>
    </row>
    <row r="5" spans="1:18" x14ac:dyDescent="0.25">
      <c r="B5" s="148"/>
      <c r="C5" s="149"/>
      <c r="D5" s="481" t="s">
        <v>11</v>
      </c>
      <c r="E5" s="457"/>
      <c r="F5" s="138"/>
      <c r="G5" s="138"/>
      <c r="H5" s="138"/>
      <c r="I5" s="138"/>
      <c r="J5" s="138"/>
      <c r="K5" s="138"/>
      <c r="L5" s="138"/>
      <c r="M5" s="138"/>
      <c r="N5" s="139"/>
      <c r="O5" s="139"/>
      <c r="P5" s="139"/>
      <c r="Q5" s="140"/>
      <c r="R5" s="150"/>
    </row>
    <row r="6" spans="1:18" x14ac:dyDescent="0.25">
      <c r="B6" s="4"/>
      <c r="C6" s="4"/>
      <c r="D6" s="4"/>
      <c r="E6" s="4"/>
      <c r="F6" s="5"/>
      <c r="G6" s="5"/>
      <c r="H6" s="2"/>
      <c r="I6" s="5"/>
      <c r="J6" s="5"/>
      <c r="K6" s="5"/>
      <c r="L6" s="5"/>
      <c r="M6" s="5"/>
      <c r="N6" s="5"/>
      <c r="O6" s="4"/>
      <c r="P6" s="4"/>
      <c r="Q6" s="4"/>
      <c r="R6" s="3"/>
    </row>
    <row r="7" spans="1:18" x14ac:dyDescent="0.25">
      <c r="B7" s="5"/>
      <c r="C7" s="6" t="s">
        <v>12</v>
      </c>
      <c r="D7" s="645" t="s">
        <v>65</v>
      </c>
      <c r="E7" s="646"/>
      <c r="F7" s="647"/>
      <c r="G7" s="5"/>
      <c r="H7" s="636"/>
      <c r="I7" s="637"/>
      <c r="J7" s="637"/>
      <c r="K7" s="637"/>
      <c r="L7" s="637"/>
      <c r="M7" s="637"/>
      <c r="N7" s="637"/>
      <c r="O7" s="637"/>
      <c r="P7" s="637"/>
      <c r="Q7" s="638"/>
      <c r="R7" s="3"/>
    </row>
    <row r="8" spans="1:18" x14ac:dyDescent="0.25">
      <c r="B8" s="5"/>
      <c r="C8" s="6"/>
      <c r="D8" s="8"/>
      <c r="E8" s="146"/>
      <c r="F8" s="7"/>
      <c r="G8" s="5"/>
      <c r="H8" s="7"/>
      <c r="I8" s="7"/>
      <c r="J8" s="7"/>
      <c r="K8" s="7"/>
      <c r="L8" s="7"/>
      <c r="M8" s="7"/>
      <c r="N8" s="7"/>
      <c r="O8" s="9"/>
      <c r="P8" s="9"/>
      <c r="Q8" s="9"/>
      <c r="R8" s="3"/>
    </row>
    <row r="9" spans="1:18" x14ac:dyDescent="0.25">
      <c r="B9" s="5"/>
      <c r="C9" s="6" t="s">
        <v>14</v>
      </c>
      <c r="D9" s="645" t="s">
        <v>15</v>
      </c>
      <c r="E9" s="646"/>
      <c r="F9" s="647"/>
      <c r="G9" s="5"/>
      <c r="H9" s="636"/>
      <c r="I9" s="637"/>
      <c r="J9" s="637"/>
      <c r="K9" s="637"/>
      <c r="L9" s="637"/>
      <c r="M9" s="637"/>
      <c r="N9" s="637"/>
      <c r="O9" s="637"/>
      <c r="P9" s="637"/>
      <c r="Q9" s="638"/>
      <c r="R9" s="3"/>
    </row>
    <row r="10" spans="1:18" x14ac:dyDescent="0.25">
      <c r="B10" s="5"/>
      <c r="C10" s="6"/>
      <c r="D10" s="8"/>
      <c r="E10" s="146"/>
      <c r="F10" s="7"/>
      <c r="G10" s="5"/>
      <c r="H10" s="7"/>
      <c r="I10" s="7"/>
      <c r="J10" s="7"/>
      <c r="K10" s="7"/>
      <c r="L10" s="7"/>
      <c r="M10" s="7"/>
      <c r="N10" s="7"/>
      <c r="O10" s="7"/>
      <c r="P10" s="7"/>
      <c r="Q10" s="7"/>
      <c r="R10" s="3"/>
    </row>
    <row r="11" spans="1:18" x14ac:dyDescent="0.25">
      <c r="B11" s="5"/>
      <c r="C11" s="6" t="s">
        <v>16</v>
      </c>
      <c r="D11" s="645" t="s">
        <v>66</v>
      </c>
      <c r="E11" s="646"/>
      <c r="F11" s="647"/>
      <c r="G11" s="5"/>
      <c r="H11" s="636"/>
      <c r="I11" s="637"/>
      <c r="J11" s="637"/>
      <c r="K11" s="637"/>
      <c r="L11" s="637"/>
      <c r="M11" s="637"/>
      <c r="N11" s="637"/>
      <c r="O11" s="637"/>
      <c r="P11" s="637"/>
      <c r="Q11" s="638"/>
      <c r="R11" s="3"/>
    </row>
    <row r="12" spans="1:18" x14ac:dyDescent="0.25">
      <c r="B12" s="5"/>
      <c r="C12" s="6"/>
      <c r="D12" s="8"/>
      <c r="E12" s="146"/>
      <c r="F12" s="7"/>
      <c r="G12" s="5"/>
      <c r="H12" s="7"/>
      <c r="I12" s="7"/>
      <c r="J12" s="7"/>
      <c r="K12" s="7"/>
      <c r="L12" s="7"/>
      <c r="M12" s="7"/>
      <c r="N12" s="7"/>
      <c r="O12" s="7"/>
      <c r="P12" s="7"/>
      <c r="Q12" s="7"/>
      <c r="R12" s="3"/>
    </row>
    <row r="13" spans="1:18" x14ac:dyDescent="0.25">
      <c r="B13" s="5"/>
      <c r="C13" s="6" t="s">
        <v>18</v>
      </c>
      <c r="D13" s="645" t="s">
        <v>19</v>
      </c>
      <c r="E13" s="646"/>
      <c r="F13" s="647"/>
      <c r="G13" s="5"/>
      <c r="H13" s="636"/>
      <c r="I13" s="637"/>
      <c r="J13" s="637"/>
      <c r="K13" s="637"/>
      <c r="L13" s="637"/>
      <c r="M13" s="637"/>
      <c r="N13" s="637"/>
      <c r="O13" s="637"/>
      <c r="P13" s="637"/>
      <c r="Q13" s="638"/>
      <c r="R13" s="3"/>
    </row>
    <row r="14" spans="1:18" x14ac:dyDescent="0.25">
      <c r="B14" s="5"/>
      <c r="C14" s="6"/>
      <c r="D14" s="8"/>
      <c r="E14" s="146"/>
      <c r="F14" s="7"/>
      <c r="G14" s="5"/>
      <c r="H14" s="7"/>
      <c r="I14" s="7"/>
      <c r="J14" s="7"/>
      <c r="K14" s="7"/>
      <c r="L14" s="7"/>
      <c r="M14" s="7"/>
      <c r="N14" s="7"/>
      <c r="O14" s="7"/>
      <c r="P14" s="7"/>
      <c r="Q14" s="7"/>
      <c r="R14" s="3"/>
    </row>
    <row r="15" spans="1:18" x14ac:dyDescent="0.25">
      <c r="B15" s="5"/>
      <c r="C15" s="6" t="s">
        <v>20</v>
      </c>
      <c r="D15" s="645" t="s">
        <v>21</v>
      </c>
      <c r="E15" s="646"/>
      <c r="F15" s="647"/>
      <c r="G15" s="5"/>
      <c r="H15" s="636"/>
      <c r="I15" s="637"/>
      <c r="J15" s="637"/>
      <c r="K15" s="637"/>
      <c r="L15" s="637"/>
      <c r="M15" s="637"/>
      <c r="N15" s="637"/>
      <c r="O15" s="637"/>
      <c r="P15" s="637"/>
      <c r="Q15" s="638"/>
      <c r="R15" s="3"/>
    </row>
    <row r="16" spans="1:18" x14ac:dyDescent="0.25">
      <c r="B16" s="5"/>
      <c r="C16" s="6"/>
      <c r="D16" s="8"/>
      <c r="E16" s="146"/>
      <c r="F16" s="7"/>
      <c r="G16" s="5"/>
      <c r="H16" s="7"/>
      <c r="I16" s="7"/>
      <c r="J16" s="7"/>
      <c r="K16" s="7"/>
      <c r="L16" s="7"/>
      <c r="M16" s="7"/>
      <c r="N16" s="7"/>
      <c r="O16" s="7"/>
      <c r="P16" s="7"/>
      <c r="Q16" s="7"/>
      <c r="R16" s="3"/>
    </row>
    <row r="17" spans="2:18" x14ac:dyDescent="0.25">
      <c r="B17" s="5"/>
      <c r="C17" s="6" t="s">
        <v>22</v>
      </c>
      <c r="D17" s="645" t="s">
        <v>23</v>
      </c>
      <c r="E17" s="646"/>
      <c r="F17" s="647"/>
      <c r="G17" s="5"/>
      <c r="H17" s="636"/>
      <c r="I17" s="637"/>
      <c r="J17" s="637"/>
      <c r="K17" s="637"/>
      <c r="L17" s="637"/>
      <c r="M17" s="637"/>
      <c r="N17" s="637"/>
      <c r="O17" s="637"/>
      <c r="P17" s="637"/>
      <c r="Q17" s="638"/>
      <c r="R17" s="3"/>
    </row>
    <row r="18" spans="2:18" x14ac:dyDescent="0.25">
      <c r="B18" s="5"/>
      <c r="C18" s="5"/>
      <c r="D18" s="7"/>
      <c r="E18" s="7"/>
      <c r="F18" s="7"/>
      <c r="G18" s="5"/>
      <c r="H18" s="7"/>
      <c r="I18" s="7"/>
      <c r="J18" s="7"/>
      <c r="K18" s="7"/>
      <c r="L18" s="7"/>
      <c r="M18" s="7"/>
      <c r="N18" s="7"/>
      <c r="O18" s="7"/>
      <c r="P18" s="7"/>
      <c r="Q18" s="7"/>
      <c r="R18" s="2"/>
    </row>
    <row r="19" spans="2:18" x14ac:dyDescent="0.25">
      <c r="B19" s="6"/>
      <c r="C19" s="6" t="s">
        <v>24</v>
      </c>
      <c r="D19" s="645" t="s">
        <v>25</v>
      </c>
      <c r="E19" s="646"/>
      <c r="F19" s="647"/>
      <c r="G19" s="130" t="s">
        <v>26</v>
      </c>
      <c r="H19" s="661"/>
      <c r="I19" s="662"/>
      <c r="J19" s="662"/>
      <c r="K19" s="662"/>
      <c r="L19" s="662"/>
      <c r="M19" s="662"/>
      <c r="N19" s="662"/>
      <c r="O19" s="662"/>
      <c r="P19" s="662"/>
      <c r="Q19" s="663"/>
      <c r="R19" s="3"/>
    </row>
    <row r="20" spans="2:18" x14ac:dyDescent="0.25">
      <c r="B20" s="5"/>
      <c r="C20" s="5"/>
      <c r="D20" s="7"/>
      <c r="E20" s="7"/>
      <c r="F20" s="7"/>
      <c r="G20" s="5"/>
      <c r="H20" s="7"/>
      <c r="I20" s="7"/>
      <c r="J20" s="7"/>
      <c r="K20" s="7"/>
      <c r="L20" s="7"/>
      <c r="M20" s="7"/>
      <c r="N20" s="7"/>
      <c r="O20" s="7"/>
      <c r="P20" s="7"/>
      <c r="Q20" s="7"/>
      <c r="R20" s="2"/>
    </row>
    <row r="21" spans="2:18" x14ac:dyDescent="0.25">
      <c r="B21" s="10"/>
      <c r="C21" s="6" t="s">
        <v>67</v>
      </c>
      <c r="D21" s="645" t="s">
        <v>68</v>
      </c>
      <c r="E21" s="646"/>
      <c r="F21" s="647"/>
      <c r="G21" s="131" t="s">
        <v>26</v>
      </c>
      <c r="H21" s="651"/>
      <c r="I21" s="652"/>
      <c r="J21" s="652"/>
      <c r="K21" s="652"/>
      <c r="L21" s="652"/>
      <c r="M21" s="652"/>
      <c r="N21" s="652"/>
      <c r="O21" s="652"/>
      <c r="P21" s="652"/>
      <c r="Q21" s="653"/>
      <c r="R21" s="3"/>
    </row>
    <row r="22" spans="2:18" x14ac:dyDescent="0.25">
      <c r="B22" s="5"/>
      <c r="C22" s="6"/>
      <c r="D22" s="8"/>
      <c r="E22" s="146"/>
      <c r="F22" s="7"/>
      <c r="G22" s="5"/>
      <c r="H22" s="1"/>
      <c r="I22" s="7"/>
      <c r="J22" s="7"/>
      <c r="K22" s="7"/>
      <c r="L22" s="7"/>
      <c r="M22" s="7"/>
      <c r="N22" s="7"/>
      <c r="O22" s="7"/>
      <c r="P22" s="7"/>
      <c r="Q22" s="7"/>
      <c r="R22" s="2"/>
    </row>
    <row r="23" spans="2:18" x14ac:dyDescent="0.25">
      <c r="B23" s="5"/>
      <c r="C23" s="6" t="s">
        <v>69</v>
      </c>
      <c r="D23" s="645" t="s">
        <v>70</v>
      </c>
      <c r="E23" s="646"/>
      <c r="F23" s="647"/>
      <c r="G23" s="5"/>
      <c r="H23" s="636"/>
      <c r="I23" s="637"/>
      <c r="J23" s="637"/>
      <c r="K23" s="637"/>
      <c r="L23" s="637"/>
      <c r="M23" s="637"/>
      <c r="N23" s="637"/>
      <c r="O23" s="637"/>
      <c r="P23" s="637"/>
      <c r="Q23" s="638"/>
      <c r="R23" s="2"/>
    </row>
    <row r="24" spans="2:18" x14ac:dyDescent="0.25">
      <c r="B24" s="5"/>
      <c r="C24" s="6"/>
      <c r="D24" s="8"/>
      <c r="E24" s="146"/>
      <c r="F24" s="7"/>
      <c r="G24" s="5"/>
      <c r="H24" s="7"/>
      <c r="I24" s="7"/>
      <c r="J24" s="7"/>
      <c r="K24" s="7"/>
      <c r="L24" s="7"/>
      <c r="M24" s="7"/>
      <c r="N24" s="7"/>
      <c r="O24" s="7"/>
      <c r="P24" s="7"/>
      <c r="Q24" s="7"/>
      <c r="R24" s="2"/>
    </row>
    <row r="25" spans="2:18" x14ac:dyDescent="0.25">
      <c r="B25" s="5"/>
      <c r="C25" s="6" t="s">
        <v>71</v>
      </c>
      <c r="D25" s="645" t="s">
        <v>72</v>
      </c>
      <c r="E25" s="646"/>
      <c r="F25" s="647"/>
      <c r="G25" s="5"/>
      <c r="H25" s="636"/>
      <c r="I25" s="637"/>
      <c r="J25" s="637"/>
      <c r="K25" s="637"/>
      <c r="L25" s="637"/>
      <c r="M25" s="637"/>
      <c r="N25" s="637"/>
      <c r="O25" s="637"/>
      <c r="P25" s="637"/>
      <c r="Q25" s="638"/>
      <c r="R25" s="2"/>
    </row>
    <row r="26" spans="2:18" x14ac:dyDescent="0.25">
      <c r="B26" s="11"/>
      <c r="C26" s="11"/>
      <c r="D26" s="12"/>
      <c r="E26" s="12"/>
      <c r="F26" s="12"/>
      <c r="G26" s="11"/>
      <c r="H26" s="12"/>
      <c r="I26" s="12"/>
      <c r="J26" s="12"/>
      <c r="K26" s="12"/>
      <c r="L26" s="12"/>
      <c r="M26" s="12"/>
      <c r="N26" s="12"/>
      <c r="O26" s="12"/>
      <c r="P26" s="12"/>
      <c r="Q26" s="12"/>
      <c r="R26" s="11"/>
    </row>
    <row r="27" spans="2:18" hidden="1" x14ac:dyDescent="0.25">
      <c r="B27" s="5"/>
      <c r="C27" s="6" t="s">
        <v>73</v>
      </c>
      <c r="D27" s="645" t="s">
        <v>74</v>
      </c>
      <c r="E27" s="646"/>
      <c r="F27" s="647"/>
      <c r="G27" s="5"/>
      <c r="H27" s="636"/>
      <c r="I27" s="637"/>
      <c r="J27" s="637"/>
      <c r="K27" s="637"/>
      <c r="L27" s="637"/>
      <c r="M27" s="637"/>
      <c r="N27" s="637"/>
      <c r="O27" s="637"/>
      <c r="P27" s="637"/>
      <c r="Q27" s="638"/>
      <c r="R27" s="2"/>
    </row>
    <row r="28" spans="2:18" hidden="1" x14ac:dyDescent="0.25">
      <c r="B28" s="5"/>
      <c r="C28" s="5"/>
      <c r="D28" s="7"/>
      <c r="E28" s="7"/>
      <c r="F28" s="7"/>
      <c r="G28" s="5"/>
      <c r="H28" s="7"/>
      <c r="I28" s="7"/>
      <c r="J28" s="7"/>
      <c r="K28" s="7"/>
      <c r="L28" s="7"/>
      <c r="M28" s="7"/>
      <c r="N28" s="7"/>
      <c r="O28" s="7"/>
      <c r="P28" s="7"/>
      <c r="Q28" s="7"/>
      <c r="R28" s="2"/>
    </row>
    <row r="29" spans="2:18" hidden="1" x14ac:dyDescent="0.25">
      <c r="B29" s="5"/>
      <c r="C29" s="6" t="s">
        <v>75</v>
      </c>
      <c r="D29" s="648" t="s">
        <v>76</v>
      </c>
      <c r="E29" s="649"/>
      <c r="F29" s="650"/>
      <c r="G29" s="5"/>
      <c r="H29" s="636"/>
      <c r="I29" s="637"/>
      <c r="J29" s="637"/>
      <c r="K29" s="637"/>
      <c r="L29" s="637"/>
      <c r="M29" s="637"/>
      <c r="N29" s="637"/>
      <c r="O29" s="637"/>
      <c r="P29" s="637"/>
      <c r="Q29" s="638"/>
      <c r="R29" s="2"/>
    </row>
    <row r="30" spans="2:18" hidden="1" x14ac:dyDescent="0.25">
      <c r="B30" s="5"/>
      <c r="C30" s="5"/>
      <c r="D30" s="7"/>
      <c r="E30" s="7"/>
      <c r="F30" s="7"/>
      <c r="G30" s="5"/>
      <c r="H30" s="7"/>
      <c r="I30" s="7"/>
      <c r="J30" s="7"/>
      <c r="K30" s="7"/>
      <c r="L30" s="7"/>
      <c r="M30" s="7"/>
      <c r="N30" s="7"/>
      <c r="O30" s="7"/>
      <c r="P30" s="7"/>
      <c r="Q30" s="7"/>
      <c r="R30" s="2"/>
    </row>
    <row r="31" spans="2:18" hidden="1" x14ac:dyDescent="0.25">
      <c r="B31" s="5"/>
      <c r="C31" s="6" t="s">
        <v>77</v>
      </c>
      <c r="D31" s="648" t="s">
        <v>78</v>
      </c>
      <c r="E31" s="649"/>
      <c r="F31" s="650"/>
      <c r="G31" s="5"/>
      <c r="H31" s="636"/>
      <c r="I31" s="637"/>
      <c r="J31" s="637"/>
      <c r="K31" s="637"/>
      <c r="L31" s="637"/>
      <c r="M31" s="637"/>
      <c r="N31" s="637"/>
      <c r="O31" s="637"/>
      <c r="P31" s="637"/>
      <c r="Q31" s="638"/>
      <c r="R31" s="2"/>
    </row>
    <row r="32" spans="2:18" hidden="1" x14ac:dyDescent="0.25">
      <c r="B32" s="5"/>
      <c r="C32" s="6"/>
      <c r="D32" s="8"/>
      <c r="E32" s="7"/>
      <c r="F32" s="7"/>
      <c r="G32" s="5"/>
      <c r="H32" s="7"/>
      <c r="I32" s="7"/>
      <c r="J32" s="7"/>
      <c r="K32" s="7"/>
      <c r="L32" s="7"/>
      <c r="M32" s="7"/>
      <c r="N32" s="13"/>
      <c r="O32" s="7"/>
      <c r="P32" s="7"/>
      <c r="Q32" s="7"/>
      <c r="R32" s="2"/>
    </row>
    <row r="33" spans="1:18" ht="20.25" hidden="1" customHeight="1" x14ac:dyDescent="0.25">
      <c r="B33" s="5"/>
      <c r="C33" s="6" t="s">
        <v>79</v>
      </c>
      <c r="D33" s="648" t="s">
        <v>80</v>
      </c>
      <c r="E33" s="649"/>
      <c r="F33" s="650"/>
      <c r="G33" s="5"/>
      <c r="H33" s="636"/>
      <c r="I33" s="637"/>
      <c r="J33" s="637"/>
      <c r="K33" s="637"/>
      <c r="L33" s="637"/>
      <c r="M33" s="637"/>
      <c r="N33" s="637"/>
      <c r="O33" s="637"/>
      <c r="P33" s="637"/>
      <c r="Q33" s="638"/>
      <c r="R33" s="2"/>
    </row>
    <row r="34" spans="1:18" hidden="1" x14ac:dyDescent="0.25">
      <c r="B34" s="5"/>
      <c r="C34" s="5"/>
      <c r="D34" s="5"/>
      <c r="E34" s="5"/>
      <c r="F34" s="5"/>
      <c r="G34" s="5"/>
      <c r="H34" s="7"/>
      <c r="I34" s="7"/>
      <c r="J34" s="7"/>
      <c r="K34" s="7"/>
      <c r="L34" s="7"/>
      <c r="M34" s="7"/>
      <c r="N34" s="7"/>
      <c r="O34" s="7"/>
      <c r="P34" s="7"/>
      <c r="Q34" s="7"/>
      <c r="R34" s="2"/>
    </row>
    <row r="35" spans="1:18" x14ac:dyDescent="0.25">
      <c r="A35" s="16"/>
      <c r="B35" s="16"/>
      <c r="C35" s="16"/>
      <c r="D35" s="464" t="s">
        <v>27</v>
      </c>
      <c r="E35" s="15"/>
      <c r="F35" s="15"/>
      <c r="G35" s="15"/>
      <c r="H35" s="16"/>
      <c r="I35" s="16"/>
      <c r="J35" s="16"/>
      <c r="K35" s="16"/>
      <c r="L35" s="16"/>
      <c r="M35" s="16"/>
      <c r="N35" s="16"/>
      <c r="O35" s="16"/>
      <c r="P35" s="16"/>
      <c r="Q35" s="16"/>
      <c r="R35" s="16"/>
    </row>
    <row r="36" spans="1:18" x14ac:dyDescent="0.25">
      <c r="B36" s="5"/>
      <c r="C36" s="5"/>
      <c r="D36" s="5"/>
      <c r="E36" s="5"/>
      <c r="F36" s="5"/>
      <c r="G36" s="5"/>
      <c r="H36" s="7"/>
      <c r="I36" s="7"/>
      <c r="J36" s="7"/>
      <c r="K36" s="7"/>
      <c r="L36" s="7"/>
      <c r="M36" s="7"/>
      <c r="N36" s="7"/>
      <c r="O36" s="7"/>
      <c r="P36" s="7"/>
      <c r="Q36" s="7"/>
      <c r="R36" s="2"/>
    </row>
    <row r="37" spans="1:18" x14ac:dyDescent="0.25">
      <c r="B37" s="10"/>
      <c r="C37" s="6" t="s">
        <v>28</v>
      </c>
      <c r="D37" s="633" t="s">
        <v>29</v>
      </c>
      <c r="E37" s="634"/>
      <c r="F37" s="635"/>
      <c r="G37" s="131" t="s">
        <v>26</v>
      </c>
      <c r="H37" s="636"/>
      <c r="I37" s="637"/>
      <c r="J37" s="637"/>
      <c r="K37" s="637"/>
      <c r="L37" s="637"/>
      <c r="M37" s="637"/>
      <c r="N37" s="637"/>
      <c r="O37" s="637"/>
      <c r="P37" s="637"/>
      <c r="Q37" s="638"/>
      <c r="R37" s="6"/>
    </row>
    <row r="38" spans="1:18" x14ac:dyDescent="0.25">
      <c r="B38" s="5"/>
      <c r="C38" s="10"/>
      <c r="D38" s="7"/>
      <c r="E38" s="7"/>
      <c r="F38" s="7"/>
      <c r="G38" s="5"/>
      <c r="H38" s="7"/>
      <c r="I38" s="7"/>
      <c r="J38" s="7"/>
      <c r="K38" s="7"/>
      <c r="L38" s="7"/>
      <c r="M38" s="7"/>
      <c r="N38" s="7"/>
      <c r="O38" s="7"/>
      <c r="P38" s="7"/>
      <c r="Q38" s="7"/>
      <c r="R38" s="2"/>
    </row>
    <row r="39" spans="1:18" ht="27.75" customHeight="1" x14ac:dyDescent="0.25">
      <c r="B39" s="5"/>
      <c r="C39" s="10" t="s">
        <v>30</v>
      </c>
      <c r="D39" s="639" t="s">
        <v>31</v>
      </c>
      <c r="E39" s="640"/>
      <c r="F39" s="641"/>
      <c r="G39" s="5"/>
      <c r="H39" s="636"/>
      <c r="I39" s="637"/>
      <c r="J39" s="637"/>
      <c r="K39" s="637"/>
      <c r="L39" s="637"/>
      <c r="M39" s="637"/>
      <c r="N39" s="637"/>
      <c r="O39" s="637"/>
      <c r="P39" s="637"/>
      <c r="Q39" s="638"/>
      <c r="R39" s="2"/>
    </row>
    <row r="40" spans="1:18" x14ac:dyDescent="0.25">
      <c r="B40" s="5"/>
      <c r="C40" s="6"/>
      <c r="D40" s="7"/>
      <c r="E40" s="7"/>
      <c r="F40" s="7"/>
      <c r="G40" s="5"/>
      <c r="H40" s="7"/>
      <c r="I40" s="7"/>
      <c r="J40" s="7"/>
      <c r="K40" s="7"/>
      <c r="L40" s="7"/>
      <c r="M40" s="7"/>
      <c r="N40" s="7"/>
      <c r="O40" s="7"/>
      <c r="P40" s="7"/>
      <c r="Q40" s="7"/>
      <c r="R40" s="2"/>
    </row>
    <row r="41" spans="1:18" ht="57" customHeight="1" x14ac:dyDescent="0.25">
      <c r="B41" s="10"/>
      <c r="C41" s="10" t="s">
        <v>33</v>
      </c>
      <c r="D41" s="639" t="s">
        <v>81</v>
      </c>
      <c r="E41" s="640"/>
      <c r="F41" s="641"/>
      <c r="G41" s="132" t="s">
        <v>26</v>
      </c>
      <c r="H41" s="636"/>
      <c r="I41" s="637"/>
      <c r="J41" s="637"/>
      <c r="K41" s="637"/>
      <c r="L41" s="637"/>
      <c r="M41" s="637"/>
      <c r="N41" s="637"/>
      <c r="O41" s="637"/>
      <c r="P41" s="637"/>
      <c r="Q41" s="638"/>
      <c r="R41" s="6"/>
    </row>
    <row r="42" spans="1:18" x14ac:dyDescent="0.25">
      <c r="B42" s="5"/>
      <c r="C42" s="10"/>
      <c r="D42" s="7"/>
      <c r="E42" s="7"/>
      <c r="F42" s="7"/>
      <c r="G42" s="5"/>
      <c r="H42" s="7"/>
      <c r="I42" s="7"/>
      <c r="J42" s="7"/>
      <c r="K42" s="7"/>
      <c r="L42" s="7"/>
      <c r="M42" s="7"/>
      <c r="N42" s="7"/>
      <c r="O42" s="7"/>
      <c r="P42" s="7"/>
      <c r="Q42" s="7"/>
      <c r="R42" s="2"/>
    </row>
    <row r="43" spans="1:18" ht="57.75" customHeight="1" x14ac:dyDescent="0.25">
      <c r="B43" s="5"/>
      <c r="C43" s="6" t="s">
        <v>35</v>
      </c>
      <c r="D43" s="639" t="s">
        <v>36</v>
      </c>
      <c r="E43" s="640"/>
      <c r="F43" s="641"/>
      <c r="G43" s="5"/>
      <c r="H43" s="636"/>
      <c r="I43" s="637"/>
      <c r="J43" s="637"/>
      <c r="K43" s="637"/>
      <c r="L43" s="637"/>
      <c r="M43" s="637"/>
      <c r="N43" s="637"/>
      <c r="O43" s="637"/>
      <c r="P43" s="637"/>
      <c r="Q43" s="638"/>
      <c r="R43" s="2"/>
    </row>
    <row r="44" spans="1:18" x14ac:dyDescent="0.25">
      <c r="B44" s="10"/>
      <c r="C44" s="10"/>
      <c r="D44" s="10"/>
      <c r="E44" s="10"/>
      <c r="F44" s="10"/>
      <c r="G44" s="10"/>
      <c r="H44" s="10"/>
      <c r="I44" s="10"/>
      <c r="J44" s="10"/>
      <c r="K44" s="10"/>
      <c r="L44" s="10"/>
      <c r="M44" s="10"/>
      <c r="N44" s="10"/>
      <c r="O44" s="10"/>
      <c r="P44" s="10"/>
      <c r="Q44" s="10"/>
      <c r="R44" s="10"/>
    </row>
    <row r="45" spans="1:18" ht="54" customHeight="1" x14ac:dyDescent="0.25">
      <c r="B45" s="5"/>
      <c r="C45" s="10" t="s">
        <v>37</v>
      </c>
      <c r="D45" s="639" t="s">
        <v>38</v>
      </c>
      <c r="E45" s="640"/>
      <c r="F45" s="641"/>
      <c r="G45" s="5"/>
      <c r="H45" s="636"/>
      <c r="I45" s="637"/>
      <c r="J45" s="637"/>
      <c r="K45" s="637"/>
      <c r="L45" s="637"/>
      <c r="M45" s="637"/>
      <c r="N45" s="637"/>
      <c r="O45" s="637"/>
      <c r="P45" s="637"/>
      <c r="Q45" s="638"/>
      <c r="R45" s="2"/>
    </row>
    <row r="46" spans="1:18" x14ac:dyDescent="0.25">
      <c r="B46" s="10"/>
      <c r="C46" s="10"/>
      <c r="D46" s="10"/>
      <c r="E46" s="10"/>
      <c r="F46" s="10"/>
      <c r="G46" s="10"/>
      <c r="H46" s="10"/>
      <c r="I46" s="10"/>
      <c r="J46" s="10"/>
      <c r="K46" s="10"/>
      <c r="L46" s="10"/>
      <c r="M46" s="10"/>
      <c r="N46" s="10"/>
      <c r="O46" s="10"/>
      <c r="P46" s="10"/>
      <c r="Q46" s="10"/>
      <c r="R46" s="10"/>
    </row>
    <row r="47" spans="1:18" ht="82.5" customHeight="1" x14ac:dyDescent="0.25">
      <c r="B47" s="5"/>
      <c r="C47" s="10" t="s">
        <v>39</v>
      </c>
      <c r="D47" s="639" t="s">
        <v>40</v>
      </c>
      <c r="E47" s="640"/>
      <c r="F47" s="641"/>
      <c r="G47" s="5"/>
      <c r="H47" s="636"/>
      <c r="I47" s="637"/>
      <c r="J47" s="637"/>
      <c r="K47" s="637"/>
      <c r="L47" s="637"/>
      <c r="M47" s="637"/>
      <c r="N47" s="637"/>
      <c r="O47" s="637"/>
      <c r="P47" s="637"/>
      <c r="Q47" s="638"/>
      <c r="R47" s="2"/>
    </row>
    <row r="48" spans="1:18" hidden="1" x14ac:dyDescent="0.25">
      <c r="B48" s="10"/>
      <c r="C48" s="10"/>
      <c r="D48" s="10"/>
      <c r="E48" s="10"/>
      <c r="F48" s="10"/>
      <c r="G48" s="10"/>
      <c r="H48" s="10"/>
      <c r="I48" s="10"/>
      <c r="J48" s="10"/>
      <c r="K48" s="10"/>
      <c r="L48" s="10"/>
      <c r="M48" s="10"/>
      <c r="N48" s="10"/>
      <c r="O48" s="10"/>
      <c r="P48" s="10"/>
      <c r="Q48" s="10"/>
      <c r="R48" s="10"/>
    </row>
    <row r="49" spans="2:18" ht="145.5" hidden="1" customHeight="1" x14ac:dyDescent="0.25">
      <c r="B49" s="5"/>
      <c r="C49" s="6" t="s">
        <v>41</v>
      </c>
      <c r="D49" s="639" t="s">
        <v>42</v>
      </c>
      <c r="E49" s="640"/>
      <c r="F49" s="641"/>
      <c r="G49" s="5"/>
      <c r="H49" s="636"/>
      <c r="I49" s="637"/>
      <c r="J49" s="637"/>
      <c r="K49" s="637"/>
      <c r="L49" s="637"/>
      <c r="M49" s="637"/>
      <c r="N49" s="637"/>
      <c r="O49" s="637"/>
      <c r="P49" s="637"/>
      <c r="Q49" s="638"/>
      <c r="R49" s="2"/>
    </row>
    <row r="50" spans="2:18" hidden="1" x14ac:dyDescent="0.25">
      <c r="B50" s="5"/>
      <c r="C50" s="5"/>
      <c r="D50" s="5"/>
      <c r="E50" s="5"/>
      <c r="F50" s="5"/>
      <c r="G50" s="5"/>
      <c r="H50" s="10"/>
      <c r="I50" s="10"/>
      <c r="J50" s="10"/>
      <c r="K50" s="10"/>
      <c r="L50" s="10"/>
      <c r="M50" s="10"/>
      <c r="N50" s="10"/>
      <c r="O50" s="10"/>
      <c r="P50" s="10"/>
      <c r="Q50" s="10"/>
      <c r="R50" s="2"/>
    </row>
    <row r="51" spans="2:18" ht="75" hidden="1" customHeight="1" x14ac:dyDescent="0.25">
      <c r="B51" s="5"/>
      <c r="C51" s="10" t="s">
        <v>43</v>
      </c>
      <c r="D51" s="639" t="s">
        <v>44</v>
      </c>
      <c r="E51" s="640"/>
      <c r="F51" s="641"/>
      <c r="G51" s="5"/>
      <c r="H51" s="636"/>
      <c r="I51" s="637"/>
      <c r="J51" s="637"/>
      <c r="K51" s="637"/>
      <c r="L51" s="637"/>
      <c r="M51" s="637"/>
      <c r="N51" s="637"/>
      <c r="O51" s="637"/>
      <c r="P51" s="637"/>
      <c r="Q51" s="638"/>
      <c r="R51" s="2"/>
    </row>
    <row r="52" spans="2:18" hidden="1" x14ac:dyDescent="0.25">
      <c r="B52" s="5"/>
      <c r="C52" s="6"/>
      <c r="D52" s="5"/>
      <c r="E52" s="5"/>
      <c r="F52" s="5"/>
      <c r="G52" s="5"/>
      <c r="H52" s="10"/>
      <c r="I52" s="10"/>
      <c r="J52" s="10"/>
      <c r="K52" s="10"/>
      <c r="L52" s="10"/>
      <c r="M52" s="10"/>
      <c r="N52" s="10"/>
      <c r="O52" s="10"/>
      <c r="P52" s="10"/>
      <c r="Q52" s="10"/>
      <c r="R52" s="2"/>
    </row>
    <row r="53" spans="2:18" ht="88.5" hidden="1" customHeight="1" x14ac:dyDescent="0.25">
      <c r="B53" s="5"/>
      <c r="C53" s="10" t="s">
        <v>45</v>
      </c>
      <c r="D53" s="639" t="s">
        <v>46</v>
      </c>
      <c r="E53" s="640"/>
      <c r="F53" s="641"/>
      <c r="G53" s="5"/>
      <c r="H53" s="636"/>
      <c r="I53" s="637"/>
      <c r="J53" s="637"/>
      <c r="K53" s="637"/>
      <c r="L53" s="637"/>
      <c r="M53" s="637"/>
      <c r="N53" s="637"/>
      <c r="O53" s="637"/>
      <c r="P53" s="637"/>
      <c r="Q53" s="638"/>
      <c r="R53" s="2"/>
    </row>
    <row r="54" spans="2:18" hidden="1" x14ac:dyDescent="0.25">
      <c r="B54" s="5"/>
      <c r="C54" s="10"/>
      <c r="D54" s="5"/>
      <c r="E54" s="5"/>
      <c r="F54" s="5"/>
      <c r="G54" s="5"/>
      <c r="H54" s="10"/>
      <c r="I54" s="10"/>
      <c r="J54" s="10"/>
      <c r="K54" s="10"/>
      <c r="L54" s="10"/>
      <c r="M54" s="10"/>
      <c r="N54" s="10"/>
      <c r="O54" s="10"/>
      <c r="P54" s="10"/>
      <c r="Q54" s="10"/>
      <c r="R54" s="2"/>
    </row>
    <row r="55" spans="2:18" ht="170.25" hidden="1" customHeight="1" x14ac:dyDescent="0.25">
      <c r="B55" s="5"/>
      <c r="C55" s="10" t="s">
        <v>47</v>
      </c>
      <c r="D55" s="639" t="s">
        <v>82</v>
      </c>
      <c r="E55" s="640"/>
      <c r="F55" s="641"/>
      <c r="G55" s="5"/>
      <c r="H55" s="636"/>
      <c r="I55" s="637"/>
      <c r="J55" s="637"/>
      <c r="K55" s="637"/>
      <c r="L55" s="637"/>
      <c r="M55" s="637"/>
      <c r="N55" s="637"/>
      <c r="O55" s="637"/>
      <c r="P55" s="637"/>
      <c r="Q55" s="638"/>
      <c r="R55" s="2"/>
    </row>
    <row r="56" spans="2:18" x14ac:dyDescent="0.25">
      <c r="B56" s="5"/>
      <c r="C56" s="5"/>
      <c r="D56" s="5"/>
      <c r="E56" s="5"/>
      <c r="F56" s="5"/>
      <c r="G56" s="5"/>
      <c r="H56" s="10"/>
      <c r="I56" s="10"/>
      <c r="J56" s="10"/>
      <c r="K56" s="10"/>
      <c r="L56" s="10"/>
      <c r="M56" s="10"/>
      <c r="N56" s="10"/>
      <c r="O56" s="10"/>
      <c r="P56" s="10"/>
      <c r="Q56" s="10"/>
      <c r="R56" s="2"/>
    </row>
    <row r="57" spans="2:18" x14ac:dyDescent="0.25">
      <c r="B57" s="5"/>
      <c r="C57" s="10" t="s">
        <v>83</v>
      </c>
      <c r="D57" s="633" t="s">
        <v>84</v>
      </c>
      <c r="E57" s="634"/>
      <c r="F57" s="635"/>
      <c r="G57" s="5"/>
      <c r="H57" s="636"/>
      <c r="I57" s="637"/>
      <c r="J57" s="637"/>
      <c r="K57" s="637"/>
      <c r="L57" s="637"/>
      <c r="M57" s="637"/>
      <c r="N57" s="637"/>
      <c r="O57" s="637"/>
      <c r="P57" s="637"/>
      <c r="Q57" s="638"/>
      <c r="R57" s="2"/>
    </row>
    <row r="58" spans="2:18" x14ac:dyDescent="0.25">
      <c r="B58" s="5"/>
      <c r="C58" s="5"/>
      <c r="D58" s="5"/>
      <c r="E58" s="5"/>
      <c r="F58" s="5"/>
      <c r="G58" s="5"/>
      <c r="H58" s="10"/>
      <c r="I58" s="10"/>
      <c r="J58" s="10"/>
      <c r="K58" s="10"/>
      <c r="L58" s="10"/>
      <c r="M58" s="10"/>
      <c r="N58" s="10"/>
      <c r="O58" s="10"/>
      <c r="P58" s="10"/>
      <c r="Q58" s="10"/>
      <c r="R58" s="2"/>
    </row>
    <row r="59" spans="2:18" x14ac:dyDescent="0.25">
      <c r="B59" s="5"/>
      <c r="C59" s="10" t="s">
        <v>85</v>
      </c>
      <c r="D59" s="633" t="s">
        <v>86</v>
      </c>
      <c r="E59" s="634"/>
      <c r="F59" s="635"/>
      <c r="G59" s="5"/>
      <c r="H59" s="636"/>
      <c r="I59" s="637"/>
      <c r="J59" s="637"/>
      <c r="K59" s="637"/>
      <c r="L59" s="637"/>
      <c r="M59" s="637"/>
      <c r="N59" s="637"/>
      <c r="O59" s="637"/>
      <c r="P59" s="637"/>
      <c r="Q59" s="638"/>
      <c r="R59" s="2"/>
    </row>
    <row r="60" spans="2:18" x14ac:dyDescent="0.25">
      <c r="B60" s="5"/>
      <c r="C60" s="5"/>
      <c r="D60" s="5"/>
      <c r="E60" s="5"/>
      <c r="F60" s="5"/>
      <c r="G60" s="5"/>
      <c r="H60" s="10"/>
      <c r="I60" s="10"/>
      <c r="J60" s="10"/>
      <c r="K60" s="10"/>
      <c r="L60" s="10"/>
      <c r="M60" s="10"/>
      <c r="N60" s="10"/>
      <c r="O60" s="10"/>
      <c r="P60" s="10"/>
      <c r="Q60" s="10"/>
      <c r="R60" s="2"/>
    </row>
    <row r="61" spans="2:18" x14ac:dyDescent="0.25">
      <c r="B61" s="5"/>
      <c r="C61" s="10" t="s">
        <v>87</v>
      </c>
      <c r="D61" s="633" t="s">
        <v>88</v>
      </c>
      <c r="E61" s="634"/>
      <c r="F61" s="635"/>
      <c r="G61" s="5"/>
      <c r="H61" s="636"/>
      <c r="I61" s="637"/>
      <c r="J61" s="637"/>
      <c r="K61" s="637"/>
      <c r="L61" s="637"/>
      <c r="M61" s="637"/>
      <c r="N61" s="637"/>
      <c r="O61" s="637"/>
      <c r="P61" s="637"/>
      <c r="Q61" s="638"/>
      <c r="R61" s="2"/>
    </row>
    <row r="62" spans="2:18" hidden="1" x14ac:dyDescent="0.25">
      <c r="B62" s="5"/>
      <c r="C62" s="5"/>
      <c r="D62" s="5"/>
      <c r="E62" s="5"/>
      <c r="F62" s="5"/>
      <c r="G62" s="5"/>
      <c r="H62" s="10"/>
      <c r="I62" s="10"/>
      <c r="J62" s="10"/>
      <c r="K62" s="10"/>
      <c r="L62" s="10"/>
      <c r="M62" s="10"/>
      <c r="N62" s="10"/>
      <c r="O62" s="10"/>
      <c r="P62" s="10"/>
      <c r="Q62" s="10"/>
      <c r="R62" s="2"/>
    </row>
    <row r="63" spans="2:18" hidden="1" x14ac:dyDescent="0.25">
      <c r="B63" s="5"/>
      <c r="C63" s="10" t="s">
        <v>89</v>
      </c>
      <c r="D63" s="633" t="s">
        <v>90</v>
      </c>
      <c r="E63" s="634"/>
      <c r="F63" s="635"/>
      <c r="G63" s="5"/>
      <c r="H63" s="636"/>
      <c r="I63" s="637"/>
      <c r="J63" s="637"/>
      <c r="K63" s="637"/>
      <c r="L63" s="637"/>
      <c r="M63" s="637"/>
      <c r="N63" s="637"/>
      <c r="O63" s="637"/>
      <c r="P63" s="637"/>
      <c r="Q63" s="638"/>
      <c r="R63" s="2"/>
    </row>
    <row r="64" spans="2:18" x14ac:dyDescent="0.25">
      <c r="B64" s="5"/>
      <c r="C64" s="5"/>
      <c r="D64" s="5"/>
      <c r="E64" s="5"/>
      <c r="F64" s="5"/>
      <c r="G64" s="5"/>
      <c r="H64" s="10"/>
      <c r="I64" s="10"/>
      <c r="J64" s="10"/>
      <c r="K64" s="10"/>
      <c r="L64" s="10"/>
      <c r="M64" s="10"/>
      <c r="N64" s="10"/>
      <c r="O64" s="10"/>
      <c r="P64" s="10"/>
      <c r="Q64" s="10"/>
      <c r="R64" s="2"/>
    </row>
    <row r="65" spans="2:18" x14ac:dyDescent="0.25">
      <c r="B65" s="5"/>
      <c r="C65" s="10" t="s">
        <v>91</v>
      </c>
      <c r="D65" s="633" t="s">
        <v>92</v>
      </c>
      <c r="E65" s="634"/>
      <c r="F65" s="635"/>
      <c r="G65" s="5"/>
      <c r="H65" s="636"/>
      <c r="I65" s="637"/>
      <c r="J65" s="637"/>
      <c r="K65" s="637"/>
      <c r="L65" s="637"/>
      <c r="M65" s="637"/>
      <c r="N65" s="637"/>
      <c r="O65" s="637"/>
      <c r="P65" s="637"/>
      <c r="Q65" s="638"/>
      <c r="R65" s="2"/>
    </row>
    <row r="66" spans="2:18" x14ac:dyDescent="0.25">
      <c r="B66" s="5"/>
      <c r="C66" s="5"/>
      <c r="D66" s="5"/>
      <c r="E66" s="5"/>
      <c r="F66" s="5"/>
      <c r="G66" s="5"/>
      <c r="H66" s="10"/>
      <c r="I66" s="10"/>
      <c r="J66" s="10"/>
      <c r="K66" s="10"/>
      <c r="L66" s="10"/>
      <c r="M66" s="10"/>
      <c r="N66" s="10"/>
      <c r="O66" s="10"/>
      <c r="P66" s="10"/>
      <c r="Q66" s="10"/>
      <c r="R66" s="2"/>
    </row>
    <row r="67" spans="2:18" x14ac:dyDescent="0.25">
      <c r="B67" s="5"/>
      <c r="C67" s="10" t="s">
        <v>93</v>
      </c>
      <c r="D67" s="633" t="s">
        <v>94</v>
      </c>
      <c r="E67" s="634"/>
      <c r="F67" s="635"/>
      <c r="G67" s="5"/>
      <c r="H67" s="636"/>
      <c r="I67" s="637"/>
      <c r="J67" s="637"/>
      <c r="K67" s="637"/>
      <c r="L67" s="637"/>
      <c r="M67" s="637"/>
      <c r="N67" s="637"/>
      <c r="O67" s="637"/>
      <c r="P67" s="637"/>
      <c r="Q67" s="638"/>
      <c r="R67" s="2"/>
    </row>
    <row r="68" spans="2:18" x14ac:dyDescent="0.25">
      <c r="B68" s="5"/>
      <c r="C68" s="5"/>
      <c r="D68" s="5"/>
      <c r="E68" s="5"/>
      <c r="F68" s="5"/>
      <c r="G68" s="5"/>
      <c r="H68" s="10"/>
      <c r="I68" s="10"/>
      <c r="J68" s="10"/>
      <c r="K68" s="10"/>
      <c r="L68" s="10"/>
      <c r="M68" s="10"/>
      <c r="N68" s="10"/>
      <c r="O68" s="10"/>
      <c r="P68" s="10"/>
      <c r="Q68" s="10"/>
      <c r="R68" s="2"/>
    </row>
    <row r="69" spans="2:18" x14ac:dyDescent="0.25">
      <c r="B69" s="5"/>
      <c r="C69" s="10" t="s">
        <v>95</v>
      </c>
      <c r="D69" s="633" t="s">
        <v>96</v>
      </c>
      <c r="E69" s="634"/>
      <c r="F69" s="635"/>
      <c r="G69" s="5"/>
      <c r="H69" s="636"/>
      <c r="I69" s="637"/>
      <c r="J69" s="637"/>
      <c r="K69" s="637"/>
      <c r="L69" s="637"/>
      <c r="M69" s="637"/>
      <c r="N69" s="637"/>
      <c r="O69" s="637"/>
      <c r="P69" s="637"/>
      <c r="Q69" s="638"/>
      <c r="R69" s="2"/>
    </row>
    <row r="70" spans="2:18" x14ac:dyDescent="0.25">
      <c r="B70" s="5"/>
      <c r="C70" s="5"/>
      <c r="D70" s="5"/>
      <c r="E70" s="5"/>
      <c r="F70" s="5"/>
      <c r="G70" s="5"/>
      <c r="H70" s="10"/>
      <c r="I70" s="10"/>
      <c r="J70" s="10"/>
      <c r="K70" s="10"/>
      <c r="L70" s="10"/>
      <c r="M70" s="10"/>
      <c r="N70" s="10"/>
      <c r="O70" s="10"/>
      <c r="P70" s="10"/>
      <c r="Q70" s="10"/>
      <c r="R70" s="2"/>
    </row>
    <row r="71" spans="2:18" x14ac:dyDescent="0.25">
      <c r="B71" s="5"/>
      <c r="C71" s="10" t="s">
        <v>97</v>
      </c>
      <c r="D71" s="633" t="s">
        <v>98</v>
      </c>
      <c r="E71" s="634"/>
      <c r="F71" s="635"/>
      <c r="G71" s="5"/>
      <c r="H71" s="636"/>
      <c r="I71" s="637"/>
      <c r="J71" s="637"/>
      <c r="K71" s="637"/>
      <c r="L71" s="637"/>
      <c r="M71" s="637"/>
      <c r="N71" s="637"/>
      <c r="O71" s="637"/>
      <c r="P71" s="637"/>
      <c r="Q71" s="638"/>
      <c r="R71" s="2"/>
    </row>
    <row r="72" spans="2:18" x14ac:dyDescent="0.25">
      <c r="B72" s="5"/>
      <c r="C72" s="5"/>
      <c r="D72" s="5"/>
      <c r="E72" s="5"/>
      <c r="F72" s="5"/>
      <c r="G72" s="5"/>
      <c r="H72" s="10"/>
      <c r="I72" s="10"/>
      <c r="J72" s="10"/>
      <c r="K72" s="10"/>
      <c r="L72" s="10"/>
      <c r="M72" s="10"/>
      <c r="N72" s="10"/>
      <c r="O72" s="10"/>
      <c r="P72" s="10"/>
      <c r="Q72" s="10"/>
      <c r="R72" s="2"/>
    </row>
    <row r="73" spans="2:18" x14ac:dyDescent="0.25">
      <c r="B73" s="5"/>
      <c r="C73" s="10" t="s">
        <v>99</v>
      </c>
      <c r="D73" s="633" t="s">
        <v>100</v>
      </c>
      <c r="E73" s="634"/>
      <c r="F73" s="635"/>
      <c r="G73" s="5"/>
      <c r="H73" s="636"/>
      <c r="I73" s="637"/>
      <c r="J73" s="637"/>
      <c r="K73" s="637"/>
      <c r="L73" s="637"/>
      <c r="M73" s="637"/>
      <c r="N73" s="637"/>
      <c r="O73" s="637"/>
      <c r="P73" s="637"/>
      <c r="Q73" s="638"/>
      <c r="R73" s="2"/>
    </row>
    <row r="74" spans="2:18" hidden="1" x14ac:dyDescent="0.25">
      <c r="B74" s="5"/>
      <c r="C74" s="5"/>
      <c r="D74" s="5"/>
      <c r="E74" s="5"/>
      <c r="F74" s="5"/>
      <c r="G74" s="5"/>
      <c r="H74" s="10"/>
      <c r="I74" s="10"/>
      <c r="J74" s="10"/>
      <c r="K74" s="10"/>
      <c r="L74" s="10"/>
      <c r="M74" s="10"/>
      <c r="N74" s="10"/>
      <c r="O74" s="10"/>
      <c r="P74" s="10"/>
      <c r="Q74" s="10"/>
      <c r="R74" s="2"/>
    </row>
    <row r="75" spans="2:18" hidden="1" x14ac:dyDescent="0.25">
      <c r="B75" s="5"/>
      <c r="C75" s="10" t="s">
        <v>101</v>
      </c>
      <c r="D75" s="633" t="s">
        <v>102</v>
      </c>
      <c r="E75" s="634"/>
      <c r="F75" s="635"/>
      <c r="G75" s="5"/>
      <c r="H75" s="636"/>
      <c r="I75" s="637"/>
      <c r="J75" s="637"/>
      <c r="K75" s="637"/>
      <c r="L75" s="637"/>
      <c r="M75" s="637"/>
      <c r="N75" s="637"/>
      <c r="O75" s="637"/>
      <c r="P75" s="637"/>
      <c r="Q75" s="638"/>
      <c r="R75" s="2"/>
    </row>
    <row r="76" spans="2:18" x14ac:dyDescent="0.25">
      <c r="B76" s="5"/>
      <c r="C76" s="5"/>
      <c r="D76" s="5"/>
      <c r="E76" s="5"/>
      <c r="F76" s="5"/>
      <c r="G76" s="5"/>
      <c r="H76" s="10"/>
      <c r="I76" s="10"/>
      <c r="J76" s="10"/>
      <c r="K76" s="10"/>
      <c r="L76" s="10"/>
      <c r="M76" s="10"/>
      <c r="N76" s="10"/>
      <c r="O76" s="10"/>
      <c r="P76" s="10"/>
      <c r="Q76" s="10"/>
      <c r="R76" s="2"/>
    </row>
    <row r="77" spans="2:18" x14ac:dyDescent="0.25">
      <c r="B77" s="5"/>
      <c r="C77" s="10" t="s">
        <v>103</v>
      </c>
      <c r="D77" s="633" t="s">
        <v>104</v>
      </c>
      <c r="E77" s="634"/>
      <c r="F77" s="635"/>
      <c r="G77" s="5"/>
      <c r="H77" s="636"/>
      <c r="I77" s="637"/>
      <c r="J77" s="637"/>
      <c r="K77" s="637"/>
      <c r="L77" s="637"/>
      <c r="M77" s="637"/>
      <c r="N77" s="637"/>
      <c r="O77" s="637"/>
      <c r="P77" s="637"/>
      <c r="Q77" s="638"/>
      <c r="R77" s="2"/>
    </row>
    <row r="78" spans="2:18" x14ac:dyDescent="0.25">
      <c r="B78" s="5"/>
      <c r="C78" s="5"/>
      <c r="D78" s="5"/>
      <c r="E78" s="5"/>
      <c r="F78" s="5"/>
      <c r="G78" s="5"/>
      <c r="H78" s="10"/>
      <c r="I78" s="10"/>
      <c r="J78" s="10"/>
      <c r="K78" s="10"/>
      <c r="L78" s="10"/>
      <c r="M78" s="10"/>
      <c r="N78" s="10"/>
      <c r="O78" s="10"/>
      <c r="P78" s="10"/>
      <c r="Q78" s="10"/>
      <c r="R78" s="2"/>
    </row>
    <row r="79" spans="2:18" x14ac:dyDescent="0.25">
      <c r="B79" s="5"/>
      <c r="C79" s="10" t="s">
        <v>105</v>
      </c>
      <c r="D79" s="633" t="s">
        <v>106</v>
      </c>
      <c r="E79" s="634"/>
      <c r="F79" s="635"/>
      <c r="G79" s="5"/>
      <c r="H79" s="636"/>
      <c r="I79" s="637"/>
      <c r="J79" s="637"/>
      <c r="K79" s="637"/>
      <c r="L79" s="637"/>
      <c r="M79" s="637"/>
      <c r="N79" s="637"/>
      <c r="O79" s="637"/>
      <c r="P79" s="637"/>
      <c r="Q79" s="638"/>
      <c r="R79" s="2"/>
    </row>
    <row r="80" spans="2:18" x14ac:dyDescent="0.25">
      <c r="B80" s="5"/>
      <c r="C80" s="5"/>
      <c r="D80" s="5"/>
      <c r="E80" s="5"/>
      <c r="F80" s="5"/>
      <c r="G80" s="5"/>
      <c r="H80" s="10"/>
      <c r="I80" s="10"/>
      <c r="J80" s="10"/>
      <c r="K80" s="10"/>
      <c r="L80" s="10"/>
      <c r="M80" s="10"/>
      <c r="N80" s="10"/>
      <c r="O80" s="10"/>
      <c r="P80" s="10"/>
      <c r="Q80" s="10"/>
      <c r="R80" s="2"/>
    </row>
    <row r="81" spans="1:18" x14ac:dyDescent="0.25">
      <c r="B81" s="5"/>
      <c r="C81" s="10" t="s">
        <v>107</v>
      </c>
      <c r="D81" s="633" t="s">
        <v>108</v>
      </c>
      <c r="E81" s="634"/>
      <c r="F81" s="635"/>
      <c r="G81" s="5"/>
      <c r="H81" s="636"/>
      <c r="I81" s="637"/>
      <c r="J81" s="637"/>
      <c r="K81" s="637"/>
      <c r="L81" s="637"/>
      <c r="M81" s="637"/>
      <c r="N81" s="637"/>
      <c r="O81" s="637"/>
      <c r="P81" s="637"/>
      <c r="Q81" s="638"/>
      <c r="R81" s="2"/>
    </row>
    <row r="82" spans="1:18" x14ac:dyDescent="0.25">
      <c r="B82" s="5"/>
      <c r="C82" s="5"/>
      <c r="D82" s="5"/>
      <c r="E82" s="5"/>
      <c r="F82" s="5"/>
      <c r="G82" s="5"/>
      <c r="H82" s="10"/>
      <c r="I82" s="10"/>
      <c r="J82" s="10"/>
      <c r="K82" s="10"/>
      <c r="L82" s="10"/>
      <c r="M82" s="10"/>
      <c r="N82" s="10"/>
      <c r="O82" s="10"/>
      <c r="P82" s="10"/>
      <c r="Q82" s="10"/>
      <c r="R82" s="2"/>
    </row>
    <row r="83" spans="1:18" x14ac:dyDescent="0.25">
      <c r="B83" s="5"/>
      <c r="C83" s="10" t="s">
        <v>109</v>
      </c>
      <c r="D83" s="633" t="s">
        <v>110</v>
      </c>
      <c r="E83" s="634"/>
      <c r="F83" s="635"/>
      <c r="G83" s="5"/>
      <c r="H83" s="636"/>
      <c r="I83" s="637"/>
      <c r="J83" s="637"/>
      <c r="K83" s="637"/>
      <c r="L83" s="637"/>
      <c r="M83" s="637"/>
      <c r="N83" s="637"/>
      <c r="O83" s="637"/>
      <c r="P83" s="637"/>
      <c r="Q83" s="638"/>
      <c r="R83" s="2"/>
    </row>
    <row r="84" spans="1:18" x14ac:dyDescent="0.25">
      <c r="B84" s="5"/>
      <c r="C84" s="5"/>
      <c r="D84" s="5"/>
      <c r="E84" s="5"/>
      <c r="F84" s="5"/>
      <c r="G84" s="5"/>
      <c r="H84" s="10"/>
      <c r="I84" s="10"/>
      <c r="J84" s="10"/>
      <c r="K84" s="10"/>
      <c r="L84" s="10"/>
      <c r="M84" s="10"/>
      <c r="N84" s="10"/>
      <c r="O84" s="10"/>
      <c r="P84" s="10"/>
      <c r="Q84" s="10"/>
      <c r="R84" s="2"/>
    </row>
    <row r="85" spans="1:18" x14ac:dyDescent="0.25">
      <c r="B85" s="5"/>
      <c r="C85" s="10" t="s">
        <v>111</v>
      </c>
      <c r="D85" s="633" t="s">
        <v>112</v>
      </c>
      <c r="E85" s="634"/>
      <c r="F85" s="635"/>
      <c r="G85" s="5"/>
      <c r="H85" s="636"/>
      <c r="I85" s="637"/>
      <c r="J85" s="637"/>
      <c r="K85" s="637"/>
      <c r="L85" s="637"/>
      <c r="M85" s="637"/>
      <c r="N85" s="637"/>
      <c r="O85" s="637"/>
      <c r="P85" s="637"/>
      <c r="Q85" s="638"/>
      <c r="R85" s="2"/>
    </row>
    <row r="86" spans="1:18" x14ac:dyDescent="0.25">
      <c r="B86" s="5"/>
      <c r="C86" s="5"/>
      <c r="D86" s="5"/>
      <c r="E86" s="5"/>
      <c r="F86" s="5"/>
      <c r="G86" s="5"/>
      <c r="H86" s="10"/>
      <c r="I86" s="10"/>
      <c r="J86" s="10"/>
      <c r="K86" s="10"/>
      <c r="L86" s="10"/>
      <c r="M86" s="10"/>
      <c r="N86" s="10"/>
      <c r="O86" s="10"/>
      <c r="P86" s="10"/>
      <c r="Q86" s="10"/>
      <c r="R86" s="2"/>
    </row>
    <row r="87" spans="1:18" x14ac:dyDescent="0.25">
      <c r="B87" s="5"/>
      <c r="C87" s="10" t="s">
        <v>113</v>
      </c>
      <c r="D87" s="633" t="s">
        <v>114</v>
      </c>
      <c r="E87" s="634"/>
      <c r="F87" s="635"/>
      <c r="G87" s="5"/>
      <c r="H87" s="636"/>
      <c r="I87" s="637"/>
      <c r="J87" s="637"/>
      <c r="K87" s="637"/>
      <c r="L87" s="637"/>
      <c r="M87" s="637"/>
      <c r="N87" s="637"/>
      <c r="O87" s="637"/>
      <c r="P87" s="637"/>
      <c r="Q87" s="638"/>
      <c r="R87" s="2"/>
    </row>
    <row r="88" spans="1:18" x14ac:dyDescent="0.25">
      <c r="B88" s="5"/>
      <c r="C88" s="5"/>
      <c r="D88" s="5"/>
      <c r="E88" s="5"/>
      <c r="F88" s="5"/>
      <c r="G88" s="5"/>
      <c r="H88" s="10"/>
      <c r="I88" s="10"/>
      <c r="J88" s="10"/>
      <c r="K88" s="10"/>
      <c r="L88" s="10"/>
      <c r="M88" s="10"/>
      <c r="N88" s="10"/>
      <c r="O88" s="10"/>
      <c r="P88" s="10"/>
      <c r="Q88" s="10"/>
      <c r="R88" s="2"/>
    </row>
    <row r="89" spans="1:18" x14ac:dyDescent="0.25">
      <c r="B89" s="5"/>
      <c r="C89" s="10" t="s">
        <v>115</v>
      </c>
      <c r="D89" s="633" t="s">
        <v>116</v>
      </c>
      <c r="E89" s="634"/>
      <c r="F89" s="635"/>
      <c r="G89" s="5"/>
      <c r="H89" s="636"/>
      <c r="I89" s="637"/>
      <c r="J89" s="637"/>
      <c r="K89" s="637"/>
      <c r="L89" s="637"/>
      <c r="M89" s="637"/>
      <c r="N89" s="637"/>
      <c r="O89" s="637"/>
      <c r="P89" s="637"/>
      <c r="Q89" s="638"/>
      <c r="R89" s="2"/>
    </row>
    <row r="90" spans="1:18" x14ac:dyDescent="0.25">
      <c r="B90" s="5"/>
      <c r="C90" s="5"/>
      <c r="D90" s="5"/>
      <c r="E90" s="5"/>
      <c r="F90" s="5"/>
      <c r="G90" s="5"/>
      <c r="H90" s="10"/>
      <c r="I90" s="10"/>
      <c r="J90" s="10"/>
      <c r="K90" s="10"/>
      <c r="L90" s="10"/>
      <c r="M90" s="10"/>
      <c r="N90" s="10"/>
      <c r="O90" s="10"/>
      <c r="P90" s="10"/>
      <c r="Q90" s="10"/>
      <c r="R90" s="2"/>
    </row>
    <row r="91" spans="1:18" x14ac:dyDescent="0.25">
      <c r="A91" s="17"/>
      <c r="B91" s="17"/>
      <c r="C91" s="17"/>
      <c r="D91" s="465" t="s">
        <v>49</v>
      </c>
      <c r="E91" s="18"/>
      <c r="F91" s="17"/>
      <c r="G91" s="133"/>
      <c r="H91" s="17"/>
      <c r="I91" s="17"/>
      <c r="J91" s="17"/>
      <c r="K91" s="17"/>
      <c r="L91" s="17"/>
      <c r="M91" s="17"/>
      <c r="N91" s="17"/>
      <c r="O91" s="17"/>
      <c r="P91" s="17"/>
      <c r="Q91" s="17"/>
      <c r="R91" s="17"/>
    </row>
    <row r="92" spans="1:18" hidden="1" x14ac:dyDescent="0.25">
      <c r="B92" s="5"/>
      <c r="C92" s="10" t="s">
        <v>117</v>
      </c>
      <c r="D92" s="10" t="s">
        <v>118</v>
      </c>
      <c r="E92" s="10"/>
      <c r="F92" s="10"/>
      <c r="G92" s="10"/>
      <c r="H92" s="10"/>
      <c r="I92" s="10"/>
      <c r="J92" s="10"/>
      <c r="K92" s="5"/>
      <c r="L92" s="9" t="s">
        <v>119</v>
      </c>
      <c r="M92" s="5"/>
      <c r="N92" s="9" t="s">
        <v>120</v>
      </c>
      <c r="O92" s="9"/>
      <c r="P92" s="9"/>
      <c r="Q92" s="9"/>
      <c r="R92" s="2"/>
    </row>
    <row r="93" spans="1:18" hidden="1" x14ac:dyDescent="0.25">
      <c r="B93" s="19"/>
      <c r="C93" s="20"/>
      <c r="D93" s="466" t="s">
        <v>50</v>
      </c>
      <c r="E93" s="23"/>
      <c r="F93" s="23"/>
      <c r="G93" s="23"/>
      <c r="H93" s="23"/>
      <c r="I93" s="23"/>
      <c r="J93" s="23"/>
      <c r="K93" s="23"/>
      <c r="L93" s="23"/>
      <c r="M93" s="23"/>
      <c r="N93" s="23"/>
      <c r="O93" s="23"/>
      <c r="P93" s="23"/>
      <c r="Q93" s="23"/>
      <c r="R93" s="4"/>
    </row>
    <row r="94" spans="1:18" x14ac:dyDescent="0.25">
      <c r="B94" s="5"/>
      <c r="C94" s="4"/>
      <c r="D94" s="4"/>
      <c r="E94" s="5"/>
      <c r="F94" s="5"/>
      <c r="G94" s="5"/>
      <c r="H94" s="4"/>
      <c r="I94" s="5"/>
      <c r="J94" s="5"/>
      <c r="K94" s="5"/>
      <c r="L94" s="4"/>
      <c r="M94" s="5"/>
      <c r="N94" s="4"/>
      <c r="O94" s="5"/>
      <c r="P94" s="5"/>
      <c r="Q94" s="5"/>
      <c r="R94" s="2"/>
    </row>
    <row r="95" spans="1:18" x14ac:dyDescent="0.25">
      <c r="B95" s="5"/>
      <c r="C95" s="6" t="s">
        <v>51</v>
      </c>
      <c r="D95" s="630" t="s">
        <v>52</v>
      </c>
      <c r="E95" s="631"/>
      <c r="F95" s="631"/>
      <c r="G95" s="631"/>
      <c r="H95" s="631"/>
      <c r="I95" s="631"/>
      <c r="J95" s="632"/>
      <c r="K95" s="5"/>
      <c r="L95" s="21"/>
      <c r="M95" s="5"/>
      <c r="N95" s="21"/>
      <c r="O95" s="21"/>
      <c r="P95" s="21"/>
      <c r="Q95" s="21"/>
      <c r="R95" s="5"/>
    </row>
    <row r="96" spans="1:18" x14ac:dyDescent="0.25">
      <c r="B96" s="5"/>
      <c r="C96" s="14"/>
      <c r="D96" s="5"/>
      <c r="E96" s="5"/>
      <c r="F96" s="7"/>
      <c r="G96" s="5"/>
      <c r="H96" s="7"/>
      <c r="I96" s="5"/>
      <c r="J96" s="5"/>
      <c r="K96" s="5"/>
      <c r="L96" s="5"/>
      <c r="M96" s="5"/>
      <c r="N96" s="5"/>
      <c r="O96" s="5"/>
      <c r="P96" s="2"/>
      <c r="Q96" s="5"/>
      <c r="R96" s="5"/>
    </row>
    <row r="97" spans="2:18" x14ac:dyDescent="0.25">
      <c r="B97" s="5"/>
      <c r="C97" s="10" t="s">
        <v>53</v>
      </c>
      <c r="D97" s="630" t="s">
        <v>54</v>
      </c>
      <c r="E97" s="631"/>
      <c r="F97" s="631"/>
      <c r="G97" s="631"/>
      <c r="H97" s="631"/>
      <c r="I97" s="631"/>
      <c r="J97" s="632"/>
      <c r="K97" s="5"/>
      <c r="L97" s="21"/>
      <c r="M97" s="5"/>
      <c r="N97" s="21"/>
      <c r="O97" s="21"/>
      <c r="P97" s="21"/>
      <c r="Q97" s="21"/>
      <c r="R97" s="5"/>
    </row>
    <row r="98" spans="2:18" x14ac:dyDescent="0.25">
      <c r="B98" s="5"/>
      <c r="C98" s="22"/>
      <c r="D98" s="147"/>
      <c r="E98" s="5"/>
      <c r="F98" s="5"/>
      <c r="G98" s="5"/>
      <c r="H98" s="7"/>
      <c r="I98" s="7"/>
      <c r="J98" s="7"/>
      <c r="K98" s="5"/>
      <c r="L98" s="5"/>
      <c r="M98" s="5"/>
      <c r="N98" s="5"/>
      <c r="O98" s="5"/>
      <c r="P98" s="5"/>
      <c r="Q98" s="5"/>
      <c r="R98" s="2"/>
    </row>
    <row r="99" spans="2:18" x14ac:dyDescent="0.25">
      <c r="B99" s="5"/>
      <c r="C99" s="10" t="s">
        <v>56</v>
      </c>
      <c r="D99" s="630" t="s">
        <v>121</v>
      </c>
      <c r="E99" s="631"/>
      <c r="F99" s="631"/>
      <c r="G99" s="631"/>
      <c r="H99" s="631"/>
      <c r="I99" s="631"/>
      <c r="J99" s="632"/>
      <c r="K99" s="5"/>
      <c r="L99" s="21"/>
      <c r="M99" s="5"/>
      <c r="N99" s="21"/>
      <c r="O99" s="21"/>
      <c r="P99" s="21"/>
      <c r="Q99" s="21"/>
      <c r="R99" s="5"/>
    </row>
    <row r="100" spans="2:18" x14ac:dyDescent="0.25">
      <c r="B100" s="5"/>
      <c r="C100" s="22"/>
      <c r="D100" s="147"/>
      <c r="E100" s="5"/>
      <c r="F100" s="5"/>
      <c r="G100" s="5"/>
      <c r="H100" s="7"/>
      <c r="I100" s="7"/>
      <c r="J100" s="7"/>
      <c r="K100" s="5"/>
      <c r="L100" s="5"/>
      <c r="M100" s="5"/>
      <c r="N100" s="5"/>
      <c r="O100" s="5"/>
      <c r="P100" s="5"/>
      <c r="Q100" s="5"/>
      <c r="R100" s="2"/>
    </row>
    <row r="101" spans="2:18" hidden="1" x14ac:dyDescent="0.25">
      <c r="B101" s="19"/>
      <c r="C101" s="20"/>
      <c r="D101" s="467" t="s">
        <v>122</v>
      </c>
      <c r="E101" s="133"/>
      <c r="F101" s="133"/>
      <c r="G101" s="133"/>
      <c r="H101" s="20"/>
      <c r="I101" s="20"/>
      <c r="J101" s="20"/>
      <c r="K101" s="20"/>
      <c r="L101" s="20"/>
      <c r="M101" s="20"/>
      <c r="N101" s="20"/>
      <c r="O101" s="20"/>
      <c r="P101" s="20"/>
      <c r="Q101" s="20"/>
      <c r="R101" s="4"/>
    </row>
    <row r="102" spans="2:18" hidden="1" x14ac:dyDescent="0.25">
      <c r="B102" s="5"/>
      <c r="C102" s="22"/>
      <c r="D102" s="147"/>
      <c r="E102" s="5"/>
      <c r="F102" s="5"/>
      <c r="G102" s="5"/>
      <c r="H102" s="7"/>
      <c r="I102" s="7"/>
      <c r="J102" s="7"/>
      <c r="K102" s="5"/>
      <c r="L102" s="5"/>
      <c r="M102" s="5"/>
      <c r="N102" s="5"/>
      <c r="O102" s="5"/>
      <c r="P102" s="5"/>
      <c r="Q102" s="5"/>
      <c r="R102" s="2"/>
    </row>
    <row r="103" spans="2:18" ht="31.5" customHeight="1" x14ac:dyDescent="0.25">
      <c r="B103" s="5"/>
      <c r="C103" s="10" t="s">
        <v>58</v>
      </c>
      <c r="D103" s="630" t="s">
        <v>123</v>
      </c>
      <c r="E103" s="631"/>
      <c r="F103" s="631"/>
      <c r="G103" s="631"/>
      <c r="H103" s="631"/>
      <c r="I103" s="631"/>
      <c r="J103" s="632"/>
      <c r="K103" s="5"/>
      <c r="L103" s="21"/>
      <c r="M103" s="5"/>
      <c r="N103" s="21"/>
      <c r="O103" s="21"/>
      <c r="P103" s="21"/>
      <c r="Q103" s="21"/>
      <c r="R103" s="2"/>
    </row>
    <row r="104" spans="2:18" x14ac:dyDescent="0.25">
      <c r="B104" s="5"/>
      <c r="C104" s="22"/>
      <c r="D104" s="147"/>
      <c r="E104" s="5"/>
      <c r="F104" s="5"/>
      <c r="G104" s="5"/>
      <c r="H104" s="7"/>
      <c r="I104" s="7"/>
      <c r="J104" s="7"/>
      <c r="K104" s="5"/>
      <c r="L104" s="5"/>
      <c r="M104" s="5"/>
      <c r="N104" s="5"/>
      <c r="O104" s="5"/>
      <c r="P104" s="5"/>
      <c r="Q104" s="5"/>
      <c r="R104" s="2"/>
    </row>
    <row r="105" spans="2:18" ht="28.5" customHeight="1" x14ac:dyDescent="0.25">
      <c r="B105" s="5"/>
      <c r="C105" s="10" t="s">
        <v>61</v>
      </c>
      <c r="D105" s="630" t="s">
        <v>62</v>
      </c>
      <c r="E105" s="631"/>
      <c r="F105" s="631"/>
      <c r="G105" s="631"/>
      <c r="H105" s="631"/>
      <c r="I105" s="631"/>
      <c r="J105" s="632"/>
      <c r="K105" s="5"/>
      <c r="L105" s="21"/>
      <c r="M105" s="5"/>
      <c r="N105" s="21"/>
      <c r="O105" s="21"/>
      <c r="P105" s="21"/>
      <c r="Q105" s="21"/>
      <c r="R105" s="2"/>
    </row>
    <row r="106" spans="2:18" x14ac:dyDescent="0.25">
      <c r="B106" s="5"/>
      <c r="C106" s="5"/>
      <c r="D106" s="5"/>
      <c r="E106" s="5"/>
      <c r="F106" s="5"/>
      <c r="G106" s="5"/>
      <c r="H106" s="5"/>
      <c r="I106" s="5"/>
      <c r="J106" s="5"/>
      <c r="K106" s="5"/>
      <c r="L106" s="5"/>
      <c r="M106" s="5"/>
      <c r="N106" s="5"/>
      <c r="O106" s="5"/>
      <c r="P106" s="5"/>
      <c r="Q106" s="5"/>
      <c r="R106" s="2"/>
    </row>
    <row r="107" spans="2:18" ht="21" customHeight="1" x14ac:dyDescent="0.25">
      <c r="B107" s="642" t="s">
        <v>124</v>
      </c>
      <c r="C107" s="643"/>
      <c r="D107" s="643"/>
      <c r="E107" s="643"/>
      <c r="F107" s="643"/>
      <c r="G107" s="643"/>
      <c r="H107" s="643"/>
      <c r="I107" s="643"/>
      <c r="J107" s="643"/>
      <c r="K107" s="643"/>
      <c r="L107" s="643"/>
      <c r="M107" s="643"/>
      <c r="N107" s="643"/>
      <c r="O107" s="643"/>
      <c r="P107" s="643"/>
      <c r="Q107" s="643"/>
      <c r="R107" s="644"/>
    </row>
  </sheetData>
  <sheetProtection formatCells="0" formatColumns="0" formatRows="0" insertColumns="0" insertRows="0" insertHyperlinks="0" deleteColumns="0" deleteRows="0" sort="0" autoFilter="0" pivotTables="0"/>
  <mergeCells count="91">
    <mergeCell ref="E1:Q1"/>
    <mergeCell ref="D2:Q2"/>
    <mergeCell ref="D3:Q3"/>
    <mergeCell ref="D19:F19"/>
    <mergeCell ref="H19:Q19"/>
    <mergeCell ref="D13:F13"/>
    <mergeCell ref="H13:Q13"/>
    <mergeCell ref="D7:F7"/>
    <mergeCell ref="H7:Q7"/>
    <mergeCell ref="D9:F9"/>
    <mergeCell ref="H9:Q9"/>
    <mergeCell ref="D11:F11"/>
    <mergeCell ref="H11:Q11"/>
    <mergeCell ref="D21:F21"/>
    <mergeCell ref="H21:Q21"/>
    <mergeCell ref="D15:F15"/>
    <mergeCell ref="H15:Q15"/>
    <mergeCell ref="D17:F17"/>
    <mergeCell ref="H17:Q17"/>
    <mergeCell ref="H27:Q27"/>
    <mergeCell ref="D29:F29"/>
    <mergeCell ref="D33:F33"/>
    <mergeCell ref="H33:Q33"/>
    <mergeCell ref="D23:F23"/>
    <mergeCell ref="H23:Q23"/>
    <mergeCell ref="D25:F25"/>
    <mergeCell ref="H25:Q25"/>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9:F79"/>
    <mergeCell ref="H79:Q79"/>
    <mergeCell ref="D81:F81"/>
    <mergeCell ref="H81:Q81"/>
    <mergeCell ref="D71:F71"/>
    <mergeCell ref="H71:Q71"/>
    <mergeCell ref="D73:F73"/>
    <mergeCell ref="H73:Q73"/>
    <mergeCell ref="D75:F75"/>
    <mergeCell ref="H75:Q75"/>
    <mergeCell ref="D77:F77"/>
    <mergeCell ref="H77:Q77"/>
    <mergeCell ref="D99:J99"/>
    <mergeCell ref="D103:J103"/>
    <mergeCell ref="D105:J105"/>
    <mergeCell ref="D83:F83"/>
    <mergeCell ref="H83:Q83"/>
    <mergeCell ref="D85:F85"/>
    <mergeCell ref="H85:Q85"/>
    <mergeCell ref="D97:J97"/>
    <mergeCell ref="D87:F87"/>
    <mergeCell ref="H87:Q87"/>
    <mergeCell ref="D89:F89"/>
    <mergeCell ref="H89:Q89"/>
    <mergeCell ref="D95:J95"/>
  </mergeCells>
  <dataValidations count="3">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 type="list" allowBlank="1" showInputMessage="1" showErrorMessage="1" sqref="C2 C3">
      <formula1>"X, ✓"</formula1>
    </dataValidation>
  </dataValidations>
  <hyperlinks>
    <hyperlink ref="D2:Q2" r:id="rId1" display="*I have read and agreed to the following CAMSS Privacy Statement: here"/>
  </hyperlinks>
  <pageMargins left="0.7" right="0.7"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RowHeight="15" x14ac:dyDescent="0.25"/>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4" workbookViewId="0">
      <selection activeCell="I82" sqref="I82"/>
    </sheetView>
  </sheetViews>
  <sheetFormatPr defaultColWidth="0" defaultRowHeight="15" zeroHeight="1" x14ac:dyDescent="0.25"/>
  <cols>
    <col min="1" max="1" width="9" hidden="1" customWidth="1"/>
    <col min="2" max="2" width="3.28515625" customWidth="1"/>
    <col min="3" max="3" width="4" customWidth="1"/>
    <col min="4" max="4" width="3" customWidth="1"/>
    <col min="5" max="5" width="37" customWidth="1"/>
    <col min="6" max="6" width="2.7109375" customWidth="1"/>
    <col min="7" max="7" width="52.28515625" customWidth="1"/>
    <col min="8" max="8" width="2.7109375" customWidth="1"/>
    <col min="9" max="9" width="9" customWidth="1"/>
    <col min="10" max="10" width="2.7109375" customWidth="1"/>
    <col min="11" max="11" width="64.28515625" customWidth="1"/>
    <col min="12" max="12" width="2.7109375" customWidth="1"/>
    <col min="13" max="14" width="9" hidden="1"/>
  </cols>
  <sheetData>
    <row r="1" spans="1:12" x14ac:dyDescent="0.25">
      <c r="A1" s="94"/>
      <c r="B1" s="509"/>
      <c r="C1" s="98"/>
      <c r="D1" s="509"/>
      <c r="E1" s="92"/>
      <c r="F1" s="94"/>
      <c r="G1" s="94"/>
      <c r="H1" s="94"/>
      <c r="I1" s="509"/>
      <c r="J1" s="509"/>
      <c r="K1" s="509"/>
      <c r="L1" s="509"/>
    </row>
    <row r="2" spans="1:12" x14ac:dyDescent="0.25">
      <c r="A2" s="99"/>
      <c r="B2" s="509"/>
      <c r="C2" s="98"/>
      <c r="D2" s="509"/>
      <c r="E2" s="421" t="s">
        <v>125</v>
      </c>
      <c r="F2" s="99"/>
      <c r="G2" s="419" t="s">
        <v>418</v>
      </c>
      <c r="H2" s="94"/>
      <c r="I2" s="665"/>
      <c r="J2" s="665"/>
      <c r="K2" s="509"/>
      <c r="L2" s="509"/>
    </row>
    <row r="3" spans="1:12" ht="5.25" customHeight="1" x14ac:dyDescent="0.25">
      <c r="A3" s="99"/>
      <c r="B3" s="509"/>
      <c r="C3" s="98"/>
      <c r="D3" s="509"/>
      <c r="E3" s="99"/>
      <c r="F3" s="99"/>
      <c r="G3" s="509"/>
      <c r="H3" s="94"/>
      <c r="I3" s="509"/>
      <c r="J3" s="509"/>
      <c r="K3" s="509"/>
      <c r="L3" s="509"/>
    </row>
    <row r="4" spans="1:12" x14ac:dyDescent="0.25">
      <c r="A4" s="99"/>
      <c r="B4" s="509"/>
      <c r="C4" s="98"/>
      <c r="D4" s="509"/>
      <c r="E4" s="421" t="s">
        <v>126</v>
      </c>
      <c r="F4" s="99"/>
      <c r="G4" s="425" t="s">
        <v>419</v>
      </c>
      <c r="H4" s="94"/>
      <c r="I4" s="665"/>
      <c r="J4" s="665"/>
      <c r="K4" s="509"/>
      <c r="L4" s="509"/>
    </row>
    <row r="5" spans="1:12" hidden="1" x14ac:dyDescent="0.25">
      <c r="A5" s="99"/>
      <c r="B5" s="509"/>
      <c r="C5" s="98"/>
      <c r="D5" s="509"/>
      <c r="E5" s="99"/>
      <c r="F5" s="99"/>
      <c r="G5" s="509"/>
      <c r="H5" s="94"/>
      <c r="I5" s="509"/>
      <c r="J5" s="509"/>
      <c r="K5" s="509"/>
      <c r="L5" s="509"/>
    </row>
    <row r="6" spans="1:12" hidden="1" x14ac:dyDescent="0.25">
      <c r="A6" s="99"/>
      <c r="B6" s="509"/>
      <c r="C6" s="98"/>
      <c r="D6" s="509"/>
      <c r="E6" s="509"/>
      <c r="F6" s="99"/>
      <c r="G6" s="420"/>
      <c r="H6" s="94"/>
      <c r="I6" s="509"/>
      <c r="J6" s="509"/>
      <c r="K6" s="509"/>
      <c r="L6" s="509"/>
    </row>
    <row r="7" spans="1:12" ht="5.25" customHeight="1" x14ac:dyDescent="0.25">
      <c r="A7" s="99"/>
      <c r="B7" s="509"/>
      <c r="C7" s="98"/>
      <c r="D7" s="509"/>
      <c r="E7" s="99"/>
      <c r="F7" s="99"/>
      <c r="G7" s="509"/>
      <c r="H7" s="94"/>
      <c r="I7" s="509"/>
      <c r="J7" s="509"/>
      <c r="K7" s="509"/>
      <c r="L7" s="509"/>
    </row>
    <row r="8" spans="1:12" x14ac:dyDescent="0.25">
      <c r="A8" s="99"/>
      <c r="B8" s="509"/>
      <c r="C8" s="98"/>
      <c r="D8" s="509"/>
      <c r="E8" s="421" t="s">
        <v>8</v>
      </c>
      <c r="F8" s="99"/>
      <c r="G8" s="419" t="s">
        <v>418</v>
      </c>
      <c r="H8" s="94"/>
      <c r="I8" s="665"/>
      <c r="J8" s="665"/>
      <c r="K8" s="509"/>
      <c r="L8" s="509"/>
    </row>
    <row r="9" spans="1:12" hidden="1" x14ac:dyDescent="0.25">
      <c r="A9" s="99"/>
      <c r="B9" s="509"/>
      <c r="C9" s="98"/>
      <c r="D9" s="509"/>
      <c r="E9" s="94"/>
      <c r="F9" s="94"/>
      <c r="G9" s="100"/>
      <c r="H9" s="94"/>
      <c r="I9" s="509"/>
      <c r="J9" s="509"/>
      <c r="K9" s="509"/>
      <c r="L9" s="509"/>
    </row>
    <row r="10" spans="1:12" hidden="1" x14ac:dyDescent="0.25">
      <c r="A10" s="99"/>
      <c r="B10" s="509"/>
      <c r="C10" s="98"/>
      <c r="D10" s="509"/>
      <c r="E10" s="509"/>
      <c r="F10" s="94"/>
      <c r="G10" s="509"/>
      <c r="H10" s="94"/>
      <c r="I10" s="665"/>
      <c r="J10" s="665"/>
      <c r="K10" s="509"/>
      <c r="L10" s="509"/>
    </row>
    <row r="11" spans="1:12" hidden="1" x14ac:dyDescent="0.25">
      <c r="A11" s="94"/>
      <c r="B11" s="509"/>
      <c r="C11" s="98"/>
      <c r="D11" s="509"/>
      <c r="E11" s="509"/>
      <c r="F11" s="94"/>
      <c r="G11" s="94"/>
      <c r="H11" s="94"/>
      <c r="I11" s="95"/>
      <c r="J11" s="509"/>
      <c r="K11" s="101"/>
      <c r="L11" s="509"/>
    </row>
    <row r="12" spans="1:12" x14ac:dyDescent="0.25">
      <c r="A12" s="102"/>
      <c r="B12" s="102"/>
      <c r="C12" s="666"/>
      <c r="D12" s="666"/>
      <c r="E12" s="666"/>
      <c r="F12" s="666"/>
      <c r="G12" s="666"/>
      <c r="H12" s="666"/>
      <c r="I12" s="666"/>
      <c r="J12" s="666"/>
      <c r="K12" s="666"/>
      <c r="L12" s="103"/>
    </row>
    <row r="13" spans="1:12" x14ac:dyDescent="0.25">
      <c r="A13" s="104"/>
      <c r="B13" s="105"/>
      <c r="C13" s="106" t="s">
        <v>90</v>
      </c>
      <c r="D13" s="105"/>
      <c r="E13" s="107" t="s">
        <v>118</v>
      </c>
      <c r="F13" s="104"/>
      <c r="G13" s="104"/>
      <c r="H13" s="104"/>
      <c r="I13" s="107" t="s">
        <v>119</v>
      </c>
      <c r="J13" s="104"/>
      <c r="K13" s="107" t="s">
        <v>120</v>
      </c>
      <c r="L13" s="108"/>
    </row>
    <row r="14" spans="1:12" x14ac:dyDescent="0.25">
      <c r="A14" s="110"/>
      <c r="B14" s="110"/>
      <c r="C14" s="110"/>
      <c r="D14" s="110"/>
      <c r="E14" s="472" t="s">
        <v>127</v>
      </c>
      <c r="F14" s="109"/>
      <c r="G14" s="109"/>
      <c r="H14" s="109"/>
      <c r="I14" s="109"/>
      <c r="J14" s="109"/>
      <c r="K14" s="110"/>
      <c r="L14" s="110"/>
    </row>
    <row r="15" spans="1:12" x14ac:dyDescent="0.25">
      <c r="A15" s="509"/>
      <c r="B15" s="509"/>
      <c r="C15" s="112"/>
      <c r="D15" s="111"/>
      <c r="E15" s="111"/>
      <c r="F15" s="93"/>
      <c r="G15" s="93"/>
      <c r="H15" s="93"/>
      <c r="I15" s="93"/>
      <c r="J15" s="93"/>
      <c r="K15" s="93"/>
      <c r="L15" s="111"/>
    </row>
    <row r="16" spans="1:12" x14ac:dyDescent="0.25">
      <c r="A16" s="509"/>
      <c r="B16" s="509"/>
      <c r="C16" s="97" t="s">
        <v>128</v>
      </c>
      <c r="D16" s="93"/>
      <c r="E16" s="664" t="s">
        <v>129</v>
      </c>
      <c r="F16" s="664"/>
      <c r="G16" s="664"/>
      <c r="H16" s="93"/>
      <c r="I16" s="126"/>
      <c r="J16" s="93"/>
      <c r="K16" s="114"/>
      <c r="L16" s="111"/>
    </row>
    <row r="17" spans="1:14" x14ac:dyDescent="0.25">
      <c r="A17" s="509"/>
      <c r="B17" s="509"/>
      <c r="C17" s="97"/>
      <c r="D17" s="99"/>
      <c r="E17" s="94"/>
      <c r="F17" s="93"/>
      <c r="G17" s="93"/>
      <c r="H17" s="93"/>
      <c r="I17" s="93"/>
      <c r="J17" s="93"/>
      <c r="K17" s="93"/>
      <c r="L17" s="111"/>
    </row>
    <row r="18" spans="1:14" ht="33.75" x14ac:dyDescent="0.5">
      <c r="A18" s="509"/>
      <c r="B18" s="509"/>
      <c r="C18" s="97" t="s">
        <v>130</v>
      </c>
      <c r="D18" s="99"/>
      <c r="E18" s="664" t="s">
        <v>131</v>
      </c>
      <c r="F18" s="664"/>
      <c r="G18" s="664"/>
      <c r="H18" s="93"/>
      <c r="I18" s="126"/>
      <c r="J18" s="93"/>
      <c r="K18" s="114"/>
      <c r="L18" s="111"/>
      <c r="N18" s="422" t="s">
        <v>32</v>
      </c>
    </row>
    <row r="19" spans="1:14" x14ac:dyDescent="0.25">
      <c r="A19" s="509"/>
      <c r="B19" s="509"/>
      <c r="C19" s="97"/>
      <c r="D19" s="99"/>
      <c r="E19" s="94"/>
      <c r="F19" s="93"/>
      <c r="G19" s="93"/>
      <c r="H19" s="93"/>
      <c r="I19" s="93"/>
      <c r="J19" s="93"/>
      <c r="K19" s="93"/>
      <c r="L19" s="93"/>
    </row>
    <row r="20" spans="1:14" ht="33.75" x14ac:dyDescent="0.5">
      <c r="A20" s="509"/>
      <c r="B20" s="509"/>
      <c r="C20" s="97" t="s">
        <v>132</v>
      </c>
      <c r="D20" s="99"/>
      <c r="E20" s="664" t="s">
        <v>133</v>
      </c>
      <c r="F20" s="664"/>
      <c r="G20" s="664"/>
      <c r="H20" s="93"/>
      <c r="I20" s="126"/>
      <c r="J20" s="93"/>
      <c r="K20" s="114"/>
      <c r="L20" s="93"/>
      <c r="N20" s="422" t="s">
        <v>32</v>
      </c>
    </row>
    <row r="21" spans="1:14" x14ac:dyDescent="0.25">
      <c r="A21" s="509"/>
      <c r="B21" s="509"/>
      <c r="C21" s="97"/>
      <c r="D21" s="99"/>
      <c r="E21" s="94"/>
      <c r="F21" s="93"/>
      <c r="G21" s="93"/>
      <c r="H21" s="93"/>
      <c r="I21" s="93"/>
      <c r="J21" s="93"/>
      <c r="K21" s="93"/>
      <c r="L21" s="93"/>
    </row>
    <row r="22" spans="1:14" x14ac:dyDescent="0.25">
      <c r="A22" s="116"/>
      <c r="B22" s="116"/>
      <c r="C22" s="116"/>
      <c r="D22" s="116"/>
      <c r="E22" s="459" t="s">
        <v>134</v>
      </c>
      <c r="F22" s="116"/>
      <c r="G22" s="116"/>
      <c r="H22" s="116"/>
      <c r="I22" s="116"/>
      <c r="J22" s="116"/>
      <c r="K22" s="116"/>
      <c r="L22" s="116"/>
    </row>
    <row r="23" spans="1:14" x14ac:dyDescent="0.25">
      <c r="A23" s="509"/>
      <c r="B23" s="509"/>
      <c r="C23" s="113"/>
      <c r="D23" s="93"/>
      <c r="E23" s="93"/>
      <c r="F23" s="93"/>
      <c r="G23" s="93"/>
      <c r="H23" s="93"/>
      <c r="I23" s="93"/>
      <c r="J23" s="93"/>
      <c r="K23" s="93"/>
      <c r="L23" s="93"/>
    </row>
    <row r="24" spans="1:14" ht="76.5" x14ac:dyDescent="1.1000000000000001">
      <c r="A24" s="509"/>
      <c r="B24" s="509"/>
      <c r="C24" s="97" t="s">
        <v>135</v>
      </c>
      <c r="D24" s="99"/>
      <c r="E24" s="664" t="s">
        <v>136</v>
      </c>
      <c r="F24" s="664"/>
      <c r="G24" s="664"/>
      <c r="H24" s="93"/>
      <c r="I24" s="126"/>
      <c r="J24" s="93"/>
      <c r="K24" s="114"/>
      <c r="L24" s="93"/>
      <c r="N24" s="423" t="s">
        <v>32</v>
      </c>
    </row>
    <row r="25" spans="1:14" x14ac:dyDescent="0.25">
      <c r="A25" s="509"/>
      <c r="B25" s="509"/>
      <c r="C25" s="97"/>
      <c r="D25" s="99"/>
      <c r="E25" s="510"/>
      <c r="F25" s="93"/>
      <c r="G25" s="93"/>
      <c r="H25" s="93"/>
      <c r="I25" s="93"/>
      <c r="J25" s="93"/>
      <c r="K25" s="93"/>
      <c r="L25" s="93"/>
    </row>
    <row r="26" spans="1:14" ht="33.75" x14ac:dyDescent="0.5">
      <c r="A26" s="509"/>
      <c r="B26" s="509"/>
      <c r="C26" s="97" t="s">
        <v>137</v>
      </c>
      <c r="D26" s="99" t="s">
        <v>138</v>
      </c>
      <c r="E26" s="664" t="s">
        <v>139</v>
      </c>
      <c r="F26" s="664"/>
      <c r="G26" s="664"/>
      <c r="H26" s="93"/>
      <c r="I26" s="126"/>
      <c r="J26" s="93"/>
      <c r="K26" s="114"/>
      <c r="L26" s="93"/>
      <c r="N26" s="422" t="s">
        <v>32</v>
      </c>
    </row>
    <row r="27" spans="1:14" x14ac:dyDescent="0.25">
      <c r="A27" s="509"/>
      <c r="B27" s="509"/>
      <c r="C27" s="97"/>
      <c r="D27" s="99"/>
      <c r="E27" s="94"/>
      <c r="F27" s="93"/>
      <c r="G27" s="93"/>
      <c r="H27" s="93"/>
      <c r="I27" s="93"/>
      <c r="J27" s="93"/>
      <c r="K27" s="93"/>
      <c r="L27" s="93"/>
    </row>
    <row r="28" spans="1:14" ht="33.75" x14ac:dyDescent="0.5">
      <c r="A28" s="509"/>
      <c r="B28" s="509"/>
      <c r="C28" s="97"/>
      <c r="D28" s="99" t="s">
        <v>140</v>
      </c>
      <c r="E28" s="664" t="s">
        <v>141</v>
      </c>
      <c r="F28" s="664"/>
      <c r="G28" s="664"/>
      <c r="H28" s="93"/>
      <c r="I28" s="126"/>
      <c r="J28" s="93"/>
      <c r="K28" s="114"/>
      <c r="L28" s="93"/>
      <c r="N28" s="422" t="s">
        <v>32</v>
      </c>
    </row>
    <row r="29" spans="1:14" x14ac:dyDescent="0.25">
      <c r="A29" s="509"/>
      <c r="B29" s="509"/>
      <c r="C29" s="97"/>
      <c r="D29" s="99"/>
      <c r="E29" s="94"/>
      <c r="F29" s="93"/>
      <c r="G29" s="93"/>
      <c r="H29" s="93"/>
      <c r="I29" s="93"/>
      <c r="J29" s="93"/>
      <c r="K29" s="93"/>
      <c r="L29" s="93"/>
    </row>
    <row r="30" spans="1:14" hidden="1" x14ac:dyDescent="0.25">
      <c r="A30" s="509"/>
      <c r="B30" s="509"/>
      <c r="C30" s="97"/>
      <c r="D30" s="99" t="s">
        <v>142</v>
      </c>
      <c r="E30" s="664" t="s">
        <v>143</v>
      </c>
      <c r="F30" s="664"/>
      <c r="G30" s="664"/>
      <c r="H30" s="93"/>
      <c r="I30" s="126"/>
      <c r="J30" s="93"/>
      <c r="K30" s="114"/>
      <c r="L30" s="93"/>
    </row>
    <row r="31" spans="1:14" hidden="1" x14ac:dyDescent="0.25">
      <c r="A31" s="509"/>
      <c r="B31" s="509"/>
      <c r="C31" s="97"/>
      <c r="D31" s="99"/>
      <c r="E31" s="94"/>
      <c r="F31" s="93"/>
      <c r="G31" s="93"/>
      <c r="H31" s="93"/>
      <c r="I31" s="93"/>
      <c r="J31" s="93"/>
      <c r="K31" s="93"/>
      <c r="L31" s="93"/>
    </row>
    <row r="32" spans="1:14" x14ac:dyDescent="0.25">
      <c r="A32" s="118"/>
      <c r="B32" s="118"/>
      <c r="C32" s="118"/>
      <c r="D32" s="118"/>
      <c r="E32" s="460" t="s">
        <v>144</v>
      </c>
      <c r="F32" s="118"/>
      <c r="G32" s="118"/>
      <c r="H32" s="118"/>
      <c r="I32" s="118"/>
      <c r="J32" s="118"/>
      <c r="K32" s="118"/>
      <c r="L32" s="118"/>
    </row>
    <row r="33" spans="1:14" x14ac:dyDescent="0.25">
      <c r="A33" s="509"/>
      <c r="B33" s="509"/>
      <c r="C33" s="113"/>
      <c r="D33" s="93"/>
      <c r="E33" s="93"/>
      <c r="F33" s="93"/>
      <c r="G33" s="93"/>
      <c r="H33" s="93"/>
      <c r="I33" s="93"/>
      <c r="J33" s="93"/>
      <c r="K33" s="93"/>
      <c r="L33" s="93"/>
    </row>
    <row r="34" spans="1:14" x14ac:dyDescent="0.25">
      <c r="A34" s="509"/>
      <c r="B34" s="509"/>
      <c r="C34" s="97" t="s">
        <v>145</v>
      </c>
      <c r="D34" s="99"/>
      <c r="E34" s="664" t="s">
        <v>146</v>
      </c>
      <c r="F34" s="664"/>
      <c r="G34" s="664"/>
      <c r="H34" s="93"/>
      <c r="I34" s="126"/>
      <c r="J34" s="93"/>
      <c r="K34" s="114"/>
      <c r="L34" s="93"/>
    </row>
    <row r="35" spans="1:14" x14ac:dyDescent="0.25">
      <c r="A35" s="509"/>
      <c r="B35" s="509"/>
      <c r="C35" s="113"/>
      <c r="D35" s="93"/>
      <c r="E35" s="93"/>
      <c r="F35" s="93"/>
      <c r="G35" s="93"/>
      <c r="H35" s="93"/>
      <c r="I35" s="93"/>
      <c r="J35" s="93"/>
      <c r="K35" s="93"/>
      <c r="L35" s="93"/>
    </row>
    <row r="36" spans="1:14" x14ac:dyDescent="0.25">
      <c r="A36" s="509"/>
      <c r="B36" s="509"/>
      <c r="C36" s="118"/>
      <c r="D36" s="118"/>
      <c r="E36" s="119" t="s">
        <v>147</v>
      </c>
      <c r="F36" s="118"/>
      <c r="G36" s="118"/>
      <c r="H36" s="118"/>
      <c r="I36" s="118"/>
      <c r="J36" s="118"/>
      <c r="K36" s="118"/>
      <c r="L36" s="93"/>
    </row>
    <row r="37" spans="1:14" x14ac:dyDescent="0.25">
      <c r="A37" s="509"/>
      <c r="B37" s="509"/>
      <c r="C37" s="113"/>
      <c r="D37" s="93"/>
      <c r="E37" s="93"/>
      <c r="F37" s="93"/>
      <c r="G37" s="93"/>
      <c r="H37" s="93"/>
      <c r="I37" s="93"/>
      <c r="J37" s="93"/>
      <c r="K37" s="93"/>
      <c r="L37" s="93"/>
    </row>
    <row r="38" spans="1:14" ht="33.75" x14ac:dyDescent="0.5">
      <c r="A38" s="509"/>
      <c r="B38" s="509"/>
      <c r="C38" s="97" t="s">
        <v>148</v>
      </c>
      <c r="D38" s="99"/>
      <c r="E38" s="664" t="s">
        <v>149</v>
      </c>
      <c r="F38" s="664"/>
      <c r="G38" s="664"/>
      <c r="H38" s="93"/>
      <c r="I38" s="126"/>
      <c r="J38" s="93"/>
      <c r="K38" s="114" t="s">
        <v>420</v>
      </c>
      <c r="L38" s="93"/>
      <c r="N38" s="422" t="s">
        <v>32</v>
      </c>
    </row>
    <row r="39" spans="1:14" x14ac:dyDescent="0.25">
      <c r="A39" s="509"/>
      <c r="B39" s="509"/>
      <c r="C39" s="113"/>
      <c r="D39" s="93"/>
      <c r="E39" s="93"/>
      <c r="F39" s="93"/>
      <c r="G39" s="93"/>
      <c r="H39" s="93"/>
      <c r="I39" s="93"/>
      <c r="J39" s="93"/>
      <c r="K39" s="93"/>
      <c r="L39" s="93"/>
    </row>
    <row r="40" spans="1:14" x14ac:dyDescent="0.25">
      <c r="A40" s="509"/>
      <c r="B40" s="509"/>
      <c r="C40" s="118"/>
      <c r="D40" s="118"/>
      <c r="E40" s="119" t="s">
        <v>150</v>
      </c>
      <c r="F40" s="118"/>
      <c r="G40" s="118"/>
      <c r="H40" s="118"/>
      <c r="I40" s="118"/>
      <c r="J40" s="118"/>
      <c r="K40" s="118"/>
      <c r="L40" s="93"/>
    </row>
    <row r="41" spans="1:14" x14ac:dyDescent="0.25">
      <c r="A41" s="509"/>
      <c r="B41" s="509"/>
      <c r="C41" s="113"/>
      <c r="D41" s="93"/>
      <c r="E41" s="93"/>
      <c r="F41" s="93"/>
      <c r="G41" s="93"/>
      <c r="H41" s="93"/>
      <c r="I41" s="93"/>
      <c r="J41" s="93"/>
      <c r="K41" s="93"/>
      <c r="L41" s="93"/>
    </row>
    <row r="42" spans="1:14" x14ac:dyDescent="0.25">
      <c r="A42" s="509"/>
      <c r="B42" s="509"/>
      <c r="C42" s="120" t="s">
        <v>151</v>
      </c>
      <c r="D42" s="121"/>
      <c r="E42" s="664" t="s">
        <v>152</v>
      </c>
      <c r="F42" s="664"/>
      <c r="G42" s="664"/>
      <c r="H42" s="93"/>
      <c r="I42" s="126"/>
      <c r="J42" s="93"/>
      <c r="K42" s="114" t="s">
        <v>421</v>
      </c>
      <c r="L42" s="93"/>
    </row>
    <row r="43" spans="1:14" x14ac:dyDescent="0.25">
      <c r="A43" s="509"/>
      <c r="B43" s="509"/>
      <c r="C43" s="113"/>
      <c r="D43" s="93"/>
      <c r="E43" s="93"/>
      <c r="F43" s="93"/>
      <c r="G43" s="93"/>
      <c r="H43" s="93"/>
      <c r="I43" s="93"/>
      <c r="J43" s="93"/>
      <c r="K43" s="93"/>
      <c r="L43" s="93"/>
    </row>
    <row r="44" spans="1:14" x14ac:dyDescent="0.25">
      <c r="A44" s="509"/>
      <c r="B44" s="509"/>
      <c r="C44" s="118"/>
      <c r="D44" s="118"/>
      <c r="E44" s="119" t="s">
        <v>153</v>
      </c>
      <c r="F44" s="122"/>
      <c r="G44" s="122"/>
      <c r="H44" s="122"/>
      <c r="I44" s="122"/>
      <c r="J44" s="122"/>
      <c r="K44" s="122"/>
      <c r="L44" s="93"/>
    </row>
    <row r="45" spans="1:14" x14ac:dyDescent="0.25">
      <c r="A45" s="509"/>
      <c r="B45" s="509"/>
      <c r="C45" s="113"/>
      <c r="D45" s="93"/>
      <c r="E45" s="93"/>
      <c r="F45" s="93"/>
      <c r="G45" s="93"/>
      <c r="H45" s="93"/>
      <c r="I45" s="93"/>
      <c r="J45" s="93"/>
      <c r="K45" s="93"/>
      <c r="L45" s="93"/>
    </row>
    <row r="46" spans="1:14" ht="33.75" x14ac:dyDescent="0.5">
      <c r="A46" s="509"/>
      <c r="B46" s="509"/>
      <c r="C46" s="120" t="s">
        <v>154</v>
      </c>
      <c r="D46" s="121"/>
      <c r="E46" s="664" t="s">
        <v>155</v>
      </c>
      <c r="F46" s="664"/>
      <c r="G46" s="664"/>
      <c r="H46" s="93"/>
      <c r="I46" s="126"/>
      <c r="J46" s="93"/>
      <c r="K46" s="114"/>
      <c r="L46" s="93"/>
      <c r="N46" s="422" t="s">
        <v>32</v>
      </c>
    </row>
    <row r="47" spans="1:14" x14ac:dyDescent="0.25">
      <c r="A47" s="509"/>
      <c r="B47" s="509"/>
      <c r="C47" s="113"/>
      <c r="D47" s="93"/>
      <c r="E47" s="93"/>
      <c r="F47" s="93"/>
      <c r="G47" s="93"/>
      <c r="H47" s="93"/>
      <c r="I47" s="93"/>
      <c r="J47" s="93"/>
      <c r="K47" s="93"/>
      <c r="L47" s="93"/>
    </row>
    <row r="48" spans="1:14" ht="33.75" x14ac:dyDescent="0.5">
      <c r="A48" s="509"/>
      <c r="B48" s="509"/>
      <c r="C48" s="120" t="s">
        <v>156</v>
      </c>
      <c r="D48" s="121"/>
      <c r="E48" s="664" t="s">
        <v>157</v>
      </c>
      <c r="F48" s="664"/>
      <c r="G48" s="664"/>
      <c r="H48" s="93"/>
      <c r="I48" s="126"/>
      <c r="J48" s="93"/>
      <c r="K48" s="114"/>
      <c r="L48" s="93"/>
      <c r="N48" s="422" t="s">
        <v>32</v>
      </c>
    </row>
    <row r="49" spans="1:12" x14ac:dyDescent="0.25">
      <c r="A49" s="509"/>
      <c r="B49" s="509"/>
      <c r="C49" s="113"/>
      <c r="D49" s="93"/>
      <c r="E49" s="93"/>
      <c r="F49" s="93"/>
      <c r="G49" s="93"/>
      <c r="H49" s="93"/>
      <c r="I49" s="93"/>
      <c r="J49" s="93"/>
      <c r="K49" s="93"/>
      <c r="L49" s="93"/>
    </row>
    <row r="50" spans="1:12" ht="25.5" x14ac:dyDescent="0.25">
      <c r="A50" s="509"/>
      <c r="B50" s="509"/>
      <c r="C50" s="120" t="s">
        <v>158</v>
      </c>
      <c r="D50" s="121"/>
      <c r="E50" s="664" t="s">
        <v>159</v>
      </c>
      <c r="F50" s="664"/>
      <c r="G50" s="664"/>
      <c r="H50" s="93"/>
      <c r="I50" s="126"/>
      <c r="J50" s="93"/>
      <c r="K50" s="114" t="s">
        <v>422</v>
      </c>
      <c r="L50" s="93"/>
    </row>
    <row r="51" spans="1:12" x14ac:dyDescent="0.25">
      <c r="A51" s="509"/>
      <c r="B51" s="509"/>
      <c r="C51" s="113"/>
      <c r="D51" s="93"/>
      <c r="E51" s="93"/>
      <c r="F51" s="93"/>
      <c r="G51" s="93"/>
      <c r="H51" s="93"/>
      <c r="I51" s="93"/>
      <c r="J51" s="93"/>
      <c r="K51" s="93"/>
      <c r="L51" s="93"/>
    </row>
    <row r="52" spans="1:12" x14ac:dyDescent="0.25">
      <c r="A52" s="509"/>
      <c r="B52" s="124"/>
      <c r="C52" s="124"/>
      <c r="D52" s="124"/>
      <c r="E52" s="462" t="s">
        <v>160</v>
      </c>
      <c r="F52" s="124"/>
      <c r="G52" s="124"/>
      <c r="H52" s="124"/>
      <c r="I52" s="124"/>
      <c r="J52" s="124"/>
      <c r="K52" s="124"/>
      <c r="L52" s="124"/>
    </row>
    <row r="53" spans="1:12" x14ac:dyDescent="0.25">
      <c r="A53" s="509"/>
      <c r="B53" s="509"/>
      <c r="C53" s="113"/>
      <c r="D53" s="93"/>
      <c r="E53" s="93"/>
      <c r="F53" s="93"/>
      <c r="G53" s="93"/>
      <c r="H53" s="93"/>
      <c r="I53" s="93"/>
      <c r="J53" s="93"/>
      <c r="K53" s="93"/>
      <c r="L53" s="93"/>
    </row>
    <row r="54" spans="1:12" x14ac:dyDescent="0.25">
      <c r="A54" s="509"/>
      <c r="B54" s="509"/>
      <c r="C54" s="124"/>
      <c r="D54" s="124"/>
      <c r="E54" s="125" t="s">
        <v>161</v>
      </c>
      <c r="F54" s="124"/>
      <c r="G54" s="124"/>
      <c r="H54" s="124"/>
      <c r="I54" s="124"/>
      <c r="J54" s="124"/>
      <c r="K54" s="124"/>
      <c r="L54" s="93"/>
    </row>
    <row r="55" spans="1:12" x14ac:dyDescent="0.25">
      <c r="A55" s="509"/>
      <c r="B55" s="509"/>
      <c r="C55" s="113"/>
      <c r="D55" s="93"/>
      <c r="E55" s="93"/>
      <c r="F55" s="93"/>
      <c r="G55" s="93"/>
      <c r="H55" s="93"/>
      <c r="I55" s="93"/>
      <c r="J55" s="93"/>
      <c r="K55" s="93"/>
      <c r="L55" s="93"/>
    </row>
    <row r="56" spans="1:12" ht="25.5" x14ac:dyDescent="0.25">
      <c r="A56" s="509"/>
      <c r="B56" s="509"/>
      <c r="C56" s="120" t="s">
        <v>162</v>
      </c>
      <c r="D56" s="121"/>
      <c r="E56" s="664" t="s">
        <v>163</v>
      </c>
      <c r="F56" s="664"/>
      <c r="G56" s="664"/>
      <c r="H56" s="93"/>
      <c r="I56" s="126"/>
      <c r="J56" s="93"/>
      <c r="K56" s="114"/>
      <c r="L56" s="93"/>
    </row>
    <row r="57" spans="1:12" x14ac:dyDescent="0.25">
      <c r="A57" s="509"/>
      <c r="B57" s="509"/>
      <c r="C57" s="113"/>
      <c r="D57" s="93"/>
      <c r="E57" s="93"/>
      <c r="F57" s="93"/>
      <c r="G57" s="93"/>
      <c r="H57" s="93"/>
      <c r="I57" s="93"/>
      <c r="J57" s="93"/>
      <c r="K57" s="93"/>
      <c r="L57" s="93"/>
    </row>
    <row r="58" spans="1:12" x14ac:dyDescent="0.25">
      <c r="A58" s="509"/>
      <c r="B58" s="509"/>
      <c r="C58" s="124"/>
      <c r="D58" s="124"/>
      <c r="E58" s="125" t="s">
        <v>164</v>
      </c>
      <c r="F58" s="124"/>
      <c r="G58" s="124"/>
      <c r="H58" s="124"/>
      <c r="I58" s="124"/>
      <c r="J58" s="124"/>
      <c r="K58" s="124"/>
      <c r="L58" s="93"/>
    </row>
    <row r="59" spans="1:12" x14ac:dyDescent="0.25">
      <c r="A59" s="509"/>
      <c r="B59" s="509"/>
      <c r="C59" s="113"/>
      <c r="D59" s="93"/>
      <c r="E59" s="93"/>
      <c r="F59" s="93"/>
      <c r="G59" s="93"/>
      <c r="H59" s="93"/>
      <c r="I59" s="93"/>
      <c r="J59" s="93"/>
      <c r="K59" s="93"/>
      <c r="L59" s="93"/>
    </row>
    <row r="60" spans="1:12" ht="25.5" x14ac:dyDescent="0.25">
      <c r="A60" s="509"/>
      <c r="B60" s="509"/>
      <c r="C60" s="120" t="s">
        <v>165</v>
      </c>
      <c r="D60" s="121"/>
      <c r="E60" s="664" t="s">
        <v>166</v>
      </c>
      <c r="F60" s="664"/>
      <c r="G60" s="664"/>
      <c r="H60" s="93"/>
      <c r="I60" s="126"/>
      <c r="J60" s="93"/>
      <c r="K60" s="114"/>
      <c r="L60" s="93"/>
    </row>
    <row r="61" spans="1:12" x14ac:dyDescent="0.25">
      <c r="A61" s="509"/>
      <c r="B61" s="509"/>
      <c r="C61" s="113"/>
      <c r="D61" s="93"/>
      <c r="E61" s="94"/>
      <c r="F61" s="93"/>
      <c r="G61" s="93"/>
      <c r="H61" s="93"/>
      <c r="I61" s="93"/>
      <c r="J61" s="93"/>
      <c r="K61" s="93"/>
      <c r="L61" s="93"/>
    </row>
    <row r="62" spans="1:12" x14ac:dyDescent="0.25">
      <c r="A62" s="509"/>
      <c r="B62" s="509"/>
      <c r="C62" s="124"/>
      <c r="D62" s="124"/>
      <c r="E62" s="125" t="s">
        <v>167</v>
      </c>
      <c r="F62" s="124"/>
      <c r="G62" s="124"/>
      <c r="H62" s="124"/>
      <c r="I62" s="124"/>
      <c r="J62" s="124"/>
      <c r="K62" s="124"/>
      <c r="L62" s="93"/>
    </row>
    <row r="63" spans="1:12" x14ac:dyDescent="0.25">
      <c r="A63" s="509"/>
      <c r="B63" s="509"/>
      <c r="C63" s="97"/>
      <c r="D63" s="99"/>
      <c r="E63" s="94"/>
      <c r="F63" s="93"/>
      <c r="G63" s="93"/>
      <c r="H63" s="93"/>
      <c r="I63" s="93"/>
      <c r="J63" s="93"/>
      <c r="K63" s="93"/>
      <c r="L63" s="93"/>
    </row>
    <row r="64" spans="1:12" ht="25.5" x14ac:dyDescent="0.25">
      <c r="A64" s="509"/>
      <c r="B64" s="509"/>
      <c r="C64" s="97" t="s">
        <v>198</v>
      </c>
      <c r="D64" s="99" t="s">
        <v>138</v>
      </c>
      <c r="E64" s="664" t="s">
        <v>169</v>
      </c>
      <c r="F64" s="664"/>
      <c r="G64" s="664"/>
      <c r="H64" s="93"/>
      <c r="I64" s="126"/>
      <c r="J64" s="93"/>
      <c r="K64" s="114"/>
      <c r="L64" s="93"/>
    </row>
    <row r="65" spans="1:14" x14ac:dyDescent="0.25">
      <c r="A65" s="509"/>
      <c r="B65" s="509"/>
      <c r="C65" s="97"/>
      <c r="D65" s="99"/>
      <c r="E65" s="94"/>
      <c r="F65" s="93"/>
      <c r="G65" s="93"/>
      <c r="H65" s="93"/>
      <c r="I65" s="93"/>
      <c r="J65" s="93"/>
      <c r="K65" s="93"/>
      <c r="L65" s="93"/>
    </row>
    <row r="66" spans="1:14" x14ac:dyDescent="0.25">
      <c r="A66" s="509"/>
      <c r="B66" s="509"/>
      <c r="C66" s="97"/>
      <c r="D66" s="99" t="s">
        <v>140</v>
      </c>
      <c r="E66" s="664" t="s">
        <v>170</v>
      </c>
      <c r="F66" s="664"/>
      <c r="G66" s="664"/>
      <c r="H66" s="93"/>
      <c r="I66" s="126"/>
      <c r="J66" s="93"/>
      <c r="K66" s="114"/>
      <c r="L66" s="93"/>
    </row>
    <row r="67" spans="1:14" x14ac:dyDescent="0.25">
      <c r="A67" s="509"/>
      <c r="B67" s="509"/>
      <c r="C67" s="113"/>
      <c r="D67" s="93"/>
      <c r="E67" s="93"/>
      <c r="F67" s="93"/>
      <c r="G67" s="93"/>
      <c r="H67" s="93"/>
      <c r="I67" s="93"/>
      <c r="J67" s="93"/>
      <c r="K67" s="93"/>
      <c r="L67" s="93"/>
    </row>
    <row r="68" spans="1:14" x14ac:dyDescent="0.25">
      <c r="A68" s="509"/>
      <c r="B68" s="509"/>
      <c r="C68" s="124"/>
      <c r="D68" s="124"/>
      <c r="E68" s="125" t="s">
        <v>171</v>
      </c>
      <c r="F68" s="124"/>
      <c r="G68" s="124"/>
      <c r="H68" s="124"/>
      <c r="I68" s="124"/>
      <c r="J68" s="124"/>
      <c r="K68" s="124"/>
      <c r="L68" s="93"/>
    </row>
    <row r="69" spans="1:14" x14ac:dyDescent="0.25">
      <c r="A69" s="509"/>
      <c r="B69" s="509"/>
      <c r="C69" s="97"/>
      <c r="D69" s="99"/>
      <c r="E69" s="94"/>
      <c r="F69" s="93"/>
      <c r="G69" s="93"/>
      <c r="H69" s="93"/>
      <c r="I69" s="93"/>
      <c r="J69" s="93"/>
      <c r="K69" s="93"/>
      <c r="L69" s="93"/>
    </row>
    <row r="70" spans="1:14" ht="25.5" x14ac:dyDescent="0.25">
      <c r="A70" s="509"/>
      <c r="B70" s="509"/>
      <c r="C70" s="97" t="s">
        <v>168</v>
      </c>
      <c r="D70" s="99" t="s">
        <v>138</v>
      </c>
      <c r="E70" s="664" t="s">
        <v>173</v>
      </c>
      <c r="F70" s="664"/>
      <c r="G70" s="664"/>
      <c r="H70" s="93"/>
      <c r="I70" s="126"/>
      <c r="J70" s="93"/>
      <c r="K70" s="114"/>
      <c r="L70" s="93"/>
    </row>
    <row r="71" spans="1:14" x14ac:dyDescent="0.25">
      <c r="A71" s="509"/>
      <c r="B71" s="509"/>
      <c r="C71" s="97"/>
      <c r="D71" s="99"/>
      <c r="E71" s="94"/>
      <c r="F71" s="93"/>
      <c r="G71" s="93"/>
      <c r="H71" s="93"/>
      <c r="I71" s="93"/>
      <c r="J71" s="93"/>
      <c r="K71" s="93"/>
      <c r="L71" s="93"/>
    </row>
    <row r="72" spans="1:14" ht="51" x14ac:dyDescent="0.75">
      <c r="A72" s="509"/>
      <c r="B72" s="509"/>
      <c r="C72" s="97"/>
      <c r="D72" s="135" t="s">
        <v>140</v>
      </c>
      <c r="E72" s="664" t="s">
        <v>174</v>
      </c>
      <c r="F72" s="664"/>
      <c r="G72" s="664"/>
      <c r="H72" s="93"/>
      <c r="I72" s="126"/>
      <c r="J72" s="93"/>
      <c r="K72" s="114"/>
      <c r="L72" s="93"/>
      <c r="N72" s="424" t="s">
        <v>32</v>
      </c>
    </row>
    <row r="73" spans="1:14" x14ac:dyDescent="0.25">
      <c r="A73" s="509"/>
      <c r="B73" s="509"/>
      <c r="C73" s="113"/>
      <c r="D73" s="93"/>
      <c r="E73" s="93"/>
      <c r="F73" s="93"/>
      <c r="G73" s="93"/>
      <c r="H73" s="93"/>
      <c r="I73" s="93"/>
      <c r="J73" s="93"/>
      <c r="K73" s="93"/>
      <c r="L73" s="93"/>
    </row>
    <row r="74" spans="1:14" x14ac:dyDescent="0.25">
      <c r="A74" s="509"/>
      <c r="B74" s="509"/>
      <c r="C74" s="124"/>
      <c r="D74" s="124"/>
      <c r="E74" s="125" t="s">
        <v>175</v>
      </c>
      <c r="F74" s="124"/>
      <c r="G74" s="124"/>
      <c r="H74" s="124"/>
      <c r="I74" s="124"/>
      <c r="J74" s="124"/>
      <c r="K74" s="124"/>
      <c r="L74" s="93"/>
    </row>
    <row r="75" spans="1:14" x14ac:dyDescent="0.25">
      <c r="A75" s="509"/>
      <c r="B75" s="509"/>
      <c r="C75" s="97"/>
      <c r="D75" s="99"/>
      <c r="E75" s="94"/>
      <c r="F75" s="93"/>
      <c r="G75" s="93"/>
      <c r="H75" s="93"/>
      <c r="I75" s="96"/>
      <c r="J75" s="111"/>
      <c r="K75" s="111"/>
      <c r="L75" s="93"/>
    </row>
    <row r="76" spans="1:14" ht="25.5" x14ac:dyDescent="0.25">
      <c r="A76" s="509"/>
      <c r="B76" s="509"/>
      <c r="C76" s="97" t="s">
        <v>200</v>
      </c>
      <c r="D76" s="99" t="s">
        <v>138</v>
      </c>
      <c r="E76" s="664" t="s">
        <v>177</v>
      </c>
      <c r="F76" s="664"/>
      <c r="G76" s="664"/>
      <c r="H76" s="93"/>
      <c r="I76" s="126"/>
      <c r="J76" s="93"/>
      <c r="K76" s="114"/>
      <c r="L76" s="93"/>
    </row>
    <row r="77" spans="1:14" x14ac:dyDescent="0.25">
      <c r="A77" s="509"/>
      <c r="B77" s="509"/>
      <c r="C77" s="97"/>
      <c r="D77" s="99"/>
      <c r="E77" s="94"/>
      <c r="F77" s="93"/>
      <c r="G77" s="93"/>
      <c r="H77" s="93"/>
      <c r="I77" s="93"/>
      <c r="J77" s="93"/>
      <c r="K77" s="93"/>
      <c r="L77" s="93"/>
    </row>
    <row r="78" spans="1:14" x14ac:dyDescent="0.25">
      <c r="A78" s="509"/>
      <c r="B78" s="509"/>
      <c r="C78" s="97"/>
      <c r="D78" s="99" t="s">
        <v>140</v>
      </c>
      <c r="E78" s="664" t="s">
        <v>178</v>
      </c>
      <c r="F78" s="664"/>
      <c r="G78" s="664"/>
      <c r="H78" s="93"/>
      <c r="I78" s="126"/>
      <c r="J78" s="93"/>
      <c r="K78" s="114"/>
      <c r="L78" s="93"/>
    </row>
    <row r="79" spans="1:14" x14ac:dyDescent="0.25">
      <c r="A79" s="509"/>
      <c r="B79" s="509"/>
      <c r="C79" s="113"/>
      <c r="D79" s="93"/>
      <c r="E79" s="93"/>
      <c r="F79" s="93"/>
      <c r="G79" s="93"/>
      <c r="H79" s="93"/>
      <c r="I79" s="93"/>
      <c r="J79" s="93"/>
      <c r="K79" s="93"/>
      <c r="L79" s="93"/>
    </row>
    <row r="80" spans="1:14" x14ac:dyDescent="0.25">
      <c r="A80" s="509"/>
      <c r="B80" s="509"/>
      <c r="C80" s="124"/>
      <c r="D80" s="124"/>
      <c r="E80" s="125" t="s">
        <v>179</v>
      </c>
      <c r="F80" s="124"/>
      <c r="G80" s="124"/>
      <c r="H80" s="124"/>
      <c r="I80" s="124"/>
      <c r="J80" s="124"/>
      <c r="K80" s="124"/>
      <c r="L80" s="93"/>
    </row>
    <row r="81" spans="1:14" x14ac:dyDescent="0.25">
      <c r="A81" s="509"/>
      <c r="B81" s="509"/>
      <c r="C81" s="113"/>
      <c r="D81" s="93"/>
      <c r="E81" s="93"/>
      <c r="F81" s="93"/>
      <c r="G81" s="93"/>
      <c r="H81" s="93"/>
      <c r="I81" s="93"/>
      <c r="J81" s="93"/>
      <c r="K81" s="93"/>
      <c r="L81" s="93"/>
    </row>
    <row r="82" spans="1:14" ht="33.75" x14ac:dyDescent="0.5">
      <c r="A82" s="509"/>
      <c r="B82" s="509"/>
      <c r="C82" s="120" t="s">
        <v>172</v>
      </c>
      <c r="D82" s="121"/>
      <c r="E82" s="664" t="s">
        <v>181</v>
      </c>
      <c r="F82" s="664"/>
      <c r="G82" s="664"/>
      <c r="H82" s="93"/>
      <c r="I82" s="126"/>
      <c r="J82" s="93"/>
      <c r="K82" s="114"/>
      <c r="L82" s="93"/>
      <c r="N82" s="422" t="s">
        <v>32</v>
      </c>
    </row>
    <row r="83" spans="1:14" ht="11.25" customHeight="1" x14ac:dyDescent="0.25">
      <c r="A83" s="93"/>
      <c r="B83" s="93"/>
      <c r="C83" s="113"/>
      <c r="D83" s="93"/>
      <c r="E83" s="93"/>
      <c r="F83" s="93"/>
      <c r="G83" s="93"/>
      <c r="H83" s="93"/>
      <c r="I83" s="93"/>
      <c r="J83" s="93"/>
      <c r="K83" s="111"/>
      <c r="L83" s="111"/>
    </row>
    <row r="84" spans="1:14" ht="18.75" customHeight="1" x14ac:dyDescent="0.25">
      <c r="A84" s="605" t="s">
        <v>182</v>
      </c>
      <c r="B84" s="606"/>
      <c r="C84" s="606"/>
      <c r="D84" s="606"/>
      <c r="E84" s="606"/>
      <c r="F84" s="606"/>
      <c r="G84" s="606"/>
      <c r="H84" s="606"/>
      <c r="I84" s="606"/>
      <c r="J84" s="606"/>
      <c r="K84" s="606"/>
      <c r="L84" s="667"/>
    </row>
  </sheetData>
  <sheetProtection algorithmName="SHA-512" hashValue="J7jKVCik0FgmVsoZ+U/X24HSOU7DxpeGF+rJwdav8bCGYAsRGrSO+RAL78BbawirbFLcrLRiM5KHiMGb9SFcaw==" saltValue="ZeFuEsd8zxZkZXD5blLUJA==" spinCount="100000" sheet="1" objects="1" scenarios="1"/>
  <mergeCells count="28">
    <mergeCell ref="E76:G76"/>
    <mergeCell ref="E78:G78"/>
    <mergeCell ref="E82:G82"/>
    <mergeCell ref="A84:L84"/>
    <mergeCell ref="E56:G56"/>
    <mergeCell ref="E60:G60"/>
    <mergeCell ref="E64:G64"/>
    <mergeCell ref="E66:G66"/>
    <mergeCell ref="E70:G70"/>
    <mergeCell ref="E72:G72"/>
    <mergeCell ref="E50:G50"/>
    <mergeCell ref="E18:G18"/>
    <mergeCell ref="E20:G20"/>
    <mergeCell ref="E24:G24"/>
    <mergeCell ref="E26:G26"/>
    <mergeCell ref="E28:G28"/>
    <mergeCell ref="E30:G30"/>
    <mergeCell ref="E34:G34"/>
    <mergeCell ref="E38:G38"/>
    <mergeCell ref="E42:G42"/>
    <mergeCell ref="E46:G46"/>
    <mergeCell ref="E48:G48"/>
    <mergeCell ref="E16:G16"/>
    <mergeCell ref="I2:J2"/>
    <mergeCell ref="I4:J4"/>
    <mergeCell ref="I8:J8"/>
    <mergeCell ref="I10:J10"/>
    <mergeCell ref="C12:K1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FD107"/>
  <sheetViews>
    <sheetView showGridLines="0" showRowColHeaders="0" tabSelected="1" topLeftCell="B1" zoomScaleNormal="100" workbookViewId="0">
      <selection activeCell="H13" sqref="H13:Q13"/>
    </sheetView>
  </sheetViews>
  <sheetFormatPr defaultColWidth="0" defaultRowHeight="15" zeroHeight="1" x14ac:dyDescent="0.25"/>
  <cols>
    <col min="1" max="1" width="9" style="325" hidden="1" customWidth="1"/>
    <col min="2" max="2" width="2.7109375" style="325" customWidth="1"/>
    <col min="3" max="3" width="5.28515625" style="325" customWidth="1"/>
    <col min="4" max="5" width="9" style="356" customWidth="1"/>
    <col min="6" max="6" width="14.28515625" style="356" customWidth="1"/>
    <col min="7" max="7" width="2.7109375" style="356" customWidth="1"/>
    <col min="8" max="10" width="9" style="325" customWidth="1"/>
    <col min="11" max="11" width="1.5703125" style="325" customWidth="1"/>
    <col min="12" max="12" width="9.28515625" style="325" customWidth="1"/>
    <col min="13" max="13" width="1.28515625" style="325" customWidth="1"/>
    <col min="14" max="15" width="9" style="325" hidden="1" customWidth="1"/>
    <col min="16" max="16" width="7.28515625" style="325" hidden="1" customWidth="1"/>
    <col min="17" max="17" width="48.28515625" style="325" customWidth="1"/>
    <col min="18" max="18" width="2.7109375" style="325" customWidth="1"/>
    <col min="19" max="16384" width="9" style="325" hidden="1"/>
  </cols>
  <sheetData>
    <row r="1" spans="1:16384" s="672" customFormat="1" ht="30" customHeight="1" x14ac:dyDescent="0.25">
      <c r="A1" s="235"/>
      <c r="B1" s="668" t="s">
        <v>64</v>
      </c>
      <c r="C1" s="669"/>
      <c r="D1" s="669"/>
      <c r="E1" s="669"/>
      <c r="F1" s="669"/>
      <c r="G1" s="669"/>
      <c r="H1" s="669"/>
      <c r="I1" s="669"/>
      <c r="J1" s="669"/>
      <c r="K1" s="669"/>
      <c r="L1" s="669"/>
      <c r="M1" s="669"/>
      <c r="N1" s="669"/>
      <c r="O1" s="669"/>
      <c r="P1" s="669"/>
      <c r="Q1" s="669"/>
      <c r="R1" s="669"/>
      <c r="S1" s="670"/>
      <c r="T1" s="671"/>
      <c r="U1" s="671"/>
      <c r="V1" s="671"/>
      <c r="W1" s="671"/>
      <c r="X1" s="671"/>
      <c r="Y1" s="671"/>
      <c r="Z1" s="671"/>
      <c r="AA1" s="671"/>
      <c r="AB1" s="671"/>
      <c r="AC1" s="671"/>
      <c r="AD1" s="671"/>
      <c r="AE1" s="671"/>
      <c r="AF1" s="671"/>
      <c r="AG1" s="671"/>
      <c r="AH1" s="671"/>
      <c r="AI1" s="671"/>
      <c r="AJ1" s="671"/>
      <c r="AK1" s="671"/>
      <c r="AL1" s="671"/>
      <c r="AM1" s="671"/>
      <c r="AN1" s="671"/>
      <c r="AO1" s="671"/>
      <c r="AP1" s="671"/>
      <c r="AQ1" s="671"/>
      <c r="AR1" s="671"/>
      <c r="AS1" s="671"/>
      <c r="AT1" s="671"/>
      <c r="AU1" s="671"/>
      <c r="AV1" s="671"/>
      <c r="AW1" s="671"/>
      <c r="AX1" s="671"/>
      <c r="AY1" s="671"/>
      <c r="AZ1" s="671"/>
      <c r="BA1" s="671"/>
      <c r="BB1" s="671"/>
      <c r="BC1" s="671"/>
      <c r="BD1" s="671"/>
      <c r="BE1" s="671"/>
      <c r="BF1" s="671"/>
      <c r="BG1" s="671"/>
      <c r="BH1" s="671"/>
      <c r="BI1" s="671"/>
      <c r="BJ1" s="671"/>
      <c r="BK1" s="671"/>
      <c r="BL1" s="671"/>
      <c r="BM1" s="671"/>
      <c r="BN1" s="671"/>
      <c r="BO1" s="671"/>
      <c r="BP1" s="671"/>
      <c r="BQ1" s="671"/>
      <c r="BR1" s="671"/>
      <c r="BS1" s="671"/>
      <c r="BT1" s="671"/>
      <c r="BU1" s="671"/>
      <c r="BV1" s="671"/>
      <c r="BW1" s="671"/>
      <c r="BX1" s="671"/>
      <c r="BY1" s="671"/>
      <c r="BZ1" s="671"/>
      <c r="CA1" s="671"/>
      <c r="CB1" s="671"/>
      <c r="CC1" s="671"/>
      <c r="CD1" s="671"/>
      <c r="CE1" s="671"/>
      <c r="CF1" s="671"/>
      <c r="CG1" s="671"/>
      <c r="CH1" s="671"/>
      <c r="CI1" s="671"/>
      <c r="CJ1" s="671"/>
      <c r="CK1" s="671"/>
      <c r="CL1" s="671"/>
      <c r="CM1" s="671"/>
      <c r="CN1" s="671"/>
      <c r="CO1" s="671"/>
      <c r="CP1" s="671"/>
      <c r="CQ1" s="671"/>
      <c r="CR1" s="671"/>
      <c r="CS1" s="671"/>
      <c r="CT1" s="671"/>
      <c r="CU1" s="671"/>
      <c r="CV1" s="671"/>
      <c r="CW1" s="671"/>
      <c r="CX1" s="671"/>
      <c r="CY1" s="671"/>
      <c r="CZ1" s="671"/>
      <c r="DA1" s="671"/>
      <c r="DB1" s="671"/>
      <c r="DC1" s="671"/>
      <c r="DD1" s="671"/>
      <c r="DE1" s="671"/>
      <c r="DF1" s="671"/>
      <c r="DG1" s="671"/>
      <c r="DH1" s="671"/>
      <c r="DI1" s="671"/>
      <c r="DJ1" s="671"/>
      <c r="DK1" s="671"/>
      <c r="DL1" s="671"/>
      <c r="DM1" s="671"/>
      <c r="DN1" s="671"/>
      <c r="DO1" s="671"/>
      <c r="DP1" s="671"/>
      <c r="DQ1" s="671"/>
      <c r="DR1" s="671"/>
      <c r="DS1" s="671"/>
      <c r="DT1" s="671"/>
      <c r="DU1" s="671"/>
      <c r="DV1" s="671"/>
      <c r="DW1" s="671"/>
      <c r="DX1" s="671"/>
      <c r="DY1" s="671"/>
      <c r="DZ1" s="671"/>
      <c r="EA1" s="671"/>
      <c r="EB1" s="671"/>
      <c r="EC1" s="671"/>
      <c r="ED1" s="671"/>
      <c r="EE1" s="671"/>
      <c r="EF1" s="671"/>
      <c r="EG1" s="671"/>
      <c r="EH1" s="671"/>
      <c r="EI1" s="671"/>
      <c r="EJ1" s="671"/>
      <c r="EK1" s="671"/>
      <c r="EL1" s="671"/>
      <c r="EM1" s="671"/>
      <c r="EN1" s="671"/>
      <c r="EO1" s="671"/>
      <c r="EP1" s="671"/>
      <c r="EQ1" s="671"/>
      <c r="ER1" s="671"/>
      <c r="ES1" s="671"/>
      <c r="ET1" s="671"/>
      <c r="EU1" s="671"/>
      <c r="EV1" s="671"/>
      <c r="EW1" s="671"/>
      <c r="EX1" s="671"/>
      <c r="EY1" s="671"/>
      <c r="EZ1" s="671"/>
      <c r="FA1" s="671"/>
      <c r="FB1" s="671"/>
      <c r="FC1" s="671"/>
      <c r="FD1" s="671"/>
      <c r="FE1" s="671"/>
      <c r="FF1" s="671"/>
      <c r="FG1" s="671"/>
      <c r="FH1" s="671"/>
      <c r="FI1" s="671"/>
      <c r="FJ1" s="671"/>
      <c r="FK1" s="671"/>
      <c r="FL1" s="671"/>
      <c r="FM1" s="671"/>
      <c r="FN1" s="671"/>
      <c r="FO1" s="671"/>
      <c r="FP1" s="671"/>
      <c r="FQ1" s="671"/>
      <c r="FR1" s="671"/>
      <c r="FS1" s="671"/>
      <c r="FT1" s="671"/>
      <c r="FU1" s="671"/>
      <c r="FV1" s="671"/>
      <c r="FW1" s="671"/>
      <c r="FX1" s="671"/>
      <c r="FY1" s="671"/>
      <c r="FZ1" s="671"/>
      <c r="GA1" s="671"/>
      <c r="GB1" s="671"/>
      <c r="GC1" s="671"/>
      <c r="GD1" s="671"/>
      <c r="GE1" s="671"/>
      <c r="GF1" s="671"/>
      <c r="GG1" s="671"/>
      <c r="GH1" s="671"/>
      <c r="GI1" s="671"/>
      <c r="GJ1" s="671"/>
      <c r="GK1" s="671"/>
      <c r="GL1" s="671"/>
      <c r="GM1" s="671"/>
      <c r="GN1" s="671"/>
      <c r="GO1" s="671"/>
      <c r="GP1" s="671"/>
      <c r="GQ1" s="671"/>
      <c r="GR1" s="671"/>
      <c r="GS1" s="671"/>
      <c r="GT1" s="671"/>
      <c r="GU1" s="671"/>
      <c r="GV1" s="671"/>
      <c r="GW1" s="671"/>
      <c r="GX1" s="671"/>
      <c r="GY1" s="671"/>
      <c r="GZ1" s="671"/>
      <c r="HA1" s="671"/>
      <c r="HB1" s="671"/>
      <c r="HC1" s="671"/>
      <c r="HD1" s="671"/>
      <c r="HE1" s="671"/>
      <c r="HF1" s="671"/>
      <c r="HG1" s="671"/>
      <c r="HH1" s="671"/>
      <c r="HI1" s="671"/>
      <c r="HJ1" s="671"/>
      <c r="HK1" s="671"/>
      <c r="HL1" s="671"/>
      <c r="HM1" s="671"/>
      <c r="HN1" s="671"/>
      <c r="HO1" s="671"/>
      <c r="HP1" s="671"/>
      <c r="HQ1" s="671"/>
      <c r="HR1" s="671"/>
      <c r="HS1" s="671"/>
      <c r="HT1" s="671"/>
      <c r="HU1" s="671"/>
      <c r="HV1" s="671"/>
      <c r="HW1" s="671"/>
      <c r="HX1" s="671"/>
      <c r="HY1" s="671"/>
      <c r="HZ1" s="671"/>
      <c r="IA1" s="671"/>
      <c r="IB1" s="671"/>
      <c r="IC1" s="671"/>
      <c r="ID1" s="671"/>
      <c r="IE1" s="671"/>
      <c r="IF1" s="671"/>
      <c r="IG1" s="671"/>
      <c r="IH1" s="671"/>
      <c r="II1" s="671"/>
      <c r="IJ1" s="671"/>
      <c r="IK1" s="671"/>
      <c r="IL1" s="671"/>
      <c r="IM1" s="671"/>
      <c r="IN1" s="671"/>
      <c r="IO1" s="671"/>
      <c r="IP1" s="671"/>
      <c r="IQ1" s="671"/>
      <c r="IR1" s="671"/>
      <c r="IS1" s="671"/>
      <c r="IT1" s="671"/>
      <c r="IU1" s="671"/>
      <c r="IV1" s="671"/>
      <c r="IW1" s="671"/>
      <c r="IX1" s="671"/>
      <c r="IY1" s="671"/>
      <c r="IZ1" s="671"/>
      <c r="JA1" s="671"/>
      <c r="JB1" s="671"/>
      <c r="JC1" s="671"/>
      <c r="JD1" s="671"/>
      <c r="JE1" s="671"/>
      <c r="JF1" s="671"/>
      <c r="JG1" s="671"/>
      <c r="JH1" s="671"/>
      <c r="JI1" s="671"/>
      <c r="JJ1" s="671"/>
      <c r="JK1" s="671"/>
      <c r="JL1" s="671"/>
      <c r="JM1" s="671"/>
      <c r="JN1" s="671"/>
      <c r="JO1" s="671"/>
      <c r="JP1" s="671"/>
      <c r="JQ1" s="671"/>
      <c r="JR1" s="671"/>
      <c r="JS1" s="671"/>
      <c r="JT1" s="671"/>
      <c r="JU1" s="671"/>
      <c r="JV1" s="671"/>
      <c r="JW1" s="671"/>
      <c r="JX1" s="671"/>
      <c r="JY1" s="671"/>
      <c r="JZ1" s="671"/>
      <c r="KA1" s="671"/>
      <c r="KB1" s="671"/>
      <c r="KC1" s="671"/>
      <c r="KD1" s="671"/>
      <c r="KE1" s="671"/>
      <c r="KF1" s="671"/>
      <c r="KG1" s="671"/>
      <c r="KH1" s="671"/>
      <c r="KI1" s="671"/>
      <c r="KJ1" s="671"/>
      <c r="KK1" s="671"/>
      <c r="KL1" s="671"/>
      <c r="KM1" s="671"/>
      <c r="KN1" s="671"/>
      <c r="KO1" s="671"/>
      <c r="KP1" s="671"/>
      <c r="KQ1" s="671"/>
      <c r="KR1" s="671"/>
      <c r="KS1" s="671"/>
      <c r="KT1" s="671"/>
      <c r="KU1" s="671"/>
      <c r="KV1" s="671"/>
      <c r="KW1" s="671"/>
      <c r="KX1" s="671"/>
      <c r="KY1" s="671"/>
      <c r="KZ1" s="671"/>
      <c r="LA1" s="671"/>
      <c r="LB1" s="671"/>
      <c r="LC1" s="671"/>
      <c r="LD1" s="671"/>
      <c r="LE1" s="671"/>
      <c r="LF1" s="671"/>
      <c r="LG1" s="671"/>
      <c r="LH1" s="671"/>
      <c r="LI1" s="671"/>
      <c r="LJ1" s="671"/>
      <c r="LK1" s="671"/>
      <c r="LL1" s="671"/>
      <c r="LM1" s="671"/>
      <c r="LN1" s="671"/>
      <c r="LO1" s="671"/>
      <c r="LP1" s="671"/>
      <c r="LQ1" s="671"/>
      <c r="LR1" s="671"/>
      <c r="LS1" s="671"/>
      <c r="LT1" s="671"/>
      <c r="LU1" s="671"/>
      <c r="LV1" s="671"/>
      <c r="LW1" s="671"/>
      <c r="LX1" s="671"/>
      <c r="LY1" s="671"/>
      <c r="LZ1" s="671"/>
      <c r="MA1" s="671"/>
      <c r="MB1" s="671"/>
      <c r="MC1" s="671"/>
      <c r="MD1" s="671"/>
      <c r="ME1" s="671"/>
      <c r="MF1" s="671"/>
      <c r="MG1" s="671"/>
      <c r="MH1" s="671"/>
      <c r="MI1" s="671"/>
      <c r="MJ1" s="671"/>
      <c r="MK1" s="671"/>
      <c r="ML1" s="671"/>
      <c r="MM1" s="671"/>
      <c r="MN1" s="671"/>
      <c r="MO1" s="671"/>
      <c r="MP1" s="671"/>
      <c r="MQ1" s="671"/>
      <c r="MR1" s="671"/>
      <c r="MS1" s="671"/>
      <c r="MT1" s="671"/>
      <c r="MU1" s="671"/>
      <c r="MV1" s="671"/>
      <c r="MW1" s="671"/>
      <c r="MX1" s="671"/>
      <c r="MY1" s="671"/>
      <c r="MZ1" s="671"/>
      <c r="NA1" s="671"/>
      <c r="NB1" s="671"/>
      <c r="NC1" s="671"/>
      <c r="ND1" s="671"/>
      <c r="NE1" s="671"/>
      <c r="NF1" s="671"/>
      <c r="NG1" s="671"/>
      <c r="NH1" s="671"/>
      <c r="NI1" s="671"/>
      <c r="NJ1" s="671"/>
      <c r="NK1" s="671"/>
      <c r="NL1" s="671"/>
      <c r="NM1" s="671"/>
      <c r="NN1" s="671"/>
      <c r="NO1" s="671"/>
      <c r="NP1" s="671"/>
      <c r="NQ1" s="671"/>
      <c r="NR1" s="671"/>
      <c r="NS1" s="671"/>
      <c r="NT1" s="671"/>
      <c r="NU1" s="671"/>
      <c r="NV1" s="671"/>
      <c r="NW1" s="671"/>
      <c r="NX1" s="671"/>
      <c r="NY1" s="671"/>
      <c r="NZ1" s="671"/>
      <c r="OA1" s="671"/>
      <c r="OB1" s="671"/>
      <c r="OC1" s="671"/>
      <c r="OD1" s="671"/>
      <c r="OE1" s="671"/>
      <c r="OF1" s="671"/>
      <c r="OG1" s="671"/>
      <c r="OH1" s="671"/>
      <c r="OI1" s="671"/>
      <c r="OJ1" s="671"/>
      <c r="OK1" s="671"/>
      <c r="OL1" s="671"/>
      <c r="OM1" s="671"/>
      <c r="ON1" s="671"/>
      <c r="OO1" s="671"/>
      <c r="OP1" s="671"/>
      <c r="OQ1" s="671"/>
      <c r="OR1" s="671"/>
      <c r="OS1" s="671"/>
      <c r="OT1" s="671"/>
      <c r="OU1" s="671"/>
      <c r="OV1" s="671"/>
      <c r="OW1" s="671"/>
      <c r="OX1" s="671"/>
      <c r="OY1" s="671"/>
      <c r="OZ1" s="671"/>
      <c r="PA1" s="671"/>
      <c r="PB1" s="671"/>
      <c r="PC1" s="671"/>
      <c r="PD1" s="671"/>
      <c r="PE1" s="671"/>
      <c r="PF1" s="671"/>
      <c r="PG1" s="671"/>
      <c r="PH1" s="671"/>
      <c r="PI1" s="671"/>
      <c r="PJ1" s="671"/>
      <c r="PK1" s="671"/>
      <c r="PL1" s="671"/>
      <c r="PM1" s="671"/>
      <c r="PN1" s="671"/>
      <c r="PO1" s="671"/>
      <c r="PP1" s="671"/>
      <c r="PQ1" s="671"/>
      <c r="PR1" s="671"/>
      <c r="PS1" s="671"/>
      <c r="PT1" s="671"/>
      <c r="PU1" s="671"/>
      <c r="PV1" s="671"/>
      <c r="PW1" s="671"/>
      <c r="PX1" s="671"/>
      <c r="PY1" s="671"/>
      <c r="PZ1" s="671"/>
      <c r="QA1" s="671"/>
      <c r="QB1" s="671"/>
      <c r="QC1" s="671"/>
      <c r="QD1" s="671"/>
      <c r="QE1" s="671"/>
      <c r="QF1" s="671"/>
      <c r="QG1" s="671"/>
      <c r="QH1" s="671"/>
      <c r="QI1" s="671"/>
      <c r="QJ1" s="671"/>
      <c r="QK1" s="671"/>
      <c r="QL1" s="671"/>
      <c r="QM1" s="671"/>
      <c r="QN1" s="671"/>
      <c r="QO1" s="671"/>
      <c r="QP1" s="671"/>
      <c r="QQ1" s="671"/>
      <c r="QR1" s="671"/>
      <c r="QS1" s="671"/>
      <c r="QT1" s="671"/>
      <c r="QU1" s="671"/>
      <c r="QV1" s="671"/>
      <c r="QW1" s="671"/>
      <c r="QX1" s="671"/>
      <c r="QY1" s="671"/>
      <c r="QZ1" s="671"/>
      <c r="RA1" s="671"/>
      <c r="RB1" s="671"/>
      <c r="RC1" s="671"/>
      <c r="RD1" s="671"/>
      <c r="RE1" s="671"/>
      <c r="RF1" s="671"/>
      <c r="RG1" s="671"/>
      <c r="RH1" s="671"/>
      <c r="RI1" s="671"/>
      <c r="RJ1" s="671"/>
      <c r="RK1" s="671"/>
      <c r="RL1" s="671"/>
      <c r="RM1" s="671"/>
      <c r="RN1" s="671"/>
      <c r="RO1" s="671"/>
      <c r="RP1" s="671"/>
      <c r="RQ1" s="671"/>
      <c r="RR1" s="671"/>
      <c r="RS1" s="671"/>
      <c r="RT1" s="671"/>
      <c r="RU1" s="671"/>
      <c r="RV1" s="671"/>
      <c r="RW1" s="671"/>
      <c r="RX1" s="671"/>
      <c r="RY1" s="671"/>
      <c r="RZ1" s="671"/>
      <c r="SA1" s="671"/>
      <c r="SB1" s="671"/>
      <c r="SC1" s="671"/>
      <c r="SD1" s="671"/>
      <c r="SE1" s="671"/>
      <c r="SF1" s="671"/>
      <c r="SG1" s="671"/>
      <c r="SH1" s="671"/>
      <c r="SI1" s="671"/>
      <c r="SJ1" s="671"/>
      <c r="SK1" s="671"/>
      <c r="SL1" s="671"/>
      <c r="SM1" s="671"/>
      <c r="SN1" s="671"/>
      <c r="SO1" s="671"/>
      <c r="SP1" s="671"/>
      <c r="SQ1" s="671"/>
      <c r="SR1" s="671"/>
      <c r="SS1" s="671"/>
      <c r="ST1" s="671"/>
      <c r="SU1" s="671"/>
      <c r="SV1" s="671"/>
      <c r="SW1" s="671"/>
      <c r="SX1" s="671"/>
      <c r="SY1" s="671"/>
      <c r="SZ1" s="671"/>
      <c r="TA1" s="671"/>
      <c r="TB1" s="671"/>
      <c r="TC1" s="671"/>
      <c r="TD1" s="671"/>
      <c r="TE1" s="671"/>
      <c r="TF1" s="671"/>
      <c r="TG1" s="671"/>
      <c r="TH1" s="671"/>
      <c r="TI1" s="671"/>
      <c r="TJ1" s="671"/>
      <c r="TK1" s="671"/>
      <c r="TL1" s="671"/>
      <c r="TM1" s="671"/>
      <c r="TN1" s="671"/>
      <c r="TO1" s="671"/>
      <c r="TP1" s="671"/>
      <c r="TQ1" s="671"/>
      <c r="TR1" s="671"/>
      <c r="TS1" s="671"/>
      <c r="TT1" s="671"/>
      <c r="TU1" s="671"/>
      <c r="TV1" s="671"/>
      <c r="TW1" s="671"/>
      <c r="TX1" s="671"/>
      <c r="TY1" s="671"/>
      <c r="TZ1" s="671"/>
      <c r="UA1" s="671"/>
      <c r="UB1" s="671"/>
      <c r="UC1" s="671"/>
      <c r="UD1" s="671"/>
      <c r="UE1" s="671"/>
      <c r="UF1" s="671"/>
      <c r="UG1" s="671"/>
      <c r="UH1" s="671"/>
      <c r="UI1" s="671"/>
      <c r="UJ1" s="671"/>
      <c r="UK1" s="671"/>
      <c r="UL1" s="671"/>
      <c r="UM1" s="671"/>
      <c r="UN1" s="671"/>
      <c r="UO1" s="671"/>
      <c r="UP1" s="671"/>
      <c r="UQ1" s="671"/>
      <c r="UR1" s="671"/>
      <c r="US1" s="671"/>
      <c r="UT1" s="671"/>
      <c r="UU1" s="671"/>
      <c r="UV1" s="671"/>
      <c r="UW1" s="671"/>
      <c r="UX1" s="671"/>
      <c r="UY1" s="671"/>
      <c r="UZ1" s="671"/>
      <c r="VA1" s="671"/>
      <c r="VB1" s="671"/>
      <c r="VC1" s="671"/>
      <c r="VD1" s="671"/>
      <c r="VE1" s="671"/>
      <c r="VF1" s="671"/>
      <c r="VG1" s="671"/>
      <c r="VH1" s="671"/>
      <c r="VI1" s="671"/>
      <c r="VJ1" s="671"/>
      <c r="VK1" s="671"/>
      <c r="VL1" s="671"/>
      <c r="VM1" s="671"/>
      <c r="VN1" s="671"/>
      <c r="VO1" s="671"/>
      <c r="VP1" s="671"/>
      <c r="VQ1" s="671"/>
      <c r="VR1" s="671"/>
      <c r="VS1" s="671"/>
      <c r="VT1" s="671"/>
      <c r="VU1" s="671"/>
      <c r="VV1" s="671"/>
      <c r="VW1" s="671"/>
      <c r="VX1" s="671"/>
      <c r="VY1" s="671"/>
      <c r="VZ1" s="671"/>
      <c r="WA1" s="671"/>
      <c r="WB1" s="671"/>
      <c r="WC1" s="671"/>
      <c r="WD1" s="671"/>
      <c r="WE1" s="671"/>
      <c r="WF1" s="671"/>
      <c r="WG1" s="671"/>
      <c r="WH1" s="671"/>
      <c r="WI1" s="671"/>
      <c r="WJ1" s="671"/>
      <c r="WK1" s="671"/>
      <c r="WL1" s="671"/>
      <c r="WM1" s="671"/>
      <c r="WN1" s="671"/>
      <c r="WO1" s="671"/>
      <c r="WP1" s="671"/>
      <c r="WQ1" s="671"/>
      <c r="WR1" s="671"/>
      <c r="WS1" s="671"/>
      <c r="WT1" s="671"/>
      <c r="WU1" s="671"/>
      <c r="WV1" s="671"/>
      <c r="WW1" s="671"/>
      <c r="WX1" s="671"/>
      <c r="WY1" s="671"/>
      <c r="WZ1" s="671"/>
      <c r="XA1" s="671"/>
      <c r="XB1" s="671"/>
      <c r="XC1" s="671"/>
      <c r="XD1" s="671"/>
      <c r="XE1" s="671"/>
      <c r="XF1" s="671"/>
      <c r="XG1" s="671"/>
      <c r="XH1" s="671"/>
      <c r="XI1" s="671"/>
      <c r="XJ1" s="671"/>
      <c r="XK1" s="671"/>
      <c r="XL1" s="671"/>
      <c r="XM1" s="671"/>
      <c r="XN1" s="671"/>
      <c r="XO1" s="671"/>
      <c r="XP1" s="671"/>
      <c r="XQ1" s="671"/>
      <c r="XR1" s="671"/>
      <c r="XS1" s="671"/>
      <c r="XT1" s="671"/>
      <c r="XU1" s="671"/>
      <c r="XV1" s="671"/>
      <c r="XW1" s="671"/>
      <c r="XX1" s="671"/>
      <c r="XY1" s="671"/>
      <c r="XZ1" s="671"/>
      <c r="YA1" s="671"/>
      <c r="YB1" s="671"/>
      <c r="YC1" s="671"/>
      <c r="YD1" s="671"/>
      <c r="YE1" s="671"/>
      <c r="YF1" s="671"/>
      <c r="YG1" s="671"/>
      <c r="YH1" s="671"/>
      <c r="YI1" s="671"/>
      <c r="YJ1" s="671"/>
      <c r="YK1" s="671"/>
      <c r="YL1" s="671"/>
      <c r="YM1" s="671"/>
      <c r="YN1" s="671"/>
      <c r="YO1" s="671"/>
      <c r="YP1" s="671"/>
      <c r="YQ1" s="671"/>
      <c r="YR1" s="671"/>
      <c r="YS1" s="671"/>
      <c r="YT1" s="671"/>
      <c r="YU1" s="671"/>
      <c r="YV1" s="671"/>
      <c r="YW1" s="671"/>
      <c r="YX1" s="671"/>
      <c r="YY1" s="671"/>
      <c r="YZ1" s="671"/>
      <c r="ZA1" s="671"/>
      <c r="ZB1" s="671"/>
      <c r="ZC1" s="671"/>
      <c r="ZD1" s="671"/>
      <c r="ZE1" s="671"/>
      <c r="ZF1" s="671"/>
      <c r="ZG1" s="671"/>
      <c r="ZH1" s="671"/>
      <c r="ZI1" s="671"/>
      <c r="ZJ1" s="671"/>
      <c r="ZK1" s="671"/>
      <c r="ZL1" s="671"/>
      <c r="ZM1" s="671"/>
      <c r="ZN1" s="671"/>
      <c r="ZO1" s="671"/>
      <c r="ZP1" s="671"/>
      <c r="ZQ1" s="671"/>
      <c r="ZR1" s="671"/>
      <c r="ZS1" s="671"/>
      <c r="ZT1" s="671"/>
      <c r="ZU1" s="671"/>
      <c r="ZV1" s="671"/>
      <c r="ZW1" s="671"/>
      <c r="ZX1" s="671"/>
      <c r="ZY1" s="671"/>
      <c r="ZZ1" s="671"/>
      <c r="AAA1" s="671"/>
      <c r="AAB1" s="671"/>
      <c r="AAC1" s="671"/>
      <c r="AAD1" s="671"/>
      <c r="AAE1" s="671"/>
      <c r="AAF1" s="671"/>
      <c r="AAG1" s="671"/>
      <c r="AAH1" s="671"/>
      <c r="AAI1" s="671"/>
      <c r="AAJ1" s="671"/>
      <c r="AAK1" s="671"/>
      <c r="AAL1" s="671"/>
      <c r="AAM1" s="671"/>
      <c r="AAN1" s="671"/>
      <c r="AAO1" s="671"/>
      <c r="AAP1" s="671"/>
      <c r="AAQ1" s="671"/>
      <c r="AAR1" s="671"/>
      <c r="AAS1" s="671"/>
      <c r="AAT1" s="671"/>
      <c r="AAU1" s="671"/>
      <c r="AAV1" s="671"/>
      <c r="AAW1" s="671"/>
      <c r="AAX1" s="671"/>
      <c r="AAY1" s="671"/>
      <c r="AAZ1" s="671"/>
      <c r="ABA1" s="671"/>
      <c r="ABB1" s="671"/>
      <c r="ABC1" s="671"/>
      <c r="ABD1" s="671"/>
      <c r="ABE1" s="671"/>
      <c r="ABF1" s="671"/>
      <c r="ABG1" s="671"/>
      <c r="ABH1" s="671"/>
      <c r="ABI1" s="671"/>
      <c r="ABJ1" s="671"/>
      <c r="ABK1" s="671"/>
      <c r="ABL1" s="671"/>
      <c r="ABM1" s="671"/>
      <c r="ABN1" s="671"/>
      <c r="ABO1" s="671"/>
      <c r="ABP1" s="671"/>
      <c r="ABQ1" s="671"/>
      <c r="ABR1" s="671"/>
      <c r="ABS1" s="671"/>
      <c r="ABT1" s="671"/>
      <c r="ABU1" s="671"/>
      <c r="ABV1" s="671"/>
      <c r="ABW1" s="671"/>
      <c r="ABX1" s="671"/>
      <c r="ABY1" s="671"/>
      <c r="ABZ1" s="671"/>
      <c r="ACA1" s="671"/>
      <c r="ACB1" s="671"/>
      <c r="ACC1" s="671"/>
      <c r="ACD1" s="671"/>
      <c r="ACE1" s="671"/>
      <c r="ACF1" s="671"/>
      <c r="ACG1" s="671"/>
      <c r="ACH1" s="671"/>
      <c r="ACI1" s="671"/>
      <c r="ACJ1" s="671"/>
      <c r="ACK1" s="671"/>
      <c r="ACL1" s="671"/>
      <c r="ACM1" s="671"/>
      <c r="ACN1" s="671"/>
      <c r="ACO1" s="671"/>
      <c r="ACP1" s="671"/>
      <c r="ACQ1" s="671"/>
      <c r="ACR1" s="671"/>
      <c r="ACS1" s="671"/>
      <c r="ACT1" s="671"/>
      <c r="ACU1" s="671"/>
      <c r="ACV1" s="671"/>
      <c r="ACW1" s="671"/>
      <c r="ACX1" s="671"/>
      <c r="ACY1" s="671"/>
      <c r="ACZ1" s="671"/>
      <c r="ADA1" s="671"/>
      <c r="ADB1" s="671"/>
      <c r="ADC1" s="671"/>
      <c r="ADD1" s="671"/>
      <c r="ADE1" s="671"/>
      <c r="ADF1" s="671"/>
      <c r="ADG1" s="671"/>
      <c r="ADH1" s="671"/>
      <c r="ADI1" s="671"/>
      <c r="ADJ1" s="671"/>
      <c r="ADK1" s="671"/>
      <c r="ADL1" s="671"/>
      <c r="ADM1" s="671"/>
      <c r="ADN1" s="671"/>
      <c r="ADO1" s="671"/>
      <c r="ADP1" s="671"/>
      <c r="ADQ1" s="671"/>
      <c r="ADR1" s="671"/>
      <c r="ADS1" s="671"/>
      <c r="ADT1" s="671"/>
      <c r="ADU1" s="671"/>
      <c r="ADV1" s="671"/>
      <c r="ADW1" s="671"/>
      <c r="ADX1" s="671"/>
      <c r="ADY1" s="671"/>
      <c r="ADZ1" s="671"/>
      <c r="AEA1" s="671"/>
      <c r="AEB1" s="671"/>
      <c r="AEC1" s="671"/>
      <c r="AED1" s="671"/>
      <c r="AEE1" s="671"/>
      <c r="AEF1" s="671"/>
      <c r="AEG1" s="671"/>
      <c r="AEH1" s="671"/>
      <c r="AEI1" s="671"/>
      <c r="AEJ1" s="671"/>
      <c r="AEK1" s="671"/>
      <c r="AEL1" s="671"/>
      <c r="AEM1" s="671"/>
      <c r="AEN1" s="671"/>
      <c r="AEO1" s="671"/>
      <c r="AEP1" s="671"/>
      <c r="AEQ1" s="671"/>
      <c r="AER1" s="671"/>
      <c r="AES1" s="671"/>
      <c r="AET1" s="671"/>
      <c r="AEU1" s="671"/>
      <c r="AEV1" s="671"/>
      <c r="AEW1" s="671"/>
      <c r="AEX1" s="671"/>
      <c r="AEY1" s="671"/>
      <c r="AEZ1" s="671"/>
      <c r="AFA1" s="671"/>
      <c r="AFB1" s="671"/>
      <c r="AFC1" s="671"/>
      <c r="AFD1" s="671"/>
      <c r="AFE1" s="671"/>
      <c r="AFF1" s="671"/>
      <c r="AFG1" s="671"/>
      <c r="AFH1" s="671"/>
      <c r="AFI1" s="671"/>
      <c r="AFJ1" s="671"/>
      <c r="AFK1" s="671"/>
      <c r="AFL1" s="671"/>
      <c r="AFM1" s="671"/>
      <c r="AFN1" s="671"/>
      <c r="AFO1" s="671"/>
      <c r="AFP1" s="671"/>
      <c r="AFQ1" s="671"/>
      <c r="AFR1" s="671"/>
      <c r="AFS1" s="671"/>
      <c r="AFT1" s="671"/>
      <c r="AFU1" s="671"/>
      <c r="AFV1" s="671"/>
      <c r="AFW1" s="671"/>
      <c r="AFX1" s="671"/>
      <c r="AFY1" s="671"/>
      <c r="AFZ1" s="671"/>
      <c r="AGA1" s="671"/>
      <c r="AGB1" s="671"/>
      <c r="AGC1" s="671"/>
      <c r="AGD1" s="671"/>
      <c r="AGE1" s="671"/>
      <c r="AGF1" s="671"/>
      <c r="AGG1" s="671"/>
      <c r="AGH1" s="671"/>
      <c r="AGI1" s="671"/>
      <c r="AGJ1" s="671"/>
      <c r="AGK1" s="671"/>
      <c r="AGL1" s="671"/>
      <c r="AGM1" s="671"/>
      <c r="AGN1" s="671"/>
      <c r="AGO1" s="671"/>
      <c r="AGP1" s="671"/>
      <c r="AGQ1" s="671"/>
      <c r="AGR1" s="671"/>
      <c r="AGS1" s="671"/>
      <c r="AGT1" s="671"/>
      <c r="AGU1" s="671"/>
      <c r="AGV1" s="671"/>
      <c r="AGW1" s="671"/>
      <c r="AGX1" s="671"/>
      <c r="AGY1" s="671"/>
      <c r="AGZ1" s="671"/>
      <c r="AHA1" s="671"/>
      <c r="AHB1" s="671"/>
      <c r="AHC1" s="671"/>
      <c r="AHD1" s="671"/>
      <c r="AHE1" s="671"/>
      <c r="AHF1" s="671"/>
      <c r="AHG1" s="671"/>
      <c r="AHH1" s="671"/>
      <c r="AHI1" s="671"/>
      <c r="AHJ1" s="671"/>
      <c r="AHK1" s="671"/>
      <c r="AHL1" s="671"/>
      <c r="AHM1" s="671"/>
      <c r="AHN1" s="671"/>
      <c r="AHO1" s="671"/>
      <c r="AHP1" s="671"/>
      <c r="AHQ1" s="671"/>
      <c r="AHR1" s="671"/>
      <c r="AHS1" s="671"/>
      <c r="AHT1" s="671"/>
      <c r="AHU1" s="671"/>
      <c r="AHV1" s="671"/>
      <c r="AHW1" s="671"/>
      <c r="AHX1" s="671"/>
      <c r="AHY1" s="671"/>
      <c r="AHZ1" s="671"/>
      <c r="AIA1" s="671"/>
      <c r="AIB1" s="671"/>
      <c r="AIC1" s="671"/>
      <c r="AID1" s="671"/>
      <c r="AIE1" s="671"/>
      <c r="AIF1" s="671"/>
      <c r="AIG1" s="671"/>
      <c r="AIH1" s="671"/>
      <c r="AII1" s="671"/>
      <c r="AIJ1" s="671"/>
      <c r="AIK1" s="671"/>
      <c r="AIL1" s="671"/>
      <c r="AIM1" s="671"/>
      <c r="AIN1" s="671"/>
      <c r="AIO1" s="671"/>
      <c r="AIP1" s="671"/>
      <c r="AIQ1" s="671"/>
      <c r="AIR1" s="671"/>
      <c r="AIS1" s="671"/>
      <c r="AIT1" s="671"/>
      <c r="AIU1" s="671"/>
      <c r="AIV1" s="671"/>
      <c r="AIW1" s="671"/>
      <c r="AIX1" s="671"/>
      <c r="AIY1" s="671"/>
      <c r="AIZ1" s="671"/>
      <c r="AJA1" s="671"/>
      <c r="AJB1" s="671"/>
      <c r="AJC1" s="671"/>
      <c r="AJD1" s="671"/>
      <c r="AJE1" s="671"/>
      <c r="AJF1" s="671"/>
      <c r="AJG1" s="671"/>
      <c r="AJH1" s="671"/>
      <c r="AJI1" s="671"/>
      <c r="AJJ1" s="671"/>
      <c r="AJK1" s="671"/>
      <c r="AJL1" s="671"/>
      <c r="AJM1" s="671"/>
      <c r="AJN1" s="671"/>
      <c r="AJO1" s="671"/>
      <c r="AJP1" s="671"/>
      <c r="AJQ1" s="671"/>
      <c r="AJR1" s="671"/>
      <c r="AJS1" s="671"/>
      <c r="AJT1" s="671"/>
      <c r="AJU1" s="671"/>
      <c r="AJV1" s="671"/>
      <c r="AJW1" s="671"/>
      <c r="AJX1" s="671"/>
      <c r="AJY1" s="671"/>
      <c r="AJZ1" s="671"/>
      <c r="AKA1" s="671"/>
      <c r="AKB1" s="671"/>
      <c r="AKC1" s="671"/>
      <c r="AKD1" s="671"/>
      <c r="AKE1" s="671"/>
      <c r="AKF1" s="671"/>
      <c r="AKG1" s="671"/>
      <c r="AKH1" s="671"/>
      <c r="AKI1" s="671"/>
      <c r="AKJ1" s="671"/>
      <c r="AKK1" s="671"/>
      <c r="AKL1" s="671"/>
      <c r="AKM1" s="671"/>
      <c r="AKN1" s="671"/>
      <c r="AKO1" s="671"/>
      <c r="AKP1" s="671"/>
      <c r="AKQ1" s="671"/>
      <c r="AKR1" s="671"/>
      <c r="AKS1" s="671"/>
      <c r="AKT1" s="671"/>
      <c r="AKU1" s="671"/>
      <c r="AKV1" s="671"/>
      <c r="AKW1" s="671"/>
      <c r="AKX1" s="671"/>
      <c r="AKY1" s="671"/>
      <c r="AKZ1" s="671"/>
      <c r="ALA1" s="671"/>
      <c r="ALB1" s="671"/>
      <c r="ALC1" s="671"/>
      <c r="ALD1" s="671"/>
      <c r="ALE1" s="671"/>
      <c r="ALF1" s="671"/>
      <c r="ALG1" s="671"/>
      <c r="ALH1" s="671"/>
      <c r="ALI1" s="671"/>
      <c r="ALJ1" s="671"/>
      <c r="ALK1" s="671"/>
      <c r="ALL1" s="671"/>
      <c r="ALM1" s="671"/>
      <c r="ALN1" s="671"/>
      <c r="ALO1" s="671"/>
      <c r="ALP1" s="671"/>
      <c r="ALQ1" s="671"/>
      <c r="ALR1" s="671"/>
      <c r="ALS1" s="671"/>
      <c r="ALT1" s="671"/>
      <c r="ALU1" s="671"/>
      <c r="ALV1" s="671"/>
      <c r="ALW1" s="671"/>
      <c r="ALX1" s="671"/>
      <c r="ALY1" s="671"/>
      <c r="ALZ1" s="671"/>
      <c r="AMA1" s="671"/>
      <c r="AMB1" s="671"/>
      <c r="AMC1" s="671"/>
      <c r="AMD1" s="671"/>
      <c r="AME1" s="671"/>
      <c r="AMF1" s="671"/>
      <c r="AMG1" s="671"/>
      <c r="AMH1" s="671"/>
      <c r="AMI1" s="671"/>
      <c r="AMJ1" s="671"/>
      <c r="AMK1" s="671"/>
      <c r="AML1" s="671"/>
      <c r="AMM1" s="671"/>
      <c r="AMN1" s="671"/>
      <c r="AMO1" s="671"/>
      <c r="AMP1" s="671"/>
      <c r="AMQ1" s="671"/>
      <c r="AMR1" s="671"/>
      <c r="AMS1" s="671"/>
      <c r="AMT1" s="671"/>
      <c r="AMU1" s="671"/>
      <c r="AMV1" s="671"/>
      <c r="AMW1" s="671"/>
      <c r="AMX1" s="671"/>
      <c r="AMY1" s="671"/>
      <c r="AMZ1" s="671"/>
      <c r="ANA1" s="671"/>
      <c r="ANB1" s="671"/>
      <c r="ANC1" s="671"/>
      <c r="AND1" s="671"/>
      <c r="ANE1" s="671"/>
      <c r="ANF1" s="671"/>
      <c r="ANG1" s="671"/>
      <c r="ANH1" s="671"/>
      <c r="ANI1" s="671"/>
      <c r="ANJ1" s="671"/>
      <c r="ANK1" s="671"/>
      <c r="ANL1" s="671"/>
      <c r="ANM1" s="671"/>
      <c r="ANN1" s="671"/>
      <c r="ANO1" s="671"/>
      <c r="ANP1" s="671"/>
      <c r="ANQ1" s="671"/>
      <c r="ANR1" s="671"/>
      <c r="ANS1" s="671"/>
      <c r="ANT1" s="671"/>
      <c r="ANU1" s="671"/>
      <c r="ANV1" s="671"/>
      <c r="ANW1" s="671"/>
      <c r="ANX1" s="671"/>
      <c r="ANY1" s="671"/>
      <c r="ANZ1" s="671"/>
      <c r="AOA1" s="671"/>
      <c r="AOB1" s="671"/>
      <c r="AOC1" s="671"/>
      <c r="AOD1" s="671"/>
      <c r="AOE1" s="671"/>
      <c r="AOF1" s="671"/>
      <c r="AOG1" s="671"/>
      <c r="AOH1" s="671"/>
      <c r="AOI1" s="671"/>
      <c r="AOJ1" s="671"/>
      <c r="AOK1" s="671"/>
      <c r="AOL1" s="671"/>
      <c r="AOM1" s="671"/>
      <c r="AON1" s="671"/>
      <c r="AOO1" s="671"/>
      <c r="AOP1" s="671"/>
      <c r="AOQ1" s="671"/>
      <c r="AOR1" s="671"/>
      <c r="AOS1" s="671"/>
      <c r="AOT1" s="671"/>
      <c r="AOU1" s="671"/>
      <c r="AOV1" s="671"/>
      <c r="AOW1" s="671"/>
      <c r="AOX1" s="671"/>
      <c r="AOY1" s="671"/>
      <c r="AOZ1" s="671"/>
      <c r="APA1" s="671"/>
      <c r="APB1" s="671"/>
      <c r="APC1" s="671"/>
      <c r="APD1" s="671"/>
      <c r="APE1" s="671"/>
      <c r="APF1" s="671"/>
      <c r="APG1" s="671"/>
      <c r="APH1" s="671"/>
      <c r="API1" s="671"/>
      <c r="APJ1" s="671"/>
      <c r="APK1" s="671"/>
      <c r="APL1" s="671"/>
      <c r="APM1" s="671"/>
      <c r="APN1" s="671"/>
      <c r="APO1" s="671"/>
      <c r="APP1" s="671"/>
      <c r="APQ1" s="671"/>
      <c r="APR1" s="671"/>
      <c r="APS1" s="671"/>
      <c r="APT1" s="671"/>
      <c r="APU1" s="671"/>
      <c r="APV1" s="671"/>
      <c r="APW1" s="671"/>
      <c r="APX1" s="671"/>
      <c r="APY1" s="671"/>
      <c r="APZ1" s="671"/>
      <c r="AQA1" s="671"/>
      <c r="AQB1" s="671"/>
      <c r="AQC1" s="671"/>
      <c r="AQD1" s="671"/>
      <c r="AQE1" s="671"/>
      <c r="AQF1" s="671"/>
      <c r="AQG1" s="671"/>
      <c r="AQH1" s="671"/>
      <c r="AQI1" s="671"/>
      <c r="AQJ1" s="671"/>
      <c r="AQK1" s="671"/>
      <c r="AQL1" s="671"/>
      <c r="AQM1" s="671"/>
      <c r="AQN1" s="671"/>
      <c r="AQO1" s="671"/>
      <c r="AQP1" s="671"/>
      <c r="AQQ1" s="671"/>
      <c r="AQR1" s="671"/>
      <c r="AQS1" s="671"/>
      <c r="AQT1" s="671"/>
      <c r="AQU1" s="671"/>
      <c r="AQV1" s="671"/>
      <c r="AQW1" s="671"/>
      <c r="AQX1" s="671"/>
      <c r="AQY1" s="671"/>
      <c r="AQZ1" s="671"/>
      <c r="ARA1" s="671"/>
      <c r="ARB1" s="671"/>
      <c r="ARC1" s="671"/>
      <c r="ARD1" s="671"/>
      <c r="ARE1" s="671"/>
      <c r="ARF1" s="671"/>
      <c r="ARG1" s="671"/>
      <c r="ARH1" s="671"/>
      <c r="ARI1" s="671"/>
      <c r="ARJ1" s="671"/>
      <c r="ARK1" s="671"/>
      <c r="ARL1" s="671"/>
      <c r="ARM1" s="671"/>
      <c r="ARN1" s="671"/>
      <c r="ARO1" s="671"/>
      <c r="ARP1" s="671"/>
      <c r="ARQ1" s="671"/>
      <c r="ARR1" s="671"/>
      <c r="ARS1" s="671"/>
      <c r="ART1" s="671"/>
      <c r="ARU1" s="671"/>
      <c r="ARV1" s="671"/>
      <c r="ARW1" s="671"/>
      <c r="ARX1" s="671"/>
      <c r="ARY1" s="671"/>
      <c r="ARZ1" s="671"/>
      <c r="ASA1" s="671"/>
      <c r="ASB1" s="671"/>
      <c r="ASC1" s="671"/>
      <c r="ASD1" s="671"/>
      <c r="ASE1" s="671"/>
      <c r="ASF1" s="671"/>
      <c r="ASG1" s="671"/>
      <c r="ASH1" s="671"/>
      <c r="ASI1" s="671"/>
      <c r="ASJ1" s="671"/>
      <c r="ASK1" s="671"/>
      <c r="ASL1" s="671"/>
      <c r="ASM1" s="671"/>
      <c r="ASN1" s="671"/>
      <c r="ASO1" s="671"/>
      <c r="ASP1" s="671"/>
      <c r="ASQ1" s="671"/>
      <c r="ASR1" s="671"/>
      <c r="ASS1" s="671"/>
      <c r="AST1" s="671"/>
      <c r="ASU1" s="671"/>
      <c r="ASV1" s="671"/>
      <c r="ASW1" s="671"/>
      <c r="ASX1" s="671"/>
      <c r="ASY1" s="671"/>
      <c r="ASZ1" s="671"/>
      <c r="ATA1" s="671"/>
      <c r="ATB1" s="671"/>
      <c r="ATC1" s="671"/>
      <c r="ATD1" s="671"/>
      <c r="ATE1" s="671"/>
      <c r="ATF1" s="671"/>
      <c r="ATG1" s="671"/>
      <c r="ATH1" s="671"/>
      <c r="ATI1" s="671"/>
      <c r="ATJ1" s="671"/>
      <c r="ATK1" s="671"/>
      <c r="ATL1" s="671"/>
      <c r="ATM1" s="671"/>
      <c r="ATN1" s="671"/>
      <c r="ATO1" s="671"/>
      <c r="ATP1" s="671"/>
      <c r="ATQ1" s="671"/>
      <c r="ATR1" s="671"/>
      <c r="ATS1" s="671"/>
      <c r="ATT1" s="671"/>
      <c r="ATU1" s="671"/>
      <c r="ATV1" s="671"/>
      <c r="ATW1" s="671"/>
      <c r="ATX1" s="671"/>
      <c r="ATY1" s="671"/>
      <c r="ATZ1" s="671"/>
      <c r="AUA1" s="671"/>
      <c r="AUB1" s="671"/>
      <c r="AUC1" s="671"/>
      <c r="AUD1" s="671"/>
      <c r="AUE1" s="671"/>
      <c r="AUF1" s="671"/>
      <c r="AUG1" s="671"/>
      <c r="AUH1" s="671"/>
      <c r="AUI1" s="671"/>
      <c r="AUJ1" s="671"/>
      <c r="AUK1" s="671"/>
      <c r="AUL1" s="671"/>
      <c r="AUM1" s="671"/>
      <c r="AUN1" s="671"/>
      <c r="AUO1" s="671"/>
      <c r="AUP1" s="671"/>
      <c r="AUQ1" s="671"/>
      <c r="AUR1" s="671"/>
      <c r="AUS1" s="671"/>
      <c r="AUT1" s="671"/>
      <c r="AUU1" s="671"/>
      <c r="AUV1" s="671"/>
      <c r="AUW1" s="671"/>
      <c r="AUX1" s="671"/>
      <c r="AUY1" s="671"/>
      <c r="AUZ1" s="671"/>
      <c r="AVA1" s="671"/>
      <c r="AVB1" s="671"/>
      <c r="AVC1" s="671"/>
      <c r="AVD1" s="671"/>
      <c r="AVE1" s="671"/>
      <c r="AVF1" s="671"/>
      <c r="AVG1" s="671"/>
      <c r="AVH1" s="671"/>
      <c r="AVI1" s="671"/>
      <c r="AVJ1" s="671"/>
      <c r="AVK1" s="671"/>
      <c r="AVL1" s="671"/>
      <c r="AVM1" s="671"/>
      <c r="AVN1" s="671"/>
      <c r="AVO1" s="671"/>
      <c r="AVP1" s="671"/>
      <c r="AVQ1" s="671"/>
      <c r="AVR1" s="671"/>
      <c r="AVS1" s="671"/>
      <c r="AVT1" s="671"/>
      <c r="AVU1" s="671"/>
      <c r="AVV1" s="671"/>
      <c r="AVW1" s="671"/>
      <c r="AVX1" s="671"/>
      <c r="AVY1" s="671"/>
      <c r="AVZ1" s="671"/>
      <c r="AWA1" s="671"/>
      <c r="AWB1" s="671"/>
      <c r="AWC1" s="671"/>
      <c r="AWD1" s="671"/>
      <c r="AWE1" s="671"/>
      <c r="AWF1" s="671"/>
      <c r="AWG1" s="671"/>
      <c r="AWH1" s="671"/>
      <c r="AWI1" s="671"/>
      <c r="AWJ1" s="671"/>
      <c r="AWK1" s="671"/>
      <c r="AWL1" s="671"/>
      <c r="AWM1" s="671"/>
      <c r="AWN1" s="671"/>
      <c r="AWO1" s="671"/>
      <c r="AWP1" s="671"/>
      <c r="AWQ1" s="671"/>
      <c r="AWR1" s="671"/>
      <c r="AWS1" s="671"/>
      <c r="AWT1" s="671"/>
      <c r="AWU1" s="671"/>
      <c r="AWV1" s="671"/>
      <c r="AWW1" s="671"/>
      <c r="AWX1" s="671"/>
      <c r="AWY1" s="671"/>
      <c r="AWZ1" s="671"/>
      <c r="AXA1" s="671"/>
      <c r="AXB1" s="671"/>
      <c r="AXC1" s="671"/>
      <c r="AXD1" s="671"/>
      <c r="AXE1" s="671"/>
      <c r="AXF1" s="671"/>
      <c r="AXG1" s="671"/>
      <c r="AXH1" s="671"/>
      <c r="AXI1" s="671"/>
      <c r="AXJ1" s="671"/>
      <c r="AXK1" s="671"/>
      <c r="AXL1" s="671"/>
      <c r="AXM1" s="671"/>
      <c r="AXN1" s="671"/>
      <c r="AXO1" s="671"/>
      <c r="AXP1" s="671"/>
      <c r="AXQ1" s="671"/>
      <c r="AXR1" s="671"/>
      <c r="AXS1" s="671"/>
      <c r="AXT1" s="671"/>
      <c r="AXU1" s="671"/>
      <c r="AXV1" s="671"/>
      <c r="AXW1" s="671"/>
      <c r="AXX1" s="671"/>
      <c r="AXY1" s="671"/>
      <c r="AXZ1" s="671"/>
      <c r="AYA1" s="671"/>
      <c r="AYB1" s="671"/>
      <c r="AYC1" s="671"/>
      <c r="AYD1" s="671"/>
      <c r="AYE1" s="671"/>
      <c r="AYF1" s="671"/>
      <c r="AYG1" s="671"/>
      <c r="AYH1" s="671"/>
      <c r="AYI1" s="671"/>
      <c r="AYJ1" s="671"/>
      <c r="AYK1" s="671"/>
      <c r="AYL1" s="671"/>
      <c r="AYM1" s="671"/>
      <c r="AYN1" s="671"/>
      <c r="AYO1" s="671"/>
      <c r="AYP1" s="671"/>
      <c r="AYQ1" s="671"/>
      <c r="AYR1" s="671"/>
      <c r="AYS1" s="671"/>
      <c r="AYT1" s="671"/>
      <c r="AYU1" s="671"/>
      <c r="AYV1" s="671"/>
      <c r="AYW1" s="671"/>
      <c r="AYX1" s="671"/>
      <c r="AYY1" s="671"/>
      <c r="AYZ1" s="671"/>
      <c r="AZA1" s="671"/>
      <c r="AZB1" s="671"/>
      <c r="AZC1" s="671"/>
      <c r="AZD1" s="671"/>
      <c r="AZE1" s="671"/>
      <c r="AZF1" s="671"/>
      <c r="AZG1" s="671"/>
      <c r="AZH1" s="671"/>
      <c r="AZI1" s="671"/>
      <c r="AZJ1" s="671"/>
      <c r="AZK1" s="671"/>
      <c r="AZL1" s="671"/>
      <c r="AZM1" s="671"/>
      <c r="AZN1" s="671"/>
      <c r="AZO1" s="671"/>
      <c r="AZP1" s="671"/>
      <c r="AZQ1" s="671"/>
      <c r="AZR1" s="671"/>
      <c r="AZS1" s="671"/>
      <c r="AZT1" s="671"/>
      <c r="AZU1" s="671"/>
      <c r="AZV1" s="671"/>
      <c r="AZW1" s="671"/>
      <c r="AZX1" s="671"/>
      <c r="AZY1" s="671"/>
      <c r="AZZ1" s="671"/>
      <c r="BAA1" s="671"/>
      <c r="BAB1" s="671"/>
      <c r="BAC1" s="671"/>
      <c r="BAD1" s="671"/>
      <c r="BAE1" s="671"/>
      <c r="BAF1" s="671"/>
      <c r="BAG1" s="671"/>
      <c r="BAH1" s="671"/>
      <c r="BAI1" s="671"/>
      <c r="BAJ1" s="671"/>
      <c r="BAK1" s="671"/>
      <c r="BAL1" s="671"/>
      <c r="BAM1" s="671"/>
      <c r="BAN1" s="671"/>
      <c r="BAO1" s="671"/>
      <c r="BAP1" s="671"/>
      <c r="BAQ1" s="671"/>
      <c r="BAR1" s="671"/>
      <c r="BAS1" s="671"/>
      <c r="BAT1" s="671"/>
      <c r="BAU1" s="671"/>
      <c r="BAV1" s="671"/>
      <c r="BAW1" s="671"/>
      <c r="BAX1" s="671"/>
      <c r="BAY1" s="671"/>
      <c r="BAZ1" s="671"/>
      <c r="BBA1" s="671"/>
      <c r="BBB1" s="671"/>
      <c r="BBC1" s="671"/>
      <c r="BBD1" s="671"/>
      <c r="BBE1" s="671"/>
      <c r="BBF1" s="671"/>
      <c r="BBG1" s="671"/>
      <c r="BBH1" s="671"/>
      <c r="BBI1" s="671"/>
      <c r="BBJ1" s="671"/>
      <c r="BBK1" s="671"/>
      <c r="BBL1" s="671"/>
      <c r="BBM1" s="671"/>
      <c r="BBN1" s="671"/>
      <c r="BBO1" s="671"/>
      <c r="BBP1" s="671"/>
      <c r="BBQ1" s="671"/>
      <c r="BBR1" s="671"/>
      <c r="BBS1" s="671"/>
      <c r="BBT1" s="671"/>
      <c r="BBU1" s="671"/>
      <c r="BBV1" s="671"/>
      <c r="BBW1" s="671"/>
      <c r="BBX1" s="671"/>
      <c r="BBY1" s="671"/>
      <c r="BBZ1" s="671"/>
      <c r="BCA1" s="671"/>
      <c r="BCB1" s="671"/>
      <c r="BCC1" s="671"/>
      <c r="BCD1" s="671"/>
      <c r="BCE1" s="671"/>
      <c r="BCF1" s="671"/>
      <c r="BCG1" s="671"/>
      <c r="BCH1" s="671"/>
      <c r="BCI1" s="671"/>
      <c r="BCJ1" s="671"/>
      <c r="BCK1" s="671"/>
      <c r="BCL1" s="671"/>
      <c r="BCM1" s="671"/>
      <c r="BCN1" s="671"/>
      <c r="BCO1" s="671"/>
      <c r="BCP1" s="671"/>
      <c r="BCQ1" s="671"/>
      <c r="BCR1" s="671"/>
      <c r="BCS1" s="671"/>
      <c r="BCT1" s="671"/>
      <c r="BCU1" s="671"/>
      <c r="BCV1" s="671"/>
      <c r="BCW1" s="671"/>
      <c r="BCX1" s="671"/>
      <c r="BCY1" s="671"/>
      <c r="BCZ1" s="671"/>
      <c r="BDA1" s="671"/>
      <c r="BDB1" s="671"/>
      <c r="BDC1" s="671"/>
      <c r="BDD1" s="671"/>
      <c r="BDE1" s="671"/>
      <c r="BDF1" s="671"/>
      <c r="BDG1" s="671"/>
      <c r="BDH1" s="671"/>
      <c r="BDI1" s="671"/>
      <c r="BDJ1" s="671"/>
      <c r="BDK1" s="671"/>
      <c r="BDL1" s="671"/>
      <c r="BDM1" s="671"/>
      <c r="BDN1" s="671"/>
      <c r="BDO1" s="671"/>
      <c r="BDP1" s="671"/>
      <c r="BDQ1" s="671"/>
      <c r="BDR1" s="671"/>
      <c r="BDS1" s="671"/>
      <c r="BDT1" s="671"/>
      <c r="BDU1" s="671"/>
      <c r="BDV1" s="671"/>
      <c r="BDW1" s="671"/>
      <c r="BDX1" s="671"/>
      <c r="BDY1" s="671"/>
      <c r="BDZ1" s="671"/>
      <c r="BEA1" s="671"/>
      <c r="BEB1" s="671"/>
      <c r="BEC1" s="671"/>
      <c r="BED1" s="671"/>
      <c r="BEE1" s="671"/>
      <c r="BEF1" s="671"/>
      <c r="BEG1" s="671"/>
      <c r="BEH1" s="671"/>
      <c r="BEI1" s="671"/>
      <c r="BEJ1" s="671"/>
      <c r="BEK1" s="671"/>
      <c r="BEL1" s="671"/>
      <c r="BEM1" s="671"/>
      <c r="BEN1" s="671"/>
      <c r="BEO1" s="671"/>
      <c r="BEP1" s="671"/>
      <c r="BEQ1" s="671"/>
      <c r="BER1" s="671"/>
      <c r="BES1" s="671"/>
      <c r="BET1" s="671"/>
      <c r="BEU1" s="671"/>
      <c r="BEV1" s="671"/>
      <c r="BEW1" s="671"/>
      <c r="BEX1" s="671"/>
      <c r="BEY1" s="671"/>
      <c r="BEZ1" s="671"/>
      <c r="BFA1" s="671"/>
      <c r="BFB1" s="671"/>
      <c r="BFC1" s="671"/>
      <c r="BFD1" s="671"/>
      <c r="BFE1" s="671"/>
      <c r="BFF1" s="671"/>
      <c r="BFG1" s="671"/>
      <c r="BFH1" s="671"/>
      <c r="BFI1" s="671"/>
      <c r="BFJ1" s="671"/>
      <c r="BFK1" s="671"/>
      <c r="BFL1" s="671"/>
      <c r="BFM1" s="671"/>
      <c r="BFN1" s="671"/>
      <c r="BFO1" s="671"/>
      <c r="BFP1" s="671"/>
      <c r="BFQ1" s="671"/>
      <c r="BFR1" s="671"/>
      <c r="BFS1" s="671"/>
      <c r="BFT1" s="671"/>
      <c r="BFU1" s="671"/>
      <c r="BFV1" s="671"/>
      <c r="BFW1" s="671"/>
      <c r="BFX1" s="671"/>
      <c r="BFY1" s="671"/>
      <c r="BFZ1" s="671"/>
      <c r="BGA1" s="671"/>
      <c r="BGB1" s="671"/>
      <c r="BGC1" s="671"/>
      <c r="BGD1" s="671"/>
      <c r="BGE1" s="671"/>
      <c r="BGF1" s="671"/>
      <c r="BGG1" s="671"/>
      <c r="BGH1" s="671"/>
      <c r="BGI1" s="671"/>
      <c r="BGJ1" s="671"/>
      <c r="BGK1" s="671"/>
      <c r="BGL1" s="671"/>
      <c r="BGM1" s="671"/>
      <c r="BGN1" s="671"/>
      <c r="BGO1" s="671"/>
      <c r="BGP1" s="671"/>
      <c r="BGQ1" s="671"/>
      <c r="BGR1" s="671"/>
      <c r="BGS1" s="671"/>
      <c r="BGT1" s="671"/>
      <c r="BGU1" s="671"/>
      <c r="BGV1" s="671"/>
      <c r="BGW1" s="671"/>
      <c r="BGX1" s="671"/>
      <c r="BGY1" s="671"/>
      <c r="BGZ1" s="671"/>
      <c r="BHA1" s="671"/>
      <c r="BHB1" s="671"/>
      <c r="BHC1" s="671"/>
      <c r="BHD1" s="671"/>
      <c r="BHE1" s="671"/>
      <c r="BHF1" s="671"/>
      <c r="BHG1" s="671"/>
      <c r="BHH1" s="671"/>
      <c r="BHI1" s="671"/>
      <c r="BHJ1" s="671"/>
      <c r="BHK1" s="671"/>
      <c r="BHL1" s="671"/>
      <c r="BHM1" s="671"/>
      <c r="BHN1" s="671"/>
      <c r="BHO1" s="671"/>
      <c r="BHP1" s="671"/>
      <c r="BHQ1" s="671"/>
      <c r="BHR1" s="671"/>
      <c r="BHS1" s="671"/>
      <c r="BHT1" s="671"/>
      <c r="BHU1" s="671"/>
      <c r="BHV1" s="671"/>
      <c r="BHW1" s="671"/>
      <c r="BHX1" s="671"/>
      <c r="BHY1" s="671"/>
      <c r="BHZ1" s="671"/>
      <c r="BIA1" s="671"/>
      <c r="BIB1" s="671"/>
      <c r="BIC1" s="671"/>
      <c r="BID1" s="671"/>
      <c r="BIE1" s="671"/>
      <c r="BIF1" s="671"/>
      <c r="BIG1" s="671"/>
      <c r="BIH1" s="671"/>
      <c r="BII1" s="671"/>
      <c r="BIJ1" s="671"/>
      <c r="BIK1" s="671"/>
      <c r="BIL1" s="671"/>
      <c r="BIM1" s="671"/>
      <c r="BIN1" s="671"/>
      <c r="BIO1" s="671"/>
      <c r="BIP1" s="671"/>
      <c r="BIQ1" s="671"/>
      <c r="BIR1" s="671"/>
      <c r="BIS1" s="671"/>
      <c r="BIT1" s="671"/>
      <c r="BIU1" s="671"/>
      <c r="BIV1" s="671"/>
      <c r="BIW1" s="671"/>
      <c r="BIX1" s="671"/>
      <c r="BIY1" s="671"/>
      <c r="BIZ1" s="671"/>
      <c r="BJA1" s="671"/>
      <c r="BJB1" s="671"/>
      <c r="BJC1" s="671"/>
      <c r="BJD1" s="671"/>
      <c r="BJE1" s="671"/>
      <c r="BJF1" s="671"/>
      <c r="BJG1" s="671"/>
      <c r="BJH1" s="671"/>
      <c r="BJI1" s="671"/>
      <c r="BJJ1" s="671"/>
      <c r="BJK1" s="671"/>
      <c r="BJL1" s="671"/>
      <c r="BJM1" s="671"/>
      <c r="BJN1" s="671"/>
      <c r="BJO1" s="671"/>
      <c r="BJP1" s="671"/>
      <c r="BJQ1" s="671"/>
      <c r="BJR1" s="671"/>
      <c r="BJS1" s="671"/>
      <c r="BJT1" s="671"/>
      <c r="BJU1" s="671"/>
      <c r="BJV1" s="671"/>
      <c r="BJW1" s="671"/>
      <c r="BJX1" s="671"/>
      <c r="BJY1" s="671"/>
      <c r="BJZ1" s="671"/>
      <c r="BKA1" s="671"/>
      <c r="BKB1" s="671"/>
      <c r="BKC1" s="671"/>
      <c r="BKD1" s="671"/>
      <c r="BKE1" s="671"/>
      <c r="BKF1" s="671"/>
      <c r="BKG1" s="671"/>
      <c r="BKH1" s="671"/>
      <c r="BKI1" s="671"/>
      <c r="BKJ1" s="671"/>
      <c r="BKK1" s="671"/>
      <c r="BKL1" s="671"/>
      <c r="BKM1" s="671"/>
      <c r="BKN1" s="671"/>
      <c r="BKO1" s="671"/>
      <c r="BKP1" s="671"/>
      <c r="BKQ1" s="671"/>
      <c r="BKR1" s="671"/>
      <c r="BKS1" s="671"/>
      <c r="BKT1" s="671"/>
      <c r="BKU1" s="671"/>
      <c r="BKV1" s="671"/>
      <c r="BKW1" s="671"/>
      <c r="BKX1" s="671"/>
      <c r="BKY1" s="671"/>
      <c r="BKZ1" s="671"/>
      <c r="BLA1" s="671"/>
      <c r="BLB1" s="671"/>
      <c r="BLC1" s="671"/>
      <c r="BLD1" s="671"/>
      <c r="BLE1" s="671"/>
      <c r="BLF1" s="671"/>
      <c r="BLG1" s="671"/>
      <c r="BLH1" s="671"/>
      <c r="BLI1" s="671"/>
      <c r="BLJ1" s="671"/>
      <c r="BLK1" s="671"/>
      <c r="BLL1" s="671"/>
      <c r="BLM1" s="671"/>
      <c r="BLN1" s="671"/>
      <c r="BLO1" s="671"/>
      <c r="BLP1" s="671"/>
      <c r="BLQ1" s="671"/>
      <c r="BLR1" s="671"/>
      <c r="BLS1" s="671"/>
      <c r="BLT1" s="671"/>
      <c r="BLU1" s="671"/>
      <c r="BLV1" s="671"/>
      <c r="BLW1" s="671"/>
      <c r="BLX1" s="671"/>
      <c r="BLY1" s="671"/>
      <c r="BLZ1" s="671"/>
      <c r="BMA1" s="671"/>
      <c r="BMB1" s="671"/>
      <c r="BMC1" s="671"/>
      <c r="BMD1" s="671"/>
      <c r="BME1" s="671"/>
      <c r="BMF1" s="671"/>
      <c r="BMG1" s="671"/>
      <c r="BMH1" s="671"/>
      <c r="BMI1" s="671"/>
      <c r="BMJ1" s="671"/>
      <c r="BMK1" s="671"/>
      <c r="BML1" s="671"/>
      <c r="BMM1" s="671"/>
      <c r="BMN1" s="671"/>
      <c r="BMO1" s="671"/>
      <c r="BMP1" s="671"/>
      <c r="BMQ1" s="671"/>
      <c r="BMR1" s="671"/>
      <c r="BMS1" s="671"/>
      <c r="BMT1" s="671"/>
      <c r="BMU1" s="671"/>
      <c r="BMV1" s="671"/>
      <c r="BMW1" s="671"/>
      <c r="BMX1" s="671"/>
      <c r="BMY1" s="671"/>
      <c r="BMZ1" s="671"/>
      <c r="BNA1" s="671"/>
      <c r="BNB1" s="671"/>
      <c r="BNC1" s="671"/>
      <c r="BND1" s="671"/>
      <c r="BNE1" s="671"/>
      <c r="BNF1" s="671"/>
      <c r="BNG1" s="671"/>
      <c r="BNH1" s="671"/>
      <c r="BNI1" s="671"/>
      <c r="BNJ1" s="671"/>
      <c r="BNK1" s="671"/>
      <c r="BNL1" s="671"/>
      <c r="BNM1" s="671"/>
      <c r="BNN1" s="671"/>
      <c r="BNO1" s="671"/>
      <c r="BNP1" s="671"/>
      <c r="BNQ1" s="671"/>
      <c r="BNR1" s="671"/>
      <c r="BNS1" s="671"/>
      <c r="BNT1" s="671"/>
      <c r="BNU1" s="671"/>
      <c r="BNV1" s="671"/>
      <c r="BNW1" s="671"/>
      <c r="BNX1" s="671"/>
      <c r="BNY1" s="671"/>
      <c r="BNZ1" s="671"/>
      <c r="BOA1" s="671"/>
      <c r="BOB1" s="671"/>
      <c r="BOC1" s="671"/>
      <c r="BOD1" s="671"/>
      <c r="BOE1" s="671"/>
      <c r="BOF1" s="671"/>
      <c r="BOG1" s="671"/>
      <c r="BOH1" s="671"/>
      <c r="BOI1" s="671"/>
      <c r="BOJ1" s="671"/>
      <c r="BOK1" s="671"/>
      <c r="BOL1" s="671"/>
      <c r="BOM1" s="671"/>
      <c r="BON1" s="671"/>
      <c r="BOO1" s="671"/>
      <c r="BOP1" s="671"/>
      <c r="BOQ1" s="671"/>
      <c r="BOR1" s="671"/>
      <c r="BOS1" s="671"/>
      <c r="BOT1" s="671"/>
      <c r="BOU1" s="671"/>
      <c r="BOV1" s="671"/>
      <c r="BOW1" s="671"/>
      <c r="BOX1" s="671"/>
      <c r="BOY1" s="671"/>
      <c r="BOZ1" s="671"/>
      <c r="BPA1" s="671"/>
      <c r="BPB1" s="671"/>
      <c r="BPC1" s="671"/>
      <c r="BPD1" s="671"/>
      <c r="BPE1" s="671"/>
      <c r="BPF1" s="671"/>
      <c r="BPG1" s="671"/>
      <c r="BPH1" s="671"/>
      <c r="BPI1" s="671"/>
      <c r="BPJ1" s="671"/>
      <c r="BPK1" s="671"/>
      <c r="BPL1" s="671"/>
      <c r="BPM1" s="671"/>
      <c r="BPN1" s="671"/>
      <c r="BPO1" s="671"/>
      <c r="BPP1" s="671"/>
      <c r="BPQ1" s="671"/>
      <c r="BPR1" s="671"/>
      <c r="BPS1" s="671"/>
      <c r="BPT1" s="671"/>
      <c r="BPU1" s="671"/>
      <c r="BPV1" s="671"/>
      <c r="BPW1" s="671"/>
      <c r="BPX1" s="671"/>
      <c r="BPY1" s="671"/>
      <c r="BPZ1" s="671"/>
      <c r="BQA1" s="671"/>
      <c r="BQB1" s="671"/>
      <c r="BQC1" s="671"/>
      <c r="BQD1" s="671"/>
      <c r="BQE1" s="671"/>
      <c r="BQF1" s="671"/>
      <c r="BQG1" s="671"/>
      <c r="BQH1" s="671"/>
      <c r="BQI1" s="671"/>
      <c r="BQJ1" s="671"/>
      <c r="BQK1" s="671"/>
      <c r="BQL1" s="671"/>
      <c r="BQM1" s="671"/>
      <c r="BQN1" s="671"/>
      <c r="BQO1" s="671"/>
      <c r="BQP1" s="671"/>
      <c r="BQQ1" s="671"/>
      <c r="BQR1" s="671"/>
      <c r="BQS1" s="671"/>
      <c r="BQT1" s="671"/>
      <c r="BQU1" s="671"/>
      <c r="BQV1" s="671"/>
      <c r="BQW1" s="671"/>
      <c r="BQX1" s="671"/>
      <c r="BQY1" s="671"/>
      <c r="BQZ1" s="671"/>
      <c r="BRA1" s="671"/>
      <c r="BRB1" s="671"/>
      <c r="BRC1" s="671"/>
      <c r="BRD1" s="671"/>
      <c r="BRE1" s="671"/>
      <c r="BRF1" s="671"/>
      <c r="BRG1" s="671"/>
      <c r="BRH1" s="671"/>
      <c r="BRI1" s="671"/>
      <c r="BRJ1" s="671"/>
      <c r="BRK1" s="671"/>
      <c r="BRL1" s="671"/>
      <c r="BRM1" s="671"/>
      <c r="BRN1" s="671"/>
      <c r="BRO1" s="671"/>
      <c r="BRP1" s="671"/>
      <c r="BRQ1" s="671"/>
      <c r="BRR1" s="671"/>
      <c r="BRS1" s="671"/>
      <c r="BRT1" s="671"/>
      <c r="BRU1" s="671"/>
      <c r="BRV1" s="671"/>
      <c r="BRW1" s="671"/>
      <c r="BRX1" s="671"/>
      <c r="BRY1" s="671"/>
      <c r="BRZ1" s="671"/>
      <c r="BSA1" s="671"/>
      <c r="BSB1" s="671"/>
      <c r="BSC1" s="671"/>
      <c r="BSD1" s="671"/>
      <c r="BSE1" s="671"/>
      <c r="BSF1" s="671"/>
      <c r="BSG1" s="671"/>
      <c r="BSH1" s="671"/>
      <c r="BSI1" s="671"/>
      <c r="BSJ1" s="671"/>
      <c r="BSK1" s="671"/>
      <c r="BSL1" s="671"/>
      <c r="BSM1" s="671"/>
      <c r="BSN1" s="671"/>
      <c r="BSO1" s="671"/>
      <c r="BSP1" s="671"/>
      <c r="BSQ1" s="671"/>
      <c r="BSR1" s="671"/>
      <c r="BSS1" s="671"/>
      <c r="BST1" s="671"/>
      <c r="BSU1" s="671"/>
      <c r="BSV1" s="671"/>
      <c r="BSW1" s="671"/>
      <c r="BSX1" s="671"/>
      <c r="BSY1" s="671"/>
      <c r="BSZ1" s="671"/>
      <c r="BTA1" s="671"/>
      <c r="BTB1" s="671"/>
      <c r="BTC1" s="671"/>
      <c r="BTD1" s="671"/>
      <c r="BTE1" s="671"/>
      <c r="BTF1" s="671"/>
      <c r="BTG1" s="671"/>
      <c r="BTH1" s="671"/>
      <c r="BTI1" s="671"/>
      <c r="BTJ1" s="671"/>
      <c r="BTK1" s="671"/>
      <c r="BTL1" s="671"/>
      <c r="BTM1" s="671"/>
      <c r="BTN1" s="671"/>
      <c r="BTO1" s="671"/>
      <c r="BTP1" s="671"/>
      <c r="BTQ1" s="671"/>
      <c r="BTR1" s="671"/>
      <c r="BTS1" s="671"/>
      <c r="BTT1" s="671"/>
      <c r="BTU1" s="671"/>
      <c r="BTV1" s="671"/>
      <c r="BTW1" s="671"/>
      <c r="BTX1" s="671"/>
      <c r="BTY1" s="671"/>
      <c r="BTZ1" s="671"/>
      <c r="BUA1" s="671"/>
      <c r="BUB1" s="671"/>
      <c r="BUC1" s="671"/>
      <c r="BUD1" s="671"/>
      <c r="BUE1" s="671"/>
      <c r="BUF1" s="671"/>
      <c r="BUG1" s="671"/>
      <c r="BUH1" s="671"/>
      <c r="BUI1" s="671"/>
      <c r="BUJ1" s="671"/>
      <c r="BUK1" s="671"/>
      <c r="BUL1" s="671"/>
      <c r="BUM1" s="671"/>
      <c r="BUN1" s="671"/>
      <c r="BUO1" s="671"/>
      <c r="BUP1" s="671"/>
      <c r="BUQ1" s="671"/>
      <c r="BUR1" s="671"/>
      <c r="BUS1" s="671"/>
      <c r="BUT1" s="671"/>
      <c r="BUU1" s="671"/>
      <c r="BUV1" s="671"/>
      <c r="BUW1" s="671"/>
      <c r="BUX1" s="671"/>
      <c r="BUY1" s="671"/>
      <c r="BUZ1" s="671"/>
      <c r="BVA1" s="671"/>
      <c r="BVB1" s="671"/>
      <c r="BVC1" s="671"/>
      <c r="BVD1" s="671"/>
      <c r="BVE1" s="671"/>
      <c r="BVF1" s="671"/>
      <c r="BVG1" s="671"/>
      <c r="BVH1" s="671"/>
      <c r="BVI1" s="671"/>
      <c r="BVJ1" s="671"/>
      <c r="BVK1" s="671"/>
      <c r="BVL1" s="671"/>
      <c r="BVM1" s="671"/>
      <c r="BVN1" s="671"/>
      <c r="BVO1" s="671"/>
      <c r="BVP1" s="671"/>
      <c r="BVQ1" s="671"/>
      <c r="BVR1" s="671"/>
      <c r="BVS1" s="671"/>
      <c r="BVT1" s="671"/>
      <c r="BVU1" s="671"/>
      <c r="BVV1" s="671"/>
      <c r="BVW1" s="671"/>
      <c r="BVX1" s="671"/>
      <c r="BVY1" s="671"/>
      <c r="BVZ1" s="671"/>
      <c r="BWA1" s="671"/>
      <c r="BWB1" s="671"/>
      <c r="BWC1" s="671"/>
      <c r="BWD1" s="671"/>
      <c r="BWE1" s="671"/>
      <c r="BWF1" s="671"/>
      <c r="BWG1" s="671"/>
      <c r="BWH1" s="671"/>
      <c r="BWI1" s="671"/>
      <c r="BWJ1" s="671"/>
      <c r="BWK1" s="671"/>
      <c r="BWL1" s="671"/>
      <c r="BWM1" s="671"/>
      <c r="BWN1" s="671"/>
      <c r="BWO1" s="671"/>
      <c r="BWP1" s="671"/>
      <c r="BWQ1" s="671"/>
      <c r="BWR1" s="671"/>
      <c r="BWS1" s="671"/>
      <c r="BWT1" s="671"/>
      <c r="BWU1" s="671"/>
      <c r="BWV1" s="671"/>
      <c r="BWW1" s="671"/>
      <c r="BWX1" s="671"/>
      <c r="BWY1" s="671"/>
      <c r="BWZ1" s="671"/>
      <c r="BXA1" s="671"/>
      <c r="BXB1" s="671"/>
      <c r="BXC1" s="671"/>
      <c r="BXD1" s="671"/>
      <c r="BXE1" s="671"/>
      <c r="BXF1" s="671"/>
      <c r="BXG1" s="671"/>
      <c r="BXH1" s="671"/>
      <c r="BXI1" s="671"/>
      <c r="BXJ1" s="671"/>
      <c r="BXK1" s="671"/>
      <c r="BXL1" s="671"/>
      <c r="BXM1" s="671"/>
      <c r="BXN1" s="671"/>
      <c r="BXO1" s="671"/>
      <c r="BXP1" s="671"/>
      <c r="BXQ1" s="671"/>
      <c r="BXR1" s="671"/>
      <c r="BXS1" s="671"/>
      <c r="BXT1" s="671"/>
      <c r="BXU1" s="671"/>
      <c r="BXV1" s="671"/>
      <c r="BXW1" s="671"/>
      <c r="BXX1" s="671"/>
      <c r="BXY1" s="671"/>
      <c r="BXZ1" s="671"/>
      <c r="BYA1" s="671"/>
      <c r="BYB1" s="671"/>
      <c r="BYC1" s="671"/>
      <c r="BYD1" s="671"/>
      <c r="BYE1" s="671"/>
      <c r="BYF1" s="671"/>
      <c r="BYG1" s="671"/>
      <c r="BYH1" s="671"/>
      <c r="BYI1" s="671"/>
      <c r="BYJ1" s="671"/>
      <c r="BYK1" s="671"/>
      <c r="BYL1" s="671"/>
      <c r="BYM1" s="671"/>
      <c r="BYN1" s="671"/>
      <c r="BYO1" s="671"/>
      <c r="BYP1" s="671"/>
      <c r="BYQ1" s="671"/>
      <c r="BYR1" s="671"/>
      <c r="BYS1" s="671"/>
      <c r="BYT1" s="671"/>
      <c r="BYU1" s="671"/>
      <c r="BYV1" s="671"/>
      <c r="BYW1" s="671"/>
      <c r="BYX1" s="671"/>
      <c r="BYY1" s="671"/>
      <c r="BYZ1" s="671"/>
      <c r="BZA1" s="671"/>
      <c r="BZB1" s="671"/>
      <c r="BZC1" s="671"/>
      <c r="BZD1" s="671"/>
      <c r="BZE1" s="671"/>
      <c r="BZF1" s="671"/>
      <c r="BZG1" s="671"/>
      <c r="BZH1" s="671"/>
      <c r="BZI1" s="671"/>
      <c r="BZJ1" s="671"/>
      <c r="BZK1" s="671"/>
      <c r="BZL1" s="671"/>
      <c r="BZM1" s="671"/>
      <c r="BZN1" s="671"/>
      <c r="BZO1" s="671"/>
      <c r="BZP1" s="671"/>
      <c r="BZQ1" s="671"/>
      <c r="BZR1" s="671"/>
      <c r="BZS1" s="671"/>
      <c r="BZT1" s="671"/>
      <c r="BZU1" s="671"/>
      <c r="BZV1" s="671"/>
      <c r="BZW1" s="671"/>
      <c r="BZX1" s="671"/>
      <c r="BZY1" s="671"/>
      <c r="BZZ1" s="671"/>
      <c r="CAA1" s="671"/>
      <c r="CAB1" s="671"/>
      <c r="CAC1" s="671"/>
      <c r="CAD1" s="671"/>
      <c r="CAE1" s="671"/>
      <c r="CAF1" s="671"/>
      <c r="CAG1" s="671"/>
      <c r="CAH1" s="671"/>
      <c r="CAI1" s="671"/>
      <c r="CAJ1" s="671"/>
      <c r="CAK1" s="671"/>
      <c r="CAL1" s="671"/>
      <c r="CAM1" s="671"/>
      <c r="CAN1" s="671"/>
      <c r="CAO1" s="671"/>
      <c r="CAP1" s="671"/>
      <c r="CAQ1" s="671"/>
      <c r="CAR1" s="671"/>
      <c r="CAS1" s="671"/>
      <c r="CAT1" s="671"/>
      <c r="CAU1" s="671"/>
      <c r="CAV1" s="671"/>
      <c r="CAW1" s="671"/>
      <c r="CAX1" s="671"/>
      <c r="CAY1" s="671"/>
      <c r="CAZ1" s="671"/>
      <c r="CBA1" s="671"/>
      <c r="CBB1" s="671"/>
      <c r="CBC1" s="671"/>
      <c r="CBD1" s="671"/>
      <c r="CBE1" s="671"/>
      <c r="CBF1" s="671"/>
      <c r="CBG1" s="671"/>
      <c r="CBH1" s="671"/>
      <c r="CBI1" s="671"/>
      <c r="CBJ1" s="671"/>
      <c r="CBK1" s="671"/>
      <c r="CBL1" s="671"/>
      <c r="CBM1" s="671"/>
      <c r="CBN1" s="671"/>
      <c r="CBO1" s="671"/>
      <c r="CBP1" s="671"/>
      <c r="CBQ1" s="671"/>
      <c r="CBR1" s="671"/>
      <c r="CBS1" s="671"/>
      <c r="CBT1" s="671"/>
      <c r="CBU1" s="671"/>
      <c r="CBV1" s="671"/>
      <c r="CBW1" s="671"/>
      <c r="CBX1" s="671"/>
      <c r="CBY1" s="671"/>
      <c r="CBZ1" s="671"/>
      <c r="CCA1" s="671"/>
      <c r="CCB1" s="671"/>
      <c r="CCC1" s="671"/>
      <c r="CCD1" s="671"/>
      <c r="CCE1" s="671"/>
      <c r="CCF1" s="671"/>
      <c r="CCG1" s="671"/>
      <c r="CCH1" s="671"/>
      <c r="CCI1" s="671"/>
      <c r="CCJ1" s="671"/>
      <c r="CCK1" s="671"/>
      <c r="CCL1" s="671"/>
      <c r="CCM1" s="671"/>
      <c r="CCN1" s="671"/>
      <c r="CCO1" s="671"/>
      <c r="CCP1" s="671"/>
      <c r="CCQ1" s="671"/>
      <c r="CCR1" s="671"/>
      <c r="CCS1" s="671"/>
      <c r="CCT1" s="671"/>
      <c r="CCU1" s="671"/>
      <c r="CCV1" s="671"/>
      <c r="CCW1" s="671"/>
      <c r="CCX1" s="671"/>
      <c r="CCY1" s="671"/>
      <c r="CCZ1" s="671"/>
      <c r="CDA1" s="671"/>
      <c r="CDB1" s="671"/>
      <c r="CDC1" s="671"/>
      <c r="CDD1" s="671"/>
      <c r="CDE1" s="671"/>
      <c r="CDF1" s="671"/>
      <c r="CDG1" s="671"/>
      <c r="CDH1" s="671"/>
      <c r="CDI1" s="671"/>
      <c r="CDJ1" s="671"/>
      <c r="CDK1" s="671"/>
      <c r="CDL1" s="671"/>
      <c r="CDM1" s="671"/>
      <c r="CDN1" s="671"/>
      <c r="CDO1" s="671"/>
      <c r="CDP1" s="671"/>
      <c r="CDQ1" s="671"/>
      <c r="CDR1" s="671"/>
      <c r="CDS1" s="671"/>
      <c r="CDT1" s="671"/>
      <c r="CDU1" s="671"/>
      <c r="CDV1" s="671"/>
      <c r="CDW1" s="671"/>
      <c r="CDX1" s="671"/>
      <c r="CDY1" s="671"/>
      <c r="CDZ1" s="671"/>
      <c r="CEA1" s="671"/>
      <c r="CEB1" s="671"/>
      <c r="CEC1" s="671"/>
      <c r="CED1" s="671"/>
      <c r="CEE1" s="671"/>
      <c r="CEF1" s="671"/>
      <c r="CEG1" s="671"/>
      <c r="CEH1" s="671"/>
      <c r="CEI1" s="671"/>
      <c r="CEJ1" s="671"/>
      <c r="CEK1" s="671"/>
      <c r="CEL1" s="671"/>
      <c r="CEM1" s="671"/>
      <c r="CEN1" s="671"/>
      <c r="CEO1" s="671"/>
      <c r="CEP1" s="671"/>
      <c r="CEQ1" s="671"/>
      <c r="CER1" s="671"/>
      <c r="CES1" s="671"/>
      <c r="CET1" s="671"/>
      <c r="CEU1" s="671"/>
      <c r="CEV1" s="671"/>
      <c r="CEW1" s="671"/>
      <c r="CEX1" s="671"/>
      <c r="CEY1" s="671"/>
      <c r="CEZ1" s="671"/>
      <c r="CFA1" s="671"/>
      <c r="CFB1" s="671"/>
      <c r="CFC1" s="671"/>
      <c r="CFD1" s="671"/>
      <c r="CFE1" s="671"/>
      <c r="CFF1" s="671"/>
      <c r="CFG1" s="671"/>
      <c r="CFH1" s="671"/>
      <c r="CFI1" s="671"/>
      <c r="CFJ1" s="671"/>
      <c r="CFK1" s="671"/>
      <c r="CFL1" s="671"/>
      <c r="CFM1" s="671"/>
      <c r="CFN1" s="671"/>
      <c r="CFO1" s="671"/>
      <c r="CFP1" s="671"/>
      <c r="CFQ1" s="671"/>
      <c r="CFR1" s="671"/>
      <c r="CFS1" s="671"/>
      <c r="CFT1" s="671"/>
      <c r="CFU1" s="671"/>
      <c r="CFV1" s="671"/>
      <c r="CFW1" s="671"/>
      <c r="CFX1" s="671"/>
      <c r="CFY1" s="671"/>
      <c r="CFZ1" s="671"/>
      <c r="CGA1" s="671"/>
      <c r="CGB1" s="671"/>
      <c r="CGC1" s="671"/>
      <c r="CGD1" s="671"/>
      <c r="CGE1" s="671"/>
      <c r="CGF1" s="671"/>
      <c r="CGG1" s="671"/>
      <c r="CGH1" s="671"/>
      <c r="CGI1" s="671"/>
      <c r="CGJ1" s="671"/>
      <c r="CGK1" s="671"/>
      <c r="CGL1" s="671"/>
      <c r="CGM1" s="671"/>
      <c r="CGN1" s="671"/>
      <c r="CGO1" s="671"/>
      <c r="CGP1" s="671"/>
      <c r="CGQ1" s="671"/>
      <c r="CGR1" s="671"/>
      <c r="CGS1" s="671"/>
      <c r="CGT1" s="671"/>
      <c r="CGU1" s="671"/>
      <c r="CGV1" s="671"/>
      <c r="CGW1" s="671"/>
      <c r="CGX1" s="671"/>
      <c r="CGY1" s="671"/>
      <c r="CGZ1" s="671"/>
      <c r="CHA1" s="671"/>
      <c r="CHB1" s="671"/>
      <c r="CHC1" s="671"/>
      <c r="CHD1" s="671"/>
      <c r="CHE1" s="671"/>
      <c r="CHF1" s="671"/>
      <c r="CHG1" s="671"/>
      <c r="CHH1" s="671"/>
      <c r="CHI1" s="671"/>
      <c r="CHJ1" s="671"/>
      <c r="CHK1" s="671"/>
      <c r="CHL1" s="671"/>
      <c r="CHM1" s="671"/>
      <c r="CHN1" s="671"/>
      <c r="CHO1" s="671"/>
      <c r="CHP1" s="671"/>
      <c r="CHQ1" s="671"/>
      <c r="CHR1" s="671"/>
      <c r="CHS1" s="671"/>
      <c r="CHT1" s="671"/>
      <c r="CHU1" s="671"/>
      <c r="CHV1" s="671"/>
      <c r="CHW1" s="671"/>
      <c r="CHX1" s="671"/>
      <c r="CHY1" s="671"/>
      <c r="CHZ1" s="671"/>
      <c r="CIA1" s="671"/>
      <c r="CIB1" s="671"/>
      <c r="CIC1" s="671"/>
      <c r="CID1" s="671"/>
      <c r="CIE1" s="671"/>
      <c r="CIF1" s="671"/>
      <c r="CIG1" s="671"/>
      <c r="CIH1" s="671"/>
      <c r="CII1" s="671"/>
      <c r="CIJ1" s="671"/>
      <c r="CIK1" s="671"/>
      <c r="CIL1" s="671"/>
      <c r="CIM1" s="671"/>
      <c r="CIN1" s="671"/>
      <c r="CIO1" s="671"/>
      <c r="CIP1" s="671"/>
      <c r="CIQ1" s="671"/>
      <c r="CIR1" s="671"/>
      <c r="CIS1" s="671"/>
      <c r="CIT1" s="671"/>
      <c r="CIU1" s="671"/>
      <c r="CIV1" s="671"/>
      <c r="CIW1" s="671"/>
      <c r="CIX1" s="671"/>
      <c r="CIY1" s="671"/>
      <c r="CIZ1" s="671"/>
      <c r="CJA1" s="671"/>
      <c r="CJB1" s="671"/>
      <c r="CJC1" s="671"/>
      <c r="CJD1" s="671"/>
      <c r="CJE1" s="671"/>
      <c r="CJF1" s="671"/>
      <c r="CJG1" s="671"/>
      <c r="CJH1" s="671"/>
      <c r="CJI1" s="671"/>
      <c r="CJJ1" s="671"/>
      <c r="CJK1" s="671"/>
      <c r="CJL1" s="671"/>
      <c r="CJM1" s="671"/>
      <c r="CJN1" s="671"/>
      <c r="CJO1" s="671"/>
      <c r="CJP1" s="671"/>
      <c r="CJQ1" s="671"/>
      <c r="CJR1" s="671"/>
      <c r="CJS1" s="671"/>
      <c r="CJT1" s="671"/>
      <c r="CJU1" s="671"/>
      <c r="CJV1" s="671"/>
      <c r="CJW1" s="671"/>
      <c r="CJX1" s="671"/>
      <c r="CJY1" s="671"/>
      <c r="CJZ1" s="671"/>
      <c r="CKA1" s="671"/>
      <c r="CKB1" s="671"/>
      <c r="CKC1" s="671"/>
      <c r="CKD1" s="671"/>
      <c r="CKE1" s="671"/>
      <c r="CKF1" s="671"/>
      <c r="CKG1" s="671"/>
      <c r="CKH1" s="671"/>
      <c r="CKI1" s="671"/>
      <c r="CKJ1" s="671"/>
      <c r="CKK1" s="671"/>
      <c r="CKL1" s="671"/>
      <c r="CKM1" s="671"/>
      <c r="CKN1" s="671"/>
      <c r="CKO1" s="671"/>
      <c r="CKP1" s="671"/>
      <c r="CKQ1" s="671"/>
      <c r="CKR1" s="671"/>
      <c r="CKS1" s="671"/>
      <c r="CKT1" s="671"/>
      <c r="CKU1" s="671"/>
      <c r="CKV1" s="671"/>
      <c r="CKW1" s="671"/>
      <c r="CKX1" s="671"/>
      <c r="CKY1" s="671"/>
      <c r="CKZ1" s="671"/>
      <c r="CLA1" s="671"/>
      <c r="CLB1" s="671"/>
      <c r="CLC1" s="671"/>
      <c r="CLD1" s="671"/>
      <c r="CLE1" s="671"/>
      <c r="CLF1" s="671"/>
      <c r="CLG1" s="671"/>
      <c r="CLH1" s="671"/>
      <c r="CLI1" s="671"/>
      <c r="CLJ1" s="671"/>
      <c r="CLK1" s="671"/>
      <c r="CLL1" s="671"/>
      <c r="CLM1" s="671"/>
      <c r="CLN1" s="671"/>
      <c r="CLO1" s="671"/>
      <c r="CLP1" s="671"/>
      <c r="CLQ1" s="671"/>
      <c r="CLR1" s="671"/>
      <c r="CLS1" s="671"/>
      <c r="CLT1" s="671"/>
      <c r="CLU1" s="671"/>
      <c r="CLV1" s="671"/>
      <c r="CLW1" s="671"/>
      <c r="CLX1" s="671"/>
      <c r="CLY1" s="671"/>
      <c r="CLZ1" s="671"/>
      <c r="CMA1" s="671"/>
      <c r="CMB1" s="671"/>
      <c r="CMC1" s="671"/>
      <c r="CMD1" s="671"/>
      <c r="CME1" s="671"/>
      <c r="CMF1" s="671"/>
      <c r="CMG1" s="671"/>
      <c r="CMH1" s="671"/>
      <c r="CMI1" s="671"/>
      <c r="CMJ1" s="671"/>
      <c r="CMK1" s="671"/>
      <c r="CML1" s="671"/>
      <c r="CMM1" s="671"/>
      <c r="CMN1" s="671"/>
      <c r="CMO1" s="671"/>
      <c r="CMP1" s="671"/>
      <c r="CMQ1" s="671"/>
      <c r="CMR1" s="671"/>
      <c r="CMS1" s="671"/>
      <c r="CMT1" s="671"/>
      <c r="CMU1" s="671"/>
      <c r="CMV1" s="671"/>
      <c r="CMW1" s="671"/>
      <c r="CMX1" s="671"/>
      <c r="CMY1" s="671"/>
      <c r="CMZ1" s="671"/>
      <c r="CNA1" s="671"/>
      <c r="CNB1" s="671"/>
      <c r="CNC1" s="671"/>
      <c r="CND1" s="671"/>
      <c r="CNE1" s="671"/>
      <c r="CNF1" s="671"/>
      <c r="CNG1" s="671"/>
      <c r="CNH1" s="671"/>
      <c r="CNI1" s="671"/>
      <c r="CNJ1" s="671"/>
      <c r="CNK1" s="671"/>
      <c r="CNL1" s="671"/>
      <c r="CNM1" s="671"/>
      <c r="CNN1" s="671"/>
      <c r="CNO1" s="671"/>
      <c r="CNP1" s="671"/>
      <c r="CNQ1" s="671"/>
      <c r="CNR1" s="671"/>
      <c r="CNS1" s="671"/>
      <c r="CNT1" s="671"/>
      <c r="CNU1" s="671"/>
      <c r="CNV1" s="671"/>
      <c r="CNW1" s="671"/>
      <c r="CNX1" s="671"/>
      <c r="CNY1" s="671"/>
      <c r="CNZ1" s="671"/>
      <c r="COA1" s="671"/>
      <c r="COB1" s="671"/>
      <c r="COC1" s="671"/>
      <c r="COD1" s="671"/>
      <c r="COE1" s="671"/>
      <c r="COF1" s="671"/>
      <c r="COG1" s="671"/>
      <c r="COH1" s="671"/>
      <c r="COI1" s="671"/>
      <c r="COJ1" s="671"/>
      <c r="COK1" s="671"/>
      <c r="COL1" s="671"/>
      <c r="COM1" s="671"/>
      <c r="CON1" s="671"/>
      <c r="COO1" s="671"/>
      <c r="COP1" s="671"/>
      <c r="COQ1" s="671"/>
      <c r="COR1" s="671"/>
      <c r="COS1" s="671"/>
      <c r="COT1" s="671"/>
      <c r="COU1" s="671"/>
      <c r="COV1" s="671"/>
      <c r="COW1" s="671"/>
      <c r="COX1" s="671"/>
      <c r="COY1" s="671"/>
      <c r="COZ1" s="671"/>
      <c r="CPA1" s="671"/>
      <c r="CPB1" s="671"/>
      <c r="CPC1" s="671"/>
      <c r="CPD1" s="671"/>
      <c r="CPE1" s="671"/>
      <c r="CPF1" s="671"/>
      <c r="CPG1" s="671"/>
      <c r="CPH1" s="671"/>
      <c r="CPI1" s="671"/>
      <c r="CPJ1" s="671"/>
      <c r="CPK1" s="671"/>
      <c r="CPL1" s="671"/>
      <c r="CPM1" s="671"/>
      <c r="CPN1" s="671"/>
      <c r="CPO1" s="671"/>
      <c r="CPP1" s="671"/>
      <c r="CPQ1" s="671"/>
      <c r="CPR1" s="671"/>
      <c r="CPS1" s="671"/>
      <c r="CPT1" s="671"/>
      <c r="CPU1" s="671"/>
      <c r="CPV1" s="671"/>
      <c r="CPW1" s="671"/>
      <c r="CPX1" s="671"/>
      <c r="CPY1" s="671"/>
      <c r="CPZ1" s="671"/>
      <c r="CQA1" s="671"/>
      <c r="CQB1" s="671"/>
      <c r="CQC1" s="671"/>
      <c r="CQD1" s="671"/>
      <c r="CQE1" s="671"/>
      <c r="CQF1" s="671"/>
      <c r="CQG1" s="671"/>
      <c r="CQH1" s="671"/>
      <c r="CQI1" s="671"/>
      <c r="CQJ1" s="671"/>
      <c r="CQK1" s="671"/>
      <c r="CQL1" s="671"/>
      <c r="CQM1" s="671"/>
      <c r="CQN1" s="671"/>
      <c r="CQO1" s="671"/>
      <c r="CQP1" s="671"/>
      <c r="CQQ1" s="671"/>
      <c r="CQR1" s="671"/>
      <c r="CQS1" s="671"/>
      <c r="CQT1" s="671"/>
      <c r="CQU1" s="671"/>
      <c r="CQV1" s="671"/>
      <c r="CQW1" s="671"/>
      <c r="CQX1" s="671"/>
      <c r="CQY1" s="671"/>
      <c r="CQZ1" s="671"/>
      <c r="CRA1" s="671"/>
      <c r="CRB1" s="671"/>
      <c r="CRC1" s="671"/>
      <c r="CRD1" s="671"/>
      <c r="CRE1" s="671"/>
      <c r="CRF1" s="671"/>
      <c r="CRG1" s="671"/>
      <c r="CRH1" s="671"/>
      <c r="CRI1" s="671"/>
      <c r="CRJ1" s="671"/>
      <c r="CRK1" s="671"/>
      <c r="CRL1" s="671"/>
      <c r="CRM1" s="671"/>
      <c r="CRN1" s="671"/>
      <c r="CRO1" s="671"/>
      <c r="CRP1" s="671"/>
      <c r="CRQ1" s="671"/>
      <c r="CRR1" s="671"/>
      <c r="CRS1" s="671"/>
      <c r="CRT1" s="671"/>
      <c r="CRU1" s="671"/>
      <c r="CRV1" s="671"/>
      <c r="CRW1" s="671"/>
      <c r="CRX1" s="671"/>
      <c r="CRY1" s="671"/>
      <c r="CRZ1" s="671"/>
      <c r="CSA1" s="671"/>
      <c r="CSB1" s="671"/>
      <c r="CSC1" s="671"/>
      <c r="CSD1" s="671"/>
      <c r="CSE1" s="671"/>
      <c r="CSF1" s="671"/>
      <c r="CSG1" s="671"/>
      <c r="CSH1" s="671"/>
      <c r="CSI1" s="671"/>
      <c r="CSJ1" s="671"/>
      <c r="CSK1" s="671"/>
      <c r="CSL1" s="671"/>
      <c r="CSM1" s="671"/>
      <c r="CSN1" s="671"/>
      <c r="CSO1" s="671"/>
      <c r="CSP1" s="671"/>
      <c r="CSQ1" s="671"/>
      <c r="CSR1" s="671"/>
      <c r="CSS1" s="671"/>
      <c r="CST1" s="671"/>
      <c r="CSU1" s="671"/>
      <c r="CSV1" s="671"/>
      <c r="CSW1" s="671"/>
      <c r="CSX1" s="671"/>
      <c r="CSY1" s="671"/>
      <c r="CSZ1" s="671"/>
      <c r="CTA1" s="671"/>
      <c r="CTB1" s="671"/>
      <c r="CTC1" s="671"/>
      <c r="CTD1" s="671"/>
      <c r="CTE1" s="671"/>
      <c r="CTF1" s="671"/>
      <c r="CTG1" s="671"/>
      <c r="CTH1" s="671"/>
      <c r="CTI1" s="671"/>
      <c r="CTJ1" s="671"/>
      <c r="CTK1" s="671"/>
      <c r="CTL1" s="671"/>
      <c r="CTM1" s="671"/>
      <c r="CTN1" s="671"/>
      <c r="CTO1" s="671"/>
      <c r="CTP1" s="671"/>
      <c r="CTQ1" s="671"/>
      <c r="CTR1" s="671"/>
      <c r="CTS1" s="671"/>
      <c r="CTT1" s="671"/>
      <c r="CTU1" s="671"/>
      <c r="CTV1" s="671"/>
      <c r="CTW1" s="671"/>
      <c r="CTX1" s="671"/>
      <c r="CTY1" s="671"/>
      <c r="CTZ1" s="671"/>
      <c r="CUA1" s="671"/>
      <c r="CUB1" s="671"/>
      <c r="CUC1" s="671"/>
      <c r="CUD1" s="671"/>
      <c r="CUE1" s="671"/>
      <c r="CUF1" s="671"/>
      <c r="CUG1" s="671"/>
      <c r="CUH1" s="671"/>
      <c r="CUI1" s="671"/>
      <c r="CUJ1" s="671"/>
      <c r="CUK1" s="671"/>
      <c r="CUL1" s="671"/>
      <c r="CUM1" s="671"/>
      <c r="CUN1" s="671"/>
      <c r="CUO1" s="671"/>
      <c r="CUP1" s="671"/>
      <c r="CUQ1" s="671"/>
      <c r="CUR1" s="671"/>
      <c r="CUS1" s="671"/>
      <c r="CUT1" s="671"/>
      <c r="CUU1" s="671"/>
      <c r="CUV1" s="671"/>
      <c r="CUW1" s="671"/>
      <c r="CUX1" s="671"/>
      <c r="CUY1" s="671"/>
      <c r="CUZ1" s="671"/>
      <c r="CVA1" s="671"/>
      <c r="CVB1" s="671"/>
      <c r="CVC1" s="671"/>
      <c r="CVD1" s="671"/>
      <c r="CVE1" s="671"/>
      <c r="CVF1" s="671"/>
      <c r="CVG1" s="671"/>
      <c r="CVH1" s="671"/>
      <c r="CVI1" s="671"/>
      <c r="CVJ1" s="671"/>
      <c r="CVK1" s="671"/>
      <c r="CVL1" s="671"/>
      <c r="CVM1" s="671"/>
      <c r="CVN1" s="671"/>
      <c r="CVO1" s="671"/>
      <c r="CVP1" s="671"/>
      <c r="CVQ1" s="671"/>
      <c r="CVR1" s="671"/>
      <c r="CVS1" s="671"/>
      <c r="CVT1" s="671"/>
      <c r="CVU1" s="671"/>
      <c r="CVV1" s="671"/>
      <c r="CVW1" s="671"/>
      <c r="CVX1" s="671"/>
      <c r="CVY1" s="671"/>
      <c r="CVZ1" s="671"/>
      <c r="CWA1" s="671"/>
      <c r="CWB1" s="671"/>
      <c r="CWC1" s="671"/>
      <c r="CWD1" s="671"/>
      <c r="CWE1" s="671"/>
      <c r="CWF1" s="671"/>
      <c r="CWG1" s="671"/>
      <c r="CWH1" s="671"/>
      <c r="CWI1" s="671"/>
      <c r="CWJ1" s="671"/>
      <c r="CWK1" s="671"/>
      <c r="CWL1" s="671"/>
      <c r="CWM1" s="671"/>
      <c r="CWN1" s="671"/>
      <c r="CWO1" s="671"/>
      <c r="CWP1" s="671"/>
      <c r="CWQ1" s="671"/>
      <c r="CWR1" s="671"/>
      <c r="CWS1" s="671"/>
      <c r="CWT1" s="671"/>
      <c r="CWU1" s="671"/>
      <c r="CWV1" s="671"/>
      <c r="CWW1" s="671"/>
      <c r="CWX1" s="671"/>
      <c r="CWY1" s="671"/>
      <c r="CWZ1" s="671"/>
      <c r="CXA1" s="671"/>
      <c r="CXB1" s="671"/>
      <c r="CXC1" s="671"/>
      <c r="CXD1" s="671"/>
      <c r="CXE1" s="671"/>
      <c r="CXF1" s="671"/>
      <c r="CXG1" s="671"/>
      <c r="CXH1" s="671"/>
      <c r="CXI1" s="671"/>
      <c r="CXJ1" s="671"/>
      <c r="CXK1" s="671"/>
      <c r="CXL1" s="671"/>
      <c r="CXM1" s="671"/>
      <c r="CXN1" s="671"/>
      <c r="CXO1" s="671"/>
      <c r="CXP1" s="671"/>
      <c r="CXQ1" s="671"/>
      <c r="CXR1" s="671"/>
      <c r="CXS1" s="671"/>
      <c r="CXT1" s="671"/>
      <c r="CXU1" s="671"/>
      <c r="CXV1" s="671"/>
      <c r="CXW1" s="671"/>
      <c r="CXX1" s="671"/>
      <c r="CXY1" s="671"/>
      <c r="CXZ1" s="671"/>
      <c r="CYA1" s="671"/>
      <c r="CYB1" s="671"/>
      <c r="CYC1" s="671"/>
      <c r="CYD1" s="671"/>
      <c r="CYE1" s="671"/>
      <c r="CYF1" s="671"/>
      <c r="CYG1" s="671"/>
      <c r="CYH1" s="671"/>
      <c r="CYI1" s="671"/>
      <c r="CYJ1" s="671"/>
      <c r="CYK1" s="671"/>
      <c r="CYL1" s="671"/>
      <c r="CYM1" s="671"/>
      <c r="CYN1" s="671"/>
      <c r="CYO1" s="671"/>
      <c r="CYP1" s="671"/>
      <c r="CYQ1" s="671"/>
      <c r="CYR1" s="671"/>
      <c r="CYS1" s="671"/>
      <c r="CYT1" s="671"/>
      <c r="CYU1" s="671"/>
      <c r="CYV1" s="671"/>
      <c r="CYW1" s="671"/>
      <c r="CYX1" s="671"/>
      <c r="CYY1" s="671"/>
      <c r="CYZ1" s="671"/>
      <c r="CZA1" s="671"/>
      <c r="CZB1" s="671"/>
      <c r="CZC1" s="671"/>
      <c r="CZD1" s="671"/>
      <c r="CZE1" s="671"/>
      <c r="CZF1" s="671"/>
      <c r="CZG1" s="671"/>
      <c r="CZH1" s="671"/>
      <c r="CZI1" s="671"/>
      <c r="CZJ1" s="671"/>
      <c r="CZK1" s="671"/>
      <c r="CZL1" s="671"/>
      <c r="CZM1" s="671"/>
      <c r="CZN1" s="671"/>
      <c r="CZO1" s="671"/>
      <c r="CZP1" s="671"/>
      <c r="CZQ1" s="671"/>
      <c r="CZR1" s="671"/>
      <c r="CZS1" s="671"/>
      <c r="CZT1" s="671"/>
      <c r="CZU1" s="671"/>
      <c r="CZV1" s="671"/>
      <c r="CZW1" s="671"/>
      <c r="CZX1" s="671"/>
      <c r="CZY1" s="671"/>
      <c r="CZZ1" s="671"/>
      <c r="DAA1" s="671"/>
      <c r="DAB1" s="671"/>
      <c r="DAC1" s="671"/>
      <c r="DAD1" s="671"/>
      <c r="DAE1" s="671"/>
      <c r="DAF1" s="671"/>
      <c r="DAG1" s="671"/>
      <c r="DAH1" s="671"/>
      <c r="DAI1" s="671"/>
      <c r="DAJ1" s="671"/>
      <c r="DAK1" s="671"/>
      <c r="DAL1" s="671"/>
      <c r="DAM1" s="671"/>
      <c r="DAN1" s="671"/>
      <c r="DAO1" s="671"/>
      <c r="DAP1" s="671"/>
      <c r="DAQ1" s="671"/>
      <c r="DAR1" s="671"/>
      <c r="DAS1" s="671"/>
      <c r="DAT1" s="671"/>
      <c r="DAU1" s="671"/>
      <c r="DAV1" s="671"/>
      <c r="DAW1" s="671"/>
      <c r="DAX1" s="671"/>
      <c r="DAY1" s="671"/>
      <c r="DAZ1" s="671"/>
      <c r="DBA1" s="671"/>
      <c r="DBB1" s="671"/>
      <c r="DBC1" s="671"/>
      <c r="DBD1" s="671"/>
      <c r="DBE1" s="671"/>
      <c r="DBF1" s="671"/>
      <c r="DBG1" s="671"/>
      <c r="DBH1" s="671"/>
      <c r="DBI1" s="671"/>
      <c r="DBJ1" s="671"/>
      <c r="DBK1" s="671"/>
      <c r="DBL1" s="671"/>
      <c r="DBM1" s="671"/>
      <c r="DBN1" s="671"/>
      <c r="DBO1" s="671"/>
      <c r="DBP1" s="671"/>
      <c r="DBQ1" s="671"/>
      <c r="DBR1" s="671"/>
      <c r="DBS1" s="671"/>
      <c r="DBT1" s="671"/>
      <c r="DBU1" s="671"/>
      <c r="DBV1" s="671"/>
      <c r="DBW1" s="671"/>
      <c r="DBX1" s="671"/>
      <c r="DBY1" s="671"/>
      <c r="DBZ1" s="671"/>
      <c r="DCA1" s="671"/>
      <c r="DCB1" s="671"/>
      <c r="DCC1" s="671"/>
      <c r="DCD1" s="671"/>
      <c r="DCE1" s="671"/>
      <c r="DCF1" s="671"/>
      <c r="DCG1" s="671"/>
      <c r="DCH1" s="671"/>
      <c r="DCI1" s="671"/>
      <c r="DCJ1" s="671"/>
      <c r="DCK1" s="671"/>
      <c r="DCL1" s="671"/>
      <c r="DCM1" s="671"/>
      <c r="DCN1" s="671"/>
      <c r="DCO1" s="671"/>
      <c r="DCP1" s="671"/>
      <c r="DCQ1" s="671"/>
      <c r="DCR1" s="671"/>
      <c r="DCS1" s="671"/>
      <c r="DCT1" s="671"/>
      <c r="DCU1" s="671"/>
      <c r="DCV1" s="671"/>
      <c r="DCW1" s="671"/>
      <c r="DCX1" s="671"/>
      <c r="DCY1" s="671"/>
      <c r="DCZ1" s="671"/>
      <c r="DDA1" s="671"/>
      <c r="DDB1" s="671"/>
      <c r="DDC1" s="671"/>
      <c r="DDD1" s="671"/>
      <c r="DDE1" s="671"/>
      <c r="DDF1" s="671"/>
      <c r="DDG1" s="671"/>
      <c r="DDH1" s="671"/>
      <c r="DDI1" s="671"/>
      <c r="DDJ1" s="671"/>
      <c r="DDK1" s="671"/>
      <c r="DDL1" s="671"/>
      <c r="DDM1" s="671"/>
      <c r="DDN1" s="671"/>
      <c r="DDO1" s="671"/>
      <c r="DDP1" s="671"/>
      <c r="DDQ1" s="671"/>
      <c r="DDR1" s="671"/>
      <c r="DDS1" s="671"/>
      <c r="DDT1" s="671"/>
      <c r="DDU1" s="671"/>
      <c r="DDV1" s="671"/>
      <c r="DDW1" s="671"/>
      <c r="DDX1" s="671"/>
      <c r="DDY1" s="671"/>
      <c r="DDZ1" s="671"/>
      <c r="DEA1" s="671"/>
      <c r="DEB1" s="671"/>
      <c r="DEC1" s="671"/>
      <c r="DED1" s="671"/>
      <c r="DEE1" s="671"/>
      <c r="DEF1" s="671"/>
      <c r="DEG1" s="671"/>
      <c r="DEH1" s="671"/>
      <c r="DEI1" s="671"/>
      <c r="DEJ1" s="671"/>
      <c r="DEK1" s="671"/>
      <c r="DEL1" s="671"/>
      <c r="DEM1" s="671"/>
      <c r="DEN1" s="671"/>
      <c r="DEO1" s="671"/>
      <c r="DEP1" s="671"/>
      <c r="DEQ1" s="671"/>
      <c r="DER1" s="671"/>
      <c r="DES1" s="671"/>
      <c r="DET1" s="671"/>
      <c r="DEU1" s="671"/>
      <c r="DEV1" s="671"/>
      <c r="DEW1" s="671"/>
      <c r="DEX1" s="671"/>
      <c r="DEY1" s="671"/>
      <c r="DEZ1" s="671"/>
      <c r="DFA1" s="671"/>
      <c r="DFB1" s="671"/>
      <c r="DFC1" s="671"/>
      <c r="DFD1" s="671"/>
      <c r="DFE1" s="671"/>
      <c r="DFF1" s="671"/>
      <c r="DFG1" s="671"/>
      <c r="DFH1" s="671"/>
      <c r="DFI1" s="671"/>
      <c r="DFJ1" s="671"/>
      <c r="DFK1" s="671"/>
      <c r="DFL1" s="671"/>
      <c r="DFM1" s="671"/>
      <c r="DFN1" s="671"/>
      <c r="DFO1" s="671"/>
      <c r="DFP1" s="671"/>
      <c r="DFQ1" s="671"/>
      <c r="DFR1" s="671"/>
      <c r="DFS1" s="671"/>
      <c r="DFT1" s="671"/>
      <c r="DFU1" s="671"/>
      <c r="DFV1" s="671"/>
      <c r="DFW1" s="671"/>
      <c r="DFX1" s="671"/>
      <c r="DFY1" s="671"/>
      <c r="DFZ1" s="671"/>
      <c r="DGA1" s="671"/>
      <c r="DGB1" s="671"/>
      <c r="DGC1" s="671"/>
      <c r="DGD1" s="671"/>
      <c r="DGE1" s="671"/>
      <c r="DGF1" s="671"/>
      <c r="DGG1" s="671"/>
      <c r="DGH1" s="671"/>
      <c r="DGI1" s="671"/>
      <c r="DGJ1" s="671"/>
      <c r="DGK1" s="671"/>
      <c r="DGL1" s="671"/>
      <c r="DGM1" s="671"/>
      <c r="DGN1" s="671"/>
      <c r="DGO1" s="671"/>
      <c r="DGP1" s="671"/>
      <c r="DGQ1" s="671"/>
      <c r="DGR1" s="671"/>
      <c r="DGS1" s="671"/>
      <c r="DGT1" s="671"/>
      <c r="DGU1" s="671"/>
      <c r="DGV1" s="671"/>
      <c r="DGW1" s="671"/>
      <c r="DGX1" s="671"/>
      <c r="DGY1" s="671"/>
      <c r="DGZ1" s="671"/>
      <c r="DHA1" s="671"/>
      <c r="DHB1" s="671"/>
      <c r="DHC1" s="671"/>
      <c r="DHD1" s="671"/>
      <c r="DHE1" s="671"/>
      <c r="DHF1" s="671"/>
      <c r="DHG1" s="671"/>
      <c r="DHH1" s="671"/>
      <c r="DHI1" s="671"/>
      <c r="DHJ1" s="671"/>
      <c r="DHK1" s="671"/>
      <c r="DHL1" s="671"/>
      <c r="DHM1" s="671"/>
      <c r="DHN1" s="671"/>
      <c r="DHO1" s="671"/>
      <c r="DHP1" s="671"/>
      <c r="DHQ1" s="671"/>
      <c r="DHR1" s="671"/>
      <c r="DHS1" s="671"/>
      <c r="DHT1" s="671"/>
      <c r="DHU1" s="671"/>
      <c r="DHV1" s="671"/>
      <c r="DHW1" s="671"/>
      <c r="DHX1" s="671"/>
      <c r="DHY1" s="671"/>
      <c r="DHZ1" s="671"/>
      <c r="DIA1" s="671"/>
      <c r="DIB1" s="671"/>
      <c r="DIC1" s="671"/>
      <c r="DID1" s="671"/>
      <c r="DIE1" s="671"/>
      <c r="DIF1" s="671"/>
      <c r="DIG1" s="671"/>
      <c r="DIH1" s="671"/>
      <c r="DII1" s="671"/>
      <c r="DIJ1" s="671"/>
      <c r="DIK1" s="671"/>
      <c r="DIL1" s="671"/>
      <c r="DIM1" s="671"/>
      <c r="DIN1" s="671"/>
      <c r="DIO1" s="671"/>
      <c r="DIP1" s="671"/>
      <c r="DIQ1" s="671"/>
      <c r="DIR1" s="671"/>
      <c r="DIS1" s="671"/>
      <c r="DIT1" s="671"/>
      <c r="DIU1" s="671"/>
      <c r="DIV1" s="671"/>
      <c r="DIW1" s="671"/>
      <c r="DIX1" s="671"/>
      <c r="DIY1" s="671"/>
      <c r="DIZ1" s="671"/>
      <c r="DJA1" s="671"/>
      <c r="DJB1" s="671"/>
      <c r="DJC1" s="671"/>
      <c r="DJD1" s="671"/>
      <c r="DJE1" s="671"/>
      <c r="DJF1" s="671"/>
      <c r="DJG1" s="671"/>
      <c r="DJH1" s="671"/>
      <c r="DJI1" s="671"/>
      <c r="DJJ1" s="671"/>
      <c r="DJK1" s="671"/>
      <c r="DJL1" s="671"/>
      <c r="DJM1" s="671"/>
      <c r="DJN1" s="671"/>
      <c r="DJO1" s="671"/>
      <c r="DJP1" s="671"/>
      <c r="DJQ1" s="671"/>
      <c r="DJR1" s="671"/>
      <c r="DJS1" s="671"/>
      <c r="DJT1" s="671"/>
      <c r="DJU1" s="671"/>
      <c r="DJV1" s="671"/>
      <c r="DJW1" s="671"/>
      <c r="DJX1" s="671"/>
      <c r="DJY1" s="671"/>
      <c r="DJZ1" s="671"/>
      <c r="DKA1" s="671"/>
      <c r="DKB1" s="671"/>
      <c r="DKC1" s="671"/>
      <c r="DKD1" s="671"/>
      <c r="DKE1" s="671"/>
      <c r="DKF1" s="671"/>
      <c r="DKG1" s="671"/>
      <c r="DKH1" s="671"/>
      <c r="DKI1" s="671"/>
      <c r="DKJ1" s="671"/>
      <c r="DKK1" s="671"/>
      <c r="DKL1" s="671"/>
      <c r="DKM1" s="671"/>
      <c r="DKN1" s="671"/>
      <c r="DKO1" s="671"/>
      <c r="DKP1" s="671"/>
      <c r="DKQ1" s="671"/>
      <c r="DKR1" s="671"/>
      <c r="DKS1" s="671"/>
      <c r="DKT1" s="671"/>
      <c r="DKU1" s="671"/>
      <c r="DKV1" s="671"/>
      <c r="DKW1" s="671"/>
      <c r="DKX1" s="671"/>
      <c r="DKY1" s="671"/>
      <c r="DKZ1" s="671"/>
      <c r="DLA1" s="671"/>
      <c r="DLB1" s="671"/>
      <c r="DLC1" s="671"/>
      <c r="DLD1" s="671"/>
      <c r="DLE1" s="671"/>
      <c r="DLF1" s="671"/>
      <c r="DLG1" s="671"/>
      <c r="DLH1" s="671"/>
      <c r="DLI1" s="671"/>
      <c r="DLJ1" s="671"/>
      <c r="DLK1" s="671"/>
      <c r="DLL1" s="671"/>
      <c r="DLM1" s="671"/>
      <c r="DLN1" s="671"/>
      <c r="DLO1" s="671"/>
      <c r="DLP1" s="671"/>
      <c r="DLQ1" s="671"/>
      <c r="DLR1" s="671"/>
      <c r="DLS1" s="671"/>
      <c r="DLT1" s="671"/>
      <c r="DLU1" s="671"/>
      <c r="DLV1" s="671"/>
      <c r="DLW1" s="671"/>
      <c r="DLX1" s="671"/>
      <c r="DLY1" s="671"/>
      <c r="DLZ1" s="671"/>
      <c r="DMA1" s="671"/>
      <c r="DMB1" s="671"/>
      <c r="DMC1" s="671"/>
      <c r="DMD1" s="671"/>
      <c r="DME1" s="671"/>
      <c r="DMF1" s="671"/>
      <c r="DMG1" s="671"/>
      <c r="DMH1" s="671"/>
      <c r="DMI1" s="671"/>
      <c r="DMJ1" s="671"/>
      <c r="DMK1" s="671"/>
      <c r="DML1" s="671"/>
      <c r="DMM1" s="671"/>
      <c r="DMN1" s="671"/>
      <c r="DMO1" s="671"/>
      <c r="DMP1" s="671"/>
      <c r="DMQ1" s="671"/>
      <c r="DMR1" s="671"/>
      <c r="DMS1" s="671"/>
      <c r="DMT1" s="671"/>
      <c r="DMU1" s="671"/>
      <c r="DMV1" s="671"/>
      <c r="DMW1" s="671"/>
      <c r="DMX1" s="671"/>
      <c r="DMY1" s="671"/>
      <c r="DMZ1" s="671"/>
      <c r="DNA1" s="671"/>
      <c r="DNB1" s="671"/>
      <c r="DNC1" s="671"/>
      <c r="DND1" s="671"/>
      <c r="DNE1" s="671"/>
      <c r="DNF1" s="671"/>
      <c r="DNG1" s="671"/>
      <c r="DNH1" s="671"/>
      <c r="DNI1" s="671"/>
      <c r="DNJ1" s="671"/>
      <c r="DNK1" s="671"/>
      <c r="DNL1" s="671"/>
      <c r="DNM1" s="671"/>
      <c r="DNN1" s="671"/>
      <c r="DNO1" s="671"/>
      <c r="DNP1" s="671"/>
      <c r="DNQ1" s="671"/>
      <c r="DNR1" s="671"/>
      <c r="DNS1" s="671"/>
      <c r="DNT1" s="671"/>
      <c r="DNU1" s="671"/>
      <c r="DNV1" s="671"/>
      <c r="DNW1" s="671"/>
      <c r="DNX1" s="671"/>
      <c r="DNY1" s="671"/>
      <c r="DNZ1" s="671"/>
      <c r="DOA1" s="671"/>
      <c r="DOB1" s="671"/>
      <c r="DOC1" s="671"/>
      <c r="DOD1" s="671"/>
      <c r="DOE1" s="671"/>
      <c r="DOF1" s="671"/>
      <c r="DOG1" s="671"/>
      <c r="DOH1" s="671"/>
      <c r="DOI1" s="671"/>
      <c r="DOJ1" s="671"/>
      <c r="DOK1" s="671"/>
      <c r="DOL1" s="671"/>
      <c r="DOM1" s="671"/>
      <c r="DON1" s="671"/>
      <c r="DOO1" s="671"/>
      <c r="DOP1" s="671"/>
      <c r="DOQ1" s="671"/>
      <c r="DOR1" s="671"/>
      <c r="DOS1" s="671"/>
      <c r="DOT1" s="671"/>
      <c r="DOU1" s="671"/>
      <c r="DOV1" s="671"/>
      <c r="DOW1" s="671"/>
      <c r="DOX1" s="671"/>
      <c r="DOY1" s="671"/>
      <c r="DOZ1" s="671"/>
      <c r="DPA1" s="671"/>
      <c r="DPB1" s="671"/>
      <c r="DPC1" s="671"/>
      <c r="DPD1" s="671"/>
      <c r="DPE1" s="671"/>
      <c r="DPF1" s="671"/>
      <c r="DPG1" s="671"/>
      <c r="DPH1" s="671"/>
      <c r="DPI1" s="671"/>
      <c r="DPJ1" s="671"/>
      <c r="DPK1" s="671"/>
      <c r="DPL1" s="671"/>
      <c r="DPM1" s="671"/>
      <c r="DPN1" s="671"/>
      <c r="DPO1" s="671"/>
      <c r="DPP1" s="671"/>
      <c r="DPQ1" s="671"/>
      <c r="DPR1" s="671"/>
      <c r="DPS1" s="671"/>
      <c r="DPT1" s="671"/>
      <c r="DPU1" s="671"/>
      <c r="DPV1" s="671"/>
      <c r="DPW1" s="671"/>
      <c r="DPX1" s="671"/>
      <c r="DPY1" s="671"/>
      <c r="DPZ1" s="671"/>
      <c r="DQA1" s="671"/>
      <c r="DQB1" s="671"/>
      <c r="DQC1" s="671"/>
      <c r="DQD1" s="671"/>
      <c r="DQE1" s="671"/>
      <c r="DQF1" s="671"/>
      <c r="DQG1" s="671"/>
      <c r="DQH1" s="671"/>
      <c r="DQI1" s="671"/>
      <c r="DQJ1" s="671"/>
      <c r="DQK1" s="671"/>
      <c r="DQL1" s="671"/>
      <c r="DQM1" s="671"/>
      <c r="DQN1" s="671"/>
      <c r="DQO1" s="671"/>
      <c r="DQP1" s="671"/>
      <c r="DQQ1" s="671"/>
      <c r="DQR1" s="671"/>
      <c r="DQS1" s="671"/>
      <c r="DQT1" s="671"/>
      <c r="DQU1" s="671"/>
      <c r="DQV1" s="671"/>
      <c r="DQW1" s="671"/>
      <c r="DQX1" s="671"/>
      <c r="DQY1" s="671"/>
      <c r="DQZ1" s="671"/>
      <c r="DRA1" s="671"/>
      <c r="DRB1" s="671"/>
      <c r="DRC1" s="671"/>
      <c r="DRD1" s="671"/>
      <c r="DRE1" s="671"/>
      <c r="DRF1" s="671"/>
      <c r="DRG1" s="671"/>
      <c r="DRH1" s="671"/>
      <c r="DRI1" s="671"/>
      <c r="DRJ1" s="671"/>
      <c r="DRK1" s="671"/>
      <c r="DRL1" s="671"/>
      <c r="DRM1" s="671"/>
      <c r="DRN1" s="671"/>
      <c r="DRO1" s="671"/>
      <c r="DRP1" s="671"/>
      <c r="DRQ1" s="671"/>
      <c r="DRR1" s="671"/>
      <c r="DRS1" s="671"/>
      <c r="DRT1" s="671"/>
      <c r="DRU1" s="671"/>
      <c r="DRV1" s="671"/>
      <c r="DRW1" s="671"/>
      <c r="DRX1" s="671"/>
      <c r="DRY1" s="671"/>
      <c r="DRZ1" s="671"/>
      <c r="DSA1" s="671"/>
      <c r="DSB1" s="671"/>
      <c r="DSC1" s="671"/>
      <c r="DSD1" s="671"/>
      <c r="DSE1" s="671"/>
      <c r="DSF1" s="671"/>
      <c r="DSG1" s="671"/>
      <c r="DSH1" s="671"/>
      <c r="DSI1" s="671"/>
      <c r="DSJ1" s="671"/>
      <c r="DSK1" s="671"/>
      <c r="DSL1" s="671"/>
      <c r="DSM1" s="671"/>
      <c r="DSN1" s="671"/>
      <c r="DSO1" s="671"/>
      <c r="DSP1" s="671"/>
      <c r="DSQ1" s="671"/>
      <c r="DSR1" s="671"/>
      <c r="DSS1" s="671"/>
      <c r="DST1" s="671"/>
      <c r="DSU1" s="671"/>
      <c r="DSV1" s="671"/>
      <c r="DSW1" s="671"/>
      <c r="DSX1" s="671"/>
      <c r="DSY1" s="671"/>
      <c r="DSZ1" s="671"/>
      <c r="DTA1" s="671"/>
      <c r="DTB1" s="671"/>
      <c r="DTC1" s="671"/>
      <c r="DTD1" s="671"/>
      <c r="DTE1" s="671"/>
      <c r="DTF1" s="671"/>
      <c r="DTG1" s="671"/>
      <c r="DTH1" s="671"/>
      <c r="DTI1" s="671"/>
      <c r="DTJ1" s="671"/>
      <c r="DTK1" s="671"/>
      <c r="DTL1" s="671"/>
      <c r="DTM1" s="671"/>
      <c r="DTN1" s="671"/>
      <c r="DTO1" s="671"/>
      <c r="DTP1" s="671"/>
      <c r="DTQ1" s="671"/>
      <c r="DTR1" s="671"/>
      <c r="DTS1" s="671"/>
      <c r="DTT1" s="671"/>
      <c r="DTU1" s="671"/>
      <c r="DTV1" s="671"/>
      <c r="DTW1" s="671"/>
      <c r="DTX1" s="671"/>
      <c r="DTY1" s="671"/>
      <c r="DTZ1" s="671"/>
      <c r="DUA1" s="671"/>
      <c r="DUB1" s="671"/>
      <c r="DUC1" s="671"/>
      <c r="DUD1" s="671"/>
      <c r="DUE1" s="671"/>
      <c r="DUF1" s="671"/>
      <c r="DUG1" s="671"/>
      <c r="DUH1" s="671"/>
      <c r="DUI1" s="671"/>
      <c r="DUJ1" s="671"/>
      <c r="DUK1" s="671"/>
      <c r="DUL1" s="671"/>
      <c r="DUM1" s="671"/>
      <c r="DUN1" s="671"/>
      <c r="DUO1" s="671"/>
      <c r="DUP1" s="671"/>
      <c r="DUQ1" s="671"/>
      <c r="DUR1" s="671"/>
      <c r="DUS1" s="671"/>
      <c r="DUT1" s="671"/>
      <c r="DUU1" s="671"/>
      <c r="DUV1" s="671"/>
      <c r="DUW1" s="671"/>
      <c r="DUX1" s="671"/>
      <c r="DUY1" s="671"/>
      <c r="DUZ1" s="671"/>
      <c r="DVA1" s="671"/>
      <c r="DVB1" s="671"/>
      <c r="DVC1" s="671"/>
      <c r="DVD1" s="671"/>
      <c r="DVE1" s="671"/>
      <c r="DVF1" s="671"/>
      <c r="DVG1" s="671"/>
      <c r="DVH1" s="671"/>
      <c r="DVI1" s="671"/>
      <c r="DVJ1" s="671"/>
      <c r="DVK1" s="671"/>
      <c r="DVL1" s="671"/>
      <c r="DVM1" s="671"/>
      <c r="DVN1" s="671"/>
      <c r="DVO1" s="671"/>
      <c r="DVP1" s="671"/>
      <c r="DVQ1" s="671"/>
      <c r="DVR1" s="671"/>
      <c r="DVS1" s="671"/>
      <c r="DVT1" s="671"/>
      <c r="DVU1" s="671"/>
      <c r="DVV1" s="671"/>
      <c r="DVW1" s="671"/>
      <c r="DVX1" s="671"/>
      <c r="DVY1" s="671"/>
      <c r="DVZ1" s="671"/>
      <c r="DWA1" s="671"/>
      <c r="DWB1" s="671"/>
      <c r="DWC1" s="671"/>
      <c r="DWD1" s="671"/>
      <c r="DWE1" s="671"/>
      <c r="DWF1" s="671"/>
      <c r="DWG1" s="671"/>
      <c r="DWH1" s="671"/>
      <c r="DWI1" s="671"/>
      <c r="DWJ1" s="671"/>
      <c r="DWK1" s="671"/>
      <c r="DWL1" s="671"/>
      <c r="DWM1" s="671"/>
      <c r="DWN1" s="671"/>
      <c r="DWO1" s="671"/>
      <c r="DWP1" s="671"/>
      <c r="DWQ1" s="671"/>
      <c r="DWR1" s="671"/>
      <c r="DWS1" s="671"/>
      <c r="DWT1" s="671"/>
      <c r="DWU1" s="671"/>
      <c r="DWV1" s="671"/>
      <c r="DWW1" s="671"/>
      <c r="DWX1" s="671"/>
      <c r="DWY1" s="671"/>
      <c r="DWZ1" s="671"/>
      <c r="DXA1" s="671"/>
      <c r="DXB1" s="671"/>
      <c r="DXC1" s="671"/>
      <c r="DXD1" s="671"/>
      <c r="DXE1" s="671"/>
      <c r="DXF1" s="671"/>
      <c r="DXG1" s="671"/>
      <c r="DXH1" s="671"/>
      <c r="DXI1" s="671"/>
      <c r="DXJ1" s="671"/>
      <c r="DXK1" s="671"/>
      <c r="DXL1" s="671"/>
      <c r="DXM1" s="671"/>
      <c r="DXN1" s="671"/>
      <c r="DXO1" s="671"/>
      <c r="DXP1" s="671"/>
      <c r="DXQ1" s="671"/>
      <c r="DXR1" s="671"/>
      <c r="DXS1" s="671"/>
      <c r="DXT1" s="671"/>
      <c r="DXU1" s="671"/>
      <c r="DXV1" s="671"/>
      <c r="DXW1" s="671"/>
      <c r="DXX1" s="671"/>
      <c r="DXY1" s="671"/>
      <c r="DXZ1" s="671"/>
      <c r="DYA1" s="671"/>
      <c r="DYB1" s="671"/>
      <c r="DYC1" s="671"/>
      <c r="DYD1" s="671"/>
      <c r="DYE1" s="671"/>
      <c r="DYF1" s="671"/>
      <c r="DYG1" s="671"/>
      <c r="DYH1" s="671"/>
      <c r="DYI1" s="671"/>
      <c r="DYJ1" s="671"/>
      <c r="DYK1" s="671"/>
      <c r="DYL1" s="671"/>
      <c r="DYM1" s="671"/>
      <c r="DYN1" s="671"/>
      <c r="DYO1" s="671"/>
      <c r="DYP1" s="671"/>
      <c r="DYQ1" s="671"/>
      <c r="DYR1" s="671"/>
      <c r="DYS1" s="671"/>
      <c r="DYT1" s="671"/>
      <c r="DYU1" s="671"/>
      <c r="DYV1" s="671"/>
      <c r="DYW1" s="671"/>
      <c r="DYX1" s="671"/>
      <c r="DYY1" s="671"/>
      <c r="DYZ1" s="671"/>
      <c r="DZA1" s="671"/>
      <c r="DZB1" s="671"/>
      <c r="DZC1" s="671"/>
      <c r="DZD1" s="671"/>
      <c r="DZE1" s="671"/>
      <c r="DZF1" s="671"/>
      <c r="DZG1" s="671"/>
      <c r="DZH1" s="671"/>
      <c r="DZI1" s="671"/>
      <c r="DZJ1" s="671"/>
      <c r="DZK1" s="671"/>
      <c r="DZL1" s="671"/>
      <c r="DZM1" s="671"/>
      <c r="DZN1" s="671"/>
      <c r="DZO1" s="671"/>
      <c r="DZP1" s="671"/>
      <c r="DZQ1" s="671"/>
      <c r="DZR1" s="671"/>
      <c r="DZS1" s="671"/>
      <c r="DZT1" s="671"/>
      <c r="DZU1" s="671"/>
      <c r="DZV1" s="671"/>
      <c r="DZW1" s="671"/>
      <c r="DZX1" s="671"/>
      <c r="DZY1" s="671"/>
      <c r="DZZ1" s="671"/>
      <c r="EAA1" s="671"/>
      <c r="EAB1" s="671"/>
      <c r="EAC1" s="671"/>
      <c r="EAD1" s="671"/>
      <c r="EAE1" s="671"/>
      <c r="EAF1" s="671"/>
      <c r="EAG1" s="671"/>
      <c r="EAH1" s="671"/>
      <c r="EAI1" s="671"/>
      <c r="EAJ1" s="671"/>
      <c r="EAK1" s="671"/>
      <c r="EAL1" s="671"/>
      <c r="EAM1" s="671"/>
      <c r="EAN1" s="671"/>
      <c r="EAO1" s="671"/>
      <c r="EAP1" s="671"/>
      <c r="EAQ1" s="671"/>
      <c r="EAR1" s="671"/>
      <c r="EAS1" s="671"/>
      <c r="EAT1" s="671"/>
      <c r="EAU1" s="671"/>
      <c r="EAV1" s="671"/>
      <c r="EAW1" s="671"/>
      <c r="EAX1" s="671"/>
      <c r="EAY1" s="671"/>
      <c r="EAZ1" s="671"/>
      <c r="EBA1" s="671"/>
      <c r="EBB1" s="671"/>
      <c r="EBC1" s="671"/>
      <c r="EBD1" s="671"/>
      <c r="EBE1" s="671"/>
      <c r="EBF1" s="671"/>
      <c r="EBG1" s="671"/>
      <c r="EBH1" s="671"/>
      <c r="EBI1" s="671"/>
      <c r="EBJ1" s="671"/>
      <c r="EBK1" s="671"/>
      <c r="EBL1" s="671"/>
      <c r="EBM1" s="671"/>
      <c r="EBN1" s="671"/>
      <c r="EBO1" s="671"/>
      <c r="EBP1" s="671"/>
      <c r="EBQ1" s="671"/>
      <c r="EBR1" s="671"/>
      <c r="EBS1" s="671"/>
      <c r="EBT1" s="671"/>
      <c r="EBU1" s="671"/>
      <c r="EBV1" s="671"/>
      <c r="EBW1" s="671"/>
      <c r="EBX1" s="671"/>
      <c r="EBY1" s="671"/>
      <c r="EBZ1" s="671"/>
      <c r="ECA1" s="671"/>
      <c r="ECB1" s="671"/>
      <c r="ECC1" s="671"/>
      <c r="ECD1" s="671"/>
      <c r="ECE1" s="671"/>
      <c r="ECF1" s="671"/>
      <c r="ECG1" s="671"/>
      <c r="ECH1" s="671"/>
      <c r="ECI1" s="671"/>
      <c r="ECJ1" s="671"/>
      <c r="ECK1" s="671"/>
      <c r="ECL1" s="671"/>
      <c r="ECM1" s="671"/>
      <c r="ECN1" s="671"/>
      <c r="ECO1" s="671"/>
      <c r="ECP1" s="671"/>
      <c r="ECQ1" s="671"/>
      <c r="ECR1" s="671"/>
      <c r="ECS1" s="671"/>
      <c r="ECT1" s="671"/>
      <c r="ECU1" s="671"/>
      <c r="ECV1" s="671"/>
      <c r="ECW1" s="671"/>
      <c r="ECX1" s="671"/>
      <c r="ECY1" s="671"/>
      <c r="ECZ1" s="671"/>
      <c r="EDA1" s="671"/>
      <c r="EDB1" s="671"/>
      <c r="EDC1" s="671"/>
      <c r="EDD1" s="671"/>
      <c r="EDE1" s="671"/>
      <c r="EDF1" s="671"/>
      <c r="EDG1" s="671"/>
      <c r="EDH1" s="671"/>
      <c r="EDI1" s="671"/>
      <c r="EDJ1" s="671"/>
      <c r="EDK1" s="671"/>
      <c r="EDL1" s="671"/>
      <c r="EDM1" s="671"/>
      <c r="EDN1" s="671"/>
      <c r="EDO1" s="671"/>
      <c r="EDP1" s="671"/>
      <c r="EDQ1" s="671"/>
      <c r="EDR1" s="671"/>
      <c r="EDS1" s="671"/>
      <c r="EDT1" s="671"/>
      <c r="EDU1" s="671"/>
      <c r="EDV1" s="671"/>
      <c r="EDW1" s="671"/>
      <c r="EDX1" s="671"/>
      <c r="EDY1" s="671"/>
      <c r="EDZ1" s="671"/>
      <c r="EEA1" s="671"/>
      <c r="EEB1" s="671"/>
      <c r="EEC1" s="671"/>
      <c r="EED1" s="671"/>
      <c r="EEE1" s="671"/>
      <c r="EEF1" s="671"/>
      <c r="EEG1" s="671"/>
      <c r="EEH1" s="671"/>
      <c r="EEI1" s="671"/>
      <c r="EEJ1" s="671"/>
      <c r="EEK1" s="671"/>
      <c r="EEL1" s="671"/>
      <c r="EEM1" s="671"/>
      <c r="EEN1" s="671"/>
      <c r="EEO1" s="671"/>
      <c r="EEP1" s="671"/>
      <c r="EEQ1" s="671"/>
      <c r="EER1" s="671"/>
      <c r="EES1" s="671"/>
      <c r="EET1" s="671"/>
      <c r="EEU1" s="671"/>
      <c r="EEV1" s="671"/>
      <c r="EEW1" s="671"/>
      <c r="EEX1" s="671"/>
      <c r="EEY1" s="671"/>
      <c r="EEZ1" s="671"/>
      <c r="EFA1" s="671"/>
      <c r="EFB1" s="671"/>
      <c r="EFC1" s="671"/>
      <c r="EFD1" s="671"/>
      <c r="EFE1" s="671"/>
      <c r="EFF1" s="671"/>
      <c r="EFG1" s="671"/>
      <c r="EFH1" s="671"/>
      <c r="EFI1" s="671"/>
      <c r="EFJ1" s="671"/>
      <c r="EFK1" s="671"/>
      <c r="EFL1" s="671"/>
      <c r="EFM1" s="671"/>
      <c r="EFN1" s="671"/>
      <c r="EFO1" s="671"/>
      <c r="EFP1" s="671"/>
      <c r="EFQ1" s="671"/>
      <c r="EFR1" s="671"/>
      <c r="EFS1" s="671"/>
      <c r="EFT1" s="671"/>
      <c r="EFU1" s="671"/>
      <c r="EFV1" s="671"/>
      <c r="EFW1" s="671"/>
      <c r="EFX1" s="671"/>
      <c r="EFY1" s="671"/>
      <c r="EFZ1" s="671"/>
      <c r="EGA1" s="671"/>
      <c r="EGB1" s="671"/>
      <c r="EGC1" s="671"/>
      <c r="EGD1" s="671"/>
      <c r="EGE1" s="671"/>
      <c r="EGF1" s="671"/>
      <c r="EGG1" s="671"/>
      <c r="EGH1" s="671"/>
      <c r="EGI1" s="671"/>
      <c r="EGJ1" s="671"/>
      <c r="EGK1" s="671"/>
      <c r="EGL1" s="671"/>
      <c r="EGM1" s="671"/>
      <c r="EGN1" s="671"/>
      <c r="EGO1" s="671"/>
      <c r="EGP1" s="671"/>
      <c r="EGQ1" s="671"/>
      <c r="EGR1" s="671"/>
      <c r="EGS1" s="671"/>
      <c r="EGT1" s="671"/>
      <c r="EGU1" s="671"/>
      <c r="EGV1" s="671"/>
      <c r="EGW1" s="671"/>
      <c r="EGX1" s="671"/>
      <c r="EGY1" s="671"/>
      <c r="EGZ1" s="671"/>
      <c r="EHA1" s="671"/>
      <c r="EHB1" s="671"/>
      <c r="EHC1" s="671"/>
      <c r="EHD1" s="671"/>
      <c r="EHE1" s="671"/>
      <c r="EHF1" s="671"/>
      <c r="EHG1" s="671"/>
      <c r="EHH1" s="671"/>
      <c r="EHI1" s="671"/>
      <c r="EHJ1" s="671"/>
      <c r="EHK1" s="671"/>
      <c r="EHL1" s="671"/>
      <c r="EHM1" s="671"/>
      <c r="EHN1" s="671"/>
      <c r="EHO1" s="671"/>
      <c r="EHP1" s="671"/>
      <c r="EHQ1" s="671"/>
      <c r="EHR1" s="671"/>
      <c r="EHS1" s="671"/>
      <c r="EHT1" s="671"/>
      <c r="EHU1" s="671"/>
      <c r="EHV1" s="671"/>
      <c r="EHW1" s="671"/>
      <c r="EHX1" s="671"/>
      <c r="EHY1" s="671"/>
      <c r="EHZ1" s="671"/>
      <c r="EIA1" s="671"/>
      <c r="EIB1" s="671"/>
      <c r="EIC1" s="671"/>
      <c r="EID1" s="671"/>
      <c r="EIE1" s="671"/>
      <c r="EIF1" s="671"/>
      <c r="EIG1" s="671"/>
      <c r="EIH1" s="671"/>
      <c r="EII1" s="671"/>
      <c r="EIJ1" s="671"/>
      <c r="EIK1" s="671"/>
      <c r="EIL1" s="671"/>
      <c r="EIM1" s="671"/>
      <c r="EIN1" s="671"/>
      <c r="EIO1" s="671"/>
      <c r="EIP1" s="671"/>
      <c r="EIQ1" s="671"/>
      <c r="EIR1" s="671"/>
      <c r="EIS1" s="671"/>
      <c r="EIT1" s="671"/>
      <c r="EIU1" s="671"/>
      <c r="EIV1" s="671"/>
      <c r="EIW1" s="671"/>
      <c r="EIX1" s="671"/>
      <c r="EIY1" s="671"/>
      <c r="EIZ1" s="671"/>
      <c r="EJA1" s="671"/>
      <c r="EJB1" s="671"/>
      <c r="EJC1" s="671"/>
      <c r="EJD1" s="671"/>
      <c r="EJE1" s="671"/>
      <c r="EJF1" s="671"/>
      <c r="EJG1" s="671"/>
      <c r="EJH1" s="671"/>
      <c r="EJI1" s="671"/>
      <c r="EJJ1" s="671"/>
      <c r="EJK1" s="671"/>
      <c r="EJL1" s="671"/>
      <c r="EJM1" s="671"/>
      <c r="EJN1" s="671"/>
      <c r="EJO1" s="671"/>
      <c r="EJP1" s="671"/>
      <c r="EJQ1" s="671"/>
      <c r="EJR1" s="671"/>
      <c r="EJS1" s="671"/>
      <c r="EJT1" s="671"/>
      <c r="EJU1" s="671"/>
      <c r="EJV1" s="671"/>
      <c r="EJW1" s="671"/>
      <c r="EJX1" s="671"/>
      <c r="EJY1" s="671"/>
      <c r="EJZ1" s="671"/>
      <c r="EKA1" s="671"/>
      <c r="EKB1" s="671"/>
      <c r="EKC1" s="671"/>
      <c r="EKD1" s="671"/>
      <c r="EKE1" s="671"/>
      <c r="EKF1" s="671"/>
      <c r="EKG1" s="671"/>
      <c r="EKH1" s="671"/>
      <c r="EKI1" s="671"/>
      <c r="EKJ1" s="671"/>
      <c r="EKK1" s="671"/>
      <c r="EKL1" s="671"/>
      <c r="EKM1" s="671"/>
      <c r="EKN1" s="671"/>
      <c r="EKO1" s="671"/>
      <c r="EKP1" s="671"/>
      <c r="EKQ1" s="671"/>
      <c r="EKR1" s="671"/>
      <c r="EKS1" s="671"/>
      <c r="EKT1" s="671"/>
      <c r="EKU1" s="671"/>
      <c r="EKV1" s="671"/>
      <c r="EKW1" s="671"/>
      <c r="EKX1" s="671"/>
      <c r="EKY1" s="671"/>
      <c r="EKZ1" s="671"/>
      <c r="ELA1" s="671"/>
      <c r="ELB1" s="671"/>
      <c r="ELC1" s="671"/>
      <c r="ELD1" s="671"/>
      <c r="ELE1" s="671"/>
      <c r="ELF1" s="671"/>
      <c r="ELG1" s="671"/>
      <c r="ELH1" s="671"/>
      <c r="ELI1" s="671"/>
      <c r="ELJ1" s="671"/>
      <c r="ELK1" s="671"/>
      <c r="ELL1" s="671"/>
      <c r="ELM1" s="671"/>
      <c r="ELN1" s="671"/>
      <c r="ELO1" s="671"/>
      <c r="ELP1" s="671"/>
      <c r="ELQ1" s="671"/>
      <c r="ELR1" s="671"/>
      <c r="ELS1" s="671"/>
      <c r="ELT1" s="671"/>
      <c r="ELU1" s="671"/>
      <c r="ELV1" s="671"/>
      <c r="ELW1" s="671"/>
      <c r="ELX1" s="671"/>
      <c r="ELY1" s="671"/>
      <c r="ELZ1" s="671"/>
      <c r="EMA1" s="671"/>
      <c r="EMB1" s="671"/>
      <c r="EMC1" s="671"/>
      <c r="EMD1" s="671"/>
      <c r="EME1" s="671"/>
      <c r="EMF1" s="671"/>
      <c r="EMG1" s="671"/>
      <c r="EMH1" s="671"/>
      <c r="EMI1" s="671"/>
      <c r="EMJ1" s="671"/>
      <c r="EMK1" s="671"/>
      <c r="EML1" s="671"/>
      <c r="EMM1" s="671"/>
      <c r="EMN1" s="671"/>
      <c r="EMO1" s="671"/>
      <c r="EMP1" s="671"/>
      <c r="EMQ1" s="671"/>
      <c r="EMR1" s="671"/>
      <c r="EMS1" s="671"/>
      <c r="EMT1" s="671"/>
      <c r="EMU1" s="671"/>
      <c r="EMV1" s="671"/>
      <c r="EMW1" s="671"/>
      <c r="EMX1" s="671"/>
      <c r="EMY1" s="671"/>
      <c r="EMZ1" s="671"/>
      <c r="ENA1" s="671"/>
      <c r="ENB1" s="671"/>
      <c r="ENC1" s="671"/>
      <c r="END1" s="671"/>
      <c r="ENE1" s="671"/>
      <c r="ENF1" s="671"/>
      <c r="ENG1" s="671"/>
      <c r="ENH1" s="671"/>
      <c r="ENI1" s="671"/>
      <c r="ENJ1" s="671"/>
      <c r="ENK1" s="671"/>
      <c r="ENL1" s="671"/>
      <c r="ENM1" s="671"/>
      <c r="ENN1" s="671"/>
      <c r="ENO1" s="671"/>
      <c r="ENP1" s="671"/>
      <c r="ENQ1" s="671"/>
      <c r="ENR1" s="671"/>
      <c r="ENS1" s="671"/>
      <c r="ENT1" s="671"/>
      <c r="ENU1" s="671"/>
      <c r="ENV1" s="671"/>
      <c r="ENW1" s="671"/>
      <c r="ENX1" s="671"/>
      <c r="ENY1" s="671"/>
      <c r="ENZ1" s="671"/>
      <c r="EOA1" s="671"/>
      <c r="EOB1" s="671"/>
      <c r="EOC1" s="671"/>
      <c r="EOD1" s="671"/>
      <c r="EOE1" s="671"/>
      <c r="EOF1" s="671"/>
      <c r="EOG1" s="671"/>
      <c r="EOH1" s="671"/>
      <c r="EOI1" s="671"/>
      <c r="EOJ1" s="671"/>
      <c r="EOK1" s="671"/>
      <c r="EOL1" s="671"/>
      <c r="EOM1" s="671"/>
      <c r="EON1" s="671"/>
      <c r="EOO1" s="671"/>
      <c r="EOP1" s="671"/>
      <c r="EOQ1" s="671"/>
      <c r="EOR1" s="671"/>
      <c r="EOS1" s="671"/>
      <c r="EOT1" s="671"/>
      <c r="EOU1" s="671"/>
      <c r="EOV1" s="671"/>
      <c r="EOW1" s="671"/>
      <c r="EOX1" s="671"/>
      <c r="EOY1" s="671"/>
      <c r="EOZ1" s="671"/>
      <c r="EPA1" s="671"/>
      <c r="EPB1" s="671"/>
      <c r="EPC1" s="671"/>
      <c r="EPD1" s="671"/>
      <c r="EPE1" s="671"/>
      <c r="EPF1" s="671"/>
      <c r="EPG1" s="671"/>
      <c r="EPH1" s="671"/>
      <c r="EPI1" s="671"/>
      <c r="EPJ1" s="671"/>
      <c r="EPK1" s="671"/>
      <c r="EPL1" s="671"/>
      <c r="EPM1" s="671"/>
      <c r="EPN1" s="671"/>
      <c r="EPO1" s="671"/>
      <c r="EPP1" s="671"/>
      <c r="EPQ1" s="671"/>
      <c r="EPR1" s="671"/>
      <c r="EPS1" s="671"/>
      <c r="EPT1" s="671"/>
      <c r="EPU1" s="671"/>
      <c r="EPV1" s="671"/>
      <c r="EPW1" s="671"/>
      <c r="EPX1" s="671"/>
      <c r="EPY1" s="671"/>
      <c r="EPZ1" s="671"/>
      <c r="EQA1" s="671"/>
      <c r="EQB1" s="671"/>
      <c r="EQC1" s="671"/>
      <c r="EQD1" s="671"/>
      <c r="EQE1" s="671"/>
      <c r="EQF1" s="671"/>
      <c r="EQG1" s="671"/>
      <c r="EQH1" s="671"/>
      <c r="EQI1" s="671"/>
      <c r="EQJ1" s="671"/>
      <c r="EQK1" s="671"/>
      <c r="EQL1" s="671"/>
      <c r="EQM1" s="671"/>
      <c r="EQN1" s="671"/>
      <c r="EQO1" s="671"/>
      <c r="EQP1" s="671"/>
      <c r="EQQ1" s="671"/>
      <c r="EQR1" s="671"/>
      <c r="EQS1" s="671"/>
      <c r="EQT1" s="671"/>
      <c r="EQU1" s="671"/>
      <c r="EQV1" s="671"/>
      <c r="EQW1" s="671"/>
      <c r="EQX1" s="671"/>
      <c r="EQY1" s="671"/>
      <c r="EQZ1" s="671"/>
      <c r="ERA1" s="671"/>
      <c r="ERB1" s="671"/>
      <c r="ERC1" s="671"/>
      <c r="ERD1" s="671"/>
      <c r="ERE1" s="671"/>
      <c r="ERF1" s="671"/>
      <c r="ERG1" s="671"/>
      <c r="ERH1" s="671"/>
      <c r="ERI1" s="671"/>
      <c r="ERJ1" s="671"/>
      <c r="ERK1" s="671"/>
      <c r="ERL1" s="671"/>
      <c r="ERM1" s="671"/>
      <c r="ERN1" s="671"/>
      <c r="ERO1" s="671"/>
      <c r="ERP1" s="671"/>
      <c r="ERQ1" s="671"/>
      <c r="ERR1" s="671"/>
      <c r="ERS1" s="671"/>
      <c r="ERT1" s="671"/>
      <c r="ERU1" s="671"/>
      <c r="ERV1" s="671"/>
      <c r="ERW1" s="671"/>
      <c r="ERX1" s="671"/>
      <c r="ERY1" s="671"/>
      <c r="ERZ1" s="671"/>
      <c r="ESA1" s="671"/>
      <c r="ESB1" s="671"/>
      <c r="ESC1" s="671"/>
      <c r="ESD1" s="671"/>
      <c r="ESE1" s="671"/>
      <c r="ESF1" s="671"/>
      <c r="ESG1" s="671"/>
      <c r="ESH1" s="671"/>
      <c r="ESI1" s="671"/>
      <c r="ESJ1" s="671"/>
      <c r="ESK1" s="671"/>
      <c r="ESL1" s="671"/>
      <c r="ESM1" s="671"/>
      <c r="ESN1" s="671"/>
      <c r="ESO1" s="671"/>
      <c r="ESP1" s="671"/>
      <c r="ESQ1" s="671"/>
      <c r="ESR1" s="671"/>
      <c r="ESS1" s="671"/>
      <c r="EST1" s="671"/>
      <c r="ESU1" s="671"/>
      <c r="ESV1" s="671"/>
      <c r="ESW1" s="671"/>
      <c r="ESX1" s="671"/>
      <c r="ESY1" s="671"/>
      <c r="ESZ1" s="671"/>
      <c r="ETA1" s="671"/>
      <c r="ETB1" s="671"/>
      <c r="ETC1" s="671"/>
      <c r="ETD1" s="671"/>
      <c r="ETE1" s="671"/>
      <c r="ETF1" s="671"/>
      <c r="ETG1" s="671"/>
      <c r="ETH1" s="671"/>
      <c r="ETI1" s="671"/>
      <c r="ETJ1" s="671"/>
      <c r="ETK1" s="671"/>
      <c r="ETL1" s="671"/>
      <c r="ETM1" s="671"/>
      <c r="ETN1" s="671"/>
      <c r="ETO1" s="671"/>
      <c r="ETP1" s="671"/>
      <c r="ETQ1" s="671"/>
      <c r="ETR1" s="671"/>
      <c r="ETS1" s="671"/>
      <c r="ETT1" s="671"/>
      <c r="ETU1" s="671"/>
      <c r="ETV1" s="671"/>
      <c r="ETW1" s="671"/>
      <c r="ETX1" s="671"/>
      <c r="ETY1" s="671"/>
      <c r="ETZ1" s="671"/>
      <c r="EUA1" s="671"/>
      <c r="EUB1" s="671"/>
      <c r="EUC1" s="671"/>
      <c r="EUD1" s="671"/>
      <c r="EUE1" s="671"/>
      <c r="EUF1" s="671"/>
      <c r="EUG1" s="671"/>
      <c r="EUH1" s="671"/>
      <c r="EUI1" s="671"/>
      <c r="EUJ1" s="671"/>
      <c r="EUK1" s="671"/>
      <c r="EUL1" s="671"/>
      <c r="EUM1" s="671"/>
      <c r="EUN1" s="671"/>
      <c r="EUO1" s="671"/>
      <c r="EUP1" s="671"/>
      <c r="EUQ1" s="671"/>
      <c r="EUR1" s="671"/>
      <c r="EUS1" s="671"/>
      <c r="EUT1" s="671"/>
      <c r="EUU1" s="671"/>
      <c r="EUV1" s="671"/>
      <c r="EUW1" s="671"/>
      <c r="EUX1" s="671"/>
      <c r="EUY1" s="671"/>
      <c r="EUZ1" s="671"/>
      <c r="EVA1" s="671"/>
      <c r="EVB1" s="671"/>
      <c r="EVC1" s="671"/>
      <c r="EVD1" s="671"/>
      <c r="EVE1" s="671"/>
      <c r="EVF1" s="671"/>
      <c r="EVG1" s="671"/>
      <c r="EVH1" s="671"/>
      <c r="EVI1" s="671"/>
      <c r="EVJ1" s="671"/>
      <c r="EVK1" s="671"/>
      <c r="EVL1" s="671"/>
      <c r="EVM1" s="671"/>
      <c r="EVN1" s="671"/>
      <c r="EVO1" s="671"/>
      <c r="EVP1" s="671"/>
      <c r="EVQ1" s="671"/>
      <c r="EVR1" s="671"/>
      <c r="EVS1" s="671"/>
      <c r="EVT1" s="671"/>
      <c r="EVU1" s="671"/>
      <c r="EVV1" s="671"/>
      <c r="EVW1" s="671"/>
      <c r="EVX1" s="671"/>
      <c r="EVY1" s="671"/>
      <c r="EVZ1" s="671"/>
      <c r="EWA1" s="671"/>
      <c r="EWB1" s="671"/>
      <c r="EWC1" s="671"/>
      <c r="EWD1" s="671"/>
      <c r="EWE1" s="671"/>
      <c r="EWF1" s="671"/>
      <c r="EWG1" s="671"/>
      <c r="EWH1" s="671"/>
      <c r="EWI1" s="671"/>
      <c r="EWJ1" s="671"/>
      <c r="EWK1" s="671"/>
      <c r="EWL1" s="671"/>
      <c r="EWM1" s="671"/>
      <c r="EWN1" s="671"/>
      <c r="EWO1" s="671"/>
      <c r="EWP1" s="671"/>
      <c r="EWQ1" s="671"/>
      <c r="EWR1" s="671"/>
      <c r="EWS1" s="671"/>
      <c r="EWT1" s="671"/>
      <c r="EWU1" s="671"/>
      <c r="EWV1" s="671"/>
      <c r="EWW1" s="671"/>
      <c r="EWX1" s="671"/>
      <c r="EWY1" s="671"/>
      <c r="EWZ1" s="671"/>
      <c r="EXA1" s="671"/>
      <c r="EXB1" s="671"/>
      <c r="EXC1" s="671"/>
      <c r="EXD1" s="671"/>
      <c r="EXE1" s="671"/>
      <c r="EXF1" s="671"/>
      <c r="EXG1" s="671"/>
      <c r="EXH1" s="671"/>
      <c r="EXI1" s="671"/>
      <c r="EXJ1" s="671"/>
      <c r="EXK1" s="671"/>
      <c r="EXL1" s="671"/>
      <c r="EXM1" s="671"/>
      <c r="EXN1" s="671"/>
      <c r="EXO1" s="671"/>
      <c r="EXP1" s="671"/>
      <c r="EXQ1" s="671"/>
      <c r="EXR1" s="671"/>
      <c r="EXS1" s="671"/>
      <c r="EXT1" s="671"/>
      <c r="EXU1" s="671"/>
      <c r="EXV1" s="671"/>
      <c r="EXW1" s="671"/>
      <c r="EXX1" s="671"/>
      <c r="EXY1" s="671"/>
      <c r="EXZ1" s="671"/>
      <c r="EYA1" s="671"/>
      <c r="EYB1" s="671"/>
      <c r="EYC1" s="671"/>
      <c r="EYD1" s="671"/>
      <c r="EYE1" s="671"/>
      <c r="EYF1" s="671"/>
      <c r="EYG1" s="671"/>
      <c r="EYH1" s="671"/>
      <c r="EYI1" s="671"/>
      <c r="EYJ1" s="671"/>
      <c r="EYK1" s="671"/>
      <c r="EYL1" s="671"/>
      <c r="EYM1" s="671"/>
      <c r="EYN1" s="671"/>
      <c r="EYO1" s="671"/>
      <c r="EYP1" s="671"/>
      <c r="EYQ1" s="671"/>
      <c r="EYR1" s="671"/>
      <c r="EYS1" s="671"/>
      <c r="EYT1" s="671"/>
      <c r="EYU1" s="671"/>
      <c r="EYV1" s="671"/>
      <c r="EYW1" s="671"/>
      <c r="EYX1" s="671"/>
      <c r="EYY1" s="671"/>
      <c r="EYZ1" s="671"/>
      <c r="EZA1" s="671"/>
      <c r="EZB1" s="671"/>
      <c r="EZC1" s="671"/>
      <c r="EZD1" s="671"/>
      <c r="EZE1" s="671"/>
      <c r="EZF1" s="671"/>
      <c r="EZG1" s="671"/>
      <c r="EZH1" s="671"/>
      <c r="EZI1" s="671"/>
      <c r="EZJ1" s="671"/>
      <c r="EZK1" s="671"/>
      <c r="EZL1" s="671"/>
      <c r="EZM1" s="671"/>
      <c r="EZN1" s="671"/>
      <c r="EZO1" s="671"/>
      <c r="EZP1" s="671"/>
      <c r="EZQ1" s="671"/>
      <c r="EZR1" s="671"/>
      <c r="EZS1" s="671"/>
      <c r="EZT1" s="671"/>
      <c r="EZU1" s="671"/>
      <c r="EZV1" s="671"/>
      <c r="EZW1" s="671"/>
      <c r="EZX1" s="671"/>
      <c r="EZY1" s="671"/>
      <c r="EZZ1" s="671"/>
      <c r="FAA1" s="671"/>
      <c r="FAB1" s="671"/>
      <c r="FAC1" s="671"/>
      <c r="FAD1" s="671"/>
      <c r="FAE1" s="671"/>
      <c r="FAF1" s="671"/>
      <c r="FAG1" s="671"/>
      <c r="FAH1" s="671"/>
      <c r="FAI1" s="671"/>
      <c r="FAJ1" s="671"/>
      <c r="FAK1" s="671"/>
      <c r="FAL1" s="671"/>
      <c r="FAM1" s="671"/>
      <c r="FAN1" s="671"/>
      <c r="FAO1" s="671"/>
      <c r="FAP1" s="671"/>
      <c r="FAQ1" s="671"/>
      <c r="FAR1" s="671"/>
      <c r="FAS1" s="671"/>
      <c r="FAT1" s="671"/>
      <c r="FAU1" s="671"/>
      <c r="FAV1" s="671"/>
      <c r="FAW1" s="671"/>
      <c r="FAX1" s="671"/>
      <c r="FAY1" s="671"/>
      <c r="FAZ1" s="671"/>
      <c r="FBA1" s="671"/>
      <c r="FBB1" s="671"/>
      <c r="FBC1" s="671"/>
      <c r="FBD1" s="671"/>
      <c r="FBE1" s="671"/>
      <c r="FBF1" s="671"/>
      <c r="FBG1" s="671"/>
      <c r="FBH1" s="671"/>
      <c r="FBI1" s="671"/>
      <c r="FBJ1" s="671"/>
      <c r="FBK1" s="671"/>
      <c r="FBL1" s="671"/>
      <c r="FBM1" s="671"/>
      <c r="FBN1" s="671"/>
      <c r="FBO1" s="671"/>
      <c r="FBP1" s="671"/>
      <c r="FBQ1" s="671"/>
      <c r="FBR1" s="671"/>
      <c r="FBS1" s="671"/>
      <c r="FBT1" s="671"/>
      <c r="FBU1" s="671"/>
      <c r="FBV1" s="671"/>
      <c r="FBW1" s="671"/>
      <c r="FBX1" s="671"/>
      <c r="FBY1" s="671"/>
      <c r="FBZ1" s="671"/>
      <c r="FCA1" s="671"/>
      <c r="FCB1" s="671"/>
      <c r="FCC1" s="671"/>
      <c r="FCD1" s="671"/>
      <c r="FCE1" s="671"/>
      <c r="FCF1" s="671"/>
      <c r="FCG1" s="671"/>
      <c r="FCH1" s="671"/>
      <c r="FCI1" s="671"/>
      <c r="FCJ1" s="671"/>
      <c r="FCK1" s="671"/>
      <c r="FCL1" s="671"/>
      <c r="FCM1" s="671"/>
      <c r="FCN1" s="671"/>
      <c r="FCO1" s="671"/>
      <c r="FCP1" s="671"/>
      <c r="FCQ1" s="671"/>
      <c r="FCR1" s="671"/>
      <c r="FCS1" s="671"/>
      <c r="FCT1" s="671"/>
      <c r="FCU1" s="671"/>
      <c r="FCV1" s="671"/>
      <c r="FCW1" s="671"/>
      <c r="FCX1" s="671"/>
      <c r="FCY1" s="671"/>
      <c r="FCZ1" s="671"/>
      <c r="FDA1" s="671"/>
      <c r="FDB1" s="671"/>
      <c r="FDC1" s="671"/>
      <c r="FDD1" s="671"/>
      <c r="FDE1" s="671"/>
      <c r="FDF1" s="671"/>
      <c r="FDG1" s="671"/>
      <c r="FDH1" s="671"/>
      <c r="FDI1" s="671"/>
      <c r="FDJ1" s="671"/>
      <c r="FDK1" s="671"/>
      <c r="FDL1" s="671"/>
      <c r="FDM1" s="671"/>
      <c r="FDN1" s="671"/>
      <c r="FDO1" s="671"/>
      <c r="FDP1" s="671"/>
      <c r="FDQ1" s="671"/>
      <c r="FDR1" s="671"/>
      <c r="FDS1" s="671"/>
      <c r="FDT1" s="671"/>
      <c r="FDU1" s="671"/>
      <c r="FDV1" s="671"/>
      <c r="FDW1" s="671"/>
      <c r="FDX1" s="671"/>
      <c r="FDY1" s="671"/>
      <c r="FDZ1" s="671"/>
      <c r="FEA1" s="671"/>
      <c r="FEB1" s="671"/>
      <c r="FEC1" s="671"/>
      <c r="FED1" s="671"/>
      <c r="FEE1" s="671"/>
      <c r="FEF1" s="671"/>
      <c r="FEG1" s="671"/>
      <c r="FEH1" s="671"/>
      <c r="FEI1" s="671"/>
      <c r="FEJ1" s="671"/>
      <c r="FEK1" s="671"/>
      <c r="FEL1" s="671"/>
      <c r="FEM1" s="671"/>
      <c r="FEN1" s="671"/>
      <c r="FEO1" s="671"/>
      <c r="FEP1" s="671"/>
      <c r="FEQ1" s="671"/>
      <c r="FER1" s="671"/>
      <c r="FES1" s="671"/>
      <c r="FET1" s="671"/>
      <c r="FEU1" s="671"/>
      <c r="FEV1" s="671"/>
      <c r="FEW1" s="671"/>
      <c r="FEX1" s="671"/>
      <c r="FEY1" s="671"/>
      <c r="FEZ1" s="671"/>
      <c r="FFA1" s="671"/>
      <c r="FFB1" s="671"/>
      <c r="FFC1" s="671"/>
      <c r="FFD1" s="671"/>
      <c r="FFE1" s="671"/>
      <c r="FFF1" s="671"/>
      <c r="FFG1" s="671"/>
      <c r="FFH1" s="671"/>
      <c r="FFI1" s="671"/>
      <c r="FFJ1" s="671"/>
      <c r="FFK1" s="671"/>
      <c r="FFL1" s="671"/>
      <c r="FFM1" s="671"/>
      <c r="FFN1" s="671"/>
      <c r="FFO1" s="671"/>
      <c r="FFP1" s="671"/>
      <c r="FFQ1" s="671"/>
      <c r="FFR1" s="671"/>
      <c r="FFS1" s="671"/>
      <c r="FFT1" s="671"/>
      <c r="FFU1" s="671"/>
      <c r="FFV1" s="671"/>
      <c r="FFW1" s="671"/>
      <c r="FFX1" s="671"/>
      <c r="FFY1" s="671"/>
      <c r="FFZ1" s="671"/>
      <c r="FGA1" s="671"/>
      <c r="FGB1" s="671"/>
      <c r="FGC1" s="671"/>
      <c r="FGD1" s="671"/>
      <c r="FGE1" s="671"/>
      <c r="FGF1" s="671"/>
      <c r="FGG1" s="671"/>
      <c r="FGH1" s="671"/>
      <c r="FGI1" s="671"/>
      <c r="FGJ1" s="671"/>
      <c r="FGK1" s="671"/>
      <c r="FGL1" s="671"/>
      <c r="FGM1" s="671"/>
      <c r="FGN1" s="671"/>
      <c r="FGO1" s="671"/>
      <c r="FGP1" s="671"/>
      <c r="FGQ1" s="671"/>
      <c r="FGR1" s="671"/>
      <c r="FGS1" s="671"/>
      <c r="FGT1" s="671"/>
      <c r="FGU1" s="671"/>
      <c r="FGV1" s="671"/>
      <c r="FGW1" s="671"/>
      <c r="FGX1" s="671"/>
      <c r="FGY1" s="671"/>
      <c r="FGZ1" s="671"/>
      <c r="FHA1" s="671"/>
      <c r="FHB1" s="671"/>
      <c r="FHC1" s="671"/>
      <c r="FHD1" s="671"/>
      <c r="FHE1" s="671"/>
      <c r="FHF1" s="671"/>
      <c r="FHG1" s="671"/>
      <c r="FHH1" s="671"/>
      <c r="FHI1" s="671"/>
      <c r="FHJ1" s="671"/>
      <c r="FHK1" s="671"/>
      <c r="FHL1" s="671"/>
      <c r="FHM1" s="671"/>
      <c r="FHN1" s="671"/>
      <c r="FHO1" s="671"/>
      <c r="FHP1" s="671"/>
      <c r="FHQ1" s="671"/>
      <c r="FHR1" s="671"/>
      <c r="FHS1" s="671"/>
      <c r="FHT1" s="671"/>
      <c r="FHU1" s="671"/>
      <c r="FHV1" s="671"/>
      <c r="FHW1" s="671"/>
      <c r="FHX1" s="671"/>
      <c r="FHY1" s="671"/>
      <c r="FHZ1" s="671"/>
      <c r="FIA1" s="671"/>
      <c r="FIB1" s="671"/>
      <c r="FIC1" s="671"/>
      <c r="FID1" s="671"/>
      <c r="FIE1" s="671"/>
      <c r="FIF1" s="671"/>
      <c r="FIG1" s="671"/>
      <c r="FIH1" s="671"/>
      <c r="FII1" s="671"/>
      <c r="FIJ1" s="671"/>
      <c r="FIK1" s="671"/>
      <c r="FIL1" s="671"/>
      <c r="FIM1" s="671"/>
      <c r="FIN1" s="671"/>
      <c r="FIO1" s="671"/>
      <c r="FIP1" s="671"/>
      <c r="FIQ1" s="671"/>
      <c r="FIR1" s="671"/>
      <c r="FIS1" s="671"/>
      <c r="FIT1" s="671"/>
      <c r="FIU1" s="671"/>
      <c r="FIV1" s="671"/>
      <c r="FIW1" s="671"/>
      <c r="FIX1" s="671"/>
      <c r="FIY1" s="671"/>
      <c r="FIZ1" s="671"/>
      <c r="FJA1" s="671"/>
      <c r="FJB1" s="671"/>
      <c r="FJC1" s="671"/>
      <c r="FJD1" s="671"/>
      <c r="FJE1" s="671"/>
      <c r="FJF1" s="671"/>
      <c r="FJG1" s="671"/>
      <c r="FJH1" s="671"/>
      <c r="FJI1" s="671"/>
      <c r="FJJ1" s="671"/>
      <c r="FJK1" s="671"/>
      <c r="FJL1" s="671"/>
      <c r="FJM1" s="671"/>
      <c r="FJN1" s="671"/>
      <c r="FJO1" s="671"/>
      <c r="FJP1" s="671"/>
      <c r="FJQ1" s="671"/>
      <c r="FJR1" s="671"/>
      <c r="FJS1" s="671"/>
      <c r="FJT1" s="671"/>
      <c r="FJU1" s="671"/>
      <c r="FJV1" s="671"/>
      <c r="FJW1" s="671"/>
      <c r="FJX1" s="671"/>
      <c r="FJY1" s="671"/>
      <c r="FJZ1" s="671"/>
      <c r="FKA1" s="671"/>
      <c r="FKB1" s="671"/>
      <c r="FKC1" s="671"/>
      <c r="FKD1" s="671"/>
      <c r="FKE1" s="671"/>
      <c r="FKF1" s="671"/>
      <c r="FKG1" s="671"/>
      <c r="FKH1" s="671"/>
      <c r="FKI1" s="671"/>
      <c r="FKJ1" s="671"/>
      <c r="FKK1" s="671"/>
      <c r="FKL1" s="671"/>
      <c r="FKM1" s="671"/>
      <c r="FKN1" s="671"/>
      <c r="FKO1" s="671"/>
      <c r="FKP1" s="671"/>
      <c r="FKQ1" s="671"/>
      <c r="FKR1" s="671"/>
      <c r="FKS1" s="671"/>
      <c r="FKT1" s="671"/>
      <c r="FKU1" s="671"/>
      <c r="FKV1" s="671"/>
      <c r="FKW1" s="671"/>
      <c r="FKX1" s="671"/>
      <c r="FKY1" s="671"/>
      <c r="FKZ1" s="671"/>
      <c r="FLA1" s="671"/>
      <c r="FLB1" s="671"/>
      <c r="FLC1" s="671"/>
      <c r="FLD1" s="671"/>
      <c r="FLE1" s="671"/>
      <c r="FLF1" s="671"/>
      <c r="FLG1" s="671"/>
      <c r="FLH1" s="671"/>
      <c r="FLI1" s="671"/>
      <c r="FLJ1" s="671"/>
      <c r="FLK1" s="671"/>
      <c r="FLL1" s="671"/>
      <c r="FLM1" s="671"/>
      <c r="FLN1" s="671"/>
      <c r="FLO1" s="671"/>
      <c r="FLP1" s="671"/>
      <c r="FLQ1" s="671"/>
      <c r="FLR1" s="671"/>
      <c r="FLS1" s="671"/>
      <c r="FLT1" s="671"/>
      <c r="FLU1" s="671"/>
      <c r="FLV1" s="671"/>
      <c r="FLW1" s="671"/>
      <c r="FLX1" s="671"/>
      <c r="FLY1" s="671"/>
      <c r="FLZ1" s="671"/>
      <c r="FMA1" s="671"/>
      <c r="FMB1" s="671"/>
      <c r="FMC1" s="671"/>
      <c r="FMD1" s="671"/>
      <c r="FME1" s="671"/>
      <c r="FMF1" s="671"/>
      <c r="FMG1" s="671"/>
      <c r="FMH1" s="671"/>
      <c r="FMI1" s="671"/>
      <c r="FMJ1" s="671"/>
      <c r="FMK1" s="671"/>
      <c r="FML1" s="671"/>
      <c r="FMM1" s="671"/>
      <c r="FMN1" s="671"/>
      <c r="FMO1" s="671"/>
      <c r="FMP1" s="671"/>
      <c r="FMQ1" s="671"/>
      <c r="FMR1" s="671"/>
      <c r="FMS1" s="671"/>
      <c r="FMT1" s="671"/>
      <c r="FMU1" s="671"/>
      <c r="FMV1" s="671"/>
      <c r="FMW1" s="671"/>
      <c r="FMX1" s="671"/>
      <c r="FMY1" s="671"/>
      <c r="FMZ1" s="671"/>
      <c r="FNA1" s="671"/>
      <c r="FNB1" s="671"/>
      <c r="FNC1" s="671"/>
      <c r="FND1" s="671"/>
      <c r="FNE1" s="671"/>
      <c r="FNF1" s="671"/>
      <c r="FNG1" s="671"/>
      <c r="FNH1" s="671"/>
      <c r="FNI1" s="671"/>
      <c r="FNJ1" s="671"/>
      <c r="FNK1" s="671"/>
      <c r="FNL1" s="671"/>
      <c r="FNM1" s="671"/>
      <c r="FNN1" s="671"/>
      <c r="FNO1" s="671"/>
      <c r="FNP1" s="671"/>
      <c r="FNQ1" s="671"/>
      <c r="FNR1" s="671"/>
      <c r="FNS1" s="671"/>
      <c r="FNT1" s="671"/>
      <c r="FNU1" s="671"/>
      <c r="FNV1" s="671"/>
      <c r="FNW1" s="671"/>
      <c r="FNX1" s="671"/>
      <c r="FNY1" s="671"/>
      <c r="FNZ1" s="671"/>
      <c r="FOA1" s="671"/>
      <c r="FOB1" s="671"/>
      <c r="FOC1" s="671"/>
      <c r="FOD1" s="671"/>
      <c r="FOE1" s="671"/>
      <c r="FOF1" s="671"/>
      <c r="FOG1" s="671"/>
      <c r="FOH1" s="671"/>
      <c r="FOI1" s="671"/>
      <c r="FOJ1" s="671"/>
      <c r="FOK1" s="671"/>
      <c r="FOL1" s="671"/>
      <c r="FOM1" s="671"/>
      <c r="FON1" s="671"/>
      <c r="FOO1" s="671"/>
      <c r="FOP1" s="671"/>
      <c r="FOQ1" s="671"/>
      <c r="FOR1" s="671"/>
      <c r="FOS1" s="671"/>
      <c r="FOT1" s="671"/>
      <c r="FOU1" s="671"/>
      <c r="FOV1" s="671"/>
      <c r="FOW1" s="671"/>
      <c r="FOX1" s="671"/>
      <c r="FOY1" s="671"/>
      <c r="FOZ1" s="671"/>
      <c r="FPA1" s="671"/>
      <c r="FPB1" s="671"/>
      <c r="FPC1" s="671"/>
      <c r="FPD1" s="671"/>
      <c r="FPE1" s="671"/>
      <c r="FPF1" s="671"/>
      <c r="FPG1" s="671"/>
      <c r="FPH1" s="671"/>
      <c r="FPI1" s="671"/>
      <c r="FPJ1" s="671"/>
      <c r="FPK1" s="671"/>
      <c r="FPL1" s="671"/>
      <c r="FPM1" s="671"/>
      <c r="FPN1" s="671"/>
      <c r="FPO1" s="671"/>
      <c r="FPP1" s="671"/>
      <c r="FPQ1" s="671"/>
      <c r="FPR1" s="671"/>
      <c r="FPS1" s="671"/>
      <c r="FPT1" s="671"/>
      <c r="FPU1" s="671"/>
      <c r="FPV1" s="671"/>
      <c r="FPW1" s="671"/>
      <c r="FPX1" s="671"/>
      <c r="FPY1" s="671"/>
      <c r="FPZ1" s="671"/>
      <c r="FQA1" s="671"/>
      <c r="FQB1" s="671"/>
      <c r="FQC1" s="671"/>
      <c r="FQD1" s="671"/>
      <c r="FQE1" s="671"/>
      <c r="FQF1" s="671"/>
      <c r="FQG1" s="671"/>
      <c r="FQH1" s="671"/>
      <c r="FQI1" s="671"/>
      <c r="FQJ1" s="671"/>
      <c r="FQK1" s="671"/>
      <c r="FQL1" s="671"/>
      <c r="FQM1" s="671"/>
      <c r="FQN1" s="671"/>
      <c r="FQO1" s="671"/>
      <c r="FQP1" s="671"/>
      <c r="FQQ1" s="671"/>
      <c r="FQR1" s="671"/>
      <c r="FQS1" s="671"/>
      <c r="FQT1" s="671"/>
      <c r="FQU1" s="671"/>
      <c r="FQV1" s="671"/>
      <c r="FQW1" s="671"/>
      <c r="FQX1" s="671"/>
      <c r="FQY1" s="671"/>
      <c r="FQZ1" s="671"/>
      <c r="FRA1" s="671"/>
      <c r="FRB1" s="671"/>
      <c r="FRC1" s="671"/>
      <c r="FRD1" s="671"/>
      <c r="FRE1" s="671"/>
      <c r="FRF1" s="671"/>
      <c r="FRG1" s="671"/>
      <c r="FRH1" s="671"/>
      <c r="FRI1" s="671"/>
      <c r="FRJ1" s="671"/>
      <c r="FRK1" s="671"/>
      <c r="FRL1" s="671"/>
      <c r="FRM1" s="671"/>
      <c r="FRN1" s="671"/>
      <c r="FRO1" s="671"/>
      <c r="FRP1" s="671"/>
      <c r="FRQ1" s="671"/>
      <c r="FRR1" s="671"/>
      <c r="FRS1" s="671"/>
      <c r="FRT1" s="671"/>
      <c r="FRU1" s="671"/>
      <c r="FRV1" s="671"/>
      <c r="FRW1" s="671"/>
      <c r="FRX1" s="671"/>
      <c r="FRY1" s="671"/>
      <c r="FRZ1" s="671"/>
      <c r="FSA1" s="671"/>
      <c r="FSB1" s="671"/>
      <c r="FSC1" s="671"/>
      <c r="FSD1" s="671"/>
      <c r="FSE1" s="671"/>
      <c r="FSF1" s="671"/>
      <c r="FSG1" s="671"/>
      <c r="FSH1" s="671"/>
      <c r="FSI1" s="671"/>
      <c r="FSJ1" s="671"/>
      <c r="FSK1" s="671"/>
      <c r="FSL1" s="671"/>
      <c r="FSM1" s="671"/>
      <c r="FSN1" s="671"/>
      <c r="FSO1" s="671"/>
      <c r="FSP1" s="671"/>
      <c r="FSQ1" s="671"/>
      <c r="FSR1" s="671"/>
      <c r="FSS1" s="671"/>
      <c r="FST1" s="671"/>
      <c r="FSU1" s="671"/>
      <c r="FSV1" s="671"/>
      <c r="FSW1" s="671"/>
      <c r="FSX1" s="671"/>
      <c r="FSY1" s="671"/>
      <c r="FSZ1" s="671"/>
      <c r="FTA1" s="671"/>
      <c r="FTB1" s="671"/>
      <c r="FTC1" s="671"/>
      <c r="FTD1" s="671"/>
      <c r="FTE1" s="671"/>
      <c r="FTF1" s="671"/>
      <c r="FTG1" s="671"/>
      <c r="FTH1" s="671"/>
      <c r="FTI1" s="671"/>
      <c r="FTJ1" s="671"/>
      <c r="FTK1" s="671"/>
      <c r="FTL1" s="671"/>
      <c r="FTM1" s="671"/>
      <c r="FTN1" s="671"/>
      <c r="FTO1" s="671"/>
      <c r="FTP1" s="671"/>
      <c r="FTQ1" s="671"/>
      <c r="FTR1" s="671"/>
      <c r="FTS1" s="671"/>
      <c r="FTT1" s="671"/>
      <c r="FTU1" s="671"/>
      <c r="FTV1" s="671"/>
      <c r="FTW1" s="671"/>
      <c r="FTX1" s="671"/>
      <c r="FTY1" s="671"/>
      <c r="FTZ1" s="671"/>
      <c r="FUA1" s="671"/>
      <c r="FUB1" s="671"/>
      <c r="FUC1" s="671"/>
      <c r="FUD1" s="671"/>
      <c r="FUE1" s="671"/>
      <c r="FUF1" s="671"/>
      <c r="FUG1" s="671"/>
      <c r="FUH1" s="671"/>
      <c r="FUI1" s="671"/>
      <c r="FUJ1" s="671"/>
      <c r="FUK1" s="671"/>
      <c r="FUL1" s="671"/>
      <c r="FUM1" s="671"/>
      <c r="FUN1" s="671"/>
      <c r="FUO1" s="671"/>
      <c r="FUP1" s="671"/>
      <c r="FUQ1" s="671"/>
      <c r="FUR1" s="671"/>
      <c r="FUS1" s="671"/>
      <c r="FUT1" s="671"/>
      <c r="FUU1" s="671"/>
      <c r="FUV1" s="671"/>
      <c r="FUW1" s="671"/>
      <c r="FUX1" s="671"/>
      <c r="FUY1" s="671"/>
      <c r="FUZ1" s="671"/>
      <c r="FVA1" s="671"/>
      <c r="FVB1" s="671"/>
      <c r="FVC1" s="671"/>
      <c r="FVD1" s="671"/>
      <c r="FVE1" s="671"/>
      <c r="FVF1" s="671"/>
      <c r="FVG1" s="671"/>
      <c r="FVH1" s="671"/>
      <c r="FVI1" s="671"/>
      <c r="FVJ1" s="671"/>
      <c r="FVK1" s="671"/>
      <c r="FVL1" s="671"/>
      <c r="FVM1" s="671"/>
      <c r="FVN1" s="671"/>
      <c r="FVO1" s="671"/>
      <c r="FVP1" s="671"/>
      <c r="FVQ1" s="671"/>
      <c r="FVR1" s="671"/>
      <c r="FVS1" s="671"/>
      <c r="FVT1" s="671"/>
      <c r="FVU1" s="671"/>
      <c r="FVV1" s="671"/>
      <c r="FVW1" s="671"/>
      <c r="FVX1" s="671"/>
      <c r="FVY1" s="671"/>
      <c r="FVZ1" s="671"/>
      <c r="FWA1" s="671"/>
      <c r="FWB1" s="671"/>
      <c r="FWC1" s="671"/>
      <c r="FWD1" s="671"/>
      <c r="FWE1" s="671"/>
      <c r="FWF1" s="671"/>
      <c r="FWG1" s="671"/>
      <c r="FWH1" s="671"/>
      <c r="FWI1" s="671"/>
      <c r="FWJ1" s="671"/>
      <c r="FWK1" s="671"/>
      <c r="FWL1" s="671"/>
      <c r="FWM1" s="671"/>
      <c r="FWN1" s="671"/>
      <c r="FWO1" s="671"/>
      <c r="FWP1" s="671"/>
      <c r="FWQ1" s="671"/>
      <c r="FWR1" s="671"/>
      <c r="FWS1" s="671"/>
      <c r="FWT1" s="671"/>
      <c r="FWU1" s="671"/>
      <c r="FWV1" s="671"/>
      <c r="FWW1" s="671"/>
      <c r="FWX1" s="671"/>
      <c r="FWY1" s="671"/>
      <c r="FWZ1" s="671"/>
      <c r="FXA1" s="671"/>
      <c r="FXB1" s="671"/>
      <c r="FXC1" s="671"/>
      <c r="FXD1" s="671"/>
      <c r="FXE1" s="671"/>
      <c r="FXF1" s="671"/>
      <c r="FXG1" s="671"/>
      <c r="FXH1" s="671"/>
      <c r="FXI1" s="671"/>
      <c r="FXJ1" s="671"/>
      <c r="FXK1" s="671"/>
      <c r="FXL1" s="671"/>
      <c r="FXM1" s="671"/>
      <c r="FXN1" s="671"/>
      <c r="FXO1" s="671"/>
      <c r="FXP1" s="671"/>
      <c r="FXQ1" s="671"/>
      <c r="FXR1" s="671"/>
      <c r="FXS1" s="671"/>
      <c r="FXT1" s="671"/>
      <c r="FXU1" s="671"/>
      <c r="FXV1" s="671"/>
      <c r="FXW1" s="671"/>
      <c r="FXX1" s="671"/>
      <c r="FXY1" s="671"/>
      <c r="FXZ1" s="671"/>
      <c r="FYA1" s="671"/>
      <c r="FYB1" s="671"/>
      <c r="FYC1" s="671"/>
      <c r="FYD1" s="671"/>
      <c r="FYE1" s="671"/>
      <c r="FYF1" s="671"/>
      <c r="FYG1" s="671"/>
      <c r="FYH1" s="671"/>
      <c r="FYI1" s="671"/>
      <c r="FYJ1" s="671"/>
      <c r="FYK1" s="671"/>
      <c r="FYL1" s="671"/>
      <c r="FYM1" s="671"/>
      <c r="FYN1" s="671"/>
      <c r="FYO1" s="671"/>
      <c r="FYP1" s="671"/>
      <c r="FYQ1" s="671"/>
      <c r="FYR1" s="671"/>
      <c r="FYS1" s="671"/>
      <c r="FYT1" s="671"/>
      <c r="FYU1" s="671"/>
      <c r="FYV1" s="671"/>
      <c r="FYW1" s="671"/>
      <c r="FYX1" s="671"/>
      <c r="FYY1" s="671"/>
      <c r="FYZ1" s="671"/>
      <c r="FZA1" s="671"/>
      <c r="FZB1" s="671"/>
      <c r="FZC1" s="671"/>
      <c r="FZD1" s="671"/>
      <c r="FZE1" s="671"/>
      <c r="FZF1" s="671"/>
      <c r="FZG1" s="671"/>
      <c r="FZH1" s="671"/>
      <c r="FZI1" s="671"/>
      <c r="FZJ1" s="671"/>
      <c r="FZK1" s="671"/>
      <c r="FZL1" s="671"/>
      <c r="FZM1" s="671"/>
      <c r="FZN1" s="671"/>
      <c r="FZO1" s="671"/>
      <c r="FZP1" s="671"/>
      <c r="FZQ1" s="671"/>
      <c r="FZR1" s="671"/>
      <c r="FZS1" s="671"/>
      <c r="FZT1" s="671"/>
      <c r="FZU1" s="671"/>
      <c r="FZV1" s="671"/>
      <c r="FZW1" s="671"/>
      <c r="FZX1" s="671"/>
      <c r="FZY1" s="671"/>
      <c r="FZZ1" s="671"/>
      <c r="GAA1" s="671"/>
      <c r="GAB1" s="671"/>
      <c r="GAC1" s="671"/>
      <c r="GAD1" s="671"/>
      <c r="GAE1" s="671"/>
      <c r="GAF1" s="671"/>
      <c r="GAG1" s="671"/>
      <c r="GAH1" s="671"/>
      <c r="GAI1" s="671"/>
      <c r="GAJ1" s="671"/>
      <c r="GAK1" s="671"/>
      <c r="GAL1" s="671"/>
      <c r="GAM1" s="671"/>
      <c r="GAN1" s="671"/>
      <c r="GAO1" s="671"/>
      <c r="GAP1" s="671"/>
      <c r="GAQ1" s="671"/>
      <c r="GAR1" s="671"/>
      <c r="GAS1" s="671"/>
      <c r="GAT1" s="671"/>
      <c r="GAU1" s="671"/>
      <c r="GAV1" s="671"/>
      <c r="GAW1" s="671"/>
      <c r="GAX1" s="671"/>
      <c r="GAY1" s="671"/>
      <c r="GAZ1" s="671"/>
      <c r="GBA1" s="671"/>
      <c r="GBB1" s="671"/>
      <c r="GBC1" s="671"/>
      <c r="GBD1" s="671"/>
      <c r="GBE1" s="671"/>
      <c r="GBF1" s="671"/>
      <c r="GBG1" s="671"/>
      <c r="GBH1" s="671"/>
      <c r="GBI1" s="671"/>
      <c r="GBJ1" s="671"/>
      <c r="GBK1" s="671"/>
      <c r="GBL1" s="671"/>
      <c r="GBM1" s="671"/>
      <c r="GBN1" s="671"/>
      <c r="GBO1" s="671"/>
      <c r="GBP1" s="671"/>
      <c r="GBQ1" s="671"/>
      <c r="GBR1" s="671"/>
      <c r="GBS1" s="671"/>
      <c r="GBT1" s="671"/>
      <c r="GBU1" s="671"/>
      <c r="GBV1" s="671"/>
      <c r="GBW1" s="671"/>
      <c r="GBX1" s="671"/>
      <c r="GBY1" s="671"/>
      <c r="GBZ1" s="671"/>
      <c r="GCA1" s="671"/>
      <c r="GCB1" s="671"/>
      <c r="GCC1" s="671"/>
      <c r="GCD1" s="671"/>
      <c r="GCE1" s="671"/>
      <c r="GCF1" s="671"/>
      <c r="GCG1" s="671"/>
      <c r="GCH1" s="671"/>
      <c r="GCI1" s="671"/>
      <c r="GCJ1" s="671"/>
      <c r="GCK1" s="671"/>
      <c r="GCL1" s="671"/>
      <c r="GCM1" s="671"/>
      <c r="GCN1" s="671"/>
      <c r="GCO1" s="671"/>
      <c r="GCP1" s="671"/>
      <c r="GCQ1" s="671"/>
      <c r="GCR1" s="671"/>
      <c r="GCS1" s="671"/>
      <c r="GCT1" s="671"/>
      <c r="GCU1" s="671"/>
      <c r="GCV1" s="671"/>
      <c r="GCW1" s="671"/>
      <c r="GCX1" s="671"/>
      <c r="GCY1" s="671"/>
      <c r="GCZ1" s="671"/>
      <c r="GDA1" s="671"/>
      <c r="GDB1" s="671"/>
      <c r="GDC1" s="671"/>
      <c r="GDD1" s="671"/>
      <c r="GDE1" s="671"/>
      <c r="GDF1" s="671"/>
      <c r="GDG1" s="671"/>
      <c r="GDH1" s="671"/>
      <c r="GDI1" s="671"/>
      <c r="GDJ1" s="671"/>
      <c r="GDK1" s="671"/>
      <c r="GDL1" s="671"/>
      <c r="GDM1" s="671"/>
      <c r="GDN1" s="671"/>
      <c r="GDO1" s="671"/>
      <c r="GDP1" s="671"/>
      <c r="GDQ1" s="671"/>
      <c r="GDR1" s="671"/>
      <c r="GDS1" s="671"/>
      <c r="GDT1" s="671"/>
      <c r="GDU1" s="671"/>
      <c r="GDV1" s="671"/>
      <c r="GDW1" s="671"/>
      <c r="GDX1" s="671"/>
      <c r="GDY1" s="671"/>
      <c r="GDZ1" s="671"/>
      <c r="GEA1" s="671"/>
      <c r="GEB1" s="671"/>
      <c r="GEC1" s="671"/>
      <c r="GED1" s="671"/>
      <c r="GEE1" s="671"/>
      <c r="GEF1" s="671"/>
      <c r="GEG1" s="671"/>
      <c r="GEH1" s="671"/>
      <c r="GEI1" s="671"/>
      <c r="GEJ1" s="671"/>
      <c r="GEK1" s="671"/>
      <c r="GEL1" s="671"/>
      <c r="GEM1" s="671"/>
      <c r="GEN1" s="671"/>
      <c r="GEO1" s="671"/>
      <c r="GEP1" s="671"/>
      <c r="GEQ1" s="671"/>
      <c r="GER1" s="671"/>
      <c r="GES1" s="671"/>
      <c r="GET1" s="671"/>
      <c r="GEU1" s="671"/>
      <c r="GEV1" s="671"/>
      <c r="GEW1" s="671"/>
      <c r="GEX1" s="671"/>
      <c r="GEY1" s="671"/>
      <c r="GEZ1" s="671"/>
      <c r="GFA1" s="671"/>
      <c r="GFB1" s="671"/>
      <c r="GFC1" s="671"/>
      <c r="GFD1" s="671"/>
      <c r="GFE1" s="671"/>
      <c r="GFF1" s="671"/>
      <c r="GFG1" s="671"/>
      <c r="GFH1" s="671"/>
      <c r="GFI1" s="671"/>
      <c r="GFJ1" s="671"/>
      <c r="GFK1" s="671"/>
      <c r="GFL1" s="671"/>
      <c r="GFM1" s="671"/>
      <c r="GFN1" s="671"/>
      <c r="GFO1" s="671"/>
      <c r="GFP1" s="671"/>
      <c r="GFQ1" s="671"/>
      <c r="GFR1" s="671"/>
      <c r="GFS1" s="671"/>
      <c r="GFT1" s="671"/>
      <c r="GFU1" s="671"/>
      <c r="GFV1" s="671"/>
      <c r="GFW1" s="671"/>
      <c r="GFX1" s="671"/>
      <c r="GFY1" s="671"/>
      <c r="GFZ1" s="671"/>
      <c r="GGA1" s="671"/>
      <c r="GGB1" s="671"/>
      <c r="GGC1" s="671"/>
      <c r="GGD1" s="671"/>
      <c r="GGE1" s="671"/>
      <c r="GGF1" s="671"/>
      <c r="GGG1" s="671"/>
      <c r="GGH1" s="671"/>
      <c r="GGI1" s="671"/>
      <c r="GGJ1" s="671"/>
      <c r="GGK1" s="671"/>
      <c r="GGL1" s="671"/>
      <c r="GGM1" s="671"/>
      <c r="GGN1" s="671"/>
      <c r="GGO1" s="671"/>
      <c r="GGP1" s="671"/>
      <c r="GGQ1" s="671"/>
      <c r="GGR1" s="671"/>
      <c r="GGS1" s="671"/>
      <c r="GGT1" s="671"/>
      <c r="GGU1" s="671"/>
      <c r="GGV1" s="671"/>
      <c r="GGW1" s="671"/>
      <c r="GGX1" s="671"/>
      <c r="GGY1" s="671"/>
      <c r="GGZ1" s="671"/>
      <c r="GHA1" s="671"/>
      <c r="GHB1" s="671"/>
      <c r="GHC1" s="671"/>
      <c r="GHD1" s="671"/>
      <c r="GHE1" s="671"/>
      <c r="GHF1" s="671"/>
      <c r="GHG1" s="671"/>
      <c r="GHH1" s="671"/>
      <c r="GHI1" s="671"/>
      <c r="GHJ1" s="671"/>
      <c r="GHK1" s="671"/>
      <c r="GHL1" s="671"/>
      <c r="GHM1" s="671"/>
      <c r="GHN1" s="671"/>
      <c r="GHO1" s="671"/>
      <c r="GHP1" s="671"/>
      <c r="GHQ1" s="671"/>
      <c r="GHR1" s="671"/>
      <c r="GHS1" s="671"/>
      <c r="GHT1" s="671"/>
      <c r="GHU1" s="671"/>
      <c r="GHV1" s="671"/>
      <c r="GHW1" s="671"/>
      <c r="GHX1" s="671"/>
      <c r="GHY1" s="671"/>
      <c r="GHZ1" s="671"/>
      <c r="GIA1" s="671"/>
      <c r="GIB1" s="671"/>
      <c r="GIC1" s="671"/>
      <c r="GID1" s="671"/>
      <c r="GIE1" s="671"/>
      <c r="GIF1" s="671"/>
      <c r="GIG1" s="671"/>
      <c r="GIH1" s="671"/>
      <c r="GII1" s="671"/>
      <c r="GIJ1" s="671"/>
      <c r="GIK1" s="671"/>
      <c r="GIL1" s="671"/>
      <c r="GIM1" s="671"/>
      <c r="GIN1" s="671"/>
      <c r="GIO1" s="671"/>
      <c r="GIP1" s="671"/>
      <c r="GIQ1" s="671"/>
      <c r="GIR1" s="671"/>
      <c r="GIS1" s="671"/>
      <c r="GIT1" s="671"/>
      <c r="GIU1" s="671"/>
      <c r="GIV1" s="671"/>
      <c r="GIW1" s="671"/>
      <c r="GIX1" s="671"/>
      <c r="GIY1" s="671"/>
      <c r="GIZ1" s="671"/>
      <c r="GJA1" s="671"/>
      <c r="GJB1" s="671"/>
      <c r="GJC1" s="671"/>
      <c r="GJD1" s="671"/>
      <c r="GJE1" s="671"/>
      <c r="GJF1" s="671"/>
      <c r="GJG1" s="671"/>
      <c r="GJH1" s="671"/>
      <c r="GJI1" s="671"/>
      <c r="GJJ1" s="671"/>
      <c r="GJK1" s="671"/>
      <c r="GJL1" s="671"/>
      <c r="GJM1" s="671"/>
      <c r="GJN1" s="671"/>
      <c r="GJO1" s="671"/>
      <c r="GJP1" s="671"/>
      <c r="GJQ1" s="671"/>
      <c r="GJR1" s="671"/>
      <c r="GJS1" s="671"/>
      <c r="GJT1" s="671"/>
      <c r="GJU1" s="671"/>
      <c r="GJV1" s="671"/>
      <c r="GJW1" s="671"/>
      <c r="GJX1" s="671"/>
      <c r="GJY1" s="671"/>
      <c r="GJZ1" s="671"/>
      <c r="GKA1" s="671"/>
      <c r="GKB1" s="671"/>
      <c r="GKC1" s="671"/>
      <c r="GKD1" s="671"/>
      <c r="GKE1" s="671"/>
      <c r="GKF1" s="671"/>
      <c r="GKG1" s="671"/>
      <c r="GKH1" s="671"/>
      <c r="GKI1" s="671"/>
      <c r="GKJ1" s="671"/>
      <c r="GKK1" s="671"/>
      <c r="GKL1" s="671"/>
      <c r="GKM1" s="671"/>
      <c r="GKN1" s="671"/>
      <c r="GKO1" s="671"/>
      <c r="GKP1" s="671"/>
      <c r="GKQ1" s="671"/>
      <c r="GKR1" s="671"/>
      <c r="GKS1" s="671"/>
      <c r="GKT1" s="671"/>
      <c r="GKU1" s="671"/>
      <c r="GKV1" s="671"/>
      <c r="GKW1" s="671"/>
      <c r="GKX1" s="671"/>
      <c r="GKY1" s="671"/>
      <c r="GKZ1" s="671"/>
      <c r="GLA1" s="671"/>
      <c r="GLB1" s="671"/>
      <c r="GLC1" s="671"/>
      <c r="GLD1" s="671"/>
      <c r="GLE1" s="671"/>
      <c r="GLF1" s="671"/>
      <c r="GLG1" s="671"/>
      <c r="GLH1" s="671"/>
      <c r="GLI1" s="671"/>
      <c r="GLJ1" s="671"/>
      <c r="GLK1" s="671"/>
      <c r="GLL1" s="671"/>
      <c r="GLM1" s="671"/>
      <c r="GLN1" s="671"/>
      <c r="GLO1" s="671"/>
      <c r="GLP1" s="671"/>
      <c r="GLQ1" s="671"/>
      <c r="GLR1" s="671"/>
      <c r="GLS1" s="671"/>
      <c r="GLT1" s="671"/>
      <c r="GLU1" s="671"/>
      <c r="GLV1" s="671"/>
      <c r="GLW1" s="671"/>
      <c r="GLX1" s="671"/>
      <c r="GLY1" s="671"/>
      <c r="GLZ1" s="671"/>
      <c r="GMA1" s="671"/>
      <c r="GMB1" s="671"/>
      <c r="GMC1" s="671"/>
      <c r="GMD1" s="671"/>
      <c r="GME1" s="671"/>
      <c r="GMF1" s="671"/>
      <c r="GMG1" s="671"/>
      <c r="GMH1" s="671"/>
      <c r="GMI1" s="671"/>
      <c r="GMJ1" s="671"/>
      <c r="GMK1" s="671"/>
      <c r="GML1" s="671"/>
      <c r="GMM1" s="671"/>
      <c r="GMN1" s="671"/>
      <c r="GMO1" s="671"/>
      <c r="GMP1" s="671"/>
      <c r="GMQ1" s="671"/>
      <c r="GMR1" s="671"/>
      <c r="GMS1" s="671"/>
      <c r="GMT1" s="671"/>
      <c r="GMU1" s="671"/>
      <c r="GMV1" s="671"/>
      <c r="GMW1" s="671"/>
      <c r="GMX1" s="671"/>
      <c r="GMY1" s="671"/>
      <c r="GMZ1" s="671"/>
      <c r="GNA1" s="671"/>
      <c r="GNB1" s="671"/>
      <c r="GNC1" s="671"/>
      <c r="GND1" s="671"/>
      <c r="GNE1" s="671"/>
      <c r="GNF1" s="671"/>
      <c r="GNG1" s="671"/>
      <c r="GNH1" s="671"/>
      <c r="GNI1" s="671"/>
      <c r="GNJ1" s="671"/>
      <c r="GNK1" s="671"/>
      <c r="GNL1" s="671"/>
      <c r="GNM1" s="671"/>
      <c r="GNN1" s="671"/>
      <c r="GNO1" s="671"/>
      <c r="GNP1" s="671"/>
      <c r="GNQ1" s="671"/>
      <c r="GNR1" s="671"/>
      <c r="GNS1" s="671"/>
      <c r="GNT1" s="671"/>
      <c r="GNU1" s="671"/>
      <c r="GNV1" s="671"/>
      <c r="GNW1" s="671"/>
      <c r="GNX1" s="671"/>
      <c r="GNY1" s="671"/>
      <c r="GNZ1" s="671"/>
      <c r="GOA1" s="671"/>
      <c r="GOB1" s="671"/>
      <c r="GOC1" s="671"/>
      <c r="GOD1" s="671"/>
      <c r="GOE1" s="671"/>
      <c r="GOF1" s="671"/>
      <c r="GOG1" s="671"/>
      <c r="GOH1" s="671"/>
      <c r="GOI1" s="671"/>
      <c r="GOJ1" s="671"/>
      <c r="GOK1" s="671"/>
      <c r="GOL1" s="671"/>
      <c r="GOM1" s="671"/>
      <c r="GON1" s="671"/>
      <c r="GOO1" s="671"/>
      <c r="GOP1" s="671"/>
      <c r="GOQ1" s="671"/>
      <c r="GOR1" s="671"/>
      <c r="GOS1" s="671"/>
      <c r="GOT1" s="671"/>
      <c r="GOU1" s="671"/>
      <c r="GOV1" s="671"/>
      <c r="GOW1" s="671"/>
      <c r="GOX1" s="671"/>
      <c r="GOY1" s="671"/>
      <c r="GOZ1" s="671"/>
      <c r="GPA1" s="671"/>
      <c r="GPB1" s="671"/>
      <c r="GPC1" s="671"/>
      <c r="GPD1" s="671"/>
      <c r="GPE1" s="671"/>
      <c r="GPF1" s="671"/>
      <c r="GPG1" s="671"/>
      <c r="GPH1" s="671"/>
      <c r="GPI1" s="671"/>
      <c r="GPJ1" s="671"/>
      <c r="GPK1" s="671"/>
      <c r="GPL1" s="671"/>
      <c r="GPM1" s="671"/>
      <c r="GPN1" s="671"/>
      <c r="GPO1" s="671"/>
      <c r="GPP1" s="671"/>
      <c r="GPQ1" s="671"/>
      <c r="GPR1" s="671"/>
      <c r="GPS1" s="671"/>
      <c r="GPT1" s="671"/>
      <c r="GPU1" s="671"/>
      <c r="GPV1" s="671"/>
      <c r="GPW1" s="671"/>
      <c r="GPX1" s="671"/>
      <c r="GPY1" s="671"/>
      <c r="GPZ1" s="671"/>
      <c r="GQA1" s="671"/>
      <c r="GQB1" s="671"/>
      <c r="GQC1" s="671"/>
      <c r="GQD1" s="671"/>
      <c r="GQE1" s="671"/>
      <c r="GQF1" s="671"/>
      <c r="GQG1" s="671"/>
      <c r="GQH1" s="671"/>
      <c r="GQI1" s="671"/>
      <c r="GQJ1" s="671"/>
      <c r="GQK1" s="671"/>
      <c r="GQL1" s="671"/>
      <c r="GQM1" s="671"/>
      <c r="GQN1" s="671"/>
      <c r="GQO1" s="671"/>
      <c r="GQP1" s="671"/>
      <c r="GQQ1" s="671"/>
      <c r="GQR1" s="671"/>
      <c r="GQS1" s="671"/>
      <c r="GQT1" s="671"/>
      <c r="GQU1" s="671"/>
      <c r="GQV1" s="671"/>
      <c r="GQW1" s="671"/>
      <c r="GQX1" s="671"/>
      <c r="GQY1" s="671"/>
      <c r="GQZ1" s="671"/>
      <c r="GRA1" s="671"/>
      <c r="GRB1" s="671"/>
      <c r="GRC1" s="671"/>
      <c r="GRD1" s="671"/>
      <c r="GRE1" s="671"/>
      <c r="GRF1" s="671"/>
      <c r="GRG1" s="671"/>
      <c r="GRH1" s="671"/>
      <c r="GRI1" s="671"/>
      <c r="GRJ1" s="671"/>
      <c r="GRK1" s="671"/>
      <c r="GRL1" s="671"/>
      <c r="GRM1" s="671"/>
      <c r="GRN1" s="671"/>
      <c r="GRO1" s="671"/>
      <c r="GRP1" s="671"/>
      <c r="GRQ1" s="671"/>
      <c r="GRR1" s="671"/>
      <c r="GRS1" s="671"/>
      <c r="GRT1" s="671"/>
      <c r="GRU1" s="671"/>
      <c r="GRV1" s="671"/>
      <c r="GRW1" s="671"/>
      <c r="GRX1" s="671"/>
      <c r="GRY1" s="671"/>
      <c r="GRZ1" s="671"/>
      <c r="GSA1" s="671"/>
      <c r="GSB1" s="671"/>
      <c r="GSC1" s="671"/>
      <c r="GSD1" s="671"/>
      <c r="GSE1" s="671"/>
      <c r="GSF1" s="671"/>
      <c r="GSG1" s="671"/>
      <c r="GSH1" s="671"/>
      <c r="GSI1" s="671"/>
      <c r="GSJ1" s="671"/>
      <c r="GSK1" s="671"/>
      <c r="GSL1" s="671"/>
      <c r="GSM1" s="671"/>
      <c r="GSN1" s="671"/>
      <c r="GSO1" s="671"/>
      <c r="GSP1" s="671"/>
      <c r="GSQ1" s="671"/>
      <c r="GSR1" s="671"/>
      <c r="GSS1" s="671"/>
      <c r="GST1" s="671"/>
      <c r="GSU1" s="671"/>
      <c r="GSV1" s="671"/>
      <c r="GSW1" s="671"/>
      <c r="GSX1" s="671"/>
      <c r="GSY1" s="671"/>
      <c r="GSZ1" s="671"/>
      <c r="GTA1" s="671"/>
      <c r="GTB1" s="671"/>
      <c r="GTC1" s="671"/>
      <c r="GTD1" s="671"/>
      <c r="GTE1" s="671"/>
      <c r="GTF1" s="671"/>
      <c r="GTG1" s="671"/>
      <c r="GTH1" s="671"/>
      <c r="GTI1" s="671"/>
      <c r="GTJ1" s="671"/>
      <c r="GTK1" s="671"/>
      <c r="GTL1" s="671"/>
      <c r="GTM1" s="671"/>
      <c r="GTN1" s="671"/>
      <c r="GTO1" s="671"/>
      <c r="GTP1" s="671"/>
      <c r="GTQ1" s="671"/>
      <c r="GTR1" s="671"/>
      <c r="GTS1" s="671"/>
      <c r="GTT1" s="671"/>
      <c r="GTU1" s="671"/>
      <c r="GTV1" s="671"/>
      <c r="GTW1" s="671"/>
      <c r="GTX1" s="671"/>
      <c r="GTY1" s="671"/>
      <c r="GTZ1" s="671"/>
      <c r="GUA1" s="671"/>
      <c r="GUB1" s="671"/>
      <c r="GUC1" s="671"/>
      <c r="GUD1" s="671"/>
      <c r="GUE1" s="671"/>
      <c r="GUF1" s="671"/>
      <c r="GUG1" s="671"/>
      <c r="GUH1" s="671"/>
      <c r="GUI1" s="671"/>
      <c r="GUJ1" s="671"/>
      <c r="GUK1" s="671"/>
      <c r="GUL1" s="671"/>
      <c r="GUM1" s="671"/>
      <c r="GUN1" s="671"/>
      <c r="GUO1" s="671"/>
      <c r="GUP1" s="671"/>
      <c r="GUQ1" s="671"/>
      <c r="GUR1" s="671"/>
      <c r="GUS1" s="671"/>
      <c r="GUT1" s="671"/>
      <c r="GUU1" s="671"/>
      <c r="GUV1" s="671"/>
      <c r="GUW1" s="671"/>
      <c r="GUX1" s="671"/>
      <c r="GUY1" s="671"/>
      <c r="GUZ1" s="671"/>
      <c r="GVA1" s="671"/>
      <c r="GVB1" s="671"/>
      <c r="GVC1" s="671"/>
      <c r="GVD1" s="671"/>
      <c r="GVE1" s="671"/>
      <c r="GVF1" s="671"/>
      <c r="GVG1" s="671"/>
      <c r="GVH1" s="671"/>
      <c r="GVI1" s="671"/>
      <c r="GVJ1" s="671"/>
      <c r="GVK1" s="671"/>
      <c r="GVL1" s="671"/>
      <c r="GVM1" s="671"/>
      <c r="GVN1" s="671"/>
      <c r="GVO1" s="671"/>
      <c r="GVP1" s="671"/>
      <c r="GVQ1" s="671"/>
      <c r="GVR1" s="671"/>
      <c r="GVS1" s="671"/>
      <c r="GVT1" s="671"/>
      <c r="GVU1" s="671"/>
      <c r="GVV1" s="671"/>
      <c r="GVW1" s="671"/>
      <c r="GVX1" s="671"/>
      <c r="GVY1" s="671"/>
      <c r="GVZ1" s="671"/>
      <c r="GWA1" s="671"/>
      <c r="GWB1" s="671"/>
      <c r="GWC1" s="671"/>
      <c r="GWD1" s="671"/>
      <c r="GWE1" s="671"/>
      <c r="GWF1" s="671"/>
      <c r="GWG1" s="671"/>
      <c r="GWH1" s="671"/>
      <c r="GWI1" s="671"/>
      <c r="GWJ1" s="671"/>
      <c r="GWK1" s="671"/>
      <c r="GWL1" s="671"/>
      <c r="GWM1" s="671"/>
      <c r="GWN1" s="671"/>
      <c r="GWO1" s="671"/>
      <c r="GWP1" s="671"/>
      <c r="GWQ1" s="671"/>
      <c r="GWR1" s="671"/>
      <c r="GWS1" s="671"/>
      <c r="GWT1" s="671"/>
      <c r="GWU1" s="671"/>
      <c r="GWV1" s="671"/>
      <c r="GWW1" s="671"/>
      <c r="GWX1" s="671"/>
      <c r="GWY1" s="671"/>
      <c r="GWZ1" s="671"/>
      <c r="GXA1" s="671"/>
      <c r="GXB1" s="671"/>
      <c r="GXC1" s="671"/>
      <c r="GXD1" s="671"/>
      <c r="GXE1" s="671"/>
      <c r="GXF1" s="671"/>
      <c r="GXG1" s="671"/>
      <c r="GXH1" s="671"/>
      <c r="GXI1" s="671"/>
      <c r="GXJ1" s="671"/>
      <c r="GXK1" s="671"/>
      <c r="GXL1" s="671"/>
      <c r="GXM1" s="671"/>
      <c r="GXN1" s="671"/>
      <c r="GXO1" s="671"/>
      <c r="GXP1" s="671"/>
      <c r="GXQ1" s="671"/>
      <c r="GXR1" s="671"/>
      <c r="GXS1" s="671"/>
      <c r="GXT1" s="671"/>
      <c r="GXU1" s="671"/>
      <c r="GXV1" s="671"/>
      <c r="GXW1" s="671"/>
      <c r="GXX1" s="671"/>
      <c r="GXY1" s="671"/>
      <c r="GXZ1" s="671"/>
      <c r="GYA1" s="671"/>
      <c r="GYB1" s="671"/>
      <c r="GYC1" s="671"/>
      <c r="GYD1" s="671"/>
      <c r="GYE1" s="671"/>
      <c r="GYF1" s="671"/>
      <c r="GYG1" s="671"/>
      <c r="GYH1" s="671"/>
      <c r="GYI1" s="671"/>
      <c r="GYJ1" s="671"/>
      <c r="GYK1" s="671"/>
      <c r="GYL1" s="671"/>
      <c r="GYM1" s="671"/>
      <c r="GYN1" s="671"/>
      <c r="GYO1" s="671"/>
      <c r="GYP1" s="671"/>
      <c r="GYQ1" s="671"/>
      <c r="GYR1" s="671"/>
      <c r="GYS1" s="671"/>
      <c r="GYT1" s="671"/>
      <c r="GYU1" s="671"/>
      <c r="GYV1" s="671"/>
      <c r="GYW1" s="671"/>
      <c r="GYX1" s="671"/>
      <c r="GYY1" s="671"/>
      <c r="GYZ1" s="671"/>
      <c r="GZA1" s="671"/>
      <c r="GZB1" s="671"/>
      <c r="GZC1" s="671"/>
      <c r="GZD1" s="671"/>
      <c r="GZE1" s="671"/>
      <c r="GZF1" s="671"/>
      <c r="GZG1" s="671"/>
      <c r="GZH1" s="671"/>
      <c r="GZI1" s="671"/>
      <c r="GZJ1" s="671"/>
      <c r="GZK1" s="671"/>
      <c r="GZL1" s="671"/>
      <c r="GZM1" s="671"/>
      <c r="GZN1" s="671"/>
      <c r="GZO1" s="671"/>
      <c r="GZP1" s="671"/>
      <c r="GZQ1" s="671"/>
      <c r="GZR1" s="671"/>
      <c r="GZS1" s="671"/>
      <c r="GZT1" s="671"/>
      <c r="GZU1" s="671"/>
      <c r="GZV1" s="671"/>
      <c r="GZW1" s="671"/>
      <c r="GZX1" s="671"/>
      <c r="GZY1" s="671"/>
      <c r="GZZ1" s="671"/>
      <c r="HAA1" s="671"/>
      <c r="HAB1" s="671"/>
      <c r="HAC1" s="671"/>
      <c r="HAD1" s="671"/>
      <c r="HAE1" s="671"/>
      <c r="HAF1" s="671"/>
      <c r="HAG1" s="671"/>
      <c r="HAH1" s="671"/>
      <c r="HAI1" s="671"/>
      <c r="HAJ1" s="671"/>
      <c r="HAK1" s="671"/>
      <c r="HAL1" s="671"/>
      <c r="HAM1" s="671"/>
      <c r="HAN1" s="671"/>
      <c r="HAO1" s="671"/>
      <c r="HAP1" s="671"/>
      <c r="HAQ1" s="671"/>
      <c r="HAR1" s="671"/>
      <c r="HAS1" s="671"/>
      <c r="HAT1" s="671"/>
      <c r="HAU1" s="671"/>
      <c r="HAV1" s="671"/>
      <c r="HAW1" s="671"/>
      <c r="HAX1" s="671"/>
      <c r="HAY1" s="671"/>
      <c r="HAZ1" s="671"/>
      <c r="HBA1" s="671"/>
      <c r="HBB1" s="671"/>
      <c r="HBC1" s="671"/>
      <c r="HBD1" s="671"/>
      <c r="HBE1" s="671"/>
      <c r="HBF1" s="671"/>
      <c r="HBG1" s="671"/>
      <c r="HBH1" s="671"/>
      <c r="HBI1" s="671"/>
      <c r="HBJ1" s="671"/>
      <c r="HBK1" s="671"/>
      <c r="HBL1" s="671"/>
      <c r="HBM1" s="671"/>
      <c r="HBN1" s="671"/>
      <c r="HBO1" s="671"/>
      <c r="HBP1" s="671"/>
      <c r="HBQ1" s="671"/>
      <c r="HBR1" s="671"/>
      <c r="HBS1" s="671"/>
      <c r="HBT1" s="671"/>
      <c r="HBU1" s="671"/>
      <c r="HBV1" s="671"/>
      <c r="HBW1" s="671"/>
      <c r="HBX1" s="671"/>
      <c r="HBY1" s="671"/>
      <c r="HBZ1" s="671"/>
      <c r="HCA1" s="671"/>
      <c r="HCB1" s="671"/>
      <c r="HCC1" s="671"/>
      <c r="HCD1" s="671"/>
      <c r="HCE1" s="671"/>
      <c r="HCF1" s="671"/>
      <c r="HCG1" s="671"/>
      <c r="HCH1" s="671"/>
      <c r="HCI1" s="671"/>
      <c r="HCJ1" s="671"/>
      <c r="HCK1" s="671"/>
      <c r="HCL1" s="671"/>
      <c r="HCM1" s="671"/>
      <c r="HCN1" s="671"/>
      <c r="HCO1" s="671"/>
      <c r="HCP1" s="671"/>
      <c r="HCQ1" s="671"/>
      <c r="HCR1" s="671"/>
      <c r="HCS1" s="671"/>
      <c r="HCT1" s="671"/>
      <c r="HCU1" s="671"/>
      <c r="HCV1" s="671"/>
      <c r="HCW1" s="671"/>
      <c r="HCX1" s="671"/>
      <c r="HCY1" s="671"/>
      <c r="HCZ1" s="671"/>
      <c r="HDA1" s="671"/>
      <c r="HDB1" s="671"/>
      <c r="HDC1" s="671"/>
      <c r="HDD1" s="671"/>
      <c r="HDE1" s="671"/>
      <c r="HDF1" s="671"/>
      <c r="HDG1" s="671"/>
      <c r="HDH1" s="671"/>
      <c r="HDI1" s="671"/>
      <c r="HDJ1" s="671"/>
      <c r="HDK1" s="671"/>
      <c r="HDL1" s="671"/>
      <c r="HDM1" s="671"/>
      <c r="HDN1" s="671"/>
      <c r="HDO1" s="671"/>
      <c r="HDP1" s="671"/>
      <c r="HDQ1" s="671"/>
      <c r="HDR1" s="671"/>
      <c r="HDS1" s="671"/>
      <c r="HDT1" s="671"/>
      <c r="HDU1" s="671"/>
      <c r="HDV1" s="671"/>
      <c r="HDW1" s="671"/>
      <c r="HDX1" s="671"/>
      <c r="HDY1" s="671"/>
      <c r="HDZ1" s="671"/>
      <c r="HEA1" s="671"/>
      <c r="HEB1" s="671"/>
      <c r="HEC1" s="671"/>
      <c r="HED1" s="671"/>
      <c r="HEE1" s="671"/>
      <c r="HEF1" s="671"/>
      <c r="HEG1" s="671"/>
      <c r="HEH1" s="671"/>
      <c r="HEI1" s="671"/>
      <c r="HEJ1" s="671"/>
      <c r="HEK1" s="671"/>
      <c r="HEL1" s="671"/>
      <c r="HEM1" s="671"/>
      <c r="HEN1" s="671"/>
      <c r="HEO1" s="671"/>
      <c r="HEP1" s="671"/>
      <c r="HEQ1" s="671"/>
      <c r="HER1" s="671"/>
      <c r="HES1" s="671"/>
      <c r="HET1" s="671"/>
      <c r="HEU1" s="671"/>
      <c r="HEV1" s="671"/>
      <c r="HEW1" s="671"/>
      <c r="HEX1" s="671"/>
      <c r="HEY1" s="671"/>
      <c r="HEZ1" s="671"/>
      <c r="HFA1" s="671"/>
      <c r="HFB1" s="671"/>
      <c r="HFC1" s="671"/>
      <c r="HFD1" s="671"/>
      <c r="HFE1" s="671"/>
      <c r="HFF1" s="671"/>
      <c r="HFG1" s="671"/>
      <c r="HFH1" s="671"/>
      <c r="HFI1" s="671"/>
      <c r="HFJ1" s="671"/>
      <c r="HFK1" s="671"/>
      <c r="HFL1" s="671"/>
      <c r="HFM1" s="671"/>
      <c r="HFN1" s="671"/>
      <c r="HFO1" s="671"/>
      <c r="HFP1" s="671"/>
      <c r="HFQ1" s="671"/>
      <c r="HFR1" s="671"/>
      <c r="HFS1" s="671"/>
      <c r="HFT1" s="671"/>
      <c r="HFU1" s="671"/>
      <c r="HFV1" s="671"/>
      <c r="HFW1" s="671"/>
      <c r="HFX1" s="671"/>
      <c r="HFY1" s="671"/>
      <c r="HFZ1" s="671"/>
      <c r="HGA1" s="671"/>
      <c r="HGB1" s="671"/>
      <c r="HGC1" s="671"/>
      <c r="HGD1" s="671"/>
      <c r="HGE1" s="671"/>
      <c r="HGF1" s="671"/>
      <c r="HGG1" s="671"/>
      <c r="HGH1" s="671"/>
      <c r="HGI1" s="671"/>
      <c r="HGJ1" s="671"/>
      <c r="HGK1" s="671"/>
      <c r="HGL1" s="671"/>
      <c r="HGM1" s="671"/>
      <c r="HGN1" s="671"/>
      <c r="HGO1" s="671"/>
      <c r="HGP1" s="671"/>
      <c r="HGQ1" s="671"/>
      <c r="HGR1" s="671"/>
      <c r="HGS1" s="671"/>
      <c r="HGT1" s="671"/>
      <c r="HGU1" s="671"/>
      <c r="HGV1" s="671"/>
      <c r="HGW1" s="671"/>
      <c r="HGX1" s="671"/>
      <c r="HGY1" s="671"/>
      <c r="HGZ1" s="671"/>
      <c r="HHA1" s="671"/>
      <c r="HHB1" s="671"/>
      <c r="HHC1" s="671"/>
      <c r="HHD1" s="671"/>
      <c r="HHE1" s="671"/>
      <c r="HHF1" s="671"/>
      <c r="HHG1" s="671"/>
      <c r="HHH1" s="671"/>
      <c r="HHI1" s="671"/>
      <c r="HHJ1" s="671"/>
      <c r="HHK1" s="671"/>
      <c r="HHL1" s="671"/>
      <c r="HHM1" s="671"/>
      <c r="HHN1" s="671"/>
      <c r="HHO1" s="671"/>
      <c r="HHP1" s="671"/>
      <c r="HHQ1" s="671"/>
      <c r="HHR1" s="671"/>
      <c r="HHS1" s="671"/>
      <c r="HHT1" s="671"/>
      <c r="HHU1" s="671"/>
      <c r="HHV1" s="671"/>
      <c r="HHW1" s="671"/>
      <c r="HHX1" s="671"/>
      <c r="HHY1" s="671"/>
      <c r="HHZ1" s="671"/>
      <c r="HIA1" s="671"/>
      <c r="HIB1" s="671"/>
      <c r="HIC1" s="671"/>
      <c r="HID1" s="671"/>
      <c r="HIE1" s="671"/>
      <c r="HIF1" s="671"/>
      <c r="HIG1" s="671"/>
      <c r="HIH1" s="671"/>
      <c r="HII1" s="671"/>
      <c r="HIJ1" s="671"/>
      <c r="HIK1" s="671"/>
      <c r="HIL1" s="671"/>
      <c r="HIM1" s="671"/>
      <c r="HIN1" s="671"/>
      <c r="HIO1" s="671"/>
      <c r="HIP1" s="671"/>
      <c r="HIQ1" s="671"/>
      <c r="HIR1" s="671"/>
      <c r="HIS1" s="671"/>
      <c r="HIT1" s="671"/>
      <c r="HIU1" s="671"/>
      <c r="HIV1" s="671"/>
      <c r="HIW1" s="671"/>
      <c r="HIX1" s="671"/>
      <c r="HIY1" s="671"/>
      <c r="HIZ1" s="671"/>
      <c r="HJA1" s="671"/>
      <c r="HJB1" s="671"/>
      <c r="HJC1" s="671"/>
      <c r="HJD1" s="671"/>
      <c r="HJE1" s="671"/>
      <c r="HJF1" s="671"/>
      <c r="HJG1" s="671"/>
      <c r="HJH1" s="671"/>
      <c r="HJI1" s="671"/>
      <c r="HJJ1" s="671"/>
      <c r="HJK1" s="671"/>
      <c r="HJL1" s="671"/>
      <c r="HJM1" s="671"/>
      <c r="HJN1" s="671"/>
      <c r="HJO1" s="671"/>
      <c r="HJP1" s="671"/>
      <c r="HJQ1" s="671"/>
      <c r="HJR1" s="671"/>
      <c r="HJS1" s="671"/>
      <c r="HJT1" s="671"/>
      <c r="HJU1" s="671"/>
      <c r="HJV1" s="671"/>
      <c r="HJW1" s="671"/>
      <c r="HJX1" s="671"/>
      <c r="HJY1" s="671"/>
      <c r="HJZ1" s="671"/>
      <c r="HKA1" s="671"/>
      <c r="HKB1" s="671"/>
      <c r="HKC1" s="671"/>
      <c r="HKD1" s="671"/>
      <c r="HKE1" s="671"/>
      <c r="HKF1" s="671"/>
      <c r="HKG1" s="671"/>
      <c r="HKH1" s="671"/>
      <c r="HKI1" s="671"/>
      <c r="HKJ1" s="671"/>
      <c r="HKK1" s="671"/>
      <c r="HKL1" s="671"/>
      <c r="HKM1" s="671"/>
      <c r="HKN1" s="671"/>
      <c r="HKO1" s="671"/>
      <c r="HKP1" s="671"/>
      <c r="HKQ1" s="671"/>
      <c r="HKR1" s="671"/>
      <c r="HKS1" s="671"/>
      <c r="HKT1" s="671"/>
      <c r="HKU1" s="671"/>
      <c r="HKV1" s="671"/>
      <c r="HKW1" s="671"/>
      <c r="HKX1" s="671"/>
      <c r="HKY1" s="671"/>
      <c r="HKZ1" s="671"/>
      <c r="HLA1" s="671"/>
      <c r="HLB1" s="671"/>
      <c r="HLC1" s="671"/>
      <c r="HLD1" s="671"/>
      <c r="HLE1" s="671"/>
      <c r="HLF1" s="671"/>
      <c r="HLG1" s="671"/>
      <c r="HLH1" s="671"/>
      <c r="HLI1" s="671"/>
      <c r="HLJ1" s="671"/>
      <c r="HLK1" s="671"/>
      <c r="HLL1" s="671"/>
      <c r="HLM1" s="671"/>
      <c r="HLN1" s="671"/>
      <c r="HLO1" s="671"/>
      <c r="HLP1" s="671"/>
      <c r="HLQ1" s="671"/>
      <c r="HLR1" s="671"/>
      <c r="HLS1" s="671"/>
      <c r="HLT1" s="671"/>
      <c r="HLU1" s="671"/>
      <c r="HLV1" s="671"/>
      <c r="HLW1" s="671"/>
      <c r="HLX1" s="671"/>
      <c r="HLY1" s="671"/>
      <c r="HLZ1" s="671"/>
      <c r="HMA1" s="671"/>
      <c r="HMB1" s="671"/>
      <c r="HMC1" s="671"/>
      <c r="HMD1" s="671"/>
      <c r="HME1" s="671"/>
      <c r="HMF1" s="671"/>
      <c r="HMG1" s="671"/>
      <c r="HMH1" s="671"/>
      <c r="HMI1" s="671"/>
      <c r="HMJ1" s="671"/>
      <c r="HMK1" s="671"/>
      <c r="HML1" s="671"/>
      <c r="HMM1" s="671"/>
      <c r="HMN1" s="671"/>
      <c r="HMO1" s="671"/>
      <c r="HMP1" s="671"/>
      <c r="HMQ1" s="671"/>
      <c r="HMR1" s="671"/>
      <c r="HMS1" s="671"/>
      <c r="HMT1" s="671"/>
      <c r="HMU1" s="671"/>
      <c r="HMV1" s="671"/>
      <c r="HMW1" s="671"/>
      <c r="HMX1" s="671"/>
      <c r="HMY1" s="671"/>
      <c r="HMZ1" s="671"/>
      <c r="HNA1" s="671"/>
      <c r="HNB1" s="671"/>
      <c r="HNC1" s="671"/>
      <c r="HND1" s="671"/>
      <c r="HNE1" s="671"/>
      <c r="HNF1" s="671"/>
      <c r="HNG1" s="671"/>
      <c r="HNH1" s="671"/>
      <c r="HNI1" s="671"/>
      <c r="HNJ1" s="671"/>
      <c r="HNK1" s="671"/>
      <c r="HNL1" s="671"/>
      <c r="HNM1" s="671"/>
      <c r="HNN1" s="671"/>
      <c r="HNO1" s="671"/>
      <c r="HNP1" s="671"/>
      <c r="HNQ1" s="671"/>
      <c r="HNR1" s="671"/>
      <c r="HNS1" s="671"/>
      <c r="HNT1" s="671"/>
      <c r="HNU1" s="671"/>
      <c r="HNV1" s="671"/>
      <c r="HNW1" s="671"/>
      <c r="HNX1" s="671"/>
      <c r="HNY1" s="671"/>
      <c r="HNZ1" s="671"/>
      <c r="HOA1" s="671"/>
      <c r="HOB1" s="671"/>
      <c r="HOC1" s="671"/>
      <c r="HOD1" s="671"/>
      <c r="HOE1" s="671"/>
      <c r="HOF1" s="671"/>
      <c r="HOG1" s="671"/>
      <c r="HOH1" s="671"/>
      <c r="HOI1" s="671"/>
      <c r="HOJ1" s="671"/>
      <c r="HOK1" s="671"/>
      <c r="HOL1" s="671"/>
      <c r="HOM1" s="671"/>
      <c r="HON1" s="671"/>
      <c r="HOO1" s="671"/>
      <c r="HOP1" s="671"/>
      <c r="HOQ1" s="671"/>
      <c r="HOR1" s="671"/>
      <c r="HOS1" s="671"/>
      <c r="HOT1" s="671"/>
      <c r="HOU1" s="671"/>
      <c r="HOV1" s="671"/>
      <c r="HOW1" s="671"/>
      <c r="HOX1" s="671"/>
      <c r="HOY1" s="671"/>
      <c r="HOZ1" s="671"/>
      <c r="HPA1" s="671"/>
      <c r="HPB1" s="671"/>
      <c r="HPC1" s="671"/>
      <c r="HPD1" s="671"/>
      <c r="HPE1" s="671"/>
      <c r="HPF1" s="671"/>
      <c r="HPG1" s="671"/>
      <c r="HPH1" s="671"/>
      <c r="HPI1" s="671"/>
      <c r="HPJ1" s="671"/>
      <c r="HPK1" s="671"/>
      <c r="HPL1" s="671"/>
      <c r="HPM1" s="671"/>
      <c r="HPN1" s="671"/>
      <c r="HPO1" s="671"/>
      <c r="HPP1" s="671"/>
      <c r="HPQ1" s="671"/>
      <c r="HPR1" s="671"/>
      <c r="HPS1" s="671"/>
      <c r="HPT1" s="671"/>
      <c r="HPU1" s="671"/>
      <c r="HPV1" s="671"/>
      <c r="HPW1" s="671"/>
      <c r="HPX1" s="671"/>
      <c r="HPY1" s="671"/>
      <c r="HPZ1" s="671"/>
      <c r="HQA1" s="671"/>
      <c r="HQB1" s="671"/>
      <c r="HQC1" s="671"/>
      <c r="HQD1" s="671"/>
      <c r="HQE1" s="671"/>
      <c r="HQF1" s="671"/>
      <c r="HQG1" s="671"/>
      <c r="HQH1" s="671"/>
      <c r="HQI1" s="671"/>
      <c r="HQJ1" s="671"/>
      <c r="HQK1" s="671"/>
      <c r="HQL1" s="671"/>
      <c r="HQM1" s="671"/>
      <c r="HQN1" s="671"/>
      <c r="HQO1" s="671"/>
      <c r="HQP1" s="671"/>
      <c r="HQQ1" s="671"/>
      <c r="HQR1" s="671"/>
      <c r="HQS1" s="671"/>
      <c r="HQT1" s="671"/>
      <c r="HQU1" s="671"/>
      <c r="HQV1" s="671"/>
      <c r="HQW1" s="671"/>
      <c r="HQX1" s="671"/>
      <c r="HQY1" s="671"/>
      <c r="HQZ1" s="671"/>
      <c r="HRA1" s="671"/>
      <c r="HRB1" s="671"/>
      <c r="HRC1" s="671"/>
      <c r="HRD1" s="671"/>
      <c r="HRE1" s="671"/>
      <c r="HRF1" s="671"/>
      <c r="HRG1" s="671"/>
      <c r="HRH1" s="671"/>
      <c r="HRI1" s="671"/>
      <c r="HRJ1" s="671"/>
      <c r="HRK1" s="671"/>
      <c r="HRL1" s="671"/>
      <c r="HRM1" s="671"/>
      <c r="HRN1" s="671"/>
      <c r="HRO1" s="671"/>
      <c r="HRP1" s="671"/>
      <c r="HRQ1" s="671"/>
      <c r="HRR1" s="671"/>
      <c r="HRS1" s="671"/>
      <c r="HRT1" s="671"/>
      <c r="HRU1" s="671"/>
      <c r="HRV1" s="671"/>
      <c r="HRW1" s="671"/>
      <c r="HRX1" s="671"/>
      <c r="HRY1" s="671"/>
      <c r="HRZ1" s="671"/>
      <c r="HSA1" s="671"/>
      <c r="HSB1" s="671"/>
      <c r="HSC1" s="671"/>
      <c r="HSD1" s="671"/>
      <c r="HSE1" s="671"/>
      <c r="HSF1" s="671"/>
      <c r="HSG1" s="671"/>
      <c r="HSH1" s="671"/>
      <c r="HSI1" s="671"/>
      <c r="HSJ1" s="671"/>
      <c r="HSK1" s="671"/>
      <c r="HSL1" s="671"/>
      <c r="HSM1" s="671"/>
      <c r="HSN1" s="671"/>
      <c r="HSO1" s="671"/>
      <c r="HSP1" s="671"/>
      <c r="HSQ1" s="671"/>
      <c r="HSR1" s="671"/>
      <c r="HSS1" s="671"/>
      <c r="HST1" s="671"/>
      <c r="HSU1" s="671"/>
      <c r="HSV1" s="671"/>
      <c r="HSW1" s="671"/>
      <c r="HSX1" s="671"/>
      <c r="HSY1" s="671"/>
      <c r="HSZ1" s="671"/>
      <c r="HTA1" s="671"/>
      <c r="HTB1" s="671"/>
      <c r="HTC1" s="671"/>
      <c r="HTD1" s="671"/>
      <c r="HTE1" s="671"/>
      <c r="HTF1" s="671"/>
      <c r="HTG1" s="671"/>
      <c r="HTH1" s="671"/>
      <c r="HTI1" s="671"/>
      <c r="HTJ1" s="671"/>
      <c r="HTK1" s="671"/>
      <c r="HTL1" s="671"/>
      <c r="HTM1" s="671"/>
      <c r="HTN1" s="671"/>
      <c r="HTO1" s="671"/>
      <c r="HTP1" s="671"/>
      <c r="HTQ1" s="671"/>
      <c r="HTR1" s="671"/>
      <c r="HTS1" s="671"/>
      <c r="HTT1" s="671"/>
      <c r="HTU1" s="671"/>
      <c r="HTV1" s="671"/>
      <c r="HTW1" s="671"/>
      <c r="HTX1" s="671"/>
      <c r="HTY1" s="671"/>
      <c r="HTZ1" s="671"/>
      <c r="HUA1" s="671"/>
      <c r="HUB1" s="671"/>
      <c r="HUC1" s="671"/>
      <c r="HUD1" s="671"/>
      <c r="HUE1" s="671"/>
      <c r="HUF1" s="671"/>
      <c r="HUG1" s="671"/>
      <c r="HUH1" s="671"/>
      <c r="HUI1" s="671"/>
      <c r="HUJ1" s="671"/>
      <c r="HUK1" s="671"/>
      <c r="HUL1" s="671"/>
      <c r="HUM1" s="671"/>
      <c r="HUN1" s="671"/>
      <c r="HUO1" s="671"/>
      <c r="HUP1" s="671"/>
      <c r="HUQ1" s="671"/>
      <c r="HUR1" s="671"/>
      <c r="HUS1" s="671"/>
      <c r="HUT1" s="671"/>
      <c r="HUU1" s="671"/>
      <c r="HUV1" s="671"/>
      <c r="HUW1" s="671"/>
      <c r="HUX1" s="671"/>
      <c r="HUY1" s="671"/>
      <c r="HUZ1" s="671"/>
      <c r="HVA1" s="671"/>
      <c r="HVB1" s="671"/>
      <c r="HVC1" s="671"/>
      <c r="HVD1" s="671"/>
      <c r="HVE1" s="671"/>
      <c r="HVF1" s="671"/>
      <c r="HVG1" s="671"/>
      <c r="HVH1" s="671"/>
      <c r="HVI1" s="671"/>
      <c r="HVJ1" s="671"/>
      <c r="HVK1" s="671"/>
      <c r="HVL1" s="671"/>
      <c r="HVM1" s="671"/>
      <c r="HVN1" s="671"/>
      <c r="HVO1" s="671"/>
      <c r="HVP1" s="671"/>
      <c r="HVQ1" s="671"/>
      <c r="HVR1" s="671"/>
      <c r="HVS1" s="671"/>
      <c r="HVT1" s="671"/>
      <c r="HVU1" s="671"/>
      <c r="HVV1" s="671"/>
      <c r="HVW1" s="671"/>
      <c r="HVX1" s="671"/>
      <c r="HVY1" s="671"/>
      <c r="HVZ1" s="671"/>
      <c r="HWA1" s="671"/>
      <c r="HWB1" s="671"/>
      <c r="HWC1" s="671"/>
      <c r="HWD1" s="671"/>
      <c r="HWE1" s="671"/>
      <c r="HWF1" s="671"/>
      <c r="HWG1" s="671"/>
      <c r="HWH1" s="671"/>
      <c r="HWI1" s="671"/>
      <c r="HWJ1" s="671"/>
      <c r="HWK1" s="671"/>
      <c r="HWL1" s="671"/>
      <c r="HWM1" s="671"/>
      <c r="HWN1" s="671"/>
      <c r="HWO1" s="671"/>
      <c r="HWP1" s="671"/>
      <c r="HWQ1" s="671"/>
      <c r="HWR1" s="671"/>
      <c r="HWS1" s="671"/>
      <c r="HWT1" s="671"/>
      <c r="HWU1" s="671"/>
      <c r="HWV1" s="671"/>
      <c r="HWW1" s="671"/>
      <c r="HWX1" s="671"/>
      <c r="HWY1" s="671"/>
      <c r="HWZ1" s="671"/>
      <c r="HXA1" s="671"/>
      <c r="HXB1" s="671"/>
      <c r="HXC1" s="671"/>
      <c r="HXD1" s="671"/>
      <c r="HXE1" s="671"/>
      <c r="HXF1" s="671"/>
      <c r="HXG1" s="671"/>
      <c r="HXH1" s="671"/>
      <c r="HXI1" s="671"/>
      <c r="HXJ1" s="671"/>
      <c r="HXK1" s="671"/>
      <c r="HXL1" s="671"/>
      <c r="HXM1" s="671"/>
      <c r="HXN1" s="671"/>
      <c r="HXO1" s="671"/>
      <c r="HXP1" s="671"/>
      <c r="HXQ1" s="671"/>
      <c r="HXR1" s="671"/>
      <c r="HXS1" s="671"/>
      <c r="HXT1" s="671"/>
      <c r="HXU1" s="671"/>
      <c r="HXV1" s="671"/>
      <c r="HXW1" s="671"/>
      <c r="HXX1" s="671"/>
      <c r="HXY1" s="671"/>
      <c r="HXZ1" s="671"/>
      <c r="HYA1" s="671"/>
      <c r="HYB1" s="671"/>
      <c r="HYC1" s="671"/>
      <c r="HYD1" s="671"/>
      <c r="HYE1" s="671"/>
      <c r="HYF1" s="671"/>
      <c r="HYG1" s="671"/>
      <c r="HYH1" s="671"/>
      <c r="HYI1" s="671"/>
      <c r="HYJ1" s="671"/>
      <c r="HYK1" s="671"/>
      <c r="HYL1" s="671"/>
      <c r="HYM1" s="671"/>
      <c r="HYN1" s="671"/>
      <c r="HYO1" s="671"/>
      <c r="HYP1" s="671"/>
      <c r="HYQ1" s="671"/>
      <c r="HYR1" s="671"/>
      <c r="HYS1" s="671"/>
      <c r="HYT1" s="671"/>
      <c r="HYU1" s="671"/>
      <c r="HYV1" s="671"/>
      <c r="HYW1" s="671"/>
      <c r="HYX1" s="671"/>
      <c r="HYY1" s="671"/>
      <c r="HYZ1" s="671"/>
      <c r="HZA1" s="671"/>
      <c r="HZB1" s="671"/>
      <c r="HZC1" s="671"/>
      <c r="HZD1" s="671"/>
      <c r="HZE1" s="671"/>
      <c r="HZF1" s="671"/>
      <c r="HZG1" s="671"/>
      <c r="HZH1" s="671"/>
      <c r="HZI1" s="671"/>
      <c r="HZJ1" s="671"/>
      <c r="HZK1" s="671"/>
      <c r="HZL1" s="671"/>
      <c r="HZM1" s="671"/>
      <c r="HZN1" s="671"/>
      <c r="HZO1" s="671"/>
      <c r="HZP1" s="671"/>
      <c r="HZQ1" s="671"/>
      <c r="HZR1" s="671"/>
      <c r="HZS1" s="671"/>
      <c r="HZT1" s="671"/>
      <c r="HZU1" s="671"/>
      <c r="HZV1" s="671"/>
      <c r="HZW1" s="671"/>
      <c r="HZX1" s="671"/>
      <c r="HZY1" s="671"/>
      <c r="HZZ1" s="671"/>
      <c r="IAA1" s="671"/>
      <c r="IAB1" s="671"/>
      <c r="IAC1" s="671"/>
      <c r="IAD1" s="671"/>
      <c r="IAE1" s="671"/>
      <c r="IAF1" s="671"/>
      <c r="IAG1" s="671"/>
      <c r="IAH1" s="671"/>
      <c r="IAI1" s="671"/>
      <c r="IAJ1" s="671"/>
      <c r="IAK1" s="671"/>
      <c r="IAL1" s="671"/>
      <c r="IAM1" s="671"/>
      <c r="IAN1" s="671"/>
      <c r="IAO1" s="671"/>
      <c r="IAP1" s="671"/>
      <c r="IAQ1" s="671"/>
      <c r="IAR1" s="671"/>
      <c r="IAS1" s="671"/>
      <c r="IAT1" s="671"/>
      <c r="IAU1" s="671"/>
      <c r="IAV1" s="671"/>
      <c r="IAW1" s="671"/>
      <c r="IAX1" s="671"/>
      <c r="IAY1" s="671"/>
      <c r="IAZ1" s="671"/>
      <c r="IBA1" s="671"/>
      <c r="IBB1" s="671"/>
      <c r="IBC1" s="671"/>
      <c r="IBD1" s="671"/>
      <c r="IBE1" s="671"/>
      <c r="IBF1" s="671"/>
      <c r="IBG1" s="671"/>
      <c r="IBH1" s="671"/>
      <c r="IBI1" s="671"/>
      <c r="IBJ1" s="671"/>
      <c r="IBK1" s="671"/>
      <c r="IBL1" s="671"/>
      <c r="IBM1" s="671"/>
      <c r="IBN1" s="671"/>
      <c r="IBO1" s="671"/>
      <c r="IBP1" s="671"/>
      <c r="IBQ1" s="671"/>
      <c r="IBR1" s="671"/>
      <c r="IBS1" s="671"/>
      <c r="IBT1" s="671"/>
      <c r="IBU1" s="671"/>
      <c r="IBV1" s="671"/>
      <c r="IBW1" s="671"/>
      <c r="IBX1" s="671"/>
      <c r="IBY1" s="671"/>
      <c r="IBZ1" s="671"/>
      <c r="ICA1" s="671"/>
      <c r="ICB1" s="671"/>
      <c r="ICC1" s="671"/>
      <c r="ICD1" s="671"/>
      <c r="ICE1" s="671"/>
      <c r="ICF1" s="671"/>
      <c r="ICG1" s="671"/>
      <c r="ICH1" s="671"/>
      <c r="ICI1" s="671"/>
      <c r="ICJ1" s="671"/>
      <c r="ICK1" s="671"/>
      <c r="ICL1" s="671"/>
      <c r="ICM1" s="671"/>
      <c r="ICN1" s="671"/>
      <c r="ICO1" s="671"/>
      <c r="ICP1" s="671"/>
      <c r="ICQ1" s="671"/>
      <c r="ICR1" s="671"/>
      <c r="ICS1" s="671"/>
      <c r="ICT1" s="671"/>
      <c r="ICU1" s="671"/>
      <c r="ICV1" s="671"/>
      <c r="ICW1" s="671"/>
      <c r="ICX1" s="671"/>
      <c r="ICY1" s="671"/>
      <c r="ICZ1" s="671"/>
      <c r="IDA1" s="671"/>
      <c r="IDB1" s="671"/>
      <c r="IDC1" s="671"/>
      <c r="IDD1" s="671"/>
      <c r="IDE1" s="671"/>
      <c r="IDF1" s="671"/>
      <c r="IDG1" s="671"/>
      <c r="IDH1" s="671"/>
      <c r="IDI1" s="671"/>
      <c r="IDJ1" s="671"/>
      <c r="IDK1" s="671"/>
      <c r="IDL1" s="671"/>
      <c r="IDM1" s="671"/>
      <c r="IDN1" s="671"/>
      <c r="IDO1" s="671"/>
      <c r="IDP1" s="671"/>
      <c r="IDQ1" s="671"/>
      <c r="IDR1" s="671"/>
      <c r="IDS1" s="671"/>
      <c r="IDT1" s="671"/>
      <c r="IDU1" s="671"/>
      <c r="IDV1" s="671"/>
      <c r="IDW1" s="671"/>
      <c r="IDX1" s="671"/>
      <c r="IDY1" s="671"/>
      <c r="IDZ1" s="671"/>
      <c r="IEA1" s="671"/>
      <c r="IEB1" s="671"/>
      <c r="IEC1" s="671"/>
      <c r="IED1" s="671"/>
      <c r="IEE1" s="671"/>
      <c r="IEF1" s="671"/>
      <c r="IEG1" s="671"/>
      <c r="IEH1" s="671"/>
      <c r="IEI1" s="671"/>
      <c r="IEJ1" s="671"/>
      <c r="IEK1" s="671"/>
      <c r="IEL1" s="671"/>
      <c r="IEM1" s="671"/>
      <c r="IEN1" s="671"/>
      <c r="IEO1" s="671"/>
      <c r="IEP1" s="671"/>
      <c r="IEQ1" s="671"/>
      <c r="IER1" s="671"/>
      <c r="IES1" s="671"/>
      <c r="IET1" s="671"/>
      <c r="IEU1" s="671"/>
      <c r="IEV1" s="671"/>
      <c r="IEW1" s="671"/>
      <c r="IEX1" s="671"/>
      <c r="IEY1" s="671"/>
      <c r="IEZ1" s="671"/>
      <c r="IFA1" s="671"/>
      <c r="IFB1" s="671"/>
      <c r="IFC1" s="671"/>
      <c r="IFD1" s="671"/>
      <c r="IFE1" s="671"/>
      <c r="IFF1" s="671"/>
      <c r="IFG1" s="671"/>
      <c r="IFH1" s="671"/>
      <c r="IFI1" s="671"/>
      <c r="IFJ1" s="671"/>
      <c r="IFK1" s="671"/>
      <c r="IFL1" s="671"/>
      <c r="IFM1" s="671"/>
      <c r="IFN1" s="671"/>
      <c r="IFO1" s="671"/>
      <c r="IFP1" s="671"/>
      <c r="IFQ1" s="671"/>
      <c r="IFR1" s="671"/>
      <c r="IFS1" s="671"/>
      <c r="IFT1" s="671"/>
      <c r="IFU1" s="671"/>
      <c r="IFV1" s="671"/>
      <c r="IFW1" s="671"/>
      <c r="IFX1" s="671"/>
      <c r="IFY1" s="671"/>
      <c r="IFZ1" s="671"/>
      <c r="IGA1" s="671"/>
      <c r="IGB1" s="671"/>
      <c r="IGC1" s="671"/>
      <c r="IGD1" s="671"/>
      <c r="IGE1" s="671"/>
      <c r="IGF1" s="671"/>
      <c r="IGG1" s="671"/>
      <c r="IGH1" s="671"/>
      <c r="IGI1" s="671"/>
      <c r="IGJ1" s="671"/>
      <c r="IGK1" s="671"/>
      <c r="IGL1" s="671"/>
      <c r="IGM1" s="671"/>
      <c r="IGN1" s="671"/>
      <c r="IGO1" s="671"/>
      <c r="IGP1" s="671"/>
      <c r="IGQ1" s="671"/>
      <c r="IGR1" s="671"/>
      <c r="IGS1" s="671"/>
      <c r="IGT1" s="671"/>
      <c r="IGU1" s="671"/>
      <c r="IGV1" s="671"/>
      <c r="IGW1" s="671"/>
      <c r="IGX1" s="671"/>
      <c r="IGY1" s="671"/>
      <c r="IGZ1" s="671"/>
      <c r="IHA1" s="671"/>
      <c r="IHB1" s="671"/>
      <c r="IHC1" s="671"/>
      <c r="IHD1" s="671"/>
      <c r="IHE1" s="671"/>
      <c r="IHF1" s="671"/>
      <c r="IHG1" s="671"/>
      <c r="IHH1" s="671"/>
      <c r="IHI1" s="671"/>
      <c r="IHJ1" s="671"/>
      <c r="IHK1" s="671"/>
      <c r="IHL1" s="671"/>
      <c r="IHM1" s="671"/>
      <c r="IHN1" s="671"/>
      <c r="IHO1" s="671"/>
      <c r="IHP1" s="671"/>
      <c r="IHQ1" s="671"/>
      <c r="IHR1" s="671"/>
      <c r="IHS1" s="671"/>
      <c r="IHT1" s="671"/>
      <c r="IHU1" s="671"/>
      <c r="IHV1" s="671"/>
      <c r="IHW1" s="671"/>
      <c r="IHX1" s="671"/>
      <c r="IHY1" s="671"/>
      <c r="IHZ1" s="671"/>
      <c r="IIA1" s="671"/>
      <c r="IIB1" s="671"/>
      <c r="IIC1" s="671"/>
      <c r="IID1" s="671"/>
      <c r="IIE1" s="671"/>
      <c r="IIF1" s="671"/>
      <c r="IIG1" s="671"/>
      <c r="IIH1" s="671"/>
      <c r="III1" s="671"/>
      <c r="IIJ1" s="671"/>
      <c r="IIK1" s="671"/>
      <c r="IIL1" s="671"/>
      <c r="IIM1" s="671"/>
      <c r="IIN1" s="671"/>
      <c r="IIO1" s="671"/>
      <c r="IIP1" s="671"/>
      <c r="IIQ1" s="671"/>
      <c r="IIR1" s="671"/>
      <c r="IIS1" s="671"/>
      <c r="IIT1" s="671"/>
      <c r="IIU1" s="671"/>
      <c r="IIV1" s="671"/>
      <c r="IIW1" s="671"/>
      <c r="IIX1" s="671"/>
      <c r="IIY1" s="671"/>
      <c r="IIZ1" s="671"/>
      <c r="IJA1" s="671"/>
      <c r="IJB1" s="671"/>
      <c r="IJC1" s="671"/>
      <c r="IJD1" s="671"/>
      <c r="IJE1" s="671"/>
      <c r="IJF1" s="671"/>
      <c r="IJG1" s="671"/>
      <c r="IJH1" s="671"/>
      <c r="IJI1" s="671"/>
      <c r="IJJ1" s="671"/>
      <c r="IJK1" s="671"/>
      <c r="IJL1" s="671"/>
      <c r="IJM1" s="671"/>
      <c r="IJN1" s="671"/>
      <c r="IJO1" s="671"/>
      <c r="IJP1" s="671"/>
      <c r="IJQ1" s="671"/>
      <c r="IJR1" s="671"/>
      <c r="IJS1" s="671"/>
      <c r="IJT1" s="671"/>
      <c r="IJU1" s="671"/>
      <c r="IJV1" s="671"/>
      <c r="IJW1" s="671"/>
      <c r="IJX1" s="671"/>
      <c r="IJY1" s="671"/>
      <c r="IJZ1" s="671"/>
      <c r="IKA1" s="671"/>
      <c r="IKB1" s="671"/>
      <c r="IKC1" s="671"/>
      <c r="IKD1" s="671"/>
      <c r="IKE1" s="671"/>
      <c r="IKF1" s="671"/>
      <c r="IKG1" s="671"/>
      <c r="IKH1" s="671"/>
      <c r="IKI1" s="671"/>
      <c r="IKJ1" s="671"/>
      <c r="IKK1" s="671"/>
      <c r="IKL1" s="671"/>
      <c r="IKM1" s="671"/>
      <c r="IKN1" s="671"/>
      <c r="IKO1" s="671"/>
      <c r="IKP1" s="671"/>
      <c r="IKQ1" s="671"/>
      <c r="IKR1" s="671"/>
      <c r="IKS1" s="671"/>
      <c r="IKT1" s="671"/>
      <c r="IKU1" s="671"/>
      <c r="IKV1" s="671"/>
      <c r="IKW1" s="671"/>
      <c r="IKX1" s="671"/>
      <c r="IKY1" s="671"/>
      <c r="IKZ1" s="671"/>
      <c r="ILA1" s="671"/>
      <c r="ILB1" s="671"/>
      <c r="ILC1" s="671"/>
      <c r="ILD1" s="671"/>
      <c r="ILE1" s="671"/>
      <c r="ILF1" s="671"/>
      <c r="ILG1" s="671"/>
      <c r="ILH1" s="671"/>
      <c r="ILI1" s="671"/>
      <c r="ILJ1" s="671"/>
      <c r="ILK1" s="671"/>
      <c r="ILL1" s="671"/>
      <c r="ILM1" s="671"/>
      <c r="ILN1" s="671"/>
      <c r="ILO1" s="671"/>
      <c r="ILP1" s="671"/>
      <c r="ILQ1" s="671"/>
      <c r="ILR1" s="671"/>
      <c r="ILS1" s="671"/>
      <c r="ILT1" s="671"/>
      <c r="ILU1" s="671"/>
      <c r="ILV1" s="671"/>
      <c r="ILW1" s="671"/>
      <c r="ILX1" s="671"/>
      <c r="ILY1" s="671"/>
      <c r="ILZ1" s="671"/>
      <c r="IMA1" s="671"/>
      <c r="IMB1" s="671"/>
      <c r="IMC1" s="671"/>
      <c r="IMD1" s="671"/>
      <c r="IME1" s="671"/>
      <c r="IMF1" s="671"/>
      <c r="IMG1" s="671"/>
      <c r="IMH1" s="671"/>
      <c r="IMI1" s="671"/>
      <c r="IMJ1" s="671"/>
      <c r="IMK1" s="671"/>
      <c r="IML1" s="671"/>
      <c r="IMM1" s="671"/>
      <c r="IMN1" s="671"/>
      <c r="IMO1" s="671"/>
      <c r="IMP1" s="671"/>
      <c r="IMQ1" s="671"/>
      <c r="IMR1" s="671"/>
      <c r="IMS1" s="671"/>
      <c r="IMT1" s="671"/>
      <c r="IMU1" s="671"/>
      <c r="IMV1" s="671"/>
      <c r="IMW1" s="671"/>
      <c r="IMX1" s="671"/>
      <c r="IMY1" s="671"/>
      <c r="IMZ1" s="671"/>
      <c r="INA1" s="671"/>
      <c r="INB1" s="671"/>
      <c r="INC1" s="671"/>
      <c r="IND1" s="671"/>
      <c r="INE1" s="671"/>
      <c r="INF1" s="671"/>
      <c r="ING1" s="671"/>
      <c r="INH1" s="671"/>
      <c r="INI1" s="671"/>
      <c r="INJ1" s="671"/>
      <c r="INK1" s="671"/>
      <c r="INL1" s="671"/>
      <c r="INM1" s="671"/>
      <c r="INN1" s="671"/>
      <c r="INO1" s="671"/>
      <c r="INP1" s="671"/>
      <c r="INQ1" s="671"/>
      <c r="INR1" s="671"/>
      <c r="INS1" s="671"/>
      <c r="INT1" s="671"/>
      <c r="INU1" s="671"/>
      <c r="INV1" s="671"/>
      <c r="INW1" s="671"/>
      <c r="INX1" s="671"/>
      <c r="INY1" s="671"/>
      <c r="INZ1" s="671"/>
      <c r="IOA1" s="671"/>
      <c r="IOB1" s="671"/>
      <c r="IOC1" s="671"/>
      <c r="IOD1" s="671"/>
      <c r="IOE1" s="671"/>
      <c r="IOF1" s="671"/>
      <c r="IOG1" s="671"/>
      <c r="IOH1" s="671"/>
      <c r="IOI1" s="671"/>
      <c r="IOJ1" s="671"/>
      <c r="IOK1" s="671"/>
      <c r="IOL1" s="671"/>
      <c r="IOM1" s="671"/>
      <c r="ION1" s="671"/>
      <c r="IOO1" s="671"/>
      <c r="IOP1" s="671"/>
      <c r="IOQ1" s="671"/>
      <c r="IOR1" s="671"/>
      <c r="IOS1" s="671"/>
      <c r="IOT1" s="671"/>
      <c r="IOU1" s="671"/>
      <c r="IOV1" s="671"/>
      <c r="IOW1" s="671"/>
      <c r="IOX1" s="671"/>
      <c r="IOY1" s="671"/>
      <c r="IOZ1" s="671"/>
      <c r="IPA1" s="671"/>
      <c r="IPB1" s="671"/>
      <c r="IPC1" s="671"/>
      <c r="IPD1" s="671"/>
      <c r="IPE1" s="671"/>
      <c r="IPF1" s="671"/>
      <c r="IPG1" s="671"/>
      <c r="IPH1" s="671"/>
      <c r="IPI1" s="671"/>
      <c r="IPJ1" s="671"/>
      <c r="IPK1" s="671"/>
      <c r="IPL1" s="671"/>
      <c r="IPM1" s="671"/>
      <c r="IPN1" s="671"/>
      <c r="IPO1" s="671"/>
      <c r="IPP1" s="671"/>
      <c r="IPQ1" s="671"/>
      <c r="IPR1" s="671"/>
      <c r="IPS1" s="671"/>
      <c r="IPT1" s="671"/>
      <c r="IPU1" s="671"/>
      <c r="IPV1" s="671"/>
      <c r="IPW1" s="671"/>
      <c r="IPX1" s="671"/>
      <c r="IPY1" s="671"/>
      <c r="IPZ1" s="671"/>
      <c r="IQA1" s="671"/>
      <c r="IQB1" s="671"/>
      <c r="IQC1" s="671"/>
      <c r="IQD1" s="671"/>
      <c r="IQE1" s="671"/>
      <c r="IQF1" s="671"/>
      <c r="IQG1" s="671"/>
      <c r="IQH1" s="671"/>
      <c r="IQI1" s="671"/>
      <c r="IQJ1" s="671"/>
      <c r="IQK1" s="671"/>
      <c r="IQL1" s="671"/>
      <c r="IQM1" s="671"/>
      <c r="IQN1" s="671"/>
      <c r="IQO1" s="671"/>
      <c r="IQP1" s="671"/>
      <c r="IQQ1" s="671"/>
      <c r="IQR1" s="671"/>
      <c r="IQS1" s="671"/>
      <c r="IQT1" s="671"/>
      <c r="IQU1" s="671"/>
      <c r="IQV1" s="671"/>
      <c r="IQW1" s="671"/>
      <c r="IQX1" s="671"/>
      <c r="IQY1" s="671"/>
      <c r="IQZ1" s="671"/>
      <c r="IRA1" s="671"/>
      <c r="IRB1" s="671"/>
      <c r="IRC1" s="671"/>
      <c r="IRD1" s="671"/>
      <c r="IRE1" s="671"/>
      <c r="IRF1" s="671"/>
      <c r="IRG1" s="671"/>
      <c r="IRH1" s="671"/>
      <c r="IRI1" s="671"/>
      <c r="IRJ1" s="671"/>
      <c r="IRK1" s="671"/>
      <c r="IRL1" s="671"/>
      <c r="IRM1" s="671"/>
      <c r="IRN1" s="671"/>
      <c r="IRO1" s="671"/>
      <c r="IRP1" s="671"/>
      <c r="IRQ1" s="671"/>
      <c r="IRR1" s="671"/>
      <c r="IRS1" s="671"/>
      <c r="IRT1" s="671"/>
      <c r="IRU1" s="671"/>
      <c r="IRV1" s="671"/>
      <c r="IRW1" s="671"/>
      <c r="IRX1" s="671"/>
      <c r="IRY1" s="671"/>
      <c r="IRZ1" s="671"/>
      <c r="ISA1" s="671"/>
      <c r="ISB1" s="671"/>
      <c r="ISC1" s="671"/>
      <c r="ISD1" s="671"/>
      <c r="ISE1" s="671"/>
      <c r="ISF1" s="671"/>
      <c r="ISG1" s="671"/>
      <c r="ISH1" s="671"/>
      <c r="ISI1" s="671"/>
      <c r="ISJ1" s="671"/>
      <c r="ISK1" s="671"/>
      <c r="ISL1" s="671"/>
      <c r="ISM1" s="671"/>
      <c r="ISN1" s="671"/>
      <c r="ISO1" s="671"/>
      <c r="ISP1" s="671"/>
      <c r="ISQ1" s="671"/>
      <c r="ISR1" s="671"/>
      <c r="ISS1" s="671"/>
      <c r="IST1" s="671"/>
      <c r="ISU1" s="671"/>
      <c r="ISV1" s="671"/>
      <c r="ISW1" s="671"/>
      <c r="ISX1" s="671"/>
      <c r="ISY1" s="671"/>
      <c r="ISZ1" s="671"/>
      <c r="ITA1" s="671"/>
      <c r="ITB1" s="671"/>
      <c r="ITC1" s="671"/>
      <c r="ITD1" s="671"/>
      <c r="ITE1" s="671"/>
      <c r="ITF1" s="671"/>
      <c r="ITG1" s="671"/>
      <c r="ITH1" s="671"/>
      <c r="ITI1" s="671"/>
      <c r="ITJ1" s="671"/>
      <c r="ITK1" s="671"/>
      <c r="ITL1" s="671"/>
      <c r="ITM1" s="671"/>
      <c r="ITN1" s="671"/>
      <c r="ITO1" s="671"/>
      <c r="ITP1" s="671"/>
      <c r="ITQ1" s="671"/>
      <c r="ITR1" s="671"/>
      <c r="ITS1" s="671"/>
      <c r="ITT1" s="671"/>
      <c r="ITU1" s="671"/>
      <c r="ITV1" s="671"/>
      <c r="ITW1" s="671"/>
      <c r="ITX1" s="671"/>
      <c r="ITY1" s="671"/>
      <c r="ITZ1" s="671"/>
      <c r="IUA1" s="671"/>
      <c r="IUB1" s="671"/>
      <c r="IUC1" s="671"/>
      <c r="IUD1" s="671"/>
      <c r="IUE1" s="671"/>
      <c r="IUF1" s="671"/>
      <c r="IUG1" s="671"/>
      <c r="IUH1" s="671"/>
      <c r="IUI1" s="671"/>
      <c r="IUJ1" s="671"/>
      <c r="IUK1" s="671"/>
      <c r="IUL1" s="671"/>
      <c r="IUM1" s="671"/>
      <c r="IUN1" s="671"/>
      <c r="IUO1" s="671"/>
      <c r="IUP1" s="671"/>
      <c r="IUQ1" s="671"/>
      <c r="IUR1" s="671"/>
      <c r="IUS1" s="671"/>
      <c r="IUT1" s="671"/>
      <c r="IUU1" s="671"/>
      <c r="IUV1" s="671"/>
      <c r="IUW1" s="671"/>
      <c r="IUX1" s="671"/>
      <c r="IUY1" s="671"/>
      <c r="IUZ1" s="671"/>
      <c r="IVA1" s="671"/>
      <c r="IVB1" s="671"/>
      <c r="IVC1" s="671"/>
      <c r="IVD1" s="671"/>
      <c r="IVE1" s="671"/>
      <c r="IVF1" s="671"/>
      <c r="IVG1" s="671"/>
      <c r="IVH1" s="671"/>
      <c r="IVI1" s="671"/>
      <c r="IVJ1" s="671"/>
      <c r="IVK1" s="671"/>
      <c r="IVL1" s="671"/>
      <c r="IVM1" s="671"/>
      <c r="IVN1" s="671"/>
      <c r="IVO1" s="671"/>
      <c r="IVP1" s="671"/>
      <c r="IVQ1" s="671"/>
      <c r="IVR1" s="671"/>
      <c r="IVS1" s="671"/>
      <c r="IVT1" s="671"/>
      <c r="IVU1" s="671"/>
      <c r="IVV1" s="671"/>
      <c r="IVW1" s="671"/>
      <c r="IVX1" s="671"/>
      <c r="IVY1" s="671"/>
      <c r="IVZ1" s="671"/>
      <c r="IWA1" s="671"/>
      <c r="IWB1" s="671"/>
      <c r="IWC1" s="671"/>
      <c r="IWD1" s="671"/>
      <c r="IWE1" s="671"/>
      <c r="IWF1" s="671"/>
      <c r="IWG1" s="671"/>
      <c r="IWH1" s="671"/>
      <c r="IWI1" s="671"/>
      <c r="IWJ1" s="671"/>
      <c r="IWK1" s="671"/>
      <c r="IWL1" s="671"/>
      <c r="IWM1" s="671"/>
      <c r="IWN1" s="671"/>
      <c r="IWO1" s="671"/>
      <c r="IWP1" s="671"/>
      <c r="IWQ1" s="671"/>
      <c r="IWR1" s="671"/>
      <c r="IWS1" s="671"/>
      <c r="IWT1" s="671"/>
      <c r="IWU1" s="671"/>
      <c r="IWV1" s="671"/>
      <c r="IWW1" s="671"/>
      <c r="IWX1" s="671"/>
      <c r="IWY1" s="671"/>
      <c r="IWZ1" s="671"/>
      <c r="IXA1" s="671"/>
      <c r="IXB1" s="671"/>
      <c r="IXC1" s="671"/>
      <c r="IXD1" s="671"/>
      <c r="IXE1" s="671"/>
      <c r="IXF1" s="671"/>
      <c r="IXG1" s="671"/>
      <c r="IXH1" s="671"/>
      <c r="IXI1" s="671"/>
      <c r="IXJ1" s="671"/>
      <c r="IXK1" s="671"/>
      <c r="IXL1" s="671"/>
      <c r="IXM1" s="671"/>
      <c r="IXN1" s="671"/>
      <c r="IXO1" s="671"/>
      <c r="IXP1" s="671"/>
      <c r="IXQ1" s="671"/>
      <c r="IXR1" s="671"/>
      <c r="IXS1" s="671"/>
      <c r="IXT1" s="671"/>
      <c r="IXU1" s="671"/>
      <c r="IXV1" s="671"/>
      <c r="IXW1" s="671"/>
      <c r="IXX1" s="671"/>
      <c r="IXY1" s="671"/>
      <c r="IXZ1" s="671"/>
      <c r="IYA1" s="671"/>
      <c r="IYB1" s="671"/>
      <c r="IYC1" s="671"/>
      <c r="IYD1" s="671"/>
      <c r="IYE1" s="671"/>
      <c r="IYF1" s="671"/>
      <c r="IYG1" s="671"/>
      <c r="IYH1" s="671"/>
      <c r="IYI1" s="671"/>
      <c r="IYJ1" s="671"/>
      <c r="IYK1" s="671"/>
      <c r="IYL1" s="671"/>
      <c r="IYM1" s="671"/>
      <c r="IYN1" s="671"/>
      <c r="IYO1" s="671"/>
      <c r="IYP1" s="671"/>
      <c r="IYQ1" s="671"/>
      <c r="IYR1" s="671"/>
      <c r="IYS1" s="671"/>
      <c r="IYT1" s="671"/>
      <c r="IYU1" s="671"/>
      <c r="IYV1" s="671"/>
      <c r="IYW1" s="671"/>
      <c r="IYX1" s="671"/>
      <c r="IYY1" s="671"/>
      <c r="IYZ1" s="671"/>
      <c r="IZA1" s="671"/>
      <c r="IZB1" s="671"/>
      <c r="IZC1" s="671"/>
      <c r="IZD1" s="671"/>
      <c r="IZE1" s="671"/>
      <c r="IZF1" s="671"/>
      <c r="IZG1" s="671"/>
      <c r="IZH1" s="671"/>
      <c r="IZI1" s="671"/>
      <c r="IZJ1" s="671"/>
      <c r="IZK1" s="671"/>
      <c r="IZL1" s="671"/>
      <c r="IZM1" s="671"/>
      <c r="IZN1" s="671"/>
      <c r="IZO1" s="671"/>
      <c r="IZP1" s="671"/>
      <c r="IZQ1" s="671"/>
      <c r="IZR1" s="671"/>
      <c r="IZS1" s="671"/>
      <c r="IZT1" s="671"/>
      <c r="IZU1" s="671"/>
      <c r="IZV1" s="671"/>
      <c r="IZW1" s="671"/>
      <c r="IZX1" s="671"/>
      <c r="IZY1" s="671"/>
      <c r="IZZ1" s="671"/>
      <c r="JAA1" s="671"/>
      <c r="JAB1" s="671"/>
      <c r="JAC1" s="671"/>
      <c r="JAD1" s="671"/>
      <c r="JAE1" s="671"/>
      <c r="JAF1" s="671"/>
      <c r="JAG1" s="671"/>
      <c r="JAH1" s="671"/>
      <c r="JAI1" s="671"/>
      <c r="JAJ1" s="671"/>
      <c r="JAK1" s="671"/>
      <c r="JAL1" s="671"/>
      <c r="JAM1" s="671"/>
      <c r="JAN1" s="671"/>
      <c r="JAO1" s="671"/>
      <c r="JAP1" s="671"/>
      <c r="JAQ1" s="671"/>
      <c r="JAR1" s="671"/>
      <c r="JAS1" s="671"/>
      <c r="JAT1" s="671"/>
      <c r="JAU1" s="671"/>
      <c r="JAV1" s="671"/>
      <c r="JAW1" s="671"/>
      <c r="JAX1" s="671"/>
      <c r="JAY1" s="671"/>
      <c r="JAZ1" s="671"/>
      <c r="JBA1" s="671"/>
      <c r="JBB1" s="671"/>
      <c r="JBC1" s="671"/>
      <c r="JBD1" s="671"/>
      <c r="JBE1" s="671"/>
      <c r="JBF1" s="671"/>
      <c r="JBG1" s="671"/>
      <c r="JBH1" s="671"/>
      <c r="JBI1" s="671"/>
      <c r="JBJ1" s="671"/>
      <c r="JBK1" s="671"/>
      <c r="JBL1" s="671"/>
      <c r="JBM1" s="671"/>
      <c r="JBN1" s="671"/>
      <c r="JBO1" s="671"/>
      <c r="JBP1" s="671"/>
      <c r="JBQ1" s="671"/>
      <c r="JBR1" s="671"/>
      <c r="JBS1" s="671"/>
      <c r="JBT1" s="671"/>
      <c r="JBU1" s="671"/>
      <c r="JBV1" s="671"/>
      <c r="JBW1" s="671"/>
      <c r="JBX1" s="671"/>
      <c r="JBY1" s="671"/>
      <c r="JBZ1" s="671"/>
      <c r="JCA1" s="671"/>
      <c r="JCB1" s="671"/>
      <c r="JCC1" s="671"/>
      <c r="JCD1" s="671"/>
      <c r="JCE1" s="671"/>
      <c r="JCF1" s="671"/>
      <c r="JCG1" s="671"/>
      <c r="JCH1" s="671"/>
      <c r="JCI1" s="671"/>
      <c r="JCJ1" s="671"/>
      <c r="JCK1" s="671"/>
      <c r="JCL1" s="671"/>
      <c r="JCM1" s="671"/>
      <c r="JCN1" s="671"/>
      <c r="JCO1" s="671"/>
      <c r="JCP1" s="671"/>
      <c r="JCQ1" s="671"/>
      <c r="JCR1" s="671"/>
      <c r="JCS1" s="671"/>
      <c r="JCT1" s="671"/>
      <c r="JCU1" s="671"/>
      <c r="JCV1" s="671"/>
      <c r="JCW1" s="671"/>
      <c r="JCX1" s="671"/>
      <c r="JCY1" s="671"/>
      <c r="JCZ1" s="671"/>
      <c r="JDA1" s="671"/>
      <c r="JDB1" s="671"/>
      <c r="JDC1" s="671"/>
      <c r="JDD1" s="671"/>
      <c r="JDE1" s="671"/>
      <c r="JDF1" s="671"/>
      <c r="JDG1" s="671"/>
      <c r="JDH1" s="671"/>
      <c r="JDI1" s="671"/>
      <c r="JDJ1" s="671"/>
      <c r="JDK1" s="671"/>
      <c r="JDL1" s="671"/>
      <c r="JDM1" s="671"/>
      <c r="JDN1" s="671"/>
      <c r="JDO1" s="671"/>
      <c r="JDP1" s="671"/>
      <c r="JDQ1" s="671"/>
      <c r="JDR1" s="671"/>
      <c r="JDS1" s="671"/>
      <c r="JDT1" s="671"/>
      <c r="JDU1" s="671"/>
      <c r="JDV1" s="671"/>
      <c r="JDW1" s="671"/>
      <c r="JDX1" s="671"/>
      <c r="JDY1" s="671"/>
      <c r="JDZ1" s="671"/>
      <c r="JEA1" s="671"/>
      <c r="JEB1" s="671"/>
      <c r="JEC1" s="671"/>
      <c r="JED1" s="671"/>
      <c r="JEE1" s="671"/>
      <c r="JEF1" s="671"/>
      <c r="JEG1" s="671"/>
      <c r="JEH1" s="671"/>
      <c r="JEI1" s="671"/>
      <c r="JEJ1" s="671"/>
      <c r="JEK1" s="671"/>
      <c r="JEL1" s="671"/>
      <c r="JEM1" s="671"/>
      <c r="JEN1" s="671"/>
      <c r="JEO1" s="671"/>
      <c r="JEP1" s="671"/>
      <c r="JEQ1" s="671"/>
      <c r="JER1" s="671"/>
      <c r="JES1" s="671"/>
      <c r="JET1" s="671"/>
      <c r="JEU1" s="671"/>
      <c r="JEV1" s="671"/>
      <c r="JEW1" s="671"/>
      <c r="JEX1" s="671"/>
      <c r="JEY1" s="671"/>
      <c r="JEZ1" s="671"/>
      <c r="JFA1" s="671"/>
      <c r="JFB1" s="671"/>
      <c r="JFC1" s="671"/>
      <c r="JFD1" s="671"/>
      <c r="JFE1" s="671"/>
      <c r="JFF1" s="671"/>
      <c r="JFG1" s="671"/>
      <c r="JFH1" s="671"/>
      <c r="JFI1" s="671"/>
      <c r="JFJ1" s="671"/>
      <c r="JFK1" s="671"/>
      <c r="JFL1" s="671"/>
      <c r="JFM1" s="671"/>
      <c r="JFN1" s="671"/>
      <c r="JFO1" s="671"/>
      <c r="JFP1" s="671"/>
      <c r="JFQ1" s="671"/>
      <c r="JFR1" s="671"/>
      <c r="JFS1" s="671"/>
      <c r="JFT1" s="671"/>
      <c r="JFU1" s="671"/>
      <c r="JFV1" s="671"/>
      <c r="JFW1" s="671"/>
      <c r="JFX1" s="671"/>
      <c r="JFY1" s="671"/>
      <c r="JFZ1" s="671"/>
      <c r="JGA1" s="671"/>
      <c r="JGB1" s="671"/>
      <c r="JGC1" s="671"/>
      <c r="JGD1" s="671"/>
      <c r="JGE1" s="671"/>
      <c r="JGF1" s="671"/>
      <c r="JGG1" s="671"/>
      <c r="JGH1" s="671"/>
      <c r="JGI1" s="671"/>
      <c r="JGJ1" s="671"/>
      <c r="JGK1" s="671"/>
      <c r="JGL1" s="671"/>
      <c r="JGM1" s="671"/>
      <c r="JGN1" s="671"/>
      <c r="JGO1" s="671"/>
      <c r="JGP1" s="671"/>
      <c r="JGQ1" s="671"/>
      <c r="JGR1" s="671"/>
      <c r="JGS1" s="671"/>
      <c r="JGT1" s="671"/>
      <c r="JGU1" s="671"/>
      <c r="JGV1" s="671"/>
      <c r="JGW1" s="671"/>
      <c r="JGX1" s="671"/>
      <c r="JGY1" s="671"/>
      <c r="JGZ1" s="671"/>
      <c r="JHA1" s="671"/>
      <c r="JHB1" s="671"/>
      <c r="JHC1" s="671"/>
      <c r="JHD1" s="671"/>
      <c r="JHE1" s="671"/>
      <c r="JHF1" s="671"/>
      <c r="JHG1" s="671"/>
      <c r="JHH1" s="671"/>
      <c r="JHI1" s="671"/>
      <c r="JHJ1" s="671"/>
      <c r="JHK1" s="671"/>
      <c r="JHL1" s="671"/>
      <c r="JHM1" s="671"/>
      <c r="JHN1" s="671"/>
      <c r="JHO1" s="671"/>
      <c r="JHP1" s="671"/>
      <c r="JHQ1" s="671"/>
      <c r="JHR1" s="671"/>
      <c r="JHS1" s="671"/>
      <c r="JHT1" s="671"/>
      <c r="JHU1" s="671"/>
      <c r="JHV1" s="671"/>
      <c r="JHW1" s="671"/>
      <c r="JHX1" s="671"/>
      <c r="JHY1" s="671"/>
      <c r="JHZ1" s="671"/>
      <c r="JIA1" s="671"/>
      <c r="JIB1" s="671"/>
      <c r="JIC1" s="671"/>
      <c r="JID1" s="671"/>
      <c r="JIE1" s="671"/>
      <c r="JIF1" s="671"/>
      <c r="JIG1" s="671"/>
      <c r="JIH1" s="671"/>
      <c r="JII1" s="671"/>
      <c r="JIJ1" s="671"/>
      <c r="JIK1" s="671"/>
      <c r="JIL1" s="671"/>
      <c r="JIM1" s="671"/>
      <c r="JIN1" s="671"/>
      <c r="JIO1" s="671"/>
      <c r="JIP1" s="671"/>
      <c r="JIQ1" s="671"/>
      <c r="JIR1" s="671"/>
      <c r="JIS1" s="671"/>
      <c r="JIT1" s="671"/>
      <c r="JIU1" s="671"/>
      <c r="JIV1" s="671"/>
      <c r="JIW1" s="671"/>
      <c r="JIX1" s="671"/>
      <c r="JIY1" s="671"/>
      <c r="JIZ1" s="671"/>
      <c r="JJA1" s="671"/>
      <c r="JJB1" s="671"/>
      <c r="JJC1" s="671"/>
      <c r="JJD1" s="671"/>
      <c r="JJE1" s="671"/>
      <c r="JJF1" s="671"/>
      <c r="JJG1" s="671"/>
      <c r="JJH1" s="671"/>
      <c r="JJI1" s="671"/>
      <c r="JJJ1" s="671"/>
      <c r="JJK1" s="671"/>
      <c r="JJL1" s="671"/>
      <c r="JJM1" s="671"/>
      <c r="JJN1" s="671"/>
      <c r="JJO1" s="671"/>
      <c r="JJP1" s="671"/>
      <c r="JJQ1" s="671"/>
      <c r="JJR1" s="671"/>
      <c r="JJS1" s="671"/>
      <c r="JJT1" s="671"/>
      <c r="JJU1" s="671"/>
      <c r="JJV1" s="671"/>
      <c r="JJW1" s="671"/>
      <c r="JJX1" s="671"/>
      <c r="JJY1" s="671"/>
      <c r="JJZ1" s="671"/>
      <c r="JKA1" s="671"/>
      <c r="JKB1" s="671"/>
      <c r="JKC1" s="671"/>
      <c r="JKD1" s="671"/>
      <c r="JKE1" s="671"/>
      <c r="JKF1" s="671"/>
      <c r="JKG1" s="671"/>
      <c r="JKH1" s="671"/>
      <c r="JKI1" s="671"/>
      <c r="JKJ1" s="671"/>
      <c r="JKK1" s="671"/>
      <c r="JKL1" s="671"/>
      <c r="JKM1" s="671"/>
      <c r="JKN1" s="671"/>
      <c r="JKO1" s="671"/>
      <c r="JKP1" s="671"/>
      <c r="JKQ1" s="671"/>
      <c r="JKR1" s="671"/>
      <c r="JKS1" s="671"/>
      <c r="JKT1" s="671"/>
      <c r="JKU1" s="671"/>
      <c r="JKV1" s="671"/>
      <c r="JKW1" s="671"/>
      <c r="JKX1" s="671"/>
      <c r="JKY1" s="671"/>
      <c r="JKZ1" s="671"/>
      <c r="JLA1" s="671"/>
      <c r="JLB1" s="671"/>
      <c r="JLC1" s="671"/>
      <c r="JLD1" s="671"/>
      <c r="JLE1" s="671"/>
      <c r="JLF1" s="671"/>
      <c r="JLG1" s="671"/>
      <c r="JLH1" s="671"/>
      <c r="JLI1" s="671"/>
      <c r="JLJ1" s="671"/>
      <c r="JLK1" s="671"/>
      <c r="JLL1" s="671"/>
      <c r="JLM1" s="671"/>
      <c r="JLN1" s="671"/>
      <c r="JLO1" s="671"/>
      <c r="JLP1" s="671"/>
      <c r="JLQ1" s="671"/>
      <c r="JLR1" s="671"/>
      <c r="JLS1" s="671"/>
      <c r="JLT1" s="671"/>
      <c r="JLU1" s="671"/>
      <c r="JLV1" s="671"/>
      <c r="JLW1" s="671"/>
      <c r="JLX1" s="671"/>
      <c r="JLY1" s="671"/>
      <c r="JLZ1" s="671"/>
      <c r="JMA1" s="671"/>
      <c r="JMB1" s="671"/>
      <c r="JMC1" s="671"/>
      <c r="JMD1" s="671"/>
      <c r="JME1" s="671"/>
      <c r="JMF1" s="671"/>
      <c r="JMG1" s="671"/>
      <c r="JMH1" s="671"/>
      <c r="JMI1" s="671"/>
      <c r="JMJ1" s="671"/>
      <c r="JMK1" s="671"/>
      <c r="JML1" s="671"/>
      <c r="JMM1" s="671"/>
      <c r="JMN1" s="671"/>
      <c r="JMO1" s="671"/>
      <c r="JMP1" s="671"/>
      <c r="JMQ1" s="671"/>
      <c r="JMR1" s="671"/>
      <c r="JMS1" s="671"/>
      <c r="JMT1" s="671"/>
      <c r="JMU1" s="671"/>
      <c r="JMV1" s="671"/>
      <c r="JMW1" s="671"/>
      <c r="JMX1" s="671"/>
      <c r="JMY1" s="671"/>
      <c r="JMZ1" s="671"/>
      <c r="JNA1" s="671"/>
      <c r="JNB1" s="671"/>
      <c r="JNC1" s="671"/>
      <c r="JND1" s="671"/>
      <c r="JNE1" s="671"/>
      <c r="JNF1" s="671"/>
      <c r="JNG1" s="671"/>
      <c r="JNH1" s="671"/>
      <c r="JNI1" s="671"/>
      <c r="JNJ1" s="671"/>
      <c r="JNK1" s="671"/>
      <c r="JNL1" s="671"/>
      <c r="JNM1" s="671"/>
      <c r="JNN1" s="671"/>
      <c r="JNO1" s="671"/>
      <c r="JNP1" s="671"/>
      <c r="JNQ1" s="671"/>
      <c r="JNR1" s="671"/>
      <c r="JNS1" s="671"/>
      <c r="JNT1" s="671"/>
      <c r="JNU1" s="671"/>
      <c r="JNV1" s="671"/>
      <c r="JNW1" s="671"/>
      <c r="JNX1" s="671"/>
      <c r="JNY1" s="671"/>
      <c r="JNZ1" s="671"/>
      <c r="JOA1" s="671"/>
      <c r="JOB1" s="671"/>
      <c r="JOC1" s="671"/>
      <c r="JOD1" s="671"/>
      <c r="JOE1" s="671"/>
      <c r="JOF1" s="671"/>
      <c r="JOG1" s="671"/>
      <c r="JOH1" s="671"/>
      <c r="JOI1" s="671"/>
      <c r="JOJ1" s="671"/>
      <c r="JOK1" s="671"/>
      <c r="JOL1" s="671"/>
      <c r="JOM1" s="671"/>
      <c r="JON1" s="671"/>
      <c r="JOO1" s="671"/>
      <c r="JOP1" s="671"/>
      <c r="JOQ1" s="671"/>
      <c r="JOR1" s="671"/>
      <c r="JOS1" s="671"/>
      <c r="JOT1" s="671"/>
      <c r="JOU1" s="671"/>
      <c r="JOV1" s="671"/>
      <c r="JOW1" s="671"/>
      <c r="JOX1" s="671"/>
      <c r="JOY1" s="671"/>
      <c r="JOZ1" s="671"/>
      <c r="JPA1" s="671"/>
      <c r="JPB1" s="671"/>
      <c r="JPC1" s="671"/>
      <c r="JPD1" s="671"/>
      <c r="JPE1" s="671"/>
      <c r="JPF1" s="671"/>
      <c r="JPG1" s="671"/>
      <c r="JPH1" s="671"/>
      <c r="JPI1" s="671"/>
      <c r="JPJ1" s="671"/>
      <c r="JPK1" s="671"/>
      <c r="JPL1" s="671"/>
      <c r="JPM1" s="671"/>
      <c r="JPN1" s="671"/>
      <c r="JPO1" s="671"/>
      <c r="JPP1" s="671"/>
      <c r="JPQ1" s="671"/>
      <c r="JPR1" s="671"/>
      <c r="JPS1" s="671"/>
      <c r="JPT1" s="671"/>
      <c r="JPU1" s="671"/>
      <c r="JPV1" s="671"/>
      <c r="JPW1" s="671"/>
      <c r="JPX1" s="671"/>
      <c r="JPY1" s="671"/>
      <c r="JPZ1" s="671"/>
      <c r="JQA1" s="671"/>
      <c r="JQB1" s="671"/>
      <c r="JQC1" s="671"/>
      <c r="JQD1" s="671"/>
      <c r="JQE1" s="671"/>
      <c r="JQF1" s="671"/>
      <c r="JQG1" s="671"/>
      <c r="JQH1" s="671"/>
      <c r="JQI1" s="671"/>
      <c r="JQJ1" s="671"/>
      <c r="JQK1" s="671"/>
      <c r="JQL1" s="671"/>
      <c r="JQM1" s="671"/>
      <c r="JQN1" s="671"/>
      <c r="JQO1" s="671"/>
      <c r="JQP1" s="671"/>
      <c r="JQQ1" s="671"/>
      <c r="JQR1" s="671"/>
      <c r="JQS1" s="671"/>
      <c r="JQT1" s="671"/>
      <c r="JQU1" s="671"/>
      <c r="JQV1" s="671"/>
      <c r="JQW1" s="671"/>
      <c r="JQX1" s="671"/>
      <c r="JQY1" s="671"/>
      <c r="JQZ1" s="671"/>
      <c r="JRA1" s="671"/>
      <c r="JRB1" s="671"/>
      <c r="JRC1" s="671"/>
      <c r="JRD1" s="671"/>
      <c r="JRE1" s="671"/>
      <c r="JRF1" s="671"/>
      <c r="JRG1" s="671"/>
      <c r="JRH1" s="671"/>
      <c r="JRI1" s="671"/>
      <c r="JRJ1" s="671"/>
      <c r="JRK1" s="671"/>
      <c r="JRL1" s="671"/>
      <c r="JRM1" s="671"/>
      <c r="JRN1" s="671"/>
      <c r="JRO1" s="671"/>
      <c r="JRP1" s="671"/>
      <c r="JRQ1" s="671"/>
      <c r="JRR1" s="671"/>
      <c r="JRS1" s="671"/>
      <c r="JRT1" s="671"/>
      <c r="JRU1" s="671"/>
      <c r="JRV1" s="671"/>
      <c r="JRW1" s="671"/>
      <c r="JRX1" s="671"/>
      <c r="JRY1" s="671"/>
      <c r="JRZ1" s="671"/>
      <c r="JSA1" s="671"/>
      <c r="JSB1" s="671"/>
      <c r="JSC1" s="671"/>
      <c r="JSD1" s="671"/>
      <c r="JSE1" s="671"/>
      <c r="JSF1" s="671"/>
      <c r="JSG1" s="671"/>
      <c r="JSH1" s="671"/>
      <c r="JSI1" s="671"/>
      <c r="JSJ1" s="671"/>
      <c r="JSK1" s="671"/>
      <c r="JSL1" s="671"/>
      <c r="JSM1" s="671"/>
      <c r="JSN1" s="671"/>
      <c r="JSO1" s="671"/>
      <c r="JSP1" s="671"/>
      <c r="JSQ1" s="671"/>
      <c r="JSR1" s="671"/>
      <c r="JSS1" s="671"/>
      <c r="JST1" s="671"/>
      <c r="JSU1" s="671"/>
      <c r="JSV1" s="671"/>
      <c r="JSW1" s="671"/>
      <c r="JSX1" s="671"/>
      <c r="JSY1" s="671"/>
      <c r="JSZ1" s="671"/>
      <c r="JTA1" s="671"/>
      <c r="JTB1" s="671"/>
      <c r="JTC1" s="671"/>
      <c r="JTD1" s="671"/>
      <c r="JTE1" s="671"/>
      <c r="JTF1" s="671"/>
      <c r="JTG1" s="671"/>
      <c r="JTH1" s="671"/>
      <c r="JTI1" s="671"/>
      <c r="JTJ1" s="671"/>
      <c r="JTK1" s="671"/>
      <c r="JTL1" s="671"/>
      <c r="JTM1" s="671"/>
      <c r="JTN1" s="671"/>
      <c r="JTO1" s="671"/>
      <c r="JTP1" s="671"/>
      <c r="JTQ1" s="671"/>
      <c r="JTR1" s="671"/>
      <c r="JTS1" s="671"/>
      <c r="JTT1" s="671"/>
      <c r="JTU1" s="671"/>
      <c r="JTV1" s="671"/>
      <c r="JTW1" s="671"/>
      <c r="JTX1" s="671"/>
      <c r="JTY1" s="671"/>
      <c r="JTZ1" s="671"/>
      <c r="JUA1" s="671"/>
      <c r="JUB1" s="671"/>
      <c r="JUC1" s="671"/>
      <c r="JUD1" s="671"/>
      <c r="JUE1" s="671"/>
      <c r="JUF1" s="671"/>
      <c r="JUG1" s="671"/>
      <c r="JUH1" s="671"/>
      <c r="JUI1" s="671"/>
      <c r="JUJ1" s="671"/>
      <c r="JUK1" s="671"/>
      <c r="JUL1" s="671"/>
      <c r="JUM1" s="671"/>
      <c r="JUN1" s="671"/>
      <c r="JUO1" s="671"/>
      <c r="JUP1" s="671"/>
      <c r="JUQ1" s="671"/>
      <c r="JUR1" s="671"/>
      <c r="JUS1" s="671"/>
      <c r="JUT1" s="671"/>
      <c r="JUU1" s="671"/>
      <c r="JUV1" s="671"/>
      <c r="JUW1" s="671"/>
      <c r="JUX1" s="671"/>
      <c r="JUY1" s="671"/>
      <c r="JUZ1" s="671"/>
      <c r="JVA1" s="671"/>
      <c r="JVB1" s="671"/>
      <c r="JVC1" s="671"/>
      <c r="JVD1" s="671"/>
      <c r="JVE1" s="671"/>
      <c r="JVF1" s="671"/>
      <c r="JVG1" s="671"/>
      <c r="JVH1" s="671"/>
      <c r="JVI1" s="671"/>
      <c r="JVJ1" s="671"/>
      <c r="JVK1" s="671"/>
      <c r="JVL1" s="671"/>
      <c r="JVM1" s="671"/>
      <c r="JVN1" s="671"/>
      <c r="JVO1" s="671"/>
      <c r="JVP1" s="671"/>
      <c r="JVQ1" s="671"/>
      <c r="JVR1" s="671"/>
      <c r="JVS1" s="671"/>
      <c r="JVT1" s="671"/>
      <c r="JVU1" s="671"/>
      <c r="JVV1" s="671"/>
      <c r="JVW1" s="671"/>
      <c r="JVX1" s="671"/>
      <c r="JVY1" s="671"/>
      <c r="JVZ1" s="671"/>
      <c r="JWA1" s="671"/>
      <c r="JWB1" s="671"/>
      <c r="JWC1" s="671"/>
      <c r="JWD1" s="671"/>
      <c r="JWE1" s="671"/>
      <c r="JWF1" s="671"/>
      <c r="JWG1" s="671"/>
      <c r="JWH1" s="671"/>
      <c r="JWI1" s="671"/>
      <c r="JWJ1" s="671"/>
      <c r="JWK1" s="671"/>
      <c r="JWL1" s="671"/>
      <c r="JWM1" s="671"/>
      <c r="JWN1" s="671"/>
      <c r="JWO1" s="671"/>
      <c r="JWP1" s="671"/>
      <c r="JWQ1" s="671"/>
      <c r="JWR1" s="671"/>
      <c r="JWS1" s="671"/>
      <c r="JWT1" s="671"/>
      <c r="JWU1" s="671"/>
      <c r="JWV1" s="671"/>
      <c r="JWW1" s="671"/>
      <c r="JWX1" s="671"/>
      <c r="JWY1" s="671"/>
      <c r="JWZ1" s="671"/>
      <c r="JXA1" s="671"/>
      <c r="JXB1" s="671"/>
      <c r="JXC1" s="671"/>
      <c r="JXD1" s="671"/>
      <c r="JXE1" s="671"/>
      <c r="JXF1" s="671"/>
      <c r="JXG1" s="671"/>
      <c r="JXH1" s="671"/>
      <c r="JXI1" s="671"/>
      <c r="JXJ1" s="671"/>
      <c r="JXK1" s="671"/>
      <c r="JXL1" s="671"/>
      <c r="JXM1" s="671"/>
      <c r="JXN1" s="671"/>
      <c r="JXO1" s="671"/>
      <c r="JXP1" s="671"/>
      <c r="JXQ1" s="671"/>
      <c r="JXR1" s="671"/>
      <c r="JXS1" s="671"/>
      <c r="JXT1" s="671"/>
      <c r="JXU1" s="671"/>
      <c r="JXV1" s="671"/>
      <c r="JXW1" s="671"/>
      <c r="JXX1" s="671"/>
      <c r="JXY1" s="671"/>
      <c r="JXZ1" s="671"/>
      <c r="JYA1" s="671"/>
      <c r="JYB1" s="671"/>
      <c r="JYC1" s="671"/>
      <c r="JYD1" s="671"/>
      <c r="JYE1" s="671"/>
      <c r="JYF1" s="671"/>
      <c r="JYG1" s="671"/>
      <c r="JYH1" s="671"/>
      <c r="JYI1" s="671"/>
      <c r="JYJ1" s="671"/>
      <c r="JYK1" s="671"/>
      <c r="JYL1" s="671"/>
      <c r="JYM1" s="671"/>
      <c r="JYN1" s="671"/>
      <c r="JYO1" s="671"/>
      <c r="JYP1" s="671"/>
      <c r="JYQ1" s="671"/>
      <c r="JYR1" s="671"/>
      <c r="JYS1" s="671"/>
      <c r="JYT1" s="671"/>
      <c r="JYU1" s="671"/>
      <c r="JYV1" s="671"/>
      <c r="JYW1" s="671"/>
      <c r="JYX1" s="671"/>
      <c r="JYY1" s="671"/>
      <c r="JYZ1" s="671"/>
      <c r="JZA1" s="671"/>
      <c r="JZB1" s="671"/>
      <c r="JZC1" s="671"/>
      <c r="JZD1" s="671"/>
      <c r="JZE1" s="671"/>
      <c r="JZF1" s="671"/>
      <c r="JZG1" s="671"/>
      <c r="JZH1" s="671"/>
      <c r="JZI1" s="671"/>
      <c r="JZJ1" s="671"/>
      <c r="JZK1" s="671"/>
      <c r="JZL1" s="671"/>
      <c r="JZM1" s="671"/>
      <c r="JZN1" s="671"/>
      <c r="JZO1" s="671"/>
      <c r="JZP1" s="671"/>
      <c r="JZQ1" s="671"/>
      <c r="JZR1" s="671"/>
      <c r="JZS1" s="671"/>
      <c r="JZT1" s="671"/>
      <c r="JZU1" s="671"/>
      <c r="JZV1" s="671"/>
      <c r="JZW1" s="671"/>
      <c r="JZX1" s="671"/>
      <c r="JZY1" s="671"/>
      <c r="JZZ1" s="671"/>
      <c r="KAA1" s="671"/>
      <c r="KAB1" s="671"/>
      <c r="KAC1" s="671"/>
      <c r="KAD1" s="671"/>
      <c r="KAE1" s="671"/>
      <c r="KAF1" s="671"/>
      <c r="KAG1" s="671"/>
      <c r="KAH1" s="671"/>
      <c r="KAI1" s="671"/>
      <c r="KAJ1" s="671"/>
      <c r="KAK1" s="671"/>
      <c r="KAL1" s="671"/>
      <c r="KAM1" s="671"/>
      <c r="KAN1" s="671"/>
      <c r="KAO1" s="671"/>
      <c r="KAP1" s="671"/>
      <c r="KAQ1" s="671"/>
      <c r="KAR1" s="671"/>
      <c r="KAS1" s="671"/>
      <c r="KAT1" s="671"/>
      <c r="KAU1" s="671"/>
      <c r="KAV1" s="671"/>
      <c r="KAW1" s="671"/>
      <c r="KAX1" s="671"/>
      <c r="KAY1" s="671"/>
      <c r="KAZ1" s="671"/>
      <c r="KBA1" s="671"/>
      <c r="KBB1" s="671"/>
      <c r="KBC1" s="671"/>
      <c r="KBD1" s="671"/>
      <c r="KBE1" s="671"/>
      <c r="KBF1" s="671"/>
      <c r="KBG1" s="671"/>
      <c r="KBH1" s="671"/>
      <c r="KBI1" s="671"/>
      <c r="KBJ1" s="671"/>
      <c r="KBK1" s="671"/>
      <c r="KBL1" s="671"/>
      <c r="KBM1" s="671"/>
      <c r="KBN1" s="671"/>
      <c r="KBO1" s="671"/>
      <c r="KBP1" s="671"/>
      <c r="KBQ1" s="671"/>
      <c r="KBR1" s="671"/>
      <c r="KBS1" s="671"/>
      <c r="KBT1" s="671"/>
      <c r="KBU1" s="671"/>
      <c r="KBV1" s="671"/>
      <c r="KBW1" s="671"/>
      <c r="KBX1" s="671"/>
      <c r="KBY1" s="671"/>
      <c r="KBZ1" s="671"/>
      <c r="KCA1" s="671"/>
      <c r="KCB1" s="671"/>
      <c r="KCC1" s="671"/>
      <c r="KCD1" s="671"/>
      <c r="KCE1" s="671"/>
      <c r="KCF1" s="671"/>
      <c r="KCG1" s="671"/>
      <c r="KCH1" s="671"/>
      <c r="KCI1" s="671"/>
      <c r="KCJ1" s="671"/>
      <c r="KCK1" s="671"/>
      <c r="KCL1" s="671"/>
      <c r="KCM1" s="671"/>
      <c r="KCN1" s="671"/>
      <c r="KCO1" s="671"/>
      <c r="KCP1" s="671"/>
      <c r="KCQ1" s="671"/>
      <c r="KCR1" s="671"/>
      <c r="KCS1" s="671"/>
      <c r="KCT1" s="671"/>
      <c r="KCU1" s="671"/>
      <c r="KCV1" s="671"/>
      <c r="KCW1" s="671"/>
      <c r="KCX1" s="671"/>
      <c r="KCY1" s="671"/>
      <c r="KCZ1" s="671"/>
      <c r="KDA1" s="671"/>
      <c r="KDB1" s="671"/>
      <c r="KDC1" s="671"/>
      <c r="KDD1" s="671"/>
      <c r="KDE1" s="671"/>
      <c r="KDF1" s="671"/>
      <c r="KDG1" s="671"/>
      <c r="KDH1" s="671"/>
      <c r="KDI1" s="671"/>
      <c r="KDJ1" s="671"/>
      <c r="KDK1" s="671"/>
      <c r="KDL1" s="671"/>
      <c r="KDM1" s="671"/>
      <c r="KDN1" s="671"/>
      <c r="KDO1" s="671"/>
      <c r="KDP1" s="671"/>
      <c r="KDQ1" s="671"/>
      <c r="KDR1" s="671"/>
      <c r="KDS1" s="671"/>
      <c r="KDT1" s="671"/>
      <c r="KDU1" s="671"/>
      <c r="KDV1" s="671"/>
      <c r="KDW1" s="671"/>
      <c r="KDX1" s="671"/>
      <c r="KDY1" s="671"/>
      <c r="KDZ1" s="671"/>
      <c r="KEA1" s="671"/>
      <c r="KEB1" s="671"/>
      <c r="KEC1" s="671"/>
      <c r="KED1" s="671"/>
      <c r="KEE1" s="671"/>
      <c r="KEF1" s="671"/>
      <c r="KEG1" s="671"/>
      <c r="KEH1" s="671"/>
      <c r="KEI1" s="671"/>
      <c r="KEJ1" s="671"/>
      <c r="KEK1" s="671"/>
      <c r="KEL1" s="671"/>
      <c r="KEM1" s="671"/>
      <c r="KEN1" s="671"/>
      <c r="KEO1" s="671"/>
      <c r="KEP1" s="671"/>
      <c r="KEQ1" s="671"/>
      <c r="KER1" s="671"/>
      <c r="KES1" s="671"/>
      <c r="KET1" s="671"/>
      <c r="KEU1" s="671"/>
      <c r="KEV1" s="671"/>
      <c r="KEW1" s="671"/>
      <c r="KEX1" s="671"/>
      <c r="KEY1" s="671"/>
      <c r="KEZ1" s="671"/>
      <c r="KFA1" s="671"/>
      <c r="KFB1" s="671"/>
      <c r="KFC1" s="671"/>
      <c r="KFD1" s="671"/>
      <c r="KFE1" s="671"/>
      <c r="KFF1" s="671"/>
      <c r="KFG1" s="671"/>
      <c r="KFH1" s="671"/>
      <c r="KFI1" s="671"/>
      <c r="KFJ1" s="671"/>
      <c r="KFK1" s="671"/>
      <c r="KFL1" s="671"/>
      <c r="KFM1" s="671"/>
      <c r="KFN1" s="671"/>
      <c r="KFO1" s="671"/>
      <c r="KFP1" s="671"/>
      <c r="KFQ1" s="671"/>
      <c r="KFR1" s="671"/>
      <c r="KFS1" s="671"/>
      <c r="KFT1" s="671"/>
      <c r="KFU1" s="671"/>
      <c r="KFV1" s="671"/>
      <c r="KFW1" s="671"/>
      <c r="KFX1" s="671"/>
      <c r="KFY1" s="671"/>
      <c r="KFZ1" s="671"/>
      <c r="KGA1" s="671"/>
      <c r="KGB1" s="671"/>
      <c r="KGC1" s="671"/>
      <c r="KGD1" s="671"/>
      <c r="KGE1" s="671"/>
      <c r="KGF1" s="671"/>
      <c r="KGG1" s="671"/>
      <c r="KGH1" s="671"/>
      <c r="KGI1" s="671"/>
      <c r="KGJ1" s="671"/>
      <c r="KGK1" s="671"/>
      <c r="KGL1" s="671"/>
      <c r="KGM1" s="671"/>
      <c r="KGN1" s="671"/>
      <c r="KGO1" s="671"/>
      <c r="KGP1" s="671"/>
      <c r="KGQ1" s="671"/>
      <c r="KGR1" s="671"/>
      <c r="KGS1" s="671"/>
      <c r="KGT1" s="671"/>
      <c r="KGU1" s="671"/>
      <c r="KGV1" s="671"/>
      <c r="KGW1" s="671"/>
      <c r="KGX1" s="671"/>
      <c r="KGY1" s="671"/>
      <c r="KGZ1" s="671"/>
      <c r="KHA1" s="671"/>
      <c r="KHB1" s="671"/>
      <c r="KHC1" s="671"/>
      <c r="KHD1" s="671"/>
      <c r="KHE1" s="671"/>
      <c r="KHF1" s="671"/>
      <c r="KHG1" s="671"/>
      <c r="KHH1" s="671"/>
      <c r="KHI1" s="671"/>
      <c r="KHJ1" s="671"/>
      <c r="KHK1" s="671"/>
      <c r="KHL1" s="671"/>
      <c r="KHM1" s="671"/>
      <c r="KHN1" s="671"/>
      <c r="KHO1" s="671"/>
      <c r="KHP1" s="671"/>
      <c r="KHQ1" s="671"/>
      <c r="KHR1" s="671"/>
      <c r="KHS1" s="671"/>
      <c r="KHT1" s="671"/>
      <c r="KHU1" s="671"/>
      <c r="KHV1" s="671"/>
      <c r="KHW1" s="671"/>
      <c r="KHX1" s="671"/>
      <c r="KHY1" s="671"/>
      <c r="KHZ1" s="671"/>
      <c r="KIA1" s="671"/>
      <c r="KIB1" s="671"/>
      <c r="KIC1" s="671"/>
      <c r="KID1" s="671"/>
      <c r="KIE1" s="671"/>
      <c r="KIF1" s="671"/>
      <c r="KIG1" s="671"/>
      <c r="KIH1" s="671"/>
      <c r="KII1" s="671"/>
      <c r="KIJ1" s="671"/>
      <c r="KIK1" s="671"/>
      <c r="KIL1" s="671"/>
      <c r="KIM1" s="671"/>
      <c r="KIN1" s="671"/>
      <c r="KIO1" s="671"/>
      <c r="KIP1" s="671"/>
      <c r="KIQ1" s="671"/>
      <c r="KIR1" s="671"/>
      <c r="KIS1" s="671"/>
      <c r="KIT1" s="671"/>
      <c r="KIU1" s="671"/>
      <c r="KIV1" s="671"/>
      <c r="KIW1" s="671"/>
      <c r="KIX1" s="671"/>
      <c r="KIY1" s="671"/>
      <c r="KIZ1" s="671"/>
      <c r="KJA1" s="671"/>
      <c r="KJB1" s="671"/>
      <c r="KJC1" s="671"/>
      <c r="KJD1" s="671"/>
      <c r="KJE1" s="671"/>
      <c r="KJF1" s="671"/>
      <c r="KJG1" s="671"/>
      <c r="KJH1" s="671"/>
      <c r="KJI1" s="671"/>
      <c r="KJJ1" s="671"/>
      <c r="KJK1" s="671"/>
      <c r="KJL1" s="671"/>
      <c r="KJM1" s="671"/>
      <c r="KJN1" s="671"/>
      <c r="KJO1" s="671"/>
      <c r="KJP1" s="671"/>
      <c r="KJQ1" s="671"/>
      <c r="KJR1" s="671"/>
      <c r="KJS1" s="671"/>
      <c r="KJT1" s="671"/>
      <c r="KJU1" s="671"/>
      <c r="KJV1" s="671"/>
      <c r="KJW1" s="671"/>
      <c r="KJX1" s="671"/>
      <c r="KJY1" s="671"/>
      <c r="KJZ1" s="671"/>
      <c r="KKA1" s="671"/>
      <c r="KKB1" s="671"/>
      <c r="KKC1" s="671"/>
      <c r="KKD1" s="671"/>
      <c r="KKE1" s="671"/>
      <c r="KKF1" s="671"/>
      <c r="KKG1" s="671"/>
      <c r="KKH1" s="671"/>
      <c r="KKI1" s="671"/>
      <c r="KKJ1" s="671"/>
      <c r="KKK1" s="671"/>
      <c r="KKL1" s="671"/>
      <c r="KKM1" s="671"/>
      <c r="KKN1" s="671"/>
      <c r="KKO1" s="671"/>
      <c r="KKP1" s="671"/>
      <c r="KKQ1" s="671"/>
      <c r="KKR1" s="671"/>
      <c r="KKS1" s="671"/>
      <c r="KKT1" s="671"/>
      <c r="KKU1" s="671"/>
      <c r="KKV1" s="671"/>
      <c r="KKW1" s="671"/>
      <c r="KKX1" s="671"/>
      <c r="KKY1" s="671"/>
      <c r="KKZ1" s="671"/>
      <c r="KLA1" s="671"/>
      <c r="KLB1" s="671"/>
      <c r="KLC1" s="671"/>
      <c r="KLD1" s="671"/>
      <c r="KLE1" s="671"/>
      <c r="KLF1" s="671"/>
      <c r="KLG1" s="671"/>
      <c r="KLH1" s="671"/>
      <c r="KLI1" s="671"/>
      <c r="KLJ1" s="671"/>
      <c r="KLK1" s="671"/>
      <c r="KLL1" s="671"/>
      <c r="KLM1" s="671"/>
      <c r="KLN1" s="671"/>
      <c r="KLO1" s="671"/>
      <c r="KLP1" s="671"/>
      <c r="KLQ1" s="671"/>
      <c r="KLR1" s="671"/>
      <c r="KLS1" s="671"/>
      <c r="KLT1" s="671"/>
      <c r="KLU1" s="671"/>
      <c r="KLV1" s="671"/>
      <c r="KLW1" s="671"/>
      <c r="KLX1" s="671"/>
      <c r="KLY1" s="671"/>
      <c r="KLZ1" s="671"/>
      <c r="KMA1" s="671"/>
      <c r="KMB1" s="671"/>
      <c r="KMC1" s="671"/>
      <c r="KMD1" s="671"/>
      <c r="KME1" s="671"/>
      <c r="KMF1" s="671"/>
      <c r="KMG1" s="671"/>
      <c r="KMH1" s="671"/>
      <c r="KMI1" s="671"/>
      <c r="KMJ1" s="671"/>
      <c r="KMK1" s="671"/>
      <c r="KML1" s="671"/>
      <c r="KMM1" s="671"/>
      <c r="KMN1" s="671"/>
      <c r="KMO1" s="671"/>
      <c r="KMP1" s="671"/>
      <c r="KMQ1" s="671"/>
      <c r="KMR1" s="671"/>
      <c r="KMS1" s="671"/>
      <c r="KMT1" s="671"/>
      <c r="KMU1" s="671"/>
      <c r="KMV1" s="671"/>
      <c r="KMW1" s="671"/>
      <c r="KMX1" s="671"/>
      <c r="KMY1" s="671"/>
      <c r="KMZ1" s="671"/>
      <c r="KNA1" s="671"/>
      <c r="KNB1" s="671"/>
      <c r="KNC1" s="671"/>
      <c r="KND1" s="671"/>
      <c r="KNE1" s="671"/>
      <c r="KNF1" s="671"/>
      <c r="KNG1" s="671"/>
      <c r="KNH1" s="671"/>
      <c r="KNI1" s="671"/>
      <c r="KNJ1" s="671"/>
      <c r="KNK1" s="671"/>
      <c r="KNL1" s="671"/>
      <c r="KNM1" s="671"/>
      <c r="KNN1" s="671"/>
      <c r="KNO1" s="671"/>
      <c r="KNP1" s="671"/>
      <c r="KNQ1" s="671"/>
      <c r="KNR1" s="671"/>
      <c r="KNS1" s="671"/>
      <c r="KNT1" s="671"/>
      <c r="KNU1" s="671"/>
      <c r="KNV1" s="671"/>
      <c r="KNW1" s="671"/>
      <c r="KNX1" s="671"/>
      <c r="KNY1" s="671"/>
      <c r="KNZ1" s="671"/>
      <c r="KOA1" s="671"/>
      <c r="KOB1" s="671"/>
      <c r="KOC1" s="671"/>
      <c r="KOD1" s="671"/>
      <c r="KOE1" s="671"/>
      <c r="KOF1" s="671"/>
      <c r="KOG1" s="671"/>
      <c r="KOH1" s="671"/>
      <c r="KOI1" s="671"/>
      <c r="KOJ1" s="671"/>
      <c r="KOK1" s="671"/>
      <c r="KOL1" s="671"/>
      <c r="KOM1" s="671"/>
      <c r="KON1" s="671"/>
      <c r="KOO1" s="671"/>
      <c r="KOP1" s="671"/>
      <c r="KOQ1" s="671"/>
      <c r="KOR1" s="671"/>
      <c r="KOS1" s="671"/>
      <c r="KOT1" s="671"/>
      <c r="KOU1" s="671"/>
      <c r="KOV1" s="671"/>
      <c r="KOW1" s="671"/>
      <c r="KOX1" s="671"/>
      <c r="KOY1" s="671"/>
      <c r="KOZ1" s="671"/>
      <c r="KPA1" s="671"/>
      <c r="KPB1" s="671"/>
      <c r="KPC1" s="671"/>
      <c r="KPD1" s="671"/>
      <c r="KPE1" s="671"/>
      <c r="KPF1" s="671"/>
      <c r="KPG1" s="671"/>
      <c r="KPH1" s="671"/>
      <c r="KPI1" s="671"/>
      <c r="KPJ1" s="671"/>
      <c r="KPK1" s="671"/>
      <c r="KPL1" s="671"/>
      <c r="KPM1" s="671"/>
      <c r="KPN1" s="671"/>
      <c r="KPO1" s="671"/>
      <c r="KPP1" s="671"/>
      <c r="KPQ1" s="671"/>
      <c r="KPR1" s="671"/>
      <c r="KPS1" s="671"/>
      <c r="KPT1" s="671"/>
      <c r="KPU1" s="671"/>
      <c r="KPV1" s="671"/>
      <c r="KPW1" s="671"/>
      <c r="KPX1" s="671"/>
      <c r="KPY1" s="671"/>
      <c r="KPZ1" s="671"/>
      <c r="KQA1" s="671"/>
      <c r="KQB1" s="671"/>
      <c r="KQC1" s="671"/>
      <c r="KQD1" s="671"/>
      <c r="KQE1" s="671"/>
      <c r="KQF1" s="671"/>
      <c r="KQG1" s="671"/>
      <c r="KQH1" s="671"/>
      <c r="KQI1" s="671"/>
      <c r="KQJ1" s="671"/>
      <c r="KQK1" s="671"/>
      <c r="KQL1" s="671"/>
      <c r="KQM1" s="671"/>
      <c r="KQN1" s="671"/>
      <c r="KQO1" s="671"/>
      <c r="KQP1" s="671"/>
      <c r="KQQ1" s="671"/>
      <c r="KQR1" s="671"/>
      <c r="KQS1" s="671"/>
      <c r="KQT1" s="671"/>
      <c r="KQU1" s="671"/>
      <c r="KQV1" s="671"/>
      <c r="KQW1" s="671"/>
      <c r="KQX1" s="671"/>
      <c r="KQY1" s="671"/>
      <c r="KQZ1" s="671"/>
      <c r="KRA1" s="671"/>
      <c r="KRB1" s="671"/>
      <c r="KRC1" s="671"/>
      <c r="KRD1" s="671"/>
      <c r="KRE1" s="671"/>
      <c r="KRF1" s="671"/>
      <c r="KRG1" s="671"/>
      <c r="KRH1" s="671"/>
      <c r="KRI1" s="671"/>
      <c r="KRJ1" s="671"/>
      <c r="KRK1" s="671"/>
      <c r="KRL1" s="671"/>
      <c r="KRM1" s="671"/>
      <c r="KRN1" s="671"/>
      <c r="KRO1" s="671"/>
      <c r="KRP1" s="671"/>
      <c r="KRQ1" s="671"/>
      <c r="KRR1" s="671"/>
      <c r="KRS1" s="671"/>
      <c r="KRT1" s="671"/>
      <c r="KRU1" s="671"/>
      <c r="KRV1" s="671"/>
      <c r="KRW1" s="671"/>
      <c r="KRX1" s="671"/>
      <c r="KRY1" s="671"/>
      <c r="KRZ1" s="671"/>
      <c r="KSA1" s="671"/>
      <c r="KSB1" s="671"/>
      <c r="KSC1" s="671"/>
      <c r="KSD1" s="671"/>
      <c r="KSE1" s="671"/>
      <c r="KSF1" s="671"/>
      <c r="KSG1" s="671"/>
      <c r="KSH1" s="671"/>
      <c r="KSI1" s="671"/>
      <c r="KSJ1" s="671"/>
      <c r="KSK1" s="671"/>
      <c r="KSL1" s="671"/>
      <c r="KSM1" s="671"/>
      <c r="KSN1" s="671"/>
      <c r="KSO1" s="671"/>
      <c r="KSP1" s="671"/>
      <c r="KSQ1" s="671"/>
      <c r="KSR1" s="671"/>
      <c r="KSS1" s="671"/>
      <c r="KST1" s="671"/>
      <c r="KSU1" s="671"/>
      <c r="KSV1" s="671"/>
      <c r="KSW1" s="671"/>
      <c r="KSX1" s="671"/>
      <c r="KSY1" s="671"/>
      <c r="KSZ1" s="671"/>
      <c r="KTA1" s="671"/>
      <c r="KTB1" s="671"/>
      <c r="KTC1" s="671"/>
      <c r="KTD1" s="671"/>
      <c r="KTE1" s="671"/>
      <c r="KTF1" s="671"/>
      <c r="KTG1" s="671"/>
      <c r="KTH1" s="671"/>
      <c r="KTI1" s="671"/>
      <c r="KTJ1" s="671"/>
      <c r="KTK1" s="671"/>
      <c r="KTL1" s="671"/>
      <c r="KTM1" s="671"/>
      <c r="KTN1" s="671"/>
      <c r="KTO1" s="671"/>
      <c r="KTP1" s="671"/>
      <c r="KTQ1" s="671"/>
      <c r="KTR1" s="671"/>
      <c r="KTS1" s="671"/>
      <c r="KTT1" s="671"/>
      <c r="KTU1" s="671"/>
      <c r="KTV1" s="671"/>
      <c r="KTW1" s="671"/>
      <c r="KTX1" s="671"/>
      <c r="KTY1" s="671"/>
      <c r="KTZ1" s="671"/>
      <c r="KUA1" s="671"/>
      <c r="KUB1" s="671"/>
      <c r="KUC1" s="671"/>
      <c r="KUD1" s="671"/>
      <c r="KUE1" s="671"/>
      <c r="KUF1" s="671"/>
      <c r="KUG1" s="671"/>
      <c r="KUH1" s="671"/>
      <c r="KUI1" s="671"/>
      <c r="KUJ1" s="671"/>
      <c r="KUK1" s="671"/>
      <c r="KUL1" s="671"/>
      <c r="KUM1" s="671"/>
      <c r="KUN1" s="671"/>
      <c r="KUO1" s="671"/>
      <c r="KUP1" s="671"/>
      <c r="KUQ1" s="671"/>
      <c r="KUR1" s="671"/>
      <c r="KUS1" s="671"/>
      <c r="KUT1" s="671"/>
      <c r="KUU1" s="671"/>
      <c r="KUV1" s="671"/>
      <c r="KUW1" s="671"/>
      <c r="KUX1" s="671"/>
      <c r="KUY1" s="671"/>
      <c r="KUZ1" s="671"/>
      <c r="KVA1" s="671"/>
      <c r="KVB1" s="671"/>
      <c r="KVC1" s="671"/>
      <c r="KVD1" s="671"/>
      <c r="KVE1" s="671"/>
      <c r="KVF1" s="671"/>
      <c r="KVG1" s="671"/>
      <c r="KVH1" s="671"/>
      <c r="KVI1" s="671"/>
      <c r="KVJ1" s="671"/>
      <c r="KVK1" s="671"/>
      <c r="KVL1" s="671"/>
      <c r="KVM1" s="671"/>
      <c r="KVN1" s="671"/>
      <c r="KVO1" s="671"/>
      <c r="KVP1" s="671"/>
      <c r="KVQ1" s="671"/>
      <c r="KVR1" s="671"/>
      <c r="KVS1" s="671"/>
      <c r="KVT1" s="671"/>
      <c r="KVU1" s="671"/>
      <c r="KVV1" s="671"/>
      <c r="KVW1" s="671"/>
      <c r="KVX1" s="671"/>
      <c r="KVY1" s="671"/>
      <c r="KVZ1" s="671"/>
      <c r="KWA1" s="671"/>
      <c r="KWB1" s="671"/>
      <c r="KWC1" s="671"/>
      <c r="KWD1" s="671"/>
      <c r="KWE1" s="671"/>
      <c r="KWF1" s="671"/>
      <c r="KWG1" s="671"/>
      <c r="KWH1" s="671"/>
      <c r="KWI1" s="671"/>
      <c r="KWJ1" s="671"/>
      <c r="KWK1" s="671"/>
      <c r="KWL1" s="671"/>
      <c r="KWM1" s="671"/>
      <c r="KWN1" s="671"/>
      <c r="KWO1" s="671"/>
      <c r="KWP1" s="671"/>
      <c r="KWQ1" s="671"/>
      <c r="KWR1" s="671"/>
      <c r="KWS1" s="671"/>
      <c r="KWT1" s="671"/>
      <c r="KWU1" s="671"/>
      <c r="KWV1" s="671"/>
      <c r="KWW1" s="671"/>
      <c r="KWX1" s="671"/>
      <c r="KWY1" s="671"/>
      <c r="KWZ1" s="671"/>
      <c r="KXA1" s="671"/>
      <c r="KXB1" s="671"/>
      <c r="KXC1" s="671"/>
      <c r="KXD1" s="671"/>
      <c r="KXE1" s="671"/>
      <c r="KXF1" s="671"/>
      <c r="KXG1" s="671"/>
      <c r="KXH1" s="671"/>
      <c r="KXI1" s="671"/>
      <c r="KXJ1" s="671"/>
      <c r="KXK1" s="671"/>
      <c r="KXL1" s="671"/>
      <c r="KXM1" s="671"/>
      <c r="KXN1" s="671"/>
      <c r="KXO1" s="671"/>
      <c r="KXP1" s="671"/>
      <c r="KXQ1" s="671"/>
      <c r="KXR1" s="671"/>
      <c r="KXS1" s="671"/>
      <c r="KXT1" s="671"/>
      <c r="KXU1" s="671"/>
      <c r="KXV1" s="671"/>
      <c r="KXW1" s="671"/>
      <c r="KXX1" s="671"/>
      <c r="KXY1" s="671"/>
      <c r="KXZ1" s="671"/>
      <c r="KYA1" s="671"/>
      <c r="KYB1" s="671"/>
      <c r="KYC1" s="671"/>
      <c r="KYD1" s="671"/>
      <c r="KYE1" s="671"/>
      <c r="KYF1" s="671"/>
      <c r="KYG1" s="671"/>
      <c r="KYH1" s="671"/>
      <c r="KYI1" s="671"/>
      <c r="KYJ1" s="671"/>
      <c r="KYK1" s="671"/>
      <c r="KYL1" s="671"/>
      <c r="KYM1" s="671"/>
      <c r="KYN1" s="671"/>
      <c r="KYO1" s="671"/>
      <c r="KYP1" s="671"/>
      <c r="KYQ1" s="671"/>
      <c r="KYR1" s="671"/>
      <c r="KYS1" s="671"/>
      <c r="KYT1" s="671"/>
      <c r="KYU1" s="671"/>
      <c r="KYV1" s="671"/>
      <c r="KYW1" s="671"/>
      <c r="KYX1" s="671"/>
      <c r="KYY1" s="671"/>
      <c r="KYZ1" s="671"/>
      <c r="KZA1" s="671"/>
      <c r="KZB1" s="671"/>
      <c r="KZC1" s="671"/>
      <c r="KZD1" s="671"/>
      <c r="KZE1" s="671"/>
      <c r="KZF1" s="671"/>
      <c r="KZG1" s="671"/>
      <c r="KZH1" s="671"/>
      <c r="KZI1" s="671"/>
      <c r="KZJ1" s="671"/>
      <c r="KZK1" s="671"/>
      <c r="KZL1" s="671"/>
      <c r="KZM1" s="671"/>
      <c r="KZN1" s="671"/>
      <c r="KZO1" s="671"/>
      <c r="KZP1" s="671"/>
      <c r="KZQ1" s="671"/>
      <c r="KZR1" s="671"/>
      <c r="KZS1" s="671"/>
      <c r="KZT1" s="671"/>
      <c r="KZU1" s="671"/>
      <c r="KZV1" s="671"/>
      <c r="KZW1" s="671"/>
      <c r="KZX1" s="671"/>
      <c r="KZY1" s="671"/>
      <c r="KZZ1" s="671"/>
      <c r="LAA1" s="671"/>
      <c r="LAB1" s="671"/>
      <c r="LAC1" s="671"/>
      <c r="LAD1" s="671"/>
      <c r="LAE1" s="671"/>
      <c r="LAF1" s="671"/>
      <c r="LAG1" s="671"/>
      <c r="LAH1" s="671"/>
      <c r="LAI1" s="671"/>
      <c r="LAJ1" s="671"/>
      <c r="LAK1" s="671"/>
      <c r="LAL1" s="671"/>
      <c r="LAM1" s="671"/>
      <c r="LAN1" s="671"/>
      <c r="LAO1" s="671"/>
      <c r="LAP1" s="671"/>
      <c r="LAQ1" s="671"/>
      <c r="LAR1" s="671"/>
      <c r="LAS1" s="671"/>
      <c r="LAT1" s="671"/>
      <c r="LAU1" s="671"/>
      <c r="LAV1" s="671"/>
      <c r="LAW1" s="671"/>
      <c r="LAX1" s="671"/>
      <c r="LAY1" s="671"/>
      <c r="LAZ1" s="671"/>
      <c r="LBA1" s="671"/>
      <c r="LBB1" s="671"/>
      <c r="LBC1" s="671"/>
      <c r="LBD1" s="671"/>
      <c r="LBE1" s="671"/>
      <c r="LBF1" s="671"/>
      <c r="LBG1" s="671"/>
      <c r="LBH1" s="671"/>
      <c r="LBI1" s="671"/>
      <c r="LBJ1" s="671"/>
      <c r="LBK1" s="671"/>
      <c r="LBL1" s="671"/>
      <c r="LBM1" s="671"/>
      <c r="LBN1" s="671"/>
      <c r="LBO1" s="671"/>
      <c r="LBP1" s="671"/>
      <c r="LBQ1" s="671"/>
      <c r="LBR1" s="671"/>
      <c r="LBS1" s="671"/>
      <c r="LBT1" s="671"/>
      <c r="LBU1" s="671"/>
      <c r="LBV1" s="671"/>
      <c r="LBW1" s="671"/>
      <c r="LBX1" s="671"/>
      <c r="LBY1" s="671"/>
      <c r="LBZ1" s="671"/>
      <c r="LCA1" s="671"/>
      <c r="LCB1" s="671"/>
      <c r="LCC1" s="671"/>
      <c r="LCD1" s="671"/>
      <c r="LCE1" s="671"/>
      <c r="LCF1" s="671"/>
      <c r="LCG1" s="671"/>
      <c r="LCH1" s="671"/>
      <c r="LCI1" s="671"/>
      <c r="LCJ1" s="671"/>
      <c r="LCK1" s="671"/>
      <c r="LCL1" s="671"/>
      <c r="LCM1" s="671"/>
      <c r="LCN1" s="671"/>
      <c r="LCO1" s="671"/>
      <c r="LCP1" s="671"/>
      <c r="LCQ1" s="671"/>
      <c r="LCR1" s="671"/>
      <c r="LCS1" s="671"/>
      <c r="LCT1" s="671"/>
      <c r="LCU1" s="671"/>
      <c r="LCV1" s="671"/>
      <c r="LCW1" s="671"/>
      <c r="LCX1" s="671"/>
      <c r="LCY1" s="671"/>
      <c r="LCZ1" s="671"/>
      <c r="LDA1" s="671"/>
      <c r="LDB1" s="671"/>
      <c r="LDC1" s="671"/>
      <c r="LDD1" s="671"/>
      <c r="LDE1" s="671"/>
      <c r="LDF1" s="671"/>
      <c r="LDG1" s="671"/>
      <c r="LDH1" s="671"/>
      <c r="LDI1" s="671"/>
      <c r="LDJ1" s="671"/>
      <c r="LDK1" s="671"/>
      <c r="LDL1" s="671"/>
      <c r="LDM1" s="671"/>
      <c r="LDN1" s="671"/>
      <c r="LDO1" s="671"/>
      <c r="LDP1" s="671"/>
      <c r="LDQ1" s="671"/>
      <c r="LDR1" s="671"/>
      <c r="LDS1" s="671"/>
      <c r="LDT1" s="671"/>
      <c r="LDU1" s="671"/>
      <c r="LDV1" s="671"/>
      <c r="LDW1" s="671"/>
      <c r="LDX1" s="671"/>
      <c r="LDY1" s="671"/>
      <c r="LDZ1" s="671"/>
      <c r="LEA1" s="671"/>
      <c r="LEB1" s="671"/>
      <c r="LEC1" s="671"/>
      <c r="LED1" s="671"/>
      <c r="LEE1" s="671"/>
      <c r="LEF1" s="671"/>
      <c r="LEG1" s="671"/>
      <c r="LEH1" s="671"/>
      <c r="LEI1" s="671"/>
      <c r="LEJ1" s="671"/>
      <c r="LEK1" s="671"/>
      <c r="LEL1" s="671"/>
      <c r="LEM1" s="671"/>
      <c r="LEN1" s="671"/>
      <c r="LEO1" s="671"/>
      <c r="LEP1" s="671"/>
      <c r="LEQ1" s="671"/>
      <c r="LER1" s="671"/>
      <c r="LES1" s="671"/>
      <c r="LET1" s="671"/>
      <c r="LEU1" s="671"/>
      <c r="LEV1" s="671"/>
      <c r="LEW1" s="671"/>
      <c r="LEX1" s="671"/>
      <c r="LEY1" s="671"/>
      <c r="LEZ1" s="671"/>
      <c r="LFA1" s="671"/>
      <c r="LFB1" s="671"/>
      <c r="LFC1" s="671"/>
      <c r="LFD1" s="671"/>
      <c r="LFE1" s="671"/>
      <c r="LFF1" s="671"/>
      <c r="LFG1" s="671"/>
      <c r="LFH1" s="671"/>
      <c r="LFI1" s="671"/>
      <c r="LFJ1" s="671"/>
      <c r="LFK1" s="671"/>
      <c r="LFL1" s="671"/>
      <c r="LFM1" s="671"/>
      <c r="LFN1" s="671"/>
      <c r="LFO1" s="671"/>
      <c r="LFP1" s="671"/>
      <c r="LFQ1" s="671"/>
      <c r="LFR1" s="671"/>
      <c r="LFS1" s="671"/>
      <c r="LFT1" s="671"/>
      <c r="LFU1" s="671"/>
      <c r="LFV1" s="671"/>
      <c r="LFW1" s="671"/>
      <c r="LFX1" s="671"/>
      <c r="LFY1" s="671"/>
      <c r="LFZ1" s="671"/>
      <c r="LGA1" s="671"/>
      <c r="LGB1" s="671"/>
      <c r="LGC1" s="671"/>
      <c r="LGD1" s="671"/>
      <c r="LGE1" s="671"/>
      <c r="LGF1" s="671"/>
      <c r="LGG1" s="671"/>
      <c r="LGH1" s="671"/>
      <c r="LGI1" s="671"/>
      <c r="LGJ1" s="671"/>
      <c r="LGK1" s="671"/>
      <c r="LGL1" s="671"/>
      <c r="LGM1" s="671"/>
      <c r="LGN1" s="671"/>
      <c r="LGO1" s="671"/>
      <c r="LGP1" s="671"/>
      <c r="LGQ1" s="671"/>
      <c r="LGR1" s="671"/>
      <c r="LGS1" s="671"/>
      <c r="LGT1" s="671"/>
      <c r="LGU1" s="671"/>
      <c r="LGV1" s="671"/>
      <c r="LGW1" s="671"/>
      <c r="LGX1" s="671"/>
      <c r="LGY1" s="671"/>
      <c r="LGZ1" s="671"/>
      <c r="LHA1" s="671"/>
      <c r="LHB1" s="671"/>
      <c r="LHC1" s="671"/>
      <c r="LHD1" s="671"/>
      <c r="LHE1" s="671"/>
      <c r="LHF1" s="671"/>
      <c r="LHG1" s="671"/>
      <c r="LHH1" s="671"/>
      <c r="LHI1" s="671"/>
      <c r="LHJ1" s="671"/>
      <c r="LHK1" s="671"/>
      <c r="LHL1" s="671"/>
      <c r="LHM1" s="671"/>
      <c r="LHN1" s="671"/>
      <c r="LHO1" s="671"/>
      <c r="LHP1" s="671"/>
      <c r="LHQ1" s="671"/>
      <c r="LHR1" s="671"/>
      <c r="LHS1" s="671"/>
      <c r="LHT1" s="671"/>
      <c r="LHU1" s="671"/>
      <c r="LHV1" s="671"/>
      <c r="LHW1" s="671"/>
      <c r="LHX1" s="671"/>
      <c r="LHY1" s="671"/>
      <c r="LHZ1" s="671"/>
      <c r="LIA1" s="671"/>
      <c r="LIB1" s="671"/>
      <c r="LIC1" s="671"/>
      <c r="LID1" s="671"/>
      <c r="LIE1" s="671"/>
      <c r="LIF1" s="671"/>
      <c r="LIG1" s="671"/>
      <c r="LIH1" s="671"/>
      <c r="LII1" s="671"/>
      <c r="LIJ1" s="671"/>
      <c r="LIK1" s="671"/>
      <c r="LIL1" s="671"/>
      <c r="LIM1" s="671"/>
      <c r="LIN1" s="671"/>
      <c r="LIO1" s="671"/>
      <c r="LIP1" s="671"/>
      <c r="LIQ1" s="671"/>
      <c r="LIR1" s="671"/>
      <c r="LIS1" s="671"/>
      <c r="LIT1" s="671"/>
      <c r="LIU1" s="671"/>
      <c r="LIV1" s="671"/>
      <c r="LIW1" s="671"/>
      <c r="LIX1" s="671"/>
      <c r="LIY1" s="671"/>
      <c r="LIZ1" s="671"/>
      <c r="LJA1" s="671"/>
      <c r="LJB1" s="671"/>
      <c r="LJC1" s="671"/>
      <c r="LJD1" s="671"/>
      <c r="LJE1" s="671"/>
      <c r="LJF1" s="671"/>
      <c r="LJG1" s="671"/>
      <c r="LJH1" s="671"/>
      <c r="LJI1" s="671"/>
      <c r="LJJ1" s="671"/>
      <c r="LJK1" s="671"/>
      <c r="LJL1" s="671"/>
      <c r="LJM1" s="671"/>
      <c r="LJN1" s="671"/>
      <c r="LJO1" s="671"/>
      <c r="LJP1" s="671"/>
      <c r="LJQ1" s="671"/>
      <c r="LJR1" s="671"/>
      <c r="LJS1" s="671"/>
      <c r="LJT1" s="671"/>
      <c r="LJU1" s="671"/>
      <c r="LJV1" s="671"/>
      <c r="LJW1" s="671"/>
      <c r="LJX1" s="671"/>
      <c r="LJY1" s="671"/>
      <c r="LJZ1" s="671"/>
      <c r="LKA1" s="671"/>
      <c r="LKB1" s="671"/>
      <c r="LKC1" s="671"/>
      <c r="LKD1" s="671"/>
      <c r="LKE1" s="671"/>
      <c r="LKF1" s="671"/>
      <c r="LKG1" s="671"/>
      <c r="LKH1" s="671"/>
      <c r="LKI1" s="671"/>
      <c r="LKJ1" s="671"/>
      <c r="LKK1" s="671"/>
      <c r="LKL1" s="671"/>
      <c r="LKM1" s="671"/>
      <c r="LKN1" s="671"/>
      <c r="LKO1" s="671"/>
      <c r="LKP1" s="671"/>
      <c r="LKQ1" s="671"/>
      <c r="LKR1" s="671"/>
      <c r="LKS1" s="671"/>
      <c r="LKT1" s="671"/>
      <c r="LKU1" s="671"/>
      <c r="LKV1" s="671"/>
      <c r="LKW1" s="671"/>
      <c r="LKX1" s="671"/>
      <c r="LKY1" s="671"/>
      <c r="LKZ1" s="671"/>
      <c r="LLA1" s="671"/>
      <c r="LLB1" s="671"/>
      <c r="LLC1" s="671"/>
      <c r="LLD1" s="671"/>
      <c r="LLE1" s="671"/>
      <c r="LLF1" s="671"/>
      <c r="LLG1" s="671"/>
      <c r="LLH1" s="671"/>
      <c r="LLI1" s="671"/>
      <c r="LLJ1" s="671"/>
      <c r="LLK1" s="671"/>
      <c r="LLL1" s="671"/>
      <c r="LLM1" s="671"/>
      <c r="LLN1" s="671"/>
      <c r="LLO1" s="671"/>
      <c r="LLP1" s="671"/>
      <c r="LLQ1" s="671"/>
      <c r="LLR1" s="671"/>
      <c r="LLS1" s="671"/>
      <c r="LLT1" s="671"/>
      <c r="LLU1" s="671"/>
      <c r="LLV1" s="671"/>
      <c r="LLW1" s="671"/>
      <c r="LLX1" s="671"/>
      <c r="LLY1" s="671"/>
      <c r="LLZ1" s="671"/>
      <c r="LMA1" s="671"/>
      <c r="LMB1" s="671"/>
      <c r="LMC1" s="671"/>
      <c r="LMD1" s="671"/>
      <c r="LME1" s="671"/>
      <c r="LMF1" s="671"/>
      <c r="LMG1" s="671"/>
      <c r="LMH1" s="671"/>
      <c r="LMI1" s="671"/>
      <c r="LMJ1" s="671"/>
      <c r="LMK1" s="671"/>
      <c r="LML1" s="671"/>
      <c r="LMM1" s="671"/>
      <c r="LMN1" s="671"/>
      <c r="LMO1" s="671"/>
      <c r="LMP1" s="671"/>
      <c r="LMQ1" s="671"/>
      <c r="LMR1" s="671"/>
      <c r="LMS1" s="671"/>
      <c r="LMT1" s="671"/>
      <c r="LMU1" s="671"/>
      <c r="LMV1" s="671"/>
      <c r="LMW1" s="671"/>
      <c r="LMX1" s="671"/>
      <c r="LMY1" s="671"/>
      <c r="LMZ1" s="671"/>
      <c r="LNA1" s="671"/>
      <c r="LNB1" s="671"/>
      <c r="LNC1" s="671"/>
      <c r="LND1" s="671"/>
      <c r="LNE1" s="671"/>
      <c r="LNF1" s="671"/>
      <c r="LNG1" s="671"/>
      <c r="LNH1" s="671"/>
      <c r="LNI1" s="671"/>
      <c r="LNJ1" s="671"/>
      <c r="LNK1" s="671"/>
      <c r="LNL1" s="671"/>
      <c r="LNM1" s="671"/>
      <c r="LNN1" s="671"/>
      <c r="LNO1" s="671"/>
      <c r="LNP1" s="671"/>
      <c r="LNQ1" s="671"/>
      <c r="LNR1" s="671"/>
      <c r="LNS1" s="671"/>
      <c r="LNT1" s="671"/>
      <c r="LNU1" s="671"/>
      <c r="LNV1" s="671"/>
      <c r="LNW1" s="671"/>
      <c r="LNX1" s="671"/>
      <c r="LNY1" s="671"/>
      <c r="LNZ1" s="671"/>
      <c r="LOA1" s="671"/>
      <c r="LOB1" s="671"/>
      <c r="LOC1" s="671"/>
      <c r="LOD1" s="671"/>
      <c r="LOE1" s="671"/>
      <c r="LOF1" s="671"/>
      <c r="LOG1" s="671"/>
      <c r="LOH1" s="671"/>
      <c r="LOI1" s="671"/>
      <c r="LOJ1" s="671"/>
      <c r="LOK1" s="671"/>
      <c r="LOL1" s="671"/>
      <c r="LOM1" s="671"/>
      <c r="LON1" s="671"/>
      <c r="LOO1" s="671"/>
      <c r="LOP1" s="671"/>
      <c r="LOQ1" s="671"/>
      <c r="LOR1" s="671"/>
      <c r="LOS1" s="671"/>
      <c r="LOT1" s="671"/>
      <c r="LOU1" s="671"/>
      <c r="LOV1" s="671"/>
      <c r="LOW1" s="671"/>
      <c r="LOX1" s="671"/>
      <c r="LOY1" s="671"/>
      <c r="LOZ1" s="671"/>
      <c r="LPA1" s="671"/>
      <c r="LPB1" s="671"/>
      <c r="LPC1" s="671"/>
      <c r="LPD1" s="671"/>
      <c r="LPE1" s="671"/>
      <c r="LPF1" s="671"/>
      <c r="LPG1" s="671"/>
      <c r="LPH1" s="671"/>
      <c r="LPI1" s="671"/>
      <c r="LPJ1" s="671"/>
      <c r="LPK1" s="671"/>
      <c r="LPL1" s="671"/>
      <c r="LPM1" s="671"/>
      <c r="LPN1" s="671"/>
      <c r="LPO1" s="671"/>
      <c r="LPP1" s="671"/>
      <c r="LPQ1" s="671"/>
      <c r="LPR1" s="671"/>
      <c r="LPS1" s="671"/>
      <c r="LPT1" s="671"/>
      <c r="LPU1" s="671"/>
      <c r="LPV1" s="671"/>
      <c r="LPW1" s="671"/>
      <c r="LPX1" s="671"/>
      <c r="LPY1" s="671"/>
      <c r="LPZ1" s="671"/>
      <c r="LQA1" s="671"/>
      <c r="LQB1" s="671"/>
      <c r="LQC1" s="671"/>
      <c r="LQD1" s="671"/>
      <c r="LQE1" s="671"/>
      <c r="LQF1" s="671"/>
      <c r="LQG1" s="671"/>
      <c r="LQH1" s="671"/>
      <c r="LQI1" s="671"/>
      <c r="LQJ1" s="671"/>
      <c r="LQK1" s="671"/>
      <c r="LQL1" s="671"/>
      <c r="LQM1" s="671"/>
      <c r="LQN1" s="671"/>
      <c r="LQO1" s="671"/>
      <c r="LQP1" s="671"/>
      <c r="LQQ1" s="671"/>
      <c r="LQR1" s="671"/>
      <c r="LQS1" s="671"/>
      <c r="LQT1" s="671"/>
      <c r="LQU1" s="671"/>
      <c r="LQV1" s="671"/>
      <c r="LQW1" s="671"/>
      <c r="LQX1" s="671"/>
      <c r="LQY1" s="671"/>
      <c r="LQZ1" s="671"/>
      <c r="LRA1" s="671"/>
      <c r="LRB1" s="671"/>
      <c r="LRC1" s="671"/>
      <c r="LRD1" s="671"/>
      <c r="LRE1" s="671"/>
      <c r="LRF1" s="671"/>
      <c r="LRG1" s="671"/>
      <c r="LRH1" s="671"/>
      <c r="LRI1" s="671"/>
      <c r="LRJ1" s="671"/>
      <c r="LRK1" s="671"/>
      <c r="LRL1" s="671"/>
      <c r="LRM1" s="671"/>
      <c r="LRN1" s="671"/>
      <c r="LRO1" s="671"/>
      <c r="LRP1" s="671"/>
      <c r="LRQ1" s="671"/>
      <c r="LRR1" s="671"/>
      <c r="LRS1" s="671"/>
      <c r="LRT1" s="671"/>
      <c r="LRU1" s="671"/>
      <c r="LRV1" s="671"/>
      <c r="LRW1" s="671"/>
      <c r="LRX1" s="671"/>
      <c r="LRY1" s="671"/>
      <c r="LRZ1" s="671"/>
      <c r="LSA1" s="671"/>
      <c r="LSB1" s="671"/>
      <c r="LSC1" s="671"/>
      <c r="LSD1" s="671"/>
      <c r="LSE1" s="671"/>
      <c r="LSF1" s="671"/>
      <c r="LSG1" s="671"/>
      <c r="LSH1" s="671"/>
      <c r="LSI1" s="671"/>
      <c r="LSJ1" s="671"/>
      <c r="LSK1" s="671"/>
      <c r="LSL1" s="671"/>
      <c r="LSM1" s="671"/>
      <c r="LSN1" s="671"/>
      <c r="LSO1" s="671"/>
      <c r="LSP1" s="671"/>
      <c r="LSQ1" s="671"/>
      <c r="LSR1" s="671"/>
      <c r="LSS1" s="671"/>
      <c r="LST1" s="671"/>
      <c r="LSU1" s="671"/>
      <c r="LSV1" s="671"/>
      <c r="LSW1" s="671"/>
      <c r="LSX1" s="671"/>
      <c r="LSY1" s="671"/>
      <c r="LSZ1" s="671"/>
      <c r="LTA1" s="671"/>
      <c r="LTB1" s="671"/>
      <c r="LTC1" s="671"/>
      <c r="LTD1" s="671"/>
      <c r="LTE1" s="671"/>
      <c r="LTF1" s="671"/>
      <c r="LTG1" s="671"/>
      <c r="LTH1" s="671"/>
      <c r="LTI1" s="671"/>
      <c r="LTJ1" s="671"/>
      <c r="LTK1" s="671"/>
      <c r="LTL1" s="671"/>
      <c r="LTM1" s="671"/>
      <c r="LTN1" s="671"/>
      <c r="LTO1" s="671"/>
      <c r="LTP1" s="671"/>
      <c r="LTQ1" s="671"/>
      <c r="LTR1" s="671"/>
      <c r="LTS1" s="671"/>
      <c r="LTT1" s="671"/>
      <c r="LTU1" s="671"/>
      <c r="LTV1" s="671"/>
      <c r="LTW1" s="671"/>
      <c r="LTX1" s="671"/>
      <c r="LTY1" s="671"/>
      <c r="LTZ1" s="671"/>
      <c r="LUA1" s="671"/>
      <c r="LUB1" s="671"/>
      <c r="LUC1" s="671"/>
      <c r="LUD1" s="671"/>
      <c r="LUE1" s="671"/>
      <c r="LUF1" s="671"/>
      <c r="LUG1" s="671"/>
      <c r="LUH1" s="671"/>
      <c r="LUI1" s="671"/>
      <c r="LUJ1" s="671"/>
      <c r="LUK1" s="671"/>
      <c r="LUL1" s="671"/>
      <c r="LUM1" s="671"/>
      <c r="LUN1" s="671"/>
      <c r="LUO1" s="671"/>
      <c r="LUP1" s="671"/>
      <c r="LUQ1" s="671"/>
      <c r="LUR1" s="671"/>
      <c r="LUS1" s="671"/>
      <c r="LUT1" s="671"/>
      <c r="LUU1" s="671"/>
      <c r="LUV1" s="671"/>
      <c r="LUW1" s="671"/>
      <c r="LUX1" s="671"/>
      <c r="LUY1" s="671"/>
      <c r="LUZ1" s="671"/>
      <c r="LVA1" s="671"/>
      <c r="LVB1" s="671"/>
      <c r="LVC1" s="671"/>
      <c r="LVD1" s="671"/>
      <c r="LVE1" s="671"/>
      <c r="LVF1" s="671"/>
      <c r="LVG1" s="671"/>
      <c r="LVH1" s="671"/>
      <c r="LVI1" s="671"/>
      <c r="LVJ1" s="671"/>
      <c r="LVK1" s="671"/>
      <c r="LVL1" s="671"/>
      <c r="LVM1" s="671"/>
      <c r="LVN1" s="671"/>
      <c r="LVO1" s="671"/>
      <c r="LVP1" s="671"/>
      <c r="LVQ1" s="671"/>
      <c r="LVR1" s="671"/>
      <c r="LVS1" s="671"/>
      <c r="LVT1" s="671"/>
      <c r="LVU1" s="671"/>
      <c r="LVV1" s="671"/>
      <c r="LVW1" s="671"/>
      <c r="LVX1" s="671"/>
      <c r="LVY1" s="671"/>
      <c r="LVZ1" s="671"/>
      <c r="LWA1" s="671"/>
      <c r="LWB1" s="671"/>
      <c r="LWC1" s="671"/>
      <c r="LWD1" s="671"/>
      <c r="LWE1" s="671"/>
      <c r="LWF1" s="671"/>
      <c r="LWG1" s="671"/>
      <c r="LWH1" s="671"/>
      <c r="LWI1" s="671"/>
      <c r="LWJ1" s="671"/>
      <c r="LWK1" s="671"/>
      <c r="LWL1" s="671"/>
      <c r="LWM1" s="671"/>
      <c r="LWN1" s="671"/>
      <c r="LWO1" s="671"/>
      <c r="LWP1" s="671"/>
      <c r="LWQ1" s="671"/>
      <c r="LWR1" s="671"/>
      <c r="LWS1" s="671"/>
      <c r="LWT1" s="671"/>
      <c r="LWU1" s="671"/>
      <c r="LWV1" s="671"/>
      <c r="LWW1" s="671"/>
      <c r="LWX1" s="671"/>
      <c r="LWY1" s="671"/>
      <c r="LWZ1" s="671"/>
      <c r="LXA1" s="671"/>
      <c r="LXB1" s="671"/>
      <c r="LXC1" s="671"/>
      <c r="LXD1" s="671"/>
      <c r="LXE1" s="671"/>
      <c r="LXF1" s="671"/>
      <c r="LXG1" s="671"/>
      <c r="LXH1" s="671"/>
      <c r="LXI1" s="671"/>
      <c r="LXJ1" s="671"/>
      <c r="LXK1" s="671"/>
      <c r="LXL1" s="671"/>
      <c r="LXM1" s="671"/>
      <c r="LXN1" s="671"/>
      <c r="LXO1" s="671"/>
      <c r="LXP1" s="671"/>
      <c r="LXQ1" s="671"/>
      <c r="LXR1" s="671"/>
      <c r="LXS1" s="671"/>
      <c r="LXT1" s="671"/>
      <c r="LXU1" s="671"/>
      <c r="LXV1" s="671"/>
      <c r="LXW1" s="671"/>
      <c r="LXX1" s="671"/>
      <c r="LXY1" s="671"/>
      <c r="LXZ1" s="671"/>
      <c r="LYA1" s="671"/>
      <c r="LYB1" s="671"/>
      <c r="LYC1" s="671"/>
      <c r="LYD1" s="671"/>
      <c r="LYE1" s="671"/>
      <c r="LYF1" s="671"/>
      <c r="LYG1" s="671"/>
      <c r="LYH1" s="671"/>
      <c r="LYI1" s="671"/>
      <c r="LYJ1" s="671"/>
      <c r="LYK1" s="671"/>
      <c r="LYL1" s="671"/>
      <c r="LYM1" s="671"/>
      <c r="LYN1" s="671"/>
      <c r="LYO1" s="671"/>
      <c r="LYP1" s="671"/>
      <c r="LYQ1" s="671"/>
      <c r="LYR1" s="671"/>
      <c r="LYS1" s="671"/>
      <c r="LYT1" s="671"/>
      <c r="LYU1" s="671"/>
      <c r="LYV1" s="671"/>
      <c r="LYW1" s="671"/>
      <c r="LYX1" s="671"/>
      <c r="LYY1" s="671"/>
      <c r="LYZ1" s="671"/>
      <c r="LZA1" s="671"/>
      <c r="LZB1" s="671"/>
      <c r="LZC1" s="671"/>
      <c r="LZD1" s="671"/>
      <c r="LZE1" s="671"/>
      <c r="LZF1" s="671"/>
      <c r="LZG1" s="671"/>
      <c r="LZH1" s="671"/>
      <c r="LZI1" s="671"/>
      <c r="LZJ1" s="671"/>
      <c r="LZK1" s="671"/>
      <c r="LZL1" s="671"/>
      <c r="LZM1" s="671"/>
      <c r="LZN1" s="671"/>
      <c r="LZO1" s="671"/>
      <c r="LZP1" s="671"/>
      <c r="LZQ1" s="671"/>
      <c r="LZR1" s="671"/>
      <c r="LZS1" s="671"/>
      <c r="LZT1" s="671"/>
      <c r="LZU1" s="671"/>
      <c r="LZV1" s="671"/>
      <c r="LZW1" s="671"/>
      <c r="LZX1" s="671"/>
      <c r="LZY1" s="671"/>
      <c r="LZZ1" s="671"/>
      <c r="MAA1" s="671"/>
      <c r="MAB1" s="671"/>
      <c r="MAC1" s="671"/>
      <c r="MAD1" s="671"/>
      <c r="MAE1" s="671"/>
      <c r="MAF1" s="671"/>
      <c r="MAG1" s="671"/>
      <c r="MAH1" s="671"/>
      <c r="MAI1" s="671"/>
      <c r="MAJ1" s="671"/>
      <c r="MAK1" s="671"/>
      <c r="MAL1" s="671"/>
      <c r="MAM1" s="671"/>
      <c r="MAN1" s="671"/>
      <c r="MAO1" s="671"/>
      <c r="MAP1" s="671"/>
      <c r="MAQ1" s="671"/>
      <c r="MAR1" s="671"/>
      <c r="MAS1" s="671"/>
      <c r="MAT1" s="671"/>
      <c r="MAU1" s="671"/>
      <c r="MAV1" s="671"/>
      <c r="MAW1" s="671"/>
      <c r="MAX1" s="671"/>
      <c r="MAY1" s="671"/>
      <c r="MAZ1" s="671"/>
      <c r="MBA1" s="671"/>
      <c r="MBB1" s="671"/>
      <c r="MBC1" s="671"/>
      <c r="MBD1" s="671"/>
      <c r="MBE1" s="671"/>
      <c r="MBF1" s="671"/>
      <c r="MBG1" s="671"/>
      <c r="MBH1" s="671"/>
      <c r="MBI1" s="671"/>
      <c r="MBJ1" s="671"/>
      <c r="MBK1" s="671"/>
      <c r="MBL1" s="671"/>
      <c r="MBM1" s="671"/>
      <c r="MBN1" s="671"/>
      <c r="MBO1" s="671"/>
      <c r="MBP1" s="671"/>
      <c r="MBQ1" s="671"/>
      <c r="MBR1" s="671"/>
      <c r="MBS1" s="671"/>
      <c r="MBT1" s="671"/>
      <c r="MBU1" s="671"/>
      <c r="MBV1" s="671"/>
      <c r="MBW1" s="671"/>
      <c r="MBX1" s="671"/>
      <c r="MBY1" s="671"/>
      <c r="MBZ1" s="671"/>
      <c r="MCA1" s="671"/>
      <c r="MCB1" s="671"/>
      <c r="MCC1" s="671"/>
      <c r="MCD1" s="671"/>
      <c r="MCE1" s="671"/>
      <c r="MCF1" s="671"/>
      <c r="MCG1" s="671"/>
      <c r="MCH1" s="671"/>
      <c r="MCI1" s="671"/>
      <c r="MCJ1" s="671"/>
      <c r="MCK1" s="671"/>
      <c r="MCL1" s="671"/>
      <c r="MCM1" s="671"/>
      <c r="MCN1" s="671"/>
      <c r="MCO1" s="671"/>
      <c r="MCP1" s="671"/>
      <c r="MCQ1" s="671"/>
      <c r="MCR1" s="671"/>
      <c r="MCS1" s="671"/>
      <c r="MCT1" s="671"/>
      <c r="MCU1" s="671"/>
      <c r="MCV1" s="671"/>
      <c r="MCW1" s="671"/>
      <c r="MCX1" s="671"/>
      <c r="MCY1" s="671"/>
      <c r="MCZ1" s="671"/>
      <c r="MDA1" s="671"/>
      <c r="MDB1" s="671"/>
      <c r="MDC1" s="671"/>
      <c r="MDD1" s="671"/>
      <c r="MDE1" s="671"/>
      <c r="MDF1" s="671"/>
      <c r="MDG1" s="671"/>
      <c r="MDH1" s="671"/>
      <c r="MDI1" s="671"/>
      <c r="MDJ1" s="671"/>
      <c r="MDK1" s="671"/>
      <c r="MDL1" s="671"/>
      <c r="MDM1" s="671"/>
      <c r="MDN1" s="671"/>
      <c r="MDO1" s="671"/>
      <c r="MDP1" s="671"/>
      <c r="MDQ1" s="671"/>
      <c r="MDR1" s="671"/>
      <c r="MDS1" s="671"/>
      <c r="MDT1" s="671"/>
      <c r="MDU1" s="671"/>
      <c r="MDV1" s="671"/>
      <c r="MDW1" s="671"/>
      <c r="MDX1" s="671"/>
      <c r="MDY1" s="671"/>
      <c r="MDZ1" s="671"/>
      <c r="MEA1" s="671"/>
      <c r="MEB1" s="671"/>
      <c r="MEC1" s="671"/>
      <c r="MED1" s="671"/>
      <c r="MEE1" s="671"/>
      <c r="MEF1" s="671"/>
      <c r="MEG1" s="671"/>
      <c r="MEH1" s="671"/>
      <c r="MEI1" s="671"/>
      <c r="MEJ1" s="671"/>
      <c r="MEK1" s="671"/>
      <c r="MEL1" s="671"/>
      <c r="MEM1" s="671"/>
      <c r="MEN1" s="671"/>
      <c r="MEO1" s="671"/>
      <c r="MEP1" s="671"/>
      <c r="MEQ1" s="671"/>
      <c r="MER1" s="671"/>
      <c r="MES1" s="671"/>
      <c r="MET1" s="671"/>
      <c r="MEU1" s="671"/>
      <c r="MEV1" s="671"/>
      <c r="MEW1" s="671"/>
      <c r="MEX1" s="671"/>
      <c r="MEY1" s="671"/>
      <c r="MEZ1" s="671"/>
      <c r="MFA1" s="671"/>
      <c r="MFB1" s="671"/>
      <c r="MFC1" s="671"/>
      <c r="MFD1" s="671"/>
      <c r="MFE1" s="671"/>
      <c r="MFF1" s="671"/>
      <c r="MFG1" s="671"/>
      <c r="MFH1" s="671"/>
      <c r="MFI1" s="671"/>
      <c r="MFJ1" s="671"/>
      <c r="MFK1" s="671"/>
      <c r="MFL1" s="671"/>
      <c r="MFM1" s="671"/>
      <c r="MFN1" s="671"/>
      <c r="MFO1" s="671"/>
      <c r="MFP1" s="671"/>
      <c r="MFQ1" s="671"/>
      <c r="MFR1" s="671"/>
      <c r="MFS1" s="671"/>
      <c r="MFT1" s="671"/>
      <c r="MFU1" s="671"/>
      <c r="MFV1" s="671"/>
      <c r="MFW1" s="671"/>
      <c r="MFX1" s="671"/>
      <c r="MFY1" s="671"/>
      <c r="MFZ1" s="671"/>
      <c r="MGA1" s="671"/>
      <c r="MGB1" s="671"/>
      <c r="MGC1" s="671"/>
      <c r="MGD1" s="671"/>
      <c r="MGE1" s="671"/>
      <c r="MGF1" s="671"/>
      <c r="MGG1" s="671"/>
      <c r="MGH1" s="671"/>
      <c r="MGI1" s="671"/>
      <c r="MGJ1" s="671"/>
      <c r="MGK1" s="671"/>
      <c r="MGL1" s="671"/>
      <c r="MGM1" s="671"/>
      <c r="MGN1" s="671"/>
      <c r="MGO1" s="671"/>
      <c r="MGP1" s="671"/>
      <c r="MGQ1" s="671"/>
      <c r="MGR1" s="671"/>
      <c r="MGS1" s="671"/>
      <c r="MGT1" s="671"/>
      <c r="MGU1" s="671"/>
      <c r="MGV1" s="671"/>
      <c r="MGW1" s="671"/>
      <c r="MGX1" s="671"/>
      <c r="MGY1" s="671"/>
      <c r="MGZ1" s="671"/>
      <c r="MHA1" s="671"/>
      <c r="MHB1" s="671"/>
      <c r="MHC1" s="671"/>
      <c r="MHD1" s="671"/>
      <c r="MHE1" s="671"/>
      <c r="MHF1" s="671"/>
      <c r="MHG1" s="671"/>
      <c r="MHH1" s="671"/>
      <c r="MHI1" s="671"/>
      <c r="MHJ1" s="671"/>
      <c r="MHK1" s="671"/>
      <c r="MHL1" s="671"/>
      <c r="MHM1" s="671"/>
      <c r="MHN1" s="671"/>
      <c r="MHO1" s="671"/>
      <c r="MHP1" s="671"/>
      <c r="MHQ1" s="671"/>
      <c r="MHR1" s="671"/>
      <c r="MHS1" s="671"/>
      <c r="MHT1" s="671"/>
      <c r="MHU1" s="671"/>
      <c r="MHV1" s="671"/>
      <c r="MHW1" s="671"/>
      <c r="MHX1" s="671"/>
      <c r="MHY1" s="671"/>
      <c r="MHZ1" s="671"/>
      <c r="MIA1" s="671"/>
      <c r="MIB1" s="671"/>
      <c r="MIC1" s="671"/>
      <c r="MID1" s="671"/>
      <c r="MIE1" s="671"/>
      <c r="MIF1" s="671"/>
      <c r="MIG1" s="671"/>
      <c r="MIH1" s="671"/>
      <c r="MII1" s="671"/>
      <c r="MIJ1" s="671"/>
      <c r="MIK1" s="671"/>
      <c r="MIL1" s="671"/>
      <c r="MIM1" s="671"/>
      <c r="MIN1" s="671"/>
      <c r="MIO1" s="671"/>
      <c r="MIP1" s="671"/>
      <c r="MIQ1" s="671"/>
      <c r="MIR1" s="671"/>
      <c r="MIS1" s="671"/>
      <c r="MIT1" s="671"/>
      <c r="MIU1" s="671"/>
      <c r="MIV1" s="671"/>
      <c r="MIW1" s="671"/>
      <c r="MIX1" s="671"/>
      <c r="MIY1" s="671"/>
      <c r="MIZ1" s="671"/>
      <c r="MJA1" s="671"/>
      <c r="MJB1" s="671"/>
      <c r="MJC1" s="671"/>
      <c r="MJD1" s="671"/>
      <c r="MJE1" s="671"/>
      <c r="MJF1" s="671"/>
      <c r="MJG1" s="671"/>
      <c r="MJH1" s="671"/>
      <c r="MJI1" s="671"/>
      <c r="MJJ1" s="671"/>
      <c r="MJK1" s="671"/>
      <c r="MJL1" s="671"/>
      <c r="MJM1" s="671"/>
      <c r="MJN1" s="671"/>
      <c r="MJO1" s="671"/>
      <c r="MJP1" s="671"/>
      <c r="MJQ1" s="671"/>
      <c r="MJR1" s="671"/>
      <c r="MJS1" s="671"/>
      <c r="MJT1" s="671"/>
      <c r="MJU1" s="671"/>
      <c r="MJV1" s="671"/>
      <c r="MJW1" s="671"/>
      <c r="MJX1" s="671"/>
      <c r="MJY1" s="671"/>
      <c r="MJZ1" s="671"/>
      <c r="MKA1" s="671"/>
      <c r="MKB1" s="671"/>
      <c r="MKC1" s="671"/>
      <c r="MKD1" s="671"/>
      <c r="MKE1" s="671"/>
      <c r="MKF1" s="671"/>
      <c r="MKG1" s="671"/>
      <c r="MKH1" s="671"/>
      <c r="MKI1" s="671"/>
      <c r="MKJ1" s="671"/>
      <c r="MKK1" s="671"/>
      <c r="MKL1" s="671"/>
      <c r="MKM1" s="671"/>
      <c r="MKN1" s="671"/>
      <c r="MKO1" s="671"/>
      <c r="MKP1" s="671"/>
      <c r="MKQ1" s="671"/>
      <c r="MKR1" s="671"/>
      <c r="MKS1" s="671"/>
      <c r="MKT1" s="671"/>
      <c r="MKU1" s="671"/>
      <c r="MKV1" s="671"/>
      <c r="MKW1" s="671"/>
      <c r="MKX1" s="671"/>
      <c r="MKY1" s="671"/>
      <c r="MKZ1" s="671"/>
      <c r="MLA1" s="671"/>
      <c r="MLB1" s="671"/>
      <c r="MLC1" s="671"/>
      <c r="MLD1" s="671"/>
      <c r="MLE1" s="671"/>
      <c r="MLF1" s="671"/>
      <c r="MLG1" s="671"/>
      <c r="MLH1" s="671"/>
      <c r="MLI1" s="671"/>
      <c r="MLJ1" s="671"/>
      <c r="MLK1" s="671"/>
      <c r="MLL1" s="671"/>
      <c r="MLM1" s="671"/>
      <c r="MLN1" s="671"/>
      <c r="MLO1" s="671"/>
      <c r="MLP1" s="671"/>
      <c r="MLQ1" s="671"/>
      <c r="MLR1" s="671"/>
      <c r="MLS1" s="671"/>
      <c r="MLT1" s="671"/>
      <c r="MLU1" s="671"/>
      <c r="MLV1" s="671"/>
      <c r="MLW1" s="671"/>
      <c r="MLX1" s="671"/>
      <c r="MLY1" s="671"/>
      <c r="MLZ1" s="671"/>
      <c r="MMA1" s="671"/>
      <c r="MMB1" s="671"/>
      <c r="MMC1" s="671"/>
      <c r="MMD1" s="671"/>
      <c r="MME1" s="671"/>
      <c r="MMF1" s="671"/>
      <c r="MMG1" s="671"/>
      <c r="MMH1" s="671"/>
      <c r="MMI1" s="671"/>
      <c r="MMJ1" s="671"/>
      <c r="MMK1" s="671"/>
      <c r="MML1" s="671"/>
      <c r="MMM1" s="671"/>
      <c r="MMN1" s="671"/>
      <c r="MMO1" s="671"/>
      <c r="MMP1" s="671"/>
      <c r="MMQ1" s="671"/>
      <c r="MMR1" s="671"/>
      <c r="MMS1" s="671"/>
      <c r="MMT1" s="671"/>
      <c r="MMU1" s="671"/>
      <c r="MMV1" s="671"/>
      <c r="MMW1" s="671"/>
      <c r="MMX1" s="671"/>
      <c r="MMY1" s="671"/>
      <c r="MMZ1" s="671"/>
      <c r="MNA1" s="671"/>
      <c r="MNB1" s="671"/>
      <c r="MNC1" s="671"/>
      <c r="MND1" s="671"/>
      <c r="MNE1" s="671"/>
      <c r="MNF1" s="671"/>
      <c r="MNG1" s="671"/>
      <c r="MNH1" s="671"/>
      <c r="MNI1" s="671"/>
      <c r="MNJ1" s="671"/>
      <c r="MNK1" s="671"/>
      <c r="MNL1" s="671"/>
      <c r="MNM1" s="671"/>
      <c r="MNN1" s="671"/>
      <c r="MNO1" s="671"/>
      <c r="MNP1" s="671"/>
      <c r="MNQ1" s="671"/>
      <c r="MNR1" s="671"/>
      <c r="MNS1" s="671"/>
      <c r="MNT1" s="671"/>
      <c r="MNU1" s="671"/>
      <c r="MNV1" s="671"/>
      <c r="MNW1" s="671"/>
      <c r="MNX1" s="671"/>
      <c r="MNY1" s="671"/>
      <c r="MNZ1" s="671"/>
      <c r="MOA1" s="671"/>
      <c r="MOB1" s="671"/>
      <c r="MOC1" s="671"/>
      <c r="MOD1" s="671"/>
      <c r="MOE1" s="671"/>
      <c r="MOF1" s="671"/>
      <c r="MOG1" s="671"/>
      <c r="MOH1" s="671"/>
      <c r="MOI1" s="671"/>
      <c r="MOJ1" s="671"/>
      <c r="MOK1" s="671"/>
      <c r="MOL1" s="671"/>
      <c r="MOM1" s="671"/>
      <c r="MON1" s="671"/>
      <c r="MOO1" s="671"/>
      <c r="MOP1" s="671"/>
      <c r="MOQ1" s="671"/>
      <c r="MOR1" s="671"/>
      <c r="MOS1" s="671"/>
      <c r="MOT1" s="671"/>
      <c r="MOU1" s="671"/>
      <c r="MOV1" s="671"/>
      <c r="MOW1" s="671"/>
      <c r="MOX1" s="671"/>
      <c r="MOY1" s="671"/>
      <c r="MOZ1" s="671"/>
      <c r="MPA1" s="671"/>
      <c r="MPB1" s="671"/>
      <c r="MPC1" s="671"/>
      <c r="MPD1" s="671"/>
      <c r="MPE1" s="671"/>
      <c r="MPF1" s="671"/>
      <c r="MPG1" s="671"/>
      <c r="MPH1" s="671"/>
      <c r="MPI1" s="671"/>
      <c r="MPJ1" s="671"/>
      <c r="MPK1" s="671"/>
      <c r="MPL1" s="671"/>
      <c r="MPM1" s="671"/>
      <c r="MPN1" s="671"/>
      <c r="MPO1" s="671"/>
      <c r="MPP1" s="671"/>
      <c r="MPQ1" s="671"/>
      <c r="MPR1" s="671"/>
      <c r="MPS1" s="671"/>
      <c r="MPT1" s="671"/>
      <c r="MPU1" s="671"/>
      <c r="MPV1" s="671"/>
      <c r="MPW1" s="671"/>
      <c r="MPX1" s="671"/>
      <c r="MPY1" s="671"/>
      <c r="MPZ1" s="671"/>
      <c r="MQA1" s="671"/>
      <c r="MQB1" s="671"/>
      <c r="MQC1" s="671"/>
      <c r="MQD1" s="671"/>
      <c r="MQE1" s="671"/>
      <c r="MQF1" s="671"/>
      <c r="MQG1" s="671"/>
      <c r="MQH1" s="671"/>
      <c r="MQI1" s="671"/>
      <c r="MQJ1" s="671"/>
      <c r="MQK1" s="671"/>
      <c r="MQL1" s="671"/>
      <c r="MQM1" s="671"/>
      <c r="MQN1" s="671"/>
      <c r="MQO1" s="671"/>
      <c r="MQP1" s="671"/>
      <c r="MQQ1" s="671"/>
      <c r="MQR1" s="671"/>
      <c r="MQS1" s="671"/>
      <c r="MQT1" s="671"/>
      <c r="MQU1" s="671"/>
      <c r="MQV1" s="671"/>
      <c r="MQW1" s="671"/>
      <c r="MQX1" s="671"/>
      <c r="MQY1" s="671"/>
      <c r="MQZ1" s="671"/>
      <c r="MRA1" s="671"/>
      <c r="MRB1" s="671"/>
      <c r="MRC1" s="671"/>
      <c r="MRD1" s="671"/>
      <c r="MRE1" s="671"/>
      <c r="MRF1" s="671"/>
      <c r="MRG1" s="671"/>
      <c r="MRH1" s="671"/>
      <c r="MRI1" s="671"/>
      <c r="MRJ1" s="671"/>
      <c r="MRK1" s="671"/>
      <c r="MRL1" s="671"/>
      <c r="MRM1" s="671"/>
      <c r="MRN1" s="671"/>
      <c r="MRO1" s="671"/>
      <c r="MRP1" s="671"/>
      <c r="MRQ1" s="671"/>
      <c r="MRR1" s="671"/>
      <c r="MRS1" s="671"/>
      <c r="MRT1" s="671"/>
      <c r="MRU1" s="671"/>
      <c r="MRV1" s="671"/>
      <c r="MRW1" s="671"/>
      <c r="MRX1" s="671"/>
      <c r="MRY1" s="671"/>
      <c r="MRZ1" s="671"/>
      <c r="MSA1" s="671"/>
      <c r="MSB1" s="671"/>
      <c r="MSC1" s="671"/>
      <c r="MSD1" s="671"/>
      <c r="MSE1" s="671"/>
      <c r="MSF1" s="671"/>
      <c r="MSG1" s="671"/>
      <c r="MSH1" s="671"/>
      <c r="MSI1" s="671"/>
      <c r="MSJ1" s="671"/>
      <c r="MSK1" s="671"/>
      <c r="MSL1" s="671"/>
      <c r="MSM1" s="671"/>
      <c r="MSN1" s="671"/>
      <c r="MSO1" s="671"/>
      <c r="MSP1" s="671"/>
      <c r="MSQ1" s="671"/>
      <c r="MSR1" s="671"/>
      <c r="MSS1" s="671"/>
      <c r="MST1" s="671"/>
      <c r="MSU1" s="671"/>
      <c r="MSV1" s="671"/>
      <c r="MSW1" s="671"/>
      <c r="MSX1" s="671"/>
      <c r="MSY1" s="671"/>
      <c r="MSZ1" s="671"/>
      <c r="MTA1" s="671"/>
      <c r="MTB1" s="671"/>
      <c r="MTC1" s="671"/>
      <c r="MTD1" s="671"/>
      <c r="MTE1" s="671"/>
      <c r="MTF1" s="671"/>
      <c r="MTG1" s="671"/>
      <c r="MTH1" s="671"/>
      <c r="MTI1" s="671"/>
      <c r="MTJ1" s="671"/>
      <c r="MTK1" s="671"/>
      <c r="MTL1" s="671"/>
      <c r="MTM1" s="671"/>
      <c r="MTN1" s="671"/>
      <c r="MTO1" s="671"/>
      <c r="MTP1" s="671"/>
      <c r="MTQ1" s="671"/>
      <c r="MTR1" s="671"/>
      <c r="MTS1" s="671"/>
      <c r="MTT1" s="671"/>
      <c r="MTU1" s="671"/>
      <c r="MTV1" s="671"/>
      <c r="MTW1" s="671"/>
      <c r="MTX1" s="671"/>
      <c r="MTY1" s="671"/>
      <c r="MTZ1" s="671"/>
      <c r="MUA1" s="671"/>
      <c r="MUB1" s="671"/>
      <c r="MUC1" s="671"/>
      <c r="MUD1" s="671"/>
      <c r="MUE1" s="671"/>
      <c r="MUF1" s="671"/>
      <c r="MUG1" s="671"/>
      <c r="MUH1" s="671"/>
      <c r="MUI1" s="671"/>
      <c r="MUJ1" s="671"/>
      <c r="MUK1" s="671"/>
      <c r="MUL1" s="671"/>
      <c r="MUM1" s="671"/>
      <c r="MUN1" s="671"/>
      <c r="MUO1" s="671"/>
      <c r="MUP1" s="671"/>
      <c r="MUQ1" s="671"/>
      <c r="MUR1" s="671"/>
      <c r="MUS1" s="671"/>
      <c r="MUT1" s="671"/>
      <c r="MUU1" s="671"/>
      <c r="MUV1" s="671"/>
      <c r="MUW1" s="671"/>
      <c r="MUX1" s="671"/>
      <c r="MUY1" s="671"/>
      <c r="MUZ1" s="671"/>
      <c r="MVA1" s="671"/>
      <c r="MVB1" s="671"/>
      <c r="MVC1" s="671"/>
      <c r="MVD1" s="671"/>
      <c r="MVE1" s="671"/>
      <c r="MVF1" s="671"/>
      <c r="MVG1" s="671"/>
      <c r="MVH1" s="671"/>
      <c r="MVI1" s="671"/>
      <c r="MVJ1" s="671"/>
      <c r="MVK1" s="671"/>
      <c r="MVL1" s="671"/>
      <c r="MVM1" s="671"/>
      <c r="MVN1" s="671"/>
      <c r="MVO1" s="671"/>
      <c r="MVP1" s="671"/>
      <c r="MVQ1" s="671"/>
      <c r="MVR1" s="671"/>
      <c r="MVS1" s="671"/>
      <c r="MVT1" s="671"/>
      <c r="MVU1" s="671"/>
      <c r="MVV1" s="671"/>
      <c r="MVW1" s="671"/>
      <c r="MVX1" s="671"/>
      <c r="MVY1" s="671"/>
      <c r="MVZ1" s="671"/>
      <c r="MWA1" s="671"/>
      <c r="MWB1" s="671"/>
      <c r="MWC1" s="671"/>
      <c r="MWD1" s="671"/>
      <c r="MWE1" s="671"/>
      <c r="MWF1" s="671"/>
      <c r="MWG1" s="671"/>
      <c r="MWH1" s="671"/>
      <c r="MWI1" s="671"/>
      <c r="MWJ1" s="671"/>
      <c r="MWK1" s="671"/>
      <c r="MWL1" s="671"/>
      <c r="MWM1" s="671"/>
      <c r="MWN1" s="671"/>
      <c r="MWO1" s="671"/>
      <c r="MWP1" s="671"/>
      <c r="MWQ1" s="671"/>
      <c r="MWR1" s="671"/>
      <c r="MWS1" s="671"/>
      <c r="MWT1" s="671"/>
      <c r="MWU1" s="671"/>
      <c r="MWV1" s="671"/>
      <c r="MWW1" s="671"/>
      <c r="MWX1" s="671"/>
      <c r="MWY1" s="671"/>
      <c r="MWZ1" s="671"/>
      <c r="MXA1" s="671"/>
      <c r="MXB1" s="671"/>
      <c r="MXC1" s="671"/>
      <c r="MXD1" s="671"/>
      <c r="MXE1" s="671"/>
      <c r="MXF1" s="671"/>
      <c r="MXG1" s="671"/>
      <c r="MXH1" s="671"/>
      <c r="MXI1" s="671"/>
      <c r="MXJ1" s="671"/>
      <c r="MXK1" s="671"/>
      <c r="MXL1" s="671"/>
      <c r="MXM1" s="671"/>
      <c r="MXN1" s="671"/>
      <c r="MXO1" s="671"/>
      <c r="MXP1" s="671"/>
      <c r="MXQ1" s="671"/>
      <c r="MXR1" s="671"/>
      <c r="MXS1" s="671"/>
      <c r="MXT1" s="671"/>
      <c r="MXU1" s="671"/>
      <c r="MXV1" s="671"/>
      <c r="MXW1" s="671"/>
      <c r="MXX1" s="671"/>
      <c r="MXY1" s="671"/>
      <c r="MXZ1" s="671"/>
      <c r="MYA1" s="671"/>
      <c r="MYB1" s="671"/>
      <c r="MYC1" s="671"/>
      <c r="MYD1" s="671"/>
      <c r="MYE1" s="671"/>
      <c r="MYF1" s="671"/>
      <c r="MYG1" s="671"/>
      <c r="MYH1" s="671"/>
      <c r="MYI1" s="671"/>
      <c r="MYJ1" s="671"/>
      <c r="MYK1" s="671"/>
      <c r="MYL1" s="671"/>
      <c r="MYM1" s="671"/>
      <c r="MYN1" s="671"/>
      <c r="MYO1" s="671"/>
      <c r="MYP1" s="671"/>
      <c r="MYQ1" s="671"/>
      <c r="MYR1" s="671"/>
      <c r="MYS1" s="671"/>
      <c r="MYT1" s="671"/>
      <c r="MYU1" s="671"/>
      <c r="MYV1" s="671"/>
      <c r="MYW1" s="671"/>
      <c r="MYX1" s="671"/>
      <c r="MYY1" s="671"/>
      <c r="MYZ1" s="671"/>
      <c r="MZA1" s="671"/>
      <c r="MZB1" s="671"/>
      <c r="MZC1" s="671"/>
      <c r="MZD1" s="671"/>
      <c r="MZE1" s="671"/>
      <c r="MZF1" s="671"/>
      <c r="MZG1" s="671"/>
      <c r="MZH1" s="671"/>
      <c r="MZI1" s="671"/>
      <c r="MZJ1" s="671"/>
      <c r="MZK1" s="671"/>
      <c r="MZL1" s="671"/>
      <c r="MZM1" s="671"/>
      <c r="MZN1" s="671"/>
      <c r="MZO1" s="671"/>
      <c r="MZP1" s="671"/>
      <c r="MZQ1" s="671"/>
      <c r="MZR1" s="671"/>
      <c r="MZS1" s="671"/>
      <c r="MZT1" s="671"/>
      <c r="MZU1" s="671"/>
      <c r="MZV1" s="671"/>
      <c r="MZW1" s="671"/>
      <c r="MZX1" s="671"/>
      <c r="MZY1" s="671"/>
      <c r="MZZ1" s="671"/>
      <c r="NAA1" s="671"/>
      <c r="NAB1" s="671"/>
      <c r="NAC1" s="671"/>
      <c r="NAD1" s="671"/>
      <c r="NAE1" s="671"/>
      <c r="NAF1" s="671"/>
      <c r="NAG1" s="671"/>
      <c r="NAH1" s="671"/>
      <c r="NAI1" s="671"/>
      <c r="NAJ1" s="671"/>
      <c r="NAK1" s="671"/>
      <c r="NAL1" s="671"/>
      <c r="NAM1" s="671"/>
      <c r="NAN1" s="671"/>
      <c r="NAO1" s="671"/>
      <c r="NAP1" s="671"/>
      <c r="NAQ1" s="671"/>
      <c r="NAR1" s="671"/>
      <c r="NAS1" s="671"/>
      <c r="NAT1" s="671"/>
      <c r="NAU1" s="671"/>
      <c r="NAV1" s="671"/>
      <c r="NAW1" s="671"/>
      <c r="NAX1" s="671"/>
      <c r="NAY1" s="671"/>
      <c r="NAZ1" s="671"/>
      <c r="NBA1" s="671"/>
      <c r="NBB1" s="671"/>
      <c r="NBC1" s="671"/>
      <c r="NBD1" s="671"/>
      <c r="NBE1" s="671"/>
      <c r="NBF1" s="671"/>
      <c r="NBG1" s="671"/>
      <c r="NBH1" s="671"/>
      <c r="NBI1" s="671"/>
      <c r="NBJ1" s="671"/>
      <c r="NBK1" s="671"/>
      <c r="NBL1" s="671"/>
      <c r="NBM1" s="671"/>
      <c r="NBN1" s="671"/>
      <c r="NBO1" s="671"/>
      <c r="NBP1" s="671"/>
      <c r="NBQ1" s="671"/>
      <c r="NBR1" s="671"/>
      <c r="NBS1" s="671"/>
      <c r="NBT1" s="671"/>
      <c r="NBU1" s="671"/>
      <c r="NBV1" s="671"/>
      <c r="NBW1" s="671"/>
      <c r="NBX1" s="671"/>
      <c r="NBY1" s="671"/>
      <c r="NBZ1" s="671"/>
      <c r="NCA1" s="671"/>
      <c r="NCB1" s="671"/>
      <c r="NCC1" s="671"/>
      <c r="NCD1" s="671"/>
      <c r="NCE1" s="671"/>
      <c r="NCF1" s="671"/>
      <c r="NCG1" s="671"/>
      <c r="NCH1" s="671"/>
      <c r="NCI1" s="671"/>
      <c r="NCJ1" s="671"/>
      <c r="NCK1" s="671"/>
      <c r="NCL1" s="671"/>
      <c r="NCM1" s="671"/>
      <c r="NCN1" s="671"/>
      <c r="NCO1" s="671"/>
      <c r="NCP1" s="671"/>
      <c r="NCQ1" s="671"/>
      <c r="NCR1" s="671"/>
      <c r="NCS1" s="671"/>
      <c r="NCT1" s="671"/>
      <c r="NCU1" s="671"/>
      <c r="NCV1" s="671"/>
      <c r="NCW1" s="671"/>
      <c r="NCX1" s="671"/>
      <c r="NCY1" s="671"/>
      <c r="NCZ1" s="671"/>
      <c r="NDA1" s="671"/>
      <c r="NDB1" s="671"/>
      <c r="NDC1" s="671"/>
      <c r="NDD1" s="671"/>
      <c r="NDE1" s="671"/>
      <c r="NDF1" s="671"/>
      <c r="NDG1" s="671"/>
      <c r="NDH1" s="671"/>
      <c r="NDI1" s="671"/>
      <c r="NDJ1" s="671"/>
      <c r="NDK1" s="671"/>
      <c r="NDL1" s="671"/>
      <c r="NDM1" s="671"/>
      <c r="NDN1" s="671"/>
      <c r="NDO1" s="671"/>
      <c r="NDP1" s="671"/>
      <c r="NDQ1" s="671"/>
      <c r="NDR1" s="671"/>
      <c r="NDS1" s="671"/>
      <c r="NDT1" s="671"/>
      <c r="NDU1" s="671"/>
      <c r="NDV1" s="671"/>
      <c r="NDW1" s="671"/>
      <c r="NDX1" s="671"/>
      <c r="NDY1" s="671"/>
      <c r="NDZ1" s="671"/>
      <c r="NEA1" s="671"/>
      <c r="NEB1" s="671"/>
      <c r="NEC1" s="671"/>
      <c r="NED1" s="671"/>
      <c r="NEE1" s="671"/>
      <c r="NEF1" s="671"/>
      <c r="NEG1" s="671"/>
      <c r="NEH1" s="671"/>
      <c r="NEI1" s="671"/>
      <c r="NEJ1" s="671"/>
      <c r="NEK1" s="671"/>
      <c r="NEL1" s="671"/>
      <c r="NEM1" s="671"/>
      <c r="NEN1" s="671"/>
      <c r="NEO1" s="671"/>
      <c r="NEP1" s="671"/>
      <c r="NEQ1" s="671"/>
      <c r="NER1" s="671"/>
      <c r="NES1" s="671"/>
      <c r="NET1" s="671"/>
      <c r="NEU1" s="671"/>
      <c r="NEV1" s="671"/>
      <c r="NEW1" s="671"/>
      <c r="NEX1" s="671"/>
      <c r="NEY1" s="671"/>
      <c r="NEZ1" s="671"/>
      <c r="NFA1" s="671"/>
      <c r="NFB1" s="671"/>
      <c r="NFC1" s="671"/>
      <c r="NFD1" s="671"/>
      <c r="NFE1" s="671"/>
      <c r="NFF1" s="671"/>
      <c r="NFG1" s="671"/>
      <c r="NFH1" s="671"/>
      <c r="NFI1" s="671"/>
      <c r="NFJ1" s="671"/>
      <c r="NFK1" s="671"/>
      <c r="NFL1" s="671"/>
      <c r="NFM1" s="671"/>
      <c r="NFN1" s="671"/>
      <c r="NFO1" s="671"/>
      <c r="NFP1" s="671"/>
      <c r="NFQ1" s="671"/>
      <c r="NFR1" s="671"/>
      <c r="NFS1" s="671"/>
      <c r="NFT1" s="671"/>
      <c r="NFU1" s="671"/>
      <c r="NFV1" s="671"/>
      <c r="NFW1" s="671"/>
      <c r="NFX1" s="671"/>
      <c r="NFY1" s="671"/>
      <c r="NFZ1" s="671"/>
      <c r="NGA1" s="671"/>
      <c r="NGB1" s="671"/>
      <c r="NGC1" s="671"/>
      <c r="NGD1" s="671"/>
      <c r="NGE1" s="671"/>
      <c r="NGF1" s="671"/>
      <c r="NGG1" s="671"/>
      <c r="NGH1" s="671"/>
      <c r="NGI1" s="671"/>
      <c r="NGJ1" s="671"/>
      <c r="NGK1" s="671"/>
      <c r="NGL1" s="671"/>
      <c r="NGM1" s="671"/>
      <c r="NGN1" s="671"/>
      <c r="NGO1" s="671"/>
      <c r="NGP1" s="671"/>
      <c r="NGQ1" s="671"/>
      <c r="NGR1" s="671"/>
      <c r="NGS1" s="671"/>
      <c r="NGT1" s="671"/>
      <c r="NGU1" s="671"/>
      <c r="NGV1" s="671"/>
      <c r="NGW1" s="671"/>
      <c r="NGX1" s="671"/>
      <c r="NGY1" s="671"/>
      <c r="NGZ1" s="671"/>
      <c r="NHA1" s="671"/>
      <c r="NHB1" s="671"/>
      <c r="NHC1" s="671"/>
      <c r="NHD1" s="671"/>
      <c r="NHE1" s="671"/>
      <c r="NHF1" s="671"/>
      <c r="NHG1" s="671"/>
      <c r="NHH1" s="671"/>
      <c r="NHI1" s="671"/>
      <c r="NHJ1" s="671"/>
      <c r="NHK1" s="671"/>
      <c r="NHL1" s="671"/>
      <c r="NHM1" s="671"/>
      <c r="NHN1" s="671"/>
      <c r="NHO1" s="671"/>
      <c r="NHP1" s="671"/>
      <c r="NHQ1" s="671"/>
      <c r="NHR1" s="671"/>
      <c r="NHS1" s="671"/>
      <c r="NHT1" s="671"/>
      <c r="NHU1" s="671"/>
      <c r="NHV1" s="671"/>
      <c r="NHW1" s="671"/>
      <c r="NHX1" s="671"/>
      <c r="NHY1" s="671"/>
      <c r="NHZ1" s="671"/>
      <c r="NIA1" s="671"/>
      <c r="NIB1" s="671"/>
      <c r="NIC1" s="671"/>
      <c r="NID1" s="671"/>
      <c r="NIE1" s="671"/>
      <c r="NIF1" s="671"/>
      <c r="NIG1" s="671"/>
      <c r="NIH1" s="671"/>
      <c r="NII1" s="671"/>
      <c r="NIJ1" s="671"/>
      <c r="NIK1" s="671"/>
      <c r="NIL1" s="671"/>
      <c r="NIM1" s="671"/>
      <c r="NIN1" s="671"/>
      <c r="NIO1" s="671"/>
      <c r="NIP1" s="671"/>
      <c r="NIQ1" s="671"/>
      <c r="NIR1" s="671"/>
      <c r="NIS1" s="671"/>
      <c r="NIT1" s="671"/>
      <c r="NIU1" s="671"/>
      <c r="NIV1" s="671"/>
      <c r="NIW1" s="671"/>
      <c r="NIX1" s="671"/>
      <c r="NIY1" s="671"/>
      <c r="NIZ1" s="671"/>
      <c r="NJA1" s="671"/>
      <c r="NJB1" s="671"/>
      <c r="NJC1" s="671"/>
      <c r="NJD1" s="671"/>
      <c r="NJE1" s="671"/>
      <c r="NJF1" s="671"/>
      <c r="NJG1" s="671"/>
      <c r="NJH1" s="671"/>
      <c r="NJI1" s="671"/>
      <c r="NJJ1" s="671"/>
      <c r="NJK1" s="671"/>
      <c r="NJL1" s="671"/>
      <c r="NJM1" s="671"/>
      <c r="NJN1" s="671"/>
      <c r="NJO1" s="671"/>
      <c r="NJP1" s="671"/>
      <c r="NJQ1" s="671"/>
      <c r="NJR1" s="671"/>
      <c r="NJS1" s="671"/>
      <c r="NJT1" s="671"/>
      <c r="NJU1" s="671"/>
      <c r="NJV1" s="671"/>
      <c r="NJW1" s="671"/>
      <c r="NJX1" s="671"/>
      <c r="NJY1" s="671"/>
      <c r="NJZ1" s="671"/>
      <c r="NKA1" s="671"/>
      <c r="NKB1" s="671"/>
      <c r="NKC1" s="671"/>
      <c r="NKD1" s="671"/>
      <c r="NKE1" s="671"/>
      <c r="NKF1" s="671"/>
      <c r="NKG1" s="671"/>
      <c r="NKH1" s="671"/>
      <c r="NKI1" s="671"/>
      <c r="NKJ1" s="671"/>
      <c r="NKK1" s="671"/>
      <c r="NKL1" s="671"/>
      <c r="NKM1" s="671"/>
      <c r="NKN1" s="671"/>
      <c r="NKO1" s="671"/>
      <c r="NKP1" s="671"/>
      <c r="NKQ1" s="671"/>
      <c r="NKR1" s="671"/>
      <c r="NKS1" s="671"/>
      <c r="NKT1" s="671"/>
      <c r="NKU1" s="671"/>
      <c r="NKV1" s="671"/>
      <c r="NKW1" s="671"/>
      <c r="NKX1" s="671"/>
      <c r="NKY1" s="671"/>
      <c r="NKZ1" s="671"/>
      <c r="NLA1" s="671"/>
      <c r="NLB1" s="671"/>
      <c r="NLC1" s="671"/>
      <c r="NLD1" s="671"/>
      <c r="NLE1" s="671"/>
      <c r="NLF1" s="671"/>
      <c r="NLG1" s="671"/>
      <c r="NLH1" s="671"/>
      <c r="NLI1" s="671"/>
      <c r="NLJ1" s="671"/>
      <c r="NLK1" s="671"/>
      <c r="NLL1" s="671"/>
      <c r="NLM1" s="671"/>
      <c r="NLN1" s="671"/>
      <c r="NLO1" s="671"/>
      <c r="NLP1" s="671"/>
      <c r="NLQ1" s="671"/>
      <c r="NLR1" s="671"/>
      <c r="NLS1" s="671"/>
      <c r="NLT1" s="671"/>
      <c r="NLU1" s="671"/>
      <c r="NLV1" s="671"/>
      <c r="NLW1" s="671"/>
      <c r="NLX1" s="671"/>
      <c r="NLY1" s="671"/>
      <c r="NLZ1" s="671"/>
      <c r="NMA1" s="671"/>
      <c r="NMB1" s="671"/>
      <c r="NMC1" s="671"/>
      <c r="NMD1" s="671"/>
      <c r="NME1" s="671"/>
      <c r="NMF1" s="671"/>
      <c r="NMG1" s="671"/>
      <c r="NMH1" s="671"/>
      <c r="NMI1" s="671"/>
      <c r="NMJ1" s="671"/>
      <c r="NMK1" s="671"/>
      <c r="NML1" s="671"/>
      <c r="NMM1" s="671"/>
      <c r="NMN1" s="671"/>
      <c r="NMO1" s="671"/>
      <c r="NMP1" s="671"/>
      <c r="NMQ1" s="671"/>
      <c r="NMR1" s="671"/>
      <c r="NMS1" s="671"/>
      <c r="NMT1" s="671"/>
      <c r="NMU1" s="671"/>
      <c r="NMV1" s="671"/>
      <c r="NMW1" s="671"/>
      <c r="NMX1" s="671"/>
      <c r="NMY1" s="671"/>
      <c r="NMZ1" s="671"/>
      <c r="NNA1" s="671"/>
      <c r="NNB1" s="671"/>
      <c r="NNC1" s="671"/>
      <c r="NND1" s="671"/>
      <c r="NNE1" s="671"/>
      <c r="NNF1" s="671"/>
      <c r="NNG1" s="671"/>
      <c r="NNH1" s="671"/>
      <c r="NNI1" s="671"/>
      <c r="NNJ1" s="671"/>
      <c r="NNK1" s="671"/>
      <c r="NNL1" s="671"/>
      <c r="NNM1" s="671"/>
      <c r="NNN1" s="671"/>
      <c r="NNO1" s="671"/>
      <c r="NNP1" s="671"/>
      <c r="NNQ1" s="671"/>
      <c r="NNR1" s="671"/>
      <c r="NNS1" s="671"/>
      <c r="NNT1" s="671"/>
      <c r="NNU1" s="671"/>
      <c r="NNV1" s="671"/>
      <c r="NNW1" s="671"/>
      <c r="NNX1" s="671"/>
      <c r="NNY1" s="671"/>
      <c r="NNZ1" s="671"/>
      <c r="NOA1" s="671"/>
      <c r="NOB1" s="671"/>
      <c r="NOC1" s="671"/>
      <c r="NOD1" s="671"/>
      <c r="NOE1" s="671"/>
      <c r="NOF1" s="671"/>
      <c r="NOG1" s="671"/>
      <c r="NOH1" s="671"/>
      <c r="NOI1" s="671"/>
      <c r="NOJ1" s="671"/>
      <c r="NOK1" s="671"/>
      <c r="NOL1" s="671"/>
      <c r="NOM1" s="671"/>
      <c r="NON1" s="671"/>
      <c r="NOO1" s="671"/>
      <c r="NOP1" s="671"/>
      <c r="NOQ1" s="671"/>
      <c r="NOR1" s="671"/>
      <c r="NOS1" s="671"/>
      <c r="NOT1" s="671"/>
      <c r="NOU1" s="671"/>
      <c r="NOV1" s="671"/>
      <c r="NOW1" s="671"/>
      <c r="NOX1" s="671"/>
      <c r="NOY1" s="671"/>
      <c r="NOZ1" s="671"/>
      <c r="NPA1" s="671"/>
      <c r="NPB1" s="671"/>
      <c r="NPC1" s="671"/>
      <c r="NPD1" s="671"/>
      <c r="NPE1" s="671"/>
      <c r="NPF1" s="671"/>
      <c r="NPG1" s="671"/>
      <c r="NPH1" s="671"/>
      <c r="NPI1" s="671"/>
      <c r="NPJ1" s="671"/>
      <c r="NPK1" s="671"/>
      <c r="NPL1" s="671"/>
      <c r="NPM1" s="671"/>
      <c r="NPN1" s="671"/>
      <c r="NPO1" s="671"/>
      <c r="NPP1" s="671"/>
      <c r="NPQ1" s="671"/>
      <c r="NPR1" s="671"/>
      <c r="NPS1" s="671"/>
      <c r="NPT1" s="671"/>
      <c r="NPU1" s="671"/>
      <c r="NPV1" s="671"/>
      <c r="NPW1" s="671"/>
      <c r="NPX1" s="671"/>
      <c r="NPY1" s="671"/>
      <c r="NPZ1" s="671"/>
      <c r="NQA1" s="671"/>
      <c r="NQB1" s="671"/>
      <c r="NQC1" s="671"/>
      <c r="NQD1" s="671"/>
      <c r="NQE1" s="671"/>
      <c r="NQF1" s="671"/>
      <c r="NQG1" s="671"/>
      <c r="NQH1" s="671"/>
      <c r="NQI1" s="671"/>
      <c r="NQJ1" s="671"/>
      <c r="NQK1" s="671"/>
      <c r="NQL1" s="671"/>
      <c r="NQM1" s="671"/>
      <c r="NQN1" s="671"/>
      <c r="NQO1" s="671"/>
      <c r="NQP1" s="671"/>
      <c r="NQQ1" s="671"/>
      <c r="NQR1" s="671"/>
      <c r="NQS1" s="671"/>
      <c r="NQT1" s="671"/>
      <c r="NQU1" s="671"/>
      <c r="NQV1" s="671"/>
      <c r="NQW1" s="671"/>
      <c r="NQX1" s="671"/>
      <c r="NQY1" s="671"/>
      <c r="NQZ1" s="671"/>
      <c r="NRA1" s="671"/>
      <c r="NRB1" s="671"/>
      <c r="NRC1" s="671"/>
      <c r="NRD1" s="671"/>
      <c r="NRE1" s="671"/>
      <c r="NRF1" s="671"/>
      <c r="NRG1" s="671"/>
      <c r="NRH1" s="671"/>
      <c r="NRI1" s="671"/>
      <c r="NRJ1" s="671"/>
      <c r="NRK1" s="671"/>
      <c r="NRL1" s="671"/>
      <c r="NRM1" s="671"/>
      <c r="NRN1" s="671"/>
      <c r="NRO1" s="671"/>
      <c r="NRP1" s="671"/>
      <c r="NRQ1" s="671"/>
      <c r="NRR1" s="671"/>
      <c r="NRS1" s="671"/>
      <c r="NRT1" s="671"/>
      <c r="NRU1" s="671"/>
      <c r="NRV1" s="671"/>
      <c r="NRW1" s="671"/>
      <c r="NRX1" s="671"/>
      <c r="NRY1" s="671"/>
      <c r="NRZ1" s="671"/>
      <c r="NSA1" s="671"/>
      <c r="NSB1" s="671"/>
      <c r="NSC1" s="671"/>
      <c r="NSD1" s="671"/>
      <c r="NSE1" s="671"/>
      <c r="NSF1" s="671"/>
      <c r="NSG1" s="671"/>
      <c r="NSH1" s="671"/>
      <c r="NSI1" s="671"/>
      <c r="NSJ1" s="671"/>
      <c r="NSK1" s="671"/>
      <c r="NSL1" s="671"/>
      <c r="NSM1" s="671"/>
      <c r="NSN1" s="671"/>
      <c r="NSO1" s="671"/>
      <c r="NSP1" s="671"/>
      <c r="NSQ1" s="671"/>
      <c r="NSR1" s="671"/>
      <c r="NSS1" s="671"/>
      <c r="NST1" s="671"/>
      <c r="NSU1" s="671"/>
      <c r="NSV1" s="671"/>
      <c r="NSW1" s="671"/>
      <c r="NSX1" s="671"/>
      <c r="NSY1" s="671"/>
      <c r="NSZ1" s="671"/>
      <c r="NTA1" s="671"/>
      <c r="NTB1" s="671"/>
      <c r="NTC1" s="671"/>
      <c r="NTD1" s="671"/>
      <c r="NTE1" s="671"/>
      <c r="NTF1" s="671"/>
      <c r="NTG1" s="671"/>
      <c r="NTH1" s="671"/>
      <c r="NTI1" s="671"/>
      <c r="NTJ1" s="671"/>
      <c r="NTK1" s="671"/>
      <c r="NTL1" s="671"/>
      <c r="NTM1" s="671"/>
      <c r="NTN1" s="671"/>
      <c r="NTO1" s="671"/>
      <c r="NTP1" s="671"/>
      <c r="NTQ1" s="671"/>
      <c r="NTR1" s="671"/>
      <c r="NTS1" s="671"/>
      <c r="NTT1" s="671"/>
      <c r="NTU1" s="671"/>
      <c r="NTV1" s="671"/>
      <c r="NTW1" s="671"/>
      <c r="NTX1" s="671"/>
      <c r="NTY1" s="671"/>
      <c r="NTZ1" s="671"/>
      <c r="NUA1" s="671"/>
      <c r="NUB1" s="671"/>
      <c r="NUC1" s="671"/>
      <c r="NUD1" s="671"/>
      <c r="NUE1" s="671"/>
      <c r="NUF1" s="671"/>
      <c r="NUG1" s="671"/>
      <c r="NUH1" s="671"/>
      <c r="NUI1" s="671"/>
      <c r="NUJ1" s="671"/>
      <c r="NUK1" s="671"/>
      <c r="NUL1" s="671"/>
      <c r="NUM1" s="671"/>
      <c r="NUN1" s="671"/>
      <c r="NUO1" s="671"/>
      <c r="NUP1" s="671"/>
      <c r="NUQ1" s="671"/>
      <c r="NUR1" s="671"/>
      <c r="NUS1" s="671"/>
      <c r="NUT1" s="671"/>
      <c r="NUU1" s="671"/>
      <c r="NUV1" s="671"/>
      <c r="NUW1" s="671"/>
      <c r="NUX1" s="671"/>
      <c r="NUY1" s="671"/>
      <c r="NUZ1" s="671"/>
      <c r="NVA1" s="671"/>
      <c r="NVB1" s="671"/>
      <c r="NVC1" s="671"/>
      <c r="NVD1" s="671"/>
      <c r="NVE1" s="671"/>
      <c r="NVF1" s="671"/>
      <c r="NVG1" s="671"/>
      <c r="NVH1" s="671"/>
      <c r="NVI1" s="671"/>
      <c r="NVJ1" s="671"/>
      <c r="NVK1" s="671"/>
      <c r="NVL1" s="671"/>
      <c r="NVM1" s="671"/>
      <c r="NVN1" s="671"/>
      <c r="NVO1" s="671"/>
      <c r="NVP1" s="671"/>
      <c r="NVQ1" s="671"/>
      <c r="NVR1" s="671"/>
      <c r="NVS1" s="671"/>
      <c r="NVT1" s="671"/>
      <c r="NVU1" s="671"/>
      <c r="NVV1" s="671"/>
      <c r="NVW1" s="671"/>
      <c r="NVX1" s="671"/>
      <c r="NVY1" s="671"/>
      <c r="NVZ1" s="671"/>
      <c r="NWA1" s="671"/>
      <c r="NWB1" s="671"/>
      <c r="NWC1" s="671"/>
      <c r="NWD1" s="671"/>
      <c r="NWE1" s="671"/>
      <c r="NWF1" s="671"/>
      <c r="NWG1" s="671"/>
      <c r="NWH1" s="671"/>
      <c r="NWI1" s="671"/>
      <c r="NWJ1" s="671"/>
      <c r="NWK1" s="671"/>
      <c r="NWL1" s="671"/>
      <c r="NWM1" s="671"/>
      <c r="NWN1" s="671"/>
      <c r="NWO1" s="671"/>
      <c r="NWP1" s="671"/>
      <c r="NWQ1" s="671"/>
      <c r="NWR1" s="671"/>
      <c r="NWS1" s="671"/>
      <c r="NWT1" s="671"/>
      <c r="NWU1" s="671"/>
      <c r="NWV1" s="671"/>
      <c r="NWW1" s="671"/>
      <c r="NWX1" s="671"/>
      <c r="NWY1" s="671"/>
      <c r="NWZ1" s="671"/>
      <c r="NXA1" s="671"/>
      <c r="NXB1" s="671"/>
      <c r="NXC1" s="671"/>
      <c r="NXD1" s="671"/>
      <c r="NXE1" s="671"/>
      <c r="NXF1" s="671"/>
      <c r="NXG1" s="671"/>
      <c r="NXH1" s="671"/>
      <c r="NXI1" s="671"/>
      <c r="NXJ1" s="671"/>
      <c r="NXK1" s="671"/>
      <c r="NXL1" s="671"/>
      <c r="NXM1" s="671"/>
      <c r="NXN1" s="671"/>
      <c r="NXO1" s="671"/>
      <c r="NXP1" s="671"/>
      <c r="NXQ1" s="671"/>
      <c r="NXR1" s="671"/>
      <c r="NXS1" s="671"/>
      <c r="NXT1" s="671"/>
      <c r="NXU1" s="671"/>
      <c r="NXV1" s="671"/>
      <c r="NXW1" s="671"/>
      <c r="NXX1" s="671"/>
      <c r="NXY1" s="671"/>
      <c r="NXZ1" s="671"/>
      <c r="NYA1" s="671"/>
      <c r="NYB1" s="671"/>
      <c r="NYC1" s="671"/>
      <c r="NYD1" s="671"/>
      <c r="NYE1" s="671"/>
      <c r="NYF1" s="671"/>
      <c r="NYG1" s="671"/>
      <c r="NYH1" s="671"/>
      <c r="NYI1" s="671"/>
      <c r="NYJ1" s="671"/>
      <c r="NYK1" s="671"/>
      <c r="NYL1" s="671"/>
      <c r="NYM1" s="671"/>
      <c r="NYN1" s="671"/>
      <c r="NYO1" s="671"/>
      <c r="NYP1" s="671"/>
      <c r="NYQ1" s="671"/>
      <c r="NYR1" s="671"/>
      <c r="NYS1" s="671"/>
      <c r="NYT1" s="671"/>
      <c r="NYU1" s="671"/>
      <c r="NYV1" s="671"/>
      <c r="NYW1" s="671"/>
      <c r="NYX1" s="671"/>
      <c r="NYY1" s="671"/>
      <c r="NYZ1" s="671"/>
      <c r="NZA1" s="671"/>
      <c r="NZB1" s="671"/>
      <c r="NZC1" s="671"/>
      <c r="NZD1" s="671"/>
      <c r="NZE1" s="671"/>
      <c r="NZF1" s="671"/>
      <c r="NZG1" s="671"/>
      <c r="NZH1" s="671"/>
      <c r="NZI1" s="671"/>
      <c r="NZJ1" s="671"/>
      <c r="NZK1" s="671"/>
      <c r="NZL1" s="671"/>
      <c r="NZM1" s="671"/>
      <c r="NZN1" s="671"/>
      <c r="NZO1" s="671"/>
      <c r="NZP1" s="671"/>
      <c r="NZQ1" s="671"/>
      <c r="NZR1" s="671"/>
      <c r="NZS1" s="671"/>
      <c r="NZT1" s="671"/>
      <c r="NZU1" s="671"/>
      <c r="NZV1" s="671"/>
      <c r="NZW1" s="671"/>
      <c r="NZX1" s="671"/>
      <c r="NZY1" s="671"/>
      <c r="NZZ1" s="671"/>
      <c r="OAA1" s="671"/>
      <c r="OAB1" s="671"/>
      <c r="OAC1" s="671"/>
      <c r="OAD1" s="671"/>
      <c r="OAE1" s="671"/>
      <c r="OAF1" s="671"/>
      <c r="OAG1" s="671"/>
      <c r="OAH1" s="671"/>
      <c r="OAI1" s="671"/>
      <c r="OAJ1" s="671"/>
      <c r="OAK1" s="671"/>
      <c r="OAL1" s="671"/>
      <c r="OAM1" s="671"/>
      <c r="OAN1" s="671"/>
      <c r="OAO1" s="671"/>
      <c r="OAP1" s="671"/>
      <c r="OAQ1" s="671"/>
      <c r="OAR1" s="671"/>
      <c r="OAS1" s="671"/>
      <c r="OAT1" s="671"/>
      <c r="OAU1" s="671"/>
      <c r="OAV1" s="671"/>
      <c r="OAW1" s="671"/>
      <c r="OAX1" s="671"/>
      <c r="OAY1" s="671"/>
      <c r="OAZ1" s="671"/>
      <c r="OBA1" s="671"/>
      <c r="OBB1" s="671"/>
      <c r="OBC1" s="671"/>
      <c r="OBD1" s="671"/>
      <c r="OBE1" s="671"/>
      <c r="OBF1" s="671"/>
      <c r="OBG1" s="671"/>
      <c r="OBH1" s="671"/>
      <c r="OBI1" s="671"/>
      <c r="OBJ1" s="671"/>
      <c r="OBK1" s="671"/>
      <c r="OBL1" s="671"/>
      <c r="OBM1" s="671"/>
      <c r="OBN1" s="671"/>
      <c r="OBO1" s="671"/>
      <c r="OBP1" s="671"/>
      <c r="OBQ1" s="671"/>
      <c r="OBR1" s="671"/>
      <c r="OBS1" s="671"/>
      <c r="OBT1" s="671"/>
      <c r="OBU1" s="671"/>
      <c r="OBV1" s="671"/>
      <c r="OBW1" s="671"/>
      <c r="OBX1" s="671"/>
      <c r="OBY1" s="671"/>
      <c r="OBZ1" s="671"/>
      <c r="OCA1" s="671"/>
      <c r="OCB1" s="671"/>
      <c r="OCC1" s="671"/>
      <c r="OCD1" s="671"/>
      <c r="OCE1" s="671"/>
      <c r="OCF1" s="671"/>
      <c r="OCG1" s="671"/>
      <c r="OCH1" s="671"/>
      <c r="OCI1" s="671"/>
      <c r="OCJ1" s="671"/>
      <c r="OCK1" s="671"/>
      <c r="OCL1" s="671"/>
      <c r="OCM1" s="671"/>
      <c r="OCN1" s="671"/>
      <c r="OCO1" s="671"/>
      <c r="OCP1" s="671"/>
      <c r="OCQ1" s="671"/>
      <c r="OCR1" s="671"/>
      <c r="OCS1" s="671"/>
      <c r="OCT1" s="671"/>
      <c r="OCU1" s="671"/>
      <c r="OCV1" s="671"/>
      <c r="OCW1" s="671"/>
      <c r="OCX1" s="671"/>
      <c r="OCY1" s="671"/>
      <c r="OCZ1" s="671"/>
      <c r="ODA1" s="671"/>
      <c r="ODB1" s="671"/>
      <c r="ODC1" s="671"/>
      <c r="ODD1" s="671"/>
      <c r="ODE1" s="671"/>
      <c r="ODF1" s="671"/>
      <c r="ODG1" s="671"/>
      <c r="ODH1" s="671"/>
      <c r="ODI1" s="671"/>
      <c r="ODJ1" s="671"/>
      <c r="ODK1" s="671"/>
      <c r="ODL1" s="671"/>
      <c r="ODM1" s="671"/>
      <c r="ODN1" s="671"/>
      <c r="ODO1" s="671"/>
      <c r="ODP1" s="671"/>
      <c r="ODQ1" s="671"/>
      <c r="ODR1" s="671"/>
      <c r="ODS1" s="671"/>
      <c r="ODT1" s="671"/>
      <c r="ODU1" s="671"/>
      <c r="ODV1" s="671"/>
      <c r="ODW1" s="671"/>
      <c r="ODX1" s="671"/>
      <c r="ODY1" s="671"/>
      <c r="ODZ1" s="671"/>
      <c r="OEA1" s="671"/>
      <c r="OEB1" s="671"/>
      <c r="OEC1" s="671"/>
      <c r="OED1" s="671"/>
      <c r="OEE1" s="671"/>
      <c r="OEF1" s="671"/>
      <c r="OEG1" s="671"/>
      <c r="OEH1" s="671"/>
      <c r="OEI1" s="671"/>
      <c r="OEJ1" s="671"/>
      <c r="OEK1" s="671"/>
      <c r="OEL1" s="671"/>
      <c r="OEM1" s="671"/>
      <c r="OEN1" s="671"/>
      <c r="OEO1" s="671"/>
      <c r="OEP1" s="671"/>
      <c r="OEQ1" s="671"/>
      <c r="OER1" s="671"/>
      <c r="OES1" s="671"/>
      <c r="OET1" s="671"/>
      <c r="OEU1" s="671"/>
      <c r="OEV1" s="671"/>
      <c r="OEW1" s="671"/>
      <c r="OEX1" s="671"/>
      <c r="OEY1" s="671"/>
      <c r="OEZ1" s="671"/>
      <c r="OFA1" s="671"/>
      <c r="OFB1" s="671"/>
      <c r="OFC1" s="671"/>
      <c r="OFD1" s="671"/>
      <c r="OFE1" s="671"/>
      <c r="OFF1" s="671"/>
      <c r="OFG1" s="671"/>
      <c r="OFH1" s="671"/>
      <c r="OFI1" s="671"/>
      <c r="OFJ1" s="671"/>
      <c r="OFK1" s="671"/>
      <c r="OFL1" s="671"/>
      <c r="OFM1" s="671"/>
      <c r="OFN1" s="671"/>
      <c r="OFO1" s="671"/>
      <c r="OFP1" s="671"/>
      <c r="OFQ1" s="671"/>
      <c r="OFR1" s="671"/>
      <c r="OFS1" s="671"/>
      <c r="OFT1" s="671"/>
      <c r="OFU1" s="671"/>
      <c r="OFV1" s="671"/>
      <c r="OFW1" s="671"/>
      <c r="OFX1" s="671"/>
      <c r="OFY1" s="671"/>
      <c r="OFZ1" s="671"/>
      <c r="OGA1" s="671"/>
      <c r="OGB1" s="671"/>
      <c r="OGC1" s="671"/>
      <c r="OGD1" s="671"/>
      <c r="OGE1" s="671"/>
      <c r="OGF1" s="671"/>
      <c r="OGG1" s="671"/>
      <c r="OGH1" s="671"/>
      <c r="OGI1" s="671"/>
      <c r="OGJ1" s="671"/>
      <c r="OGK1" s="671"/>
      <c r="OGL1" s="671"/>
      <c r="OGM1" s="671"/>
      <c r="OGN1" s="671"/>
      <c r="OGO1" s="671"/>
      <c r="OGP1" s="671"/>
      <c r="OGQ1" s="671"/>
      <c r="OGR1" s="671"/>
      <c r="OGS1" s="671"/>
      <c r="OGT1" s="671"/>
      <c r="OGU1" s="671"/>
      <c r="OGV1" s="671"/>
      <c r="OGW1" s="671"/>
      <c r="OGX1" s="671"/>
      <c r="OGY1" s="671"/>
      <c r="OGZ1" s="671"/>
      <c r="OHA1" s="671"/>
      <c r="OHB1" s="671"/>
      <c r="OHC1" s="671"/>
      <c r="OHD1" s="671"/>
      <c r="OHE1" s="671"/>
      <c r="OHF1" s="671"/>
      <c r="OHG1" s="671"/>
      <c r="OHH1" s="671"/>
      <c r="OHI1" s="671"/>
      <c r="OHJ1" s="671"/>
      <c r="OHK1" s="671"/>
      <c r="OHL1" s="671"/>
      <c r="OHM1" s="671"/>
      <c r="OHN1" s="671"/>
      <c r="OHO1" s="671"/>
      <c r="OHP1" s="671"/>
      <c r="OHQ1" s="671"/>
      <c r="OHR1" s="671"/>
      <c r="OHS1" s="671"/>
      <c r="OHT1" s="671"/>
      <c r="OHU1" s="671"/>
      <c r="OHV1" s="671"/>
      <c r="OHW1" s="671"/>
      <c r="OHX1" s="671"/>
      <c r="OHY1" s="671"/>
      <c r="OHZ1" s="671"/>
      <c r="OIA1" s="671"/>
      <c r="OIB1" s="671"/>
      <c r="OIC1" s="671"/>
      <c r="OID1" s="671"/>
      <c r="OIE1" s="671"/>
      <c r="OIF1" s="671"/>
      <c r="OIG1" s="671"/>
      <c r="OIH1" s="671"/>
      <c r="OII1" s="671"/>
      <c r="OIJ1" s="671"/>
      <c r="OIK1" s="671"/>
      <c r="OIL1" s="671"/>
      <c r="OIM1" s="671"/>
      <c r="OIN1" s="671"/>
      <c r="OIO1" s="671"/>
      <c r="OIP1" s="671"/>
      <c r="OIQ1" s="671"/>
      <c r="OIR1" s="671"/>
      <c r="OIS1" s="671"/>
      <c r="OIT1" s="671"/>
      <c r="OIU1" s="671"/>
      <c r="OIV1" s="671"/>
      <c r="OIW1" s="671"/>
      <c r="OIX1" s="671"/>
      <c r="OIY1" s="671"/>
      <c r="OIZ1" s="671"/>
      <c r="OJA1" s="671"/>
      <c r="OJB1" s="671"/>
      <c r="OJC1" s="671"/>
      <c r="OJD1" s="671"/>
      <c r="OJE1" s="671"/>
      <c r="OJF1" s="671"/>
      <c r="OJG1" s="671"/>
      <c r="OJH1" s="671"/>
      <c r="OJI1" s="671"/>
      <c r="OJJ1" s="671"/>
      <c r="OJK1" s="671"/>
      <c r="OJL1" s="671"/>
      <c r="OJM1" s="671"/>
      <c r="OJN1" s="671"/>
      <c r="OJO1" s="671"/>
      <c r="OJP1" s="671"/>
      <c r="OJQ1" s="671"/>
      <c r="OJR1" s="671"/>
      <c r="OJS1" s="671"/>
      <c r="OJT1" s="671"/>
      <c r="OJU1" s="671"/>
      <c r="OJV1" s="671"/>
      <c r="OJW1" s="671"/>
      <c r="OJX1" s="671"/>
      <c r="OJY1" s="671"/>
      <c r="OJZ1" s="671"/>
      <c r="OKA1" s="671"/>
      <c r="OKB1" s="671"/>
      <c r="OKC1" s="671"/>
      <c r="OKD1" s="671"/>
      <c r="OKE1" s="671"/>
      <c r="OKF1" s="671"/>
      <c r="OKG1" s="671"/>
      <c r="OKH1" s="671"/>
      <c r="OKI1" s="671"/>
      <c r="OKJ1" s="671"/>
      <c r="OKK1" s="671"/>
      <c r="OKL1" s="671"/>
      <c r="OKM1" s="671"/>
      <c r="OKN1" s="671"/>
      <c r="OKO1" s="671"/>
      <c r="OKP1" s="671"/>
      <c r="OKQ1" s="671"/>
      <c r="OKR1" s="671"/>
      <c r="OKS1" s="671"/>
      <c r="OKT1" s="671"/>
      <c r="OKU1" s="671"/>
      <c r="OKV1" s="671"/>
      <c r="OKW1" s="671"/>
      <c r="OKX1" s="671"/>
      <c r="OKY1" s="671"/>
      <c r="OKZ1" s="671"/>
      <c r="OLA1" s="671"/>
      <c r="OLB1" s="671"/>
      <c r="OLC1" s="671"/>
      <c r="OLD1" s="671"/>
      <c r="OLE1" s="671"/>
      <c r="OLF1" s="671"/>
      <c r="OLG1" s="671"/>
      <c r="OLH1" s="671"/>
      <c r="OLI1" s="671"/>
      <c r="OLJ1" s="671"/>
      <c r="OLK1" s="671"/>
      <c r="OLL1" s="671"/>
      <c r="OLM1" s="671"/>
      <c r="OLN1" s="671"/>
      <c r="OLO1" s="671"/>
      <c r="OLP1" s="671"/>
      <c r="OLQ1" s="671"/>
      <c r="OLR1" s="671"/>
      <c r="OLS1" s="671"/>
      <c r="OLT1" s="671"/>
      <c r="OLU1" s="671"/>
      <c r="OLV1" s="671"/>
      <c r="OLW1" s="671"/>
      <c r="OLX1" s="671"/>
      <c r="OLY1" s="671"/>
      <c r="OLZ1" s="671"/>
      <c r="OMA1" s="671"/>
      <c r="OMB1" s="671"/>
      <c r="OMC1" s="671"/>
      <c r="OMD1" s="671"/>
      <c r="OME1" s="671"/>
      <c r="OMF1" s="671"/>
      <c r="OMG1" s="671"/>
      <c r="OMH1" s="671"/>
      <c r="OMI1" s="671"/>
      <c r="OMJ1" s="671"/>
      <c r="OMK1" s="671"/>
      <c r="OML1" s="671"/>
      <c r="OMM1" s="671"/>
      <c r="OMN1" s="671"/>
      <c r="OMO1" s="671"/>
      <c r="OMP1" s="671"/>
      <c r="OMQ1" s="671"/>
      <c r="OMR1" s="671"/>
      <c r="OMS1" s="671"/>
      <c r="OMT1" s="671"/>
      <c r="OMU1" s="671"/>
      <c r="OMV1" s="671"/>
      <c r="OMW1" s="671"/>
      <c r="OMX1" s="671"/>
      <c r="OMY1" s="671"/>
      <c r="OMZ1" s="671"/>
      <c r="ONA1" s="671"/>
      <c r="ONB1" s="671"/>
      <c r="ONC1" s="671"/>
      <c r="OND1" s="671"/>
      <c r="ONE1" s="671"/>
      <c r="ONF1" s="671"/>
      <c r="ONG1" s="671"/>
      <c r="ONH1" s="671"/>
      <c r="ONI1" s="671"/>
      <c r="ONJ1" s="671"/>
      <c r="ONK1" s="671"/>
      <c r="ONL1" s="671"/>
      <c r="ONM1" s="671"/>
      <c r="ONN1" s="671"/>
      <c r="ONO1" s="671"/>
      <c r="ONP1" s="671"/>
      <c r="ONQ1" s="671"/>
      <c r="ONR1" s="671"/>
      <c r="ONS1" s="671"/>
      <c r="ONT1" s="671"/>
      <c r="ONU1" s="671"/>
      <c r="ONV1" s="671"/>
      <c r="ONW1" s="671"/>
      <c r="ONX1" s="671"/>
      <c r="ONY1" s="671"/>
      <c r="ONZ1" s="671"/>
      <c r="OOA1" s="671"/>
      <c r="OOB1" s="671"/>
      <c r="OOC1" s="671"/>
      <c r="OOD1" s="671"/>
      <c r="OOE1" s="671"/>
      <c r="OOF1" s="671"/>
      <c r="OOG1" s="671"/>
      <c r="OOH1" s="671"/>
      <c r="OOI1" s="671"/>
      <c r="OOJ1" s="671"/>
      <c r="OOK1" s="671"/>
      <c r="OOL1" s="671"/>
      <c r="OOM1" s="671"/>
      <c r="OON1" s="671"/>
      <c r="OOO1" s="671"/>
      <c r="OOP1" s="671"/>
      <c r="OOQ1" s="671"/>
      <c r="OOR1" s="671"/>
      <c r="OOS1" s="671"/>
      <c r="OOT1" s="671"/>
      <c r="OOU1" s="671"/>
      <c r="OOV1" s="671"/>
      <c r="OOW1" s="671"/>
      <c r="OOX1" s="671"/>
      <c r="OOY1" s="671"/>
      <c r="OOZ1" s="671"/>
      <c r="OPA1" s="671"/>
      <c r="OPB1" s="671"/>
      <c r="OPC1" s="671"/>
      <c r="OPD1" s="671"/>
      <c r="OPE1" s="671"/>
      <c r="OPF1" s="671"/>
      <c r="OPG1" s="671"/>
      <c r="OPH1" s="671"/>
      <c r="OPI1" s="671"/>
      <c r="OPJ1" s="671"/>
      <c r="OPK1" s="671"/>
      <c r="OPL1" s="671"/>
      <c r="OPM1" s="671"/>
      <c r="OPN1" s="671"/>
      <c r="OPO1" s="671"/>
      <c r="OPP1" s="671"/>
      <c r="OPQ1" s="671"/>
      <c r="OPR1" s="671"/>
      <c r="OPS1" s="671"/>
      <c r="OPT1" s="671"/>
      <c r="OPU1" s="671"/>
      <c r="OPV1" s="671"/>
      <c r="OPW1" s="671"/>
      <c r="OPX1" s="671"/>
      <c r="OPY1" s="671"/>
      <c r="OPZ1" s="671"/>
      <c r="OQA1" s="671"/>
      <c r="OQB1" s="671"/>
      <c r="OQC1" s="671"/>
      <c r="OQD1" s="671"/>
      <c r="OQE1" s="671"/>
      <c r="OQF1" s="671"/>
      <c r="OQG1" s="671"/>
      <c r="OQH1" s="671"/>
      <c r="OQI1" s="671"/>
      <c r="OQJ1" s="671"/>
      <c r="OQK1" s="671"/>
      <c r="OQL1" s="671"/>
      <c r="OQM1" s="671"/>
      <c r="OQN1" s="671"/>
      <c r="OQO1" s="671"/>
      <c r="OQP1" s="671"/>
      <c r="OQQ1" s="671"/>
      <c r="OQR1" s="671"/>
      <c r="OQS1" s="671"/>
      <c r="OQT1" s="671"/>
      <c r="OQU1" s="671"/>
      <c r="OQV1" s="671"/>
      <c r="OQW1" s="671"/>
      <c r="OQX1" s="671"/>
      <c r="OQY1" s="671"/>
      <c r="OQZ1" s="671"/>
      <c r="ORA1" s="671"/>
      <c r="ORB1" s="671"/>
      <c r="ORC1" s="671"/>
      <c r="ORD1" s="671"/>
      <c r="ORE1" s="671"/>
      <c r="ORF1" s="671"/>
      <c r="ORG1" s="671"/>
      <c r="ORH1" s="671"/>
      <c r="ORI1" s="671"/>
      <c r="ORJ1" s="671"/>
      <c r="ORK1" s="671"/>
      <c r="ORL1" s="671"/>
      <c r="ORM1" s="671"/>
      <c r="ORN1" s="671"/>
      <c r="ORO1" s="671"/>
      <c r="ORP1" s="671"/>
      <c r="ORQ1" s="671"/>
      <c r="ORR1" s="671"/>
      <c r="ORS1" s="671"/>
      <c r="ORT1" s="671"/>
      <c r="ORU1" s="671"/>
      <c r="ORV1" s="671"/>
      <c r="ORW1" s="671"/>
      <c r="ORX1" s="671"/>
      <c r="ORY1" s="671"/>
      <c r="ORZ1" s="671"/>
      <c r="OSA1" s="671"/>
      <c r="OSB1" s="671"/>
      <c r="OSC1" s="671"/>
      <c r="OSD1" s="671"/>
      <c r="OSE1" s="671"/>
      <c r="OSF1" s="671"/>
      <c r="OSG1" s="671"/>
      <c r="OSH1" s="671"/>
      <c r="OSI1" s="671"/>
      <c r="OSJ1" s="671"/>
      <c r="OSK1" s="671"/>
      <c r="OSL1" s="671"/>
      <c r="OSM1" s="671"/>
      <c r="OSN1" s="671"/>
      <c r="OSO1" s="671"/>
      <c r="OSP1" s="671"/>
      <c r="OSQ1" s="671"/>
      <c r="OSR1" s="671"/>
      <c r="OSS1" s="671"/>
      <c r="OST1" s="671"/>
      <c r="OSU1" s="671"/>
      <c r="OSV1" s="671"/>
      <c r="OSW1" s="671"/>
      <c r="OSX1" s="671"/>
      <c r="OSY1" s="671"/>
      <c r="OSZ1" s="671"/>
      <c r="OTA1" s="671"/>
      <c r="OTB1" s="671"/>
      <c r="OTC1" s="671"/>
      <c r="OTD1" s="671"/>
      <c r="OTE1" s="671"/>
      <c r="OTF1" s="671"/>
      <c r="OTG1" s="671"/>
      <c r="OTH1" s="671"/>
      <c r="OTI1" s="671"/>
      <c r="OTJ1" s="671"/>
      <c r="OTK1" s="671"/>
      <c r="OTL1" s="671"/>
      <c r="OTM1" s="671"/>
      <c r="OTN1" s="671"/>
      <c r="OTO1" s="671"/>
      <c r="OTP1" s="671"/>
      <c r="OTQ1" s="671"/>
      <c r="OTR1" s="671"/>
      <c r="OTS1" s="671"/>
      <c r="OTT1" s="671"/>
      <c r="OTU1" s="671"/>
      <c r="OTV1" s="671"/>
      <c r="OTW1" s="671"/>
      <c r="OTX1" s="671"/>
      <c r="OTY1" s="671"/>
      <c r="OTZ1" s="671"/>
      <c r="OUA1" s="671"/>
      <c r="OUB1" s="671"/>
      <c r="OUC1" s="671"/>
      <c r="OUD1" s="671"/>
      <c r="OUE1" s="671"/>
      <c r="OUF1" s="671"/>
      <c r="OUG1" s="671"/>
      <c r="OUH1" s="671"/>
      <c r="OUI1" s="671"/>
      <c r="OUJ1" s="671"/>
      <c r="OUK1" s="671"/>
      <c r="OUL1" s="671"/>
      <c r="OUM1" s="671"/>
      <c r="OUN1" s="671"/>
      <c r="OUO1" s="671"/>
      <c r="OUP1" s="671"/>
      <c r="OUQ1" s="671"/>
      <c r="OUR1" s="671"/>
      <c r="OUS1" s="671"/>
      <c r="OUT1" s="671"/>
      <c r="OUU1" s="671"/>
      <c r="OUV1" s="671"/>
      <c r="OUW1" s="671"/>
      <c r="OUX1" s="671"/>
      <c r="OUY1" s="671"/>
      <c r="OUZ1" s="671"/>
      <c r="OVA1" s="671"/>
      <c r="OVB1" s="671"/>
      <c r="OVC1" s="671"/>
      <c r="OVD1" s="671"/>
      <c r="OVE1" s="671"/>
      <c r="OVF1" s="671"/>
      <c r="OVG1" s="671"/>
      <c r="OVH1" s="671"/>
      <c r="OVI1" s="671"/>
      <c r="OVJ1" s="671"/>
      <c r="OVK1" s="671"/>
      <c r="OVL1" s="671"/>
      <c r="OVM1" s="671"/>
      <c r="OVN1" s="671"/>
      <c r="OVO1" s="671"/>
      <c r="OVP1" s="671"/>
      <c r="OVQ1" s="671"/>
      <c r="OVR1" s="671"/>
      <c r="OVS1" s="671"/>
      <c r="OVT1" s="671"/>
      <c r="OVU1" s="671"/>
      <c r="OVV1" s="671"/>
      <c r="OVW1" s="671"/>
      <c r="OVX1" s="671"/>
      <c r="OVY1" s="671"/>
      <c r="OVZ1" s="671"/>
      <c r="OWA1" s="671"/>
      <c r="OWB1" s="671"/>
      <c r="OWC1" s="671"/>
      <c r="OWD1" s="671"/>
      <c r="OWE1" s="671"/>
      <c r="OWF1" s="671"/>
      <c r="OWG1" s="671"/>
      <c r="OWH1" s="671"/>
      <c r="OWI1" s="671"/>
      <c r="OWJ1" s="671"/>
      <c r="OWK1" s="671"/>
      <c r="OWL1" s="671"/>
      <c r="OWM1" s="671"/>
      <c r="OWN1" s="671"/>
      <c r="OWO1" s="671"/>
      <c r="OWP1" s="671"/>
      <c r="OWQ1" s="671"/>
      <c r="OWR1" s="671"/>
      <c r="OWS1" s="671"/>
      <c r="OWT1" s="671"/>
      <c r="OWU1" s="671"/>
      <c r="OWV1" s="671"/>
      <c r="OWW1" s="671"/>
      <c r="OWX1" s="671"/>
      <c r="OWY1" s="671"/>
      <c r="OWZ1" s="671"/>
      <c r="OXA1" s="671"/>
      <c r="OXB1" s="671"/>
      <c r="OXC1" s="671"/>
      <c r="OXD1" s="671"/>
      <c r="OXE1" s="671"/>
      <c r="OXF1" s="671"/>
      <c r="OXG1" s="671"/>
      <c r="OXH1" s="671"/>
      <c r="OXI1" s="671"/>
      <c r="OXJ1" s="671"/>
      <c r="OXK1" s="671"/>
      <c r="OXL1" s="671"/>
      <c r="OXM1" s="671"/>
      <c r="OXN1" s="671"/>
      <c r="OXO1" s="671"/>
      <c r="OXP1" s="671"/>
      <c r="OXQ1" s="671"/>
      <c r="OXR1" s="671"/>
      <c r="OXS1" s="671"/>
      <c r="OXT1" s="671"/>
      <c r="OXU1" s="671"/>
      <c r="OXV1" s="671"/>
      <c r="OXW1" s="671"/>
      <c r="OXX1" s="671"/>
      <c r="OXY1" s="671"/>
      <c r="OXZ1" s="671"/>
      <c r="OYA1" s="671"/>
      <c r="OYB1" s="671"/>
      <c r="OYC1" s="671"/>
      <c r="OYD1" s="671"/>
      <c r="OYE1" s="671"/>
      <c r="OYF1" s="671"/>
      <c r="OYG1" s="671"/>
      <c r="OYH1" s="671"/>
      <c r="OYI1" s="671"/>
      <c r="OYJ1" s="671"/>
      <c r="OYK1" s="671"/>
      <c r="OYL1" s="671"/>
      <c r="OYM1" s="671"/>
      <c r="OYN1" s="671"/>
      <c r="OYO1" s="671"/>
      <c r="OYP1" s="671"/>
      <c r="OYQ1" s="671"/>
      <c r="OYR1" s="671"/>
      <c r="OYS1" s="671"/>
      <c r="OYT1" s="671"/>
      <c r="OYU1" s="671"/>
      <c r="OYV1" s="671"/>
      <c r="OYW1" s="671"/>
      <c r="OYX1" s="671"/>
      <c r="OYY1" s="671"/>
      <c r="OYZ1" s="671"/>
      <c r="OZA1" s="671"/>
      <c r="OZB1" s="671"/>
      <c r="OZC1" s="671"/>
      <c r="OZD1" s="671"/>
      <c r="OZE1" s="671"/>
      <c r="OZF1" s="671"/>
      <c r="OZG1" s="671"/>
      <c r="OZH1" s="671"/>
      <c r="OZI1" s="671"/>
      <c r="OZJ1" s="671"/>
      <c r="OZK1" s="671"/>
      <c r="OZL1" s="671"/>
      <c r="OZM1" s="671"/>
      <c r="OZN1" s="671"/>
      <c r="OZO1" s="671"/>
      <c r="OZP1" s="671"/>
      <c r="OZQ1" s="671"/>
      <c r="OZR1" s="671"/>
      <c r="OZS1" s="671"/>
      <c r="OZT1" s="671"/>
      <c r="OZU1" s="671"/>
      <c r="OZV1" s="671"/>
      <c r="OZW1" s="671"/>
      <c r="OZX1" s="671"/>
      <c r="OZY1" s="671"/>
      <c r="OZZ1" s="671"/>
      <c r="PAA1" s="671"/>
      <c r="PAB1" s="671"/>
      <c r="PAC1" s="671"/>
      <c r="PAD1" s="671"/>
      <c r="PAE1" s="671"/>
      <c r="PAF1" s="671"/>
      <c r="PAG1" s="671"/>
      <c r="PAH1" s="671"/>
      <c r="PAI1" s="671"/>
      <c r="PAJ1" s="671"/>
      <c r="PAK1" s="671"/>
      <c r="PAL1" s="671"/>
      <c r="PAM1" s="671"/>
      <c r="PAN1" s="671"/>
      <c r="PAO1" s="671"/>
      <c r="PAP1" s="671"/>
      <c r="PAQ1" s="671"/>
      <c r="PAR1" s="671"/>
      <c r="PAS1" s="671"/>
      <c r="PAT1" s="671"/>
      <c r="PAU1" s="671"/>
      <c r="PAV1" s="671"/>
      <c r="PAW1" s="671"/>
      <c r="PAX1" s="671"/>
      <c r="PAY1" s="671"/>
      <c r="PAZ1" s="671"/>
      <c r="PBA1" s="671"/>
      <c r="PBB1" s="671"/>
      <c r="PBC1" s="671"/>
      <c r="PBD1" s="671"/>
      <c r="PBE1" s="671"/>
      <c r="PBF1" s="671"/>
      <c r="PBG1" s="671"/>
      <c r="PBH1" s="671"/>
      <c r="PBI1" s="671"/>
      <c r="PBJ1" s="671"/>
      <c r="PBK1" s="671"/>
      <c r="PBL1" s="671"/>
      <c r="PBM1" s="671"/>
      <c r="PBN1" s="671"/>
      <c r="PBO1" s="671"/>
      <c r="PBP1" s="671"/>
      <c r="PBQ1" s="671"/>
      <c r="PBR1" s="671"/>
      <c r="PBS1" s="671"/>
      <c r="PBT1" s="671"/>
      <c r="PBU1" s="671"/>
      <c r="PBV1" s="671"/>
      <c r="PBW1" s="671"/>
      <c r="PBX1" s="671"/>
      <c r="PBY1" s="671"/>
      <c r="PBZ1" s="671"/>
      <c r="PCA1" s="671"/>
      <c r="PCB1" s="671"/>
      <c r="PCC1" s="671"/>
      <c r="PCD1" s="671"/>
      <c r="PCE1" s="671"/>
      <c r="PCF1" s="671"/>
      <c r="PCG1" s="671"/>
      <c r="PCH1" s="671"/>
      <c r="PCI1" s="671"/>
      <c r="PCJ1" s="671"/>
      <c r="PCK1" s="671"/>
      <c r="PCL1" s="671"/>
      <c r="PCM1" s="671"/>
      <c r="PCN1" s="671"/>
      <c r="PCO1" s="671"/>
      <c r="PCP1" s="671"/>
      <c r="PCQ1" s="671"/>
      <c r="PCR1" s="671"/>
      <c r="PCS1" s="671"/>
      <c r="PCT1" s="671"/>
      <c r="PCU1" s="671"/>
      <c r="PCV1" s="671"/>
      <c r="PCW1" s="671"/>
      <c r="PCX1" s="671"/>
      <c r="PCY1" s="671"/>
      <c r="PCZ1" s="671"/>
      <c r="PDA1" s="671"/>
      <c r="PDB1" s="671"/>
      <c r="PDC1" s="671"/>
      <c r="PDD1" s="671"/>
      <c r="PDE1" s="671"/>
      <c r="PDF1" s="671"/>
      <c r="PDG1" s="671"/>
      <c r="PDH1" s="671"/>
      <c r="PDI1" s="671"/>
      <c r="PDJ1" s="671"/>
      <c r="PDK1" s="671"/>
      <c r="PDL1" s="671"/>
      <c r="PDM1" s="671"/>
      <c r="PDN1" s="671"/>
      <c r="PDO1" s="671"/>
      <c r="PDP1" s="671"/>
      <c r="PDQ1" s="671"/>
      <c r="PDR1" s="671"/>
      <c r="PDS1" s="671"/>
      <c r="PDT1" s="671"/>
      <c r="PDU1" s="671"/>
      <c r="PDV1" s="671"/>
      <c r="PDW1" s="671"/>
      <c r="PDX1" s="671"/>
      <c r="PDY1" s="671"/>
      <c r="PDZ1" s="671"/>
      <c r="PEA1" s="671"/>
      <c r="PEB1" s="671"/>
      <c r="PEC1" s="671"/>
      <c r="PED1" s="671"/>
      <c r="PEE1" s="671"/>
      <c r="PEF1" s="671"/>
      <c r="PEG1" s="671"/>
      <c r="PEH1" s="671"/>
      <c r="PEI1" s="671"/>
      <c r="PEJ1" s="671"/>
      <c r="PEK1" s="671"/>
      <c r="PEL1" s="671"/>
      <c r="PEM1" s="671"/>
      <c r="PEN1" s="671"/>
      <c r="PEO1" s="671"/>
      <c r="PEP1" s="671"/>
      <c r="PEQ1" s="671"/>
      <c r="PER1" s="671"/>
      <c r="PES1" s="671"/>
      <c r="PET1" s="671"/>
      <c r="PEU1" s="671"/>
      <c r="PEV1" s="671"/>
      <c r="PEW1" s="671"/>
      <c r="PEX1" s="671"/>
      <c r="PEY1" s="671"/>
      <c r="PEZ1" s="671"/>
      <c r="PFA1" s="671"/>
      <c r="PFB1" s="671"/>
      <c r="PFC1" s="671"/>
      <c r="PFD1" s="671"/>
      <c r="PFE1" s="671"/>
      <c r="PFF1" s="671"/>
      <c r="PFG1" s="671"/>
      <c r="PFH1" s="671"/>
      <c r="PFI1" s="671"/>
      <c r="PFJ1" s="671"/>
      <c r="PFK1" s="671"/>
      <c r="PFL1" s="671"/>
      <c r="PFM1" s="671"/>
      <c r="PFN1" s="671"/>
      <c r="PFO1" s="671"/>
      <c r="PFP1" s="671"/>
      <c r="PFQ1" s="671"/>
      <c r="PFR1" s="671"/>
      <c r="PFS1" s="671"/>
      <c r="PFT1" s="671"/>
      <c r="PFU1" s="671"/>
      <c r="PFV1" s="671"/>
      <c r="PFW1" s="671"/>
      <c r="PFX1" s="671"/>
      <c r="PFY1" s="671"/>
      <c r="PFZ1" s="671"/>
      <c r="PGA1" s="671"/>
      <c r="PGB1" s="671"/>
      <c r="PGC1" s="671"/>
      <c r="PGD1" s="671"/>
      <c r="PGE1" s="671"/>
      <c r="PGF1" s="671"/>
      <c r="PGG1" s="671"/>
      <c r="PGH1" s="671"/>
      <c r="PGI1" s="671"/>
      <c r="PGJ1" s="671"/>
      <c r="PGK1" s="671"/>
      <c r="PGL1" s="671"/>
      <c r="PGM1" s="671"/>
      <c r="PGN1" s="671"/>
      <c r="PGO1" s="671"/>
      <c r="PGP1" s="671"/>
      <c r="PGQ1" s="671"/>
      <c r="PGR1" s="671"/>
      <c r="PGS1" s="671"/>
      <c r="PGT1" s="671"/>
      <c r="PGU1" s="671"/>
      <c r="PGV1" s="671"/>
      <c r="PGW1" s="671"/>
      <c r="PGX1" s="671"/>
      <c r="PGY1" s="671"/>
      <c r="PGZ1" s="671"/>
      <c r="PHA1" s="671"/>
      <c r="PHB1" s="671"/>
      <c r="PHC1" s="671"/>
      <c r="PHD1" s="671"/>
      <c r="PHE1" s="671"/>
      <c r="PHF1" s="671"/>
      <c r="PHG1" s="671"/>
      <c r="PHH1" s="671"/>
      <c r="PHI1" s="671"/>
      <c r="PHJ1" s="671"/>
      <c r="PHK1" s="671"/>
      <c r="PHL1" s="671"/>
      <c r="PHM1" s="671"/>
      <c r="PHN1" s="671"/>
      <c r="PHO1" s="671"/>
      <c r="PHP1" s="671"/>
      <c r="PHQ1" s="671"/>
      <c r="PHR1" s="671"/>
      <c r="PHS1" s="671"/>
      <c r="PHT1" s="671"/>
      <c r="PHU1" s="671"/>
      <c r="PHV1" s="671"/>
      <c r="PHW1" s="671"/>
      <c r="PHX1" s="671"/>
      <c r="PHY1" s="671"/>
      <c r="PHZ1" s="671"/>
      <c r="PIA1" s="671"/>
      <c r="PIB1" s="671"/>
      <c r="PIC1" s="671"/>
      <c r="PID1" s="671"/>
      <c r="PIE1" s="671"/>
      <c r="PIF1" s="671"/>
      <c r="PIG1" s="671"/>
      <c r="PIH1" s="671"/>
      <c r="PII1" s="671"/>
      <c r="PIJ1" s="671"/>
      <c r="PIK1" s="671"/>
      <c r="PIL1" s="671"/>
      <c r="PIM1" s="671"/>
      <c r="PIN1" s="671"/>
      <c r="PIO1" s="671"/>
      <c r="PIP1" s="671"/>
      <c r="PIQ1" s="671"/>
      <c r="PIR1" s="671"/>
      <c r="PIS1" s="671"/>
      <c r="PIT1" s="671"/>
      <c r="PIU1" s="671"/>
      <c r="PIV1" s="671"/>
      <c r="PIW1" s="671"/>
      <c r="PIX1" s="671"/>
      <c r="PIY1" s="671"/>
      <c r="PIZ1" s="671"/>
      <c r="PJA1" s="671"/>
      <c r="PJB1" s="671"/>
      <c r="PJC1" s="671"/>
      <c r="PJD1" s="671"/>
      <c r="PJE1" s="671"/>
      <c r="PJF1" s="671"/>
      <c r="PJG1" s="671"/>
      <c r="PJH1" s="671"/>
      <c r="PJI1" s="671"/>
      <c r="PJJ1" s="671"/>
      <c r="PJK1" s="671"/>
      <c r="PJL1" s="671"/>
      <c r="PJM1" s="671"/>
      <c r="PJN1" s="671"/>
      <c r="PJO1" s="671"/>
      <c r="PJP1" s="671"/>
      <c r="PJQ1" s="671"/>
      <c r="PJR1" s="671"/>
      <c r="PJS1" s="671"/>
      <c r="PJT1" s="671"/>
      <c r="PJU1" s="671"/>
      <c r="PJV1" s="671"/>
      <c r="PJW1" s="671"/>
      <c r="PJX1" s="671"/>
      <c r="PJY1" s="671"/>
      <c r="PJZ1" s="671"/>
      <c r="PKA1" s="671"/>
      <c r="PKB1" s="671"/>
      <c r="PKC1" s="671"/>
      <c r="PKD1" s="671"/>
      <c r="PKE1" s="671"/>
      <c r="PKF1" s="671"/>
      <c r="PKG1" s="671"/>
      <c r="PKH1" s="671"/>
      <c r="PKI1" s="671"/>
      <c r="PKJ1" s="671"/>
      <c r="PKK1" s="671"/>
      <c r="PKL1" s="671"/>
      <c r="PKM1" s="671"/>
      <c r="PKN1" s="671"/>
      <c r="PKO1" s="671"/>
      <c r="PKP1" s="671"/>
      <c r="PKQ1" s="671"/>
      <c r="PKR1" s="671"/>
      <c r="PKS1" s="671"/>
      <c r="PKT1" s="671"/>
      <c r="PKU1" s="671"/>
      <c r="PKV1" s="671"/>
      <c r="PKW1" s="671"/>
      <c r="PKX1" s="671"/>
      <c r="PKY1" s="671"/>
      <c r="PKZ1" s="671"/>
      <c r="PLA1" s="671"/>
      <c r="PLB1" s="671"/>
      <c r="PLC1" s="671"/>
      <c r="PLD1" s="671"/>
      <c r="PLE1" s="671"/>
      <c r="PLF1" s="671"/>
      <c r="PLG1" s="671"/>
      <c r="PLH1" s="671"/>
      <c r="PLI1" s="671"/>
      <c r="PLJ1" s="671"/>
      <c r="PLK1" s="671"/>
      <c r="PLL1" s="671"/>
      <c r="PLM1" s="671"/>
      <c r="PLN1" s="671"/>
      <c r="PLO1" s="671"/>
      <c r="PLP1" s="671"/>
      <c r="PLQ1" s="671"/>
      <c r="PLR1" s="671"/>
      <c r="PLS1" s="671"/>
      <c r="PLT1" s="671"/>
      <c r="PLU1" s="671"/>
      <c r="PLV1" s="671"/>
      <c r="PLW1" s="671"/>
      <c r="PLX1" s="671"/>
      <c r="PLY1" s="671"/>
      <c r="PLZ1" s="671"/>
      <c r="PMA1" s="671"/>
      <c r="PMB1" s="671"/>
      <c r="PMC1" s="671"/>
      <c r="PMD1" s="671"/>
      <c r="PME1" s="671"/>
      <c r="PMF1" s="671"/>
      <c r="PMG1" s="671"/>
      <c r="PMH1" s="671"/>
      <c r="PMI1" s="671"/>
      <c r="PMJ1" s="671"/>
      <c r="PMK1" s="671"/>
      <c r="PML1" s="671"/>
      <c r="PMM1" s="671"/>
      <c r="PMN1" s="671"/>
      <c r="PMO1" s="671"/>
      <c r="PMP1" s="671"/>
      <c r="PMQ1" s="671"/>
      <c r="PMR1" s="671"/>
      <c r="PMS1" s="671"/>
      <c r="PMT1" s="671"/>
      <c r="PMU1" s="671"/>
      <c r="PMV1" s="671"/>
      <c r="PMW1" s="671"/>
      <c r="PMX1" s="671"/>
      <c r="PMY1" s="671"/>
      <c r="PMZ1" s="671"/>
      <c r="PNA1" s="671"/>
      <c r="PNB1" s="671"/>
      <c r="PNC1" s="671"/>
      <c r="PND1" s="671"/>
      <c r="PNE1" s="671"/>
      <c r="PNF1" s="671"/>
      <c r="PNG1" s="671"/>
      <c r="PNH1" s="671"/>
      <c r="PNI1" s="671"/>
      <c r="PNJ1" s="671"/>
      <c r="PNK1" s="671"/>
      <c r="PNL1" s="671"/>
      <c r="PNM1" s="671"/>
      <c r="PNN1" s="671"/>
      <c r="PNO1" s="671"/>
      <c r="PNP1" s="671"/>
      <c r="PNQ1" s="671"/>
      <c r="PNR1" s="671"/>
      <c r="PNS1" s="671"/>
      <c r="PNT1" s="671"/>
      <c r="PNU1" s="671"/>
      <c r="PNV1" s="671"/>
      <c r="PNW1" s="671"/>
      <c r="PNX1" s="671"/>
      <c r="PNY1" s="671"/>
      <c r="PNZ1" s="671"/>
      <c r="POA1" s="671"/>
      <c r="POB1" s="671"/>
      <c r="POC1" s="671"/>
      <c r="POD1" s="671"/>
      <c r="POE1" s="671"/>
      <c r="POF1" s="671"/>
      <c r="POG1" s="671"/>
      <c r="POH1" s="671"/>
      <c r="POI1" s="671"/>
      <c r="POJ1" s="671"/>
      <c r="POK1" s="671"/>
      <c r="POL1" s="671"/>
      <c r="POM1" s="671"/>
      <c r="PON1" s="671"/>
      <c r="POO1" s="671"/>
      <c r="POP1" s="671"/>
      <c r="POQ1" s="671"/>
      <c r="POR1" s="671"/>
      <c r="POS1" s="671"/>
      <c r="POT1" s="671"/>
      <c r="POU1" s="671"/>
      <c r="POV1" s="671"/>
      <c r="POW1" s="671"/>
      <c r="POX1" s="671"/>
      <c r="POY1" s="671"/>
      <c r="POZ1" s="671"/>
      <c r="PPA1" s="671"/>
      <c r="PPB1" s="671"/>
      <c r="PPC1" s="671"/>
      <c r="PPD1" s="671"/>
      <c r="PPE1" s="671"/>
      <c r="PPF1" s="671"/>
      <c r="PPG1" s="671"/>
      <c r="PPH1" s="671"/>
      <c r="PPI1" s="671"/>
      <c r="PPJ1" s="671"/>
      <c r="PPK1" s="671"/>
      <c r="PPL1" s="671"/>
      <c r="PPM1" s="671"/>
      <c r="PPN1" s="671"/>
      <c r="PPO1" s="671"/>
      <c r="PPP1" s="671"/>
      <c r="PPQ1" s="671"/>
      <c r="PPR1" s="671"/>
      <c r="PPS1" s="671"/>
      <c r="PPT1" s="671"/>
      <c r="PPU1" s="671"/>
      <c r="PPV1" s="671"/>
      <c r="PPW1" s="671"/>
      <c r="PPX1" s="671"/>
      <c r="PPY1" s="671"/>
      <c r="PPZ1" s="671"/>
      <c r="PQA1" s="671"/>
      <c r="PQB1" s="671"/>
      <c r="PQC1" s="671"/>
      <c r="PQD1" s="671"/>
      <c r="PQE1" s="671"/>
      <c r="PQF1" s="671"/>
      <c r="PQG1" s="671"/>
      <c r="PQH1" s="671"/>
      <c r="PQI1" s="671"/>
      <c r="PQJ1" s="671"/>
      <c r="PQK1" s="671"/>
      <c r="PQL1" s="671"/>
      <c r="PQM1" s="671"/>
      <c r="PQN1" s="671"/>
      <c r="PQO1" s="671"/>
      <c r="PQP1" s="671"/>
      <c r="PQQ1" s="671"/>
      <c r="PQR1" s="671"/>
      <c r="PQS1" s="671"/>
      <c r="PQT1" s="671"/>
      <c r="PQU1" s="671"/>
      <c r="PQV1" s="671"/>
      <c r="PQW1" s="671"/>
      <c r="PQX1" s="671"/>
      <c r="PQY1" s="671"/>
      <c r="PQZ1" s="671"/>
      <c r="PRA1" s="671"/>
      <c r="PRB1" s="671"/>
      <c r="PRC1" s="671"/>
      <c r="PRD1" s="671"/>
      <c r="PRE1" s="671"/>
      <c r="PRF1" s="671"/>
      <c r="PRG1" s="671"/>
      <c r="PRH1" s="671"/>
      <c r="PRI1" s="671"/>
      <c r="PRJ1" s="671"/>
      <c r="PRK1" s="671"/>
      <c r="PRL1" s="671"/>
      <c r="PRM1" s="671"/>
      <c r="PRN1" s="671"/>
      <c r="PRO1" s="671"/>
      <c r="PRP1" s="671"/>
      <c r="PRQ1" s="671"/>
      <c r="PRR1" s="671"/>
      <c r="PRS1" s="671"/>
      <c r="PRT1" s="671"/>
      <c r="PRU1" s="671"/>
      <c r="PRV1" s="671"/>
      <c r="PRW1" s="671"/>
      <c r="PRX1" s="671"/>
      <c r="PRY1" s="671"/>
      <c r="PRZ1" s="671"/>
      <c r="PSA1" s="671"/>
      <c r="PSB1" s="671"/>
      <c r="PSC1" s="671"/>
      <c r="PSD1" s="671"/>
      <c r="PSE1" s="671"/>
      <c r="PSF1" s="671"/>
      <c r="PSG1" s="671"/>
      <c r="PSH1" s="671"/>
      <c r="PSI1" s="671"/>
      <c r="PSJ1" s="671"/>
      <c r="PSK1" s="671"/>
      <c r="PSL1" s="671"/>
      <c r="PSM1" s="671"/>
      <c r="PSN1" s="671"/>
      <c r="PSO1" s="671"/>
      <c r="PSP1" s="671"/>
      <c r="PSQ1" s="671"/>
      <c r="PSR1" s="671"/>
      <c r="PSS1" s="671"/>
      <c r="PST1" s="671"/>
      <c r="PSU1" s="671"/>
      <c r="PSV1" s="671"/>
      <c r="PSW1" s="671"/>
      <c r="PSX1" s="671"/>
      <c r="PSY1" s="671"/>
      <c r="PSZ1" s="671"/>
      <c r="PTA1" s="671"/>
      <c r="PTB1" s="671"/>
      <c r="PTC1" s="671"/>
      <c r="PTD1" s="671"/>
      <c r="PTE1" s="671"/>
      <c r="PTF1" s="671"/>
      <c r="PTG1" s="671"/>
      <c r="PTH1" s="671"/>
      <c r="PTI1" s="671"/>
      <c r="PTJ1" s="671"/>
      <c r="PTK1" s="671"/>
      <c r="PTL1" s="671"/>
      <c r="PTM1" s="671"/>
      <c r="PTN1" s="671"/>
      <c r="PTO1" s="671"/>
      <c r="PTP1" s="671"/>
      <c r="PTQ1" s="671"/>
      <c r="PTR1" s="671"/>
      <c r="PTS1" s="671"/>
      <c r="PTT1" s="671"/>
      <c r="PTU1" s="671"/>
      <c r="PTV1" s="671"/>
      <c r="PTW1" s="671"/>
      <c r="PTX1" s="671"/>
      <c r="PTY1" s="671"/>
      <c r="PTZ1" s="671"/>
      <c r="PUA1" s="671"/>
      <c r="PUB1" s="671"/>
      <c r="PUC1" s="671"/>
      <c r="PUD1" s="671"/>
      <c r="PUE1" s="671"/>
      <c r="PUF1" s="671"/>
      <c r="PUG1" s="671"/>
      <c r="PUH1" s="671"/>
      <c r="PUI1" s="671"/>
      <c r="PUJ1" s="671"/>
      <c r="PUK1" s="671"/>
      <c r="PUL1" s="671"/>
      <c r="PUM1" s="671"/>
      <c r="PUN1" s="671"/>
      <c r="PUO1" s="671"/>
      <c r="PUP1" s="671"/>
      <c r="PUQ1" s="671"/>
      <c r="PUR1" s="671"/>
      <c r="PUS1" s="671"/>
      <c r="PUT1" s="671"/>
      <c r="PUU1" s="671"/>
      <c r="PUV1" s="671"/>
      <c r="PUW1" s="671"/>
      <c r="PUX1" s="671"/>
      <c r="PUY1" s="671"/>
      <c r="PUZ1" s="671"/>
      <c r="PVA1" s="671"/>
      <c r="PVB1" s="671"/>
      <c r="PVC1" s="671"/>
      <c r="PVD1" s="671"/>
      <c r="PVE1" s="671"/>
      <c r="PVF1" s="671"/>
      <c r="PVG1" s="671"/>
      <c r="PVH1" s="671"/>
      <c r="PVI1" s="671"/>
      <c r="PVJ1" s="671"/>
      <c r="PVK1" s="671"/>
      <c r="PVL1" s="671"/>
      <c r="PVM1" s="671"/>
      <c r="PVN1" s="671"/>
      <c r="PVO1" s="671"/>
      <c r="PVP1" s="671"/>
      <c r="PVQ1" s="671"/>
      <c r="PVR1" s="671"/>
      <c r="PVS1" s="671"/>
      <c r="PVT1" s="671"/>
      <c r="PVU1" s="671"/>
      <c r="PVV1" s="671"/>
      <c r="PVW1" s="671"/>
      <c r="PVX1" s="671"/>
      <c r="PVY1" s="671"/>
      <c r="PVZ1" s="671"/>
      <c r="PWA1" s="671"/>
      <c r="PWB1" s="671"/>
      <c r="PWC1" s="671"/>
      <c r="PWD1" s="671"/>
      <c r="PWE1" s="671"/>
      <c r="PWF1" s="671"/>
      <c r="PWG1" s="671"/>
      <c r="PWH1" s="671"/>
      <c r="PWI1" s="671"/>
      <c r="PWJ1" s="671"/>
      <c r="PWK1" s="671"/>
      <c r="PWL1" s="671"/>
      <c r="PWM1" s="671"/>
      <c r="PWN1" s="671"/>
      <c r="PWO1" s="671"/>
      <c r="PWP1" s="671"/>
      <c r="PWQ1" s="671"/>
      <c r="PWR1" s="671"/>
      <c r="PWS1" s="671"/>
      <c r="PWT1" s="671"/>
      <c r="PWU1" s="671"/>
      <c r="PWV1" s="671"/>
      <c r="PWW1" s="671"/>
      <c r="PWX1" s="671"/>
      <c r="PWY1" s="671"/>
      <c r="PWZ1" s="671"/>
      <c r="PXA1" s="671"/>
      <c r="PXB1" s="671"/>
      <c r="PXC1" s="671"/>
      <c r="PXD1" s="671"/>
      <c r="PXE1" s="671"/>
      <c r="PXF1" s="671"/>
      <c r="PXG1" s="671"/>
      <c r="PXH1" s="671"/>
      <c r="PXI1" s="671"/>
      <c r="PXJ1" s="671"/>
      <c r="PXK1" s="671"/>
      <c r="PXL1" s="671"/>
      <c r="PXM1" s="671"/>
      <c r="PXN1" s="671"/>
      <c r="PXO1" s="671"/>
      <c r="PXP1" s="671"/>
      <c r="PXQ1" s="671"/>
      <c r="PXR1" s="671"/>
      <c r="PXS1" s="671"/>
      <c r="PXT1" s="671"/>
      <c r="PXU1" s="671"/>
      <c r="PXV1" s="671"/>
      <c r="PXW1" s="671"/>
      <c r="PXX1" s="671"/>
      <c r="PXY1" s="671"/>
      <c r="PXZ1" s="671"/>
      <c r="PYA1" s="671"/>
      <c r="PYB1" s="671"/>
      <c r="PYC1" s="671"/>
      <c r="PYD1" s="671"/>
      <c r="PYE1" s="671"/>
      <c r="PYF1" s="671"/>
      <c r="PYG1" s="671"/>
      <c r="PYH1" s="671"/>
      <c r="PYI1" s="671"/>
      <c r="PYJ1" s="671"/>
      <c r="PYK1" s="671"/>
      <c r="PYL1" s="671"/>
      <c r="PYM1" s="671"/>
      <c r="PYN1" s="671"/>
      <c r="PYO1" s="671"/>
      <c r="PYP1" s="671"/>
      <c r="PYQ1" s="671"/>
      <c r="PYR1" s="671"/>
      <c r="PYS1" s="671"/>
      <c r="PYT1" s="671"/>
      <c r="PYU1" s="671"/>
      <c r="PYV1" s="671"/>
      <c r="PYW1" s="671"/>
      <c r="PYX1" s="671"/>
      <c r="PYY1" s="671"/>
      <c r="PYZ1" s="671"/>
      <c r="PZA1" s="671"/>
      <c r="PZB1" s="671"/>
      <c r="PZC1" s="671"/>
      <c r="PZD1" s="671"/>
      <c r="PZE1" s="671"/>
      <c r="PZF1" s="671"/>
      <c r="PZG1" s="671"/>
      <c r="PZH1" s="671"/>
      <c r="PZI1" s="671"/>
      <c r="PZJ1" s="671"/>
      <c r="PZK1" s="671"/>
      <c r="PZL1" s="671"/>
      <c r="PZM1" s="671"/>
      <c r="PZN1" s="671"/>
      <c r="PZO1" s="671"/>
      <c r="PZP1" s="671"/>
      <c r="PZQ1" s="671"/>
      <c r="PZR1" s="671"/>
      <c r="PZS1" s="671"/>
      <c r="PZT1" s="671"/>
      <c r="PZU1" s="671"/>
      <c r="PZV1" s="671"/>
      <c r="PZW1" s="671"/>
      <c r="PZX1" s="671"/>
      <c r="PZY1" s="671"/>
      <c r="PZZ1" s="671"/>
      <c r="QAA1" s="671"/>
      <c r="QAB1" s="671"/>
      <c r="QAC1" s="671"/>
      <c r="QAD1" s="671"/>
      <c r="QAE1" s="671"/>
      <c r="QAF1" s="671"/>
      <c r="QAG1" s="671"/>
      <c r="QAH1" s="671"/>
      <c r="QAI1" s="671"/>
      <c r="QAJ1" s="671"/>
      <c r="QAK1" s="671"/>
      <c r="QAL1" s="671"/>
      <c r="QAM1" s="671"/>
      <c r="QAN1" s="671"/>
      <c r="QAO1" s="671"/>
      <c r="QAP1" s="671"/>
      <c r="QAQ1" s="671"/>
      <c r="QAR1" s="671"/>
      <c r="QAS1" s="671"/>
      <c r="QAT1" s="671"/>
      <c r="QAU1" s="671"/>
      <c r="QAV1" s="671"/>
      <c r="QAW1" s="671"/>
      <c r="QAX1" s="671"/>
      <c r="QAY1" s="671"/>
      <c r="QAZ1" s="671"/>
      <c r="QBA1" s="671"/>
      <c r="QBB1" s="671"/>
      <c r="QBC1" s="671"/>
      <c r="QBD1" s="671"/>
      <c r="QBE1" s="671"/>
      <c r="QBF1" s="671"/>
      <c r="QBG1" s="671"/>
      <c r="QBH1" s="671"/>
      <c r="QBI1" s="671"/>
      <c r="QBJ1" s="671"/>
      <c r="QBK1" s="671"/>
      <c r="QBL1" s="671"/>
      <c r="QBM1" s="671"/>
      <c r="QBN1" s="671"/>
      <c r="QBO1" s="671"/>
      <c r="QBP1" s="671"/>
      <c r="QBQ1" s="671"/>
      <c r="QBR1" s="671"/>
      <c r="QBS1" s="671"/>
      <c r="QBT1" s="671"/>
      <c r="QBU1" s="671"/>
      <c r="QBV1" s="671"/>
      <c r="QBW1" s="671"/>
      <c r="QBX1" s="671"/>
      <c r="QBY1" s="671"/>
      <c r="QBZ1" s="671"/>
      <c r="QCA1" s="671"/>
      <c r="QCB1" s="671"/>
      <c r="QCC1" s="671"/>
      <c r="QCD1" s="671"/>
      <c r="QCE1" s="671"/>
      <c r="QCF1" s="671"/>
      <c r="QCG1" s="671"/>
      <c r="QCH1" s="671"/>
      <c r="QCI1" s="671"/>
      <c r="QCJ1" s="671"/>
      <c r="QCK1" s="671"/>
      <c r="QCL1" s="671"/>
      <c r="QCM1" s="671"/>
      <c r="QCN1" s="671"/>
      <c r="QCO1" s="671"/>
      <c r="QCP1" s="671"/>
      <c r="QCQ1" s="671"/>
      <c r="QCR1" s="671"/>
      <c r="QCS1" s="671"/>
      <c r="QCT1" s="671"/>
      <c r="QCU1" s="671"/>
      <c r="QCV1" s="671"/>
      <c r="QCW1" s="671"/>
      <c r="QCX1" s="671"/>
      <c r="QCY1" s="671"/>
      <c r="QCZ1" s="671"/>
      <c r="QDA1" s="671"/>
      <c r="QDB1" s="671"/>
      <c r="QDC1" s="671"/>
      <c r="QDD1" s="671"/>
      <c r="QDE1" s="671"/>
      <c r="QDF1" s="671"/>
      <c r="QDG1" s="671"/>
      <c r="QDH1" s="671"/>
      <c r="QDI1" s="671"/>
      <c r="QDJ1" s="671"/>
      <c r="QDK1" s="671"/>
      <c r="QDL1" s="671"/>
      <c r="QDM1" s="671"/>
      <c r="QDN1" s="671"/>
      <c r="QDO1" s="671"/>
      <c r="QDP1" s="671"/>
      <c r="QDQ1" s="671"/>
      <c r="QDR1" s="671"/>
      <c r="QDS1" s="671"/>
      <c r="QDT1" s="671"/>
      <c r="QDU1" s="671"/>
      <c r="QDV1" s="671"/>
      <c r="QDW1" s="671"/>
      <c r="QDX1" s="671"/>
      <c r="QDY1" s="671"/>
      <c r="QDZ1" s="671"/>
      <c r="QEA1" s="671"/>
      <c r="QEB1" s="671"/>
      <c r="QEC1" s="671"/>
      <c r="QED1" s="671"/>
      <c r="QEE1" s="671"/>
      <c r="QEF1" s="671"/>
      <c r="QEG1" s="671"/>
      <c r="QEH1" s="671"/>
      <c r="QEI1" s="671"/>
      <c r="QEJ1" s="671"/>
      <c r="QEK1" s="671"/>
      <c r="QEL1" s="671"/>
      <c r="QEM1" s="671"/>
      <c r="QEN1" s="671"/>
      <c r="QEO1" s="671"/>
      <c r="QEP1" s="671"/>
      <c r="QEQ1" s="671"/>
      <c r="QER1" s="671"/>
      <c r="QES1" s="671"/>
      <c r="QET1" s="671"/>
      <c r="QEU1" s="671"/>
      <c r="QEV1" s="671"/>
      <c r="QEW1" s="671"/>
      <c r="QEX1" s="671"/>
      <c r="QEY1" s="671"/>
      <c r="QEZ1" s="671"/>
      <c r="QFA1" s="671"/>
      <c r="QFB1" s="671"/>
      <c r="QFC1" s="671"/>
      <c r="QFD1" s="671"/>
      <c r="QFE1" s="671"/>
      <c r="QFF1" s="671"/>
      <c r="QFG1" s="671"/>
      <c r="QFH1" s="671"/>
      <c r="QFI1" s="671"/>
      <c r="QFJ1" s="671"/>
      <c r="QFK1" s="671"/>
      <c r="QFL1" s="671"/>
      <c r="QFM1" s="671"/>
      <c r="QFN1" s="671"/>
      <c r="QFO1" s="671"/>
      <c r="QFP1" s="671"/>
      <c r="QFQ1" s="671"/>
      <c r="QFR1" s="671"/>
      <c r="QFS1" s="671"/>
      <c r="QFT1" s="671"/>
      <c r="QFU1" s="671"/>
      <c r="QFV1" s="671"/>
      <c r="QFW1" s="671"/>
      <c r="QFX1" s="671"/>
      <c r="QFY1" s="671"/>
      <c r="QFZ1" s="671"/>
      <c r="QGA1" s="671"/>
      <c r="QGB1" s="671"/>
      <c r="QGC1" s="671"/>
      <c r="QGD1" s="671"/>
      <c r="QGE1" s="671"/>
      <c r="QGF1" s="671"/>
      <c r="QGG1" s="671"/>
      <c r="QGH1" s="671"/>
      <c r="QGI1" s="671"/>
      <c r="QGJ1" s="671"/>
      <c r="QGK1" s="671"/>
      <c r="QGL1" s="671"/>
      <c r="QGM1" s="671"/>
      <c r="QGN1" s="671"/>
      <c r="QGO1" s="671"/>
      <c r="QGP1" s="671"/>
      <c r="QGQ1" s="671"/>
      <c r="QGR1" s="671"/>
      <c r="QGS1" s="671"/>
      <c r="QGT1" s="671"/>
      <c r="QGU1" s="671"/>
      <c r="QGV1" s="671"/>
      <c r="QGW1" s="671"/>
      <c r="QGX1" s="671"/>
      <c r="QGY1" s="671"/>
      <c r="QGZ1" s="671"/>
      <c r="QHA1" s="671"/>
      <c r="QHB1" s="671"/>
      <c r="QHC1" s="671"/>
      <c r="QHD1" s="671"/>
      <c r="QHE1" s="671"/>
      <c r="QHF1" s="671"/>
      <c r="QHG1" s="671"/>
      <c r="QHH1" s="671"/>
      <c r="QHI1" s="671"/>
      <c r="QHJ1" s="671"/>
      <c r="QHK1" s="671"/>
      <c r="QHL1" s="671"/>
      <c r="QHM1" s="671"/>
      <c r="QHN1" s="671"/>
      <c r="QHO1" s="671"/>
      <c r="QHP1" s="671"/>
      <c r="QHQ1" s="671"/>
      <c r="QHR1" s="671"/>
      <c r="QHS1" s="671"/>
      <c r="QHT1" s="671"/>
      <c r="QHU1" s="671"/>
      <c r="QHV1" s="671"/>
      <c r="QHW1" s="671"/>
      <c r="QHX1" s="671"/>
      <c r="QHY1" s="671"/>
      <c r="QHZ1" s="671"/>
      <c r="QIA1" s="671"/>
      <c r="QIB1" s="671"/>
      <c r="QIC1" s="671"/>
      <c r="QID1" s="671"/>
      <c r="QIE1" s="671"/>
      <c r="QIF1" s="671"/>
      <c r="QIG1" s="671"/>
      <c r="QIH1" s="671"/>
      <c r="QII1" s="671"/>
      <c r="QIJ1" s="671"/>
      <c r="QIK1" s="671"/>
      <c r="QIL1" s="671"/>
      <c r="QIM1" s="671"/>
      <c r="QIN1" s="671"/>
      <c r="QIO1" s="671"/>
      <c r="QIP1" s="671"/>
      <c r="QIQ1" s="671"/>
      <c r="QIR1" s="671"/>
      <c r="QIS1" s="671"/>
      <c r="QIT1" s="671"/>
      <c r="QIU1" s="671"/>
      <c r="QIV1" s="671"/>
      <c r="QIW1" s="671"/>
      <c r="QIX1" s="671"/>
      <c r="QIY1" s="671"/>
      <c r="QIZ1" s="671"/>
      <c r="QJA1" s="671"/>
      <c r="QJB1" s="671"/>
      <c r="QJC1" s="671"/>
      <c r="QJD1" s="671"/>
      <c r="QJE1" s="671"/>
      <c r="QJF1" s="671"/>
      <c r="QJG1" s="671"/>
      <c r="QJH1" s="671"/>
      <c r="QJI1" s="671"/>
      <c r="QJJ1" s="671"/>
      <c r="QJK1" s="671"/>
      <c r="QJL1" s="671"/>
      <c r="QJM1" s="671"/>
      <c r="QJN1" s="671"/>
      <c r="QJO1" s="671"/>
      <c r="QJP1" s="671"/>
      <c r="QJQ1" s="671"/>
      <c r="QJR1" s="671"/>
      <c r="QJS1" s="671"/>
      <c r="QJT1" s="671"/>
      <c r="QJU1" s="671"/>
      <c r="QJV1" s="671"/>
      <c r="QJW1" s="671"/>
      <c r="QJX1" s="671"/>
      <c r="QJY1" s="671"/>
      <c r="QJZ1" s="671"/>
      <c r="QKA1" s="671"/>
      <c r="QKB1" s="671"/>
      <c r="QKC1" s="671"/>
      <c r="QKD1" s="671"/>
      <c r="QKE1" s="671"/>
      <c r="QKF1" s="671"/>
      <c r="QKG1" s="671"/>
      <c r="QKH1" s="671"/>
      <c r="QKI1" s="671"/>
      <c r="QKJ1" s="671"/>
      <c r="QKK1" s="671"/>
      <c r="QKL1" s="671"/>
      <c r="QKM1" s="671"/>
      <c r="QKN1" s="671"/>
      <c r="QKO1" s="671"/>
      <c r="QKP1" s="671"/>
      <c r="QKQ1" s="671"/>
      <c r="QKR1" s="671"/>
      <c r="QKS1" s="671"/>
      <c r="QKT1" s="671"/>
      <c r="QKU1" s="671"/>
      <c r="QKV1" s="671"/>
      <c r="QKW1" s="671"/>
      <c r="QKX1" s="671"/>
      <c r="QKY1" s="671"/>
      <c r="QKZ1" s="671"/>
      <c r="QLA1" s="671"/>
      <c r="QLB1" s="671"/>
      <c r="QLC1" s="671"/>
      <c r="QLD1" s="671"/>
      <c r="QLE1" s="671"/>
      <c r="QLF1" s="671"/>
      <c r="QLG1" s="671"/>
      <c r="QLH1" s="671"/>
      <c r="QLI1" s="671"/>
      <c r="QLJ1" s="671"/>
      <c r="QLK1" s="671"/>
      <c r="QLL1" s="671"/>
      <c r="QLM1" s="671"/>
      <c r="QLN1" s="671"/>
      <c r="QLO1" s="671"/>
      <c r="QLP1" s="671"/>
      <c r="QLQ1" s="671"/>
      <c r="QLR1" s="671"/>
      <c r="QLS1" s="671"/>
      <c r="QLT1" s="671"/>
      <c r="QLU1" s="671"/>
      <c r="QLV1" s="671"/>
      <c r="QLW1" s="671"/>
      <c r="QLX1" s="671"/>
      <c r="QLY1" s="671"/>
      <c r="QLZ1" s="671"/>
      <c r="QMA1" s="671"/>
      <c r="QMB1" s="671"/>
      <c r="QMC1" s="671"/>
      <c r="QMD1" s="671"/>
      <c r="QME1" s="671"/>
      <c r="QMF1" s="671"/>
      <c r="QMG1" s="671"/>
      <c r="QMH1" s="671"/>
      <c r="QMI1" s="671"/>
      <c r="QMJ1" s="671"/>
      <c r="QMK1" s="671"/>
      <c r="QML1" s="671"/>
      <c r="QMM1" s="671"/>
      <c r="QMN1" s="671"/>
      <c r="QMO1" s="671"/>
      <c r="QMP1" s="671"/>
      <c r="QMQ1" s="671"/>
      <c r="QMR1" s="671"/>
      <c r="QMS1" s="671"/>
      <c r="QMT1" s="671"/>
      <c r="QMU1" s="671"/>
      <c r="QMV1" s="671"/>
      <c r="QMW1" s="671"/>
      <c r="QMX1" s="671"/>
      <c r="QMY1" s="671"/>
      <c r="QMZ1" s="671"/>
      <c r="QNA1" s="671"/>
      <c r="QNB1" s="671"/>
      <c r="QNC1" s="671"/>
      <c r="QND1" s="671"/>
      <c r="QNE1" s="671"/>
      <c r="QNF1" s="671"/>
      <c r="QNG1" s="671"/>
      <c r="QNH1" s="671"/>
      <c r="QNI1" s="671"/>
      <c r="QNJ1" s="671"/>
      <c r="QNK1" s="671"/>
      <c r="QNL1" s="671"/>
      <c r="QNM1" s="671"/>
      <c r="QNN1" s="671"/>
      <c r="QNO1" s="671"/>
      <c r="QNP1" s="671"/>
      <c r="QNQ1" s="671"/>
      <c r="QNR1" s="671"/>
      <c r="QNS1" s="671"/>
      <c r="QNT1" s="671"/>
      <c r="QNU1" s="671"/>
      <c r="QNV1" s="671"/>
      <c r="QNW1" s="671"/>
      <c r="QNX1" s="671"/>
      <c r="QNY1" s="671"/>
      <c r="QNZ1" s="671"/>
      <c r="QOA1" s="671"/>
      <c r="QOB1" s="671"/>
      <c r="QOC1" s="671"/>
      <c r="QOD1" s="671"/>
      <c r="QOE1" s="671"/>
      <c r="QOF1" s="671"/>
      <c r="QOG1" s="671"/>
      <c r="QOH1" s="671"/>
      <c r="QOI1" s="671"/>
      <c r="QOJ1" s="671"/>
      <c r="QOK1" s="671"/>
      <c r="QOL1" s="671"/>
      <c r="QOM1" s="671"/>
      <c r="QON1" s="671"/>
      <c r="QOO1" s="671"/>
      <c r="QOP1" s="671"/>
      <c r="QOQ1" s="671"/>
      <c r="QOR1" s="671"/>
      <c r="QOS1" s="671"/>
      <c r="QOT1" s="671"/>
      <c r="QOU1" s="671"/>
      <c r="QOV1" s="671"/>
      <c r="QOW1" s="671"/>
      <c r="QOX1" s="671"/>
      <c r="QOY1" s="671"/>
      <c r="QOZ1" s="671"/>
      <c r="QPA1" s="671"/>
      <c r="QPB1" s="671"/>
      <c r="QPC1" s="671"/>
      <c r="QPD1" s="671"/>
      <c r="QPE1" s="671"/>
      <c r="QPF1" s="671"/>
      <c r="QPG1" s="671"/>
      <c r="QPH1" s="671"/>
      <c r="QPI1" s="671"/>
      <c r="QPJ1" s="671"/>
      <c r="QPK1" s="671"/>
      <c r="QPL1" s="671"/>
      <c r="QPM1" s="671"/>
      <c r="QPN1" s="671"/>
      <c r="QPO1" s="671"/>
      <c r="QPP1" s="671"/>
      <c r="QPQ1" s="671"/>
      <c r="QPR1" s="671"/>
      <c r="QPS1" s="671"/>
      <c r="QPT1" s="671"/>
      <c r="QPU1" s="671"/>
      <c r="QPV1" s="671"/>
      <c r="QPW1" s="671"/>
      <c r="QPX1" s="671"/>
      <c r="QPY1" s="671"/>
      <c r="QPZ1" s="671"/>
      <c r="QQA1" s="671"/>
      <c r="QQB1" s="671"/>
      <c r="QQC1" s="671"/>
      <c r="QQD1" s="671"/>
      <c r="QQE1" s="671"/>
      <c r="QQF1" s="671"/>
      <c r="QQG1" s="671"/>
      <c r="QQH1" s="671"/>
      <c r="QQI1" s="671"/>
      <c r="QQJ1" s="671"/>
      <c r="QQK1" s="671"/>
      <c r="QQL1" s="671"/>
      <c r="QQM1" s="671"/>
      <c r="QQN1" s="671"/>
      <c r="QQO1" s="671"/>
      <c r="QQP1" s="671"/>
      <c r="QQQ1" s="671"/>
      <c r="QQR1" s="671"/>
      <c r="QQS1" s="671"/>
      <c r="QQT1" s="671"/>
      <c r="QQU1" s="671"/>
      <c r="QQV1" s="671"/>
      <c r="QQW1" s="671"/>
      <c r="QQX1" s="671"/>
      <c r="QQY1" s="671"/>
      <c r="QQZ1" s="671"/>
      <c r="QRA1" s="671"/>
      <c r="QRB1" s="671"/>
      <c r="QRC1" s="671"/>
      <c r="QRD1" s="671"/>
      <c r="QRE1" s="671"/>
      <c r="QRF1" s="671"/>
      <c r="QRG1" s="671"/>
      <c r="QRH1" s="671"/>
      <c r="QRI1" s="671"/>
      <c r="QRJ1" s="671"/>
      <c r="QRK1" s="671"/>
      <c r="QRL1" s="671"/>
      <c r="QRM1" s="671"/>
      <c r="QRN1" s="671"/>
      <c r="QRO1" s="671"/>
      <c r="QRP1" s="671"/>
      <c r="QRQ1" s="671"/>
      <c r="QRR1" s="671"/>
      <c r="QRS1" s="671"/>
      <c r="QRT1" s="671"/>
      <c r="QRU1" s="671"/>
      <c r="QRV1" s="671"/>
      <c r="QRW1" s="671"/>
      <c r="QRX1" s="671"/>
      <c r="QRY1" s="671"/>
      <c r="QRZ1" s="671"/>
      <c r="QSA1" s="671"/>
      <c r="QSB1" s="671"/>
      <c r="QSC1" s="671"/>
      <c r="QSD1" s="671"/>
      <c r="QSE1" s="671"/>
      <c r="QSF1" s="671"/>
      <c r="QSG1" s="671"/>
      <c r="QSH1" s="671"/>
      <c r="QSI1" s="671"/>
      <c r="QSJ1" s="671"/>
      <c r="QSK1" s="671"/>
      <c r="QSL1" s="671"/>
      <c r="QSM1" s="671"/>
      <c r="QSN1" s="671"/>
      <c r="QSO1" s="671"/>
      <c r="QSP1" s="671"/>
      <c r="QSQ1" s="671"/>
      <c r="QSR1" s="671"/>
      <c r="QSS1" s="671"/>
      <c r="QST1" s="671"/>
      <c r="QSU1" s="671"/>
      <c r="QSV1" s="671"/>
      <c r="QSW1" s="671"/>
      <c r="QSX1" s="671"/>
      <c r="QSY1" s="671"/>
      <c r="QSZ1" s="671"/>
      <c r="QTA1" s="671"/>
      <c r="QTB1" s="671"/>
      <c r="QTC1" s="671"/>
      <c r="QTD1" s="671"/>
      <c r="QTE1" s="671"/>
      <c r="QTF1" s="671"/>
      <c r="QTG1" s="671"/>
      <c r="QTH1" s="671"/>
      <c r="QTI1" s="671"/>
      <c r="QTJ1" s="671"/>
      <c r="QTK1" s="671"/>
      <c r="QTL1" s="671"/>
      <c r="QTM1" s="671"/>
      <c r="QTN1" s="671"/>
      <c r="QTO1" s="671"/>
      <c r="QTP1" s="671"/>
      <c r="QTQ1" s="671"/>
      <c r="QTR1" s="671"/>
      <c r="QTS1" s="671"/>
      <c r="QTT1" s="671"/>
      <c r="QTU1" s="671"/>
      <c r="QTV1" s="671"/>
      <c r="QTW1" s="671"/>
      <c r="QTX1" s="671"/>
      <c r="QTY1" s="671"/>
      <c r="QTZ1" s="671"/>
      <c r="QUA1" s="671"/>
      <c r="QUB1" s="671"/>
      <c r="QUC1" s="671"/>
      <c r="QUD1" s="671"/>
      <c r="QUE1" s="671"/>
      <c r="QUF1" s="671"/>
      <c r="QUG1" s="671"/>
      <c r="QUH1" s="671"/>
      <c r="QUI1" s="671"/>
      <c r="QUJ1" s="671"/>
      <c r="QUK1" s="671"/>
      <c r="QUL1" s="671"/>
      <c r="QUM1" s="671"/>
      <c r="QUN1" s="671"/>
      <c r="QUO1" s="671"/>
      <c r="QUP1" s="671"/>
      <c r="QUQ1" s="671"/>
      <c r="QUR1" s="671"/>
      <c r="QUS1" s="671"/>
      <c r="QUT1" s="671"/>
      <c r="QUU1" s="671"/>
      <c r="QUV1" s="671"/>
      <c r="QUW1" s="671"/>
      <c r="QUX1" s="671"/>
      <c r="QUY1" s="671"/>
      <c r="QUZ1" s="671"/>
      <c r="QVA1" s="671"/>
      <c r="QVB1" s="671"/>
      <c r="QVC1" s="671"/>
      <c r="QVD1" s="671"/>
      <c r="QVE1" s="671"/>
      <c r="QVF1" s="671"/>
      <c r="QVG1" s="671"/>
      <c r="QVH1" s="671"/>
      <c r="QVI1" s="671"/>
      <c r="QVJ1" s="671"/>
      <c r="QVK1" s="671"/>
      <c r="QVL1" s="671"/>
      <c r="QVM1" s="671"/>
      <c r="QVN1" s="671"/>
      <c r="QVO1" s="671"/>
      <c r="QVP1" s="671"/>
      <c r="QVQ1" s="671"/>
      <c r="QVR1" s="671"/>
      <c r="QVS1" s="671"/>
      <c r="QVT1" s="671"/>
      <c r="QVU1" s="671"/>
      <c r="QVV1" s="671"/>
      <c r="QVW1" s="671"/>
      <c r="QVX1" s="671"/>
      <c r="QVY1" s="671"/>
      <c r="QVZ1" s="671"/>
      <c r="QWA1" s="671"/>
      <c r="QWB1" s="671"/>
      <c r="QWC1" s="671"/>
      <c r="QWD1" s="671"/>
      <c r="QWE1" s="671"/>
      <c r="QWF1" s="671"/>
      <c r="QWG1" s="671"/>
      <c r="QWH1" s="671"/>
      <c r="QWI1" s="671"/>
      <c r="QWJ1" s="671"/>
      <c r="QWK1" s="671"/>
      <c r="QWL1" s="671"/>
      <c r="QWM1" s="671"/>
      <c r="QWN1" s="671"/>
      <c r="QWO1" s="671"/>
      <c r="QWP1" s="671"/>
      <c r="QWQ1" s="671"/>
      <c r="QWR1" s="671"/>
      <c r="QWS1" s="671"/>
      <c r="QWT1" s="671"/>
      <c r="QWU1" s="671"/>
      <c r="QWV1" s="671"/>
      <c r="QWW1" s="671"/>
      <c r="QWX1" s="671"/>
      <c r="QWY1" s="671"/>
      <c r="QWZ1" s="671"/>
      <c r="QXA1" s="671"/>
      <c r="QXB1" s="671"/>
      <c r="QXC1" s="671"/>
      <c r="QXD1" s="671"/>
      <c r="QXE1" s="671"/>
      <c r="QXF1" s="671"/>
      <c r="QXG1" s="671"/>
      <c r="QXH1" s="671"/>
      <c r="QXI1" s="671"/>
      <c r="QXJ1" s="671"/>
      <c r="QXK1" s="671"/>
      <c r="QXL1" s="671"/>
      <c r="QXM1" s="671"/>
      <c r="QXN1" s="671"/>
      <c r="QXO1" s="671"/>
      <c r="QXP1" s="671"/>
      <c r="QXQ1" s="671"/>
      <c r="QXR1" s="671"/>
      <c r="QXS1" s="671"/>
      <c r="QXT1" s="671"/>
      <c r="QXU1" s="671"/>
      <c r="QXV1" s="671"/>
      <c r="QXW1" s="671"/>
      <c r="QXX1" s="671"/>
      <c r="QXY1" s="671"/>
      <c r="QXZ1" s="671"/>
      <c r="QYA1" s="671"/>
      <c r="QYB1" s="671"/>
      <c r="QYC1" s="671"/>
      <c r="QYD1" s="671"/>
      <c r="QYE1" s="671"/>
      <c r="QYF1" s="671"/>
      <c r="QYG1" s="671"/>
      <c r="QYH1" s="671"/>
      <c r="QYI1" s="671"/>
      <c r="QYJ1" s="671"/>
      <c r="QYK1" s="671"/>
      <c r="QYL1" s="671"/>
      <c r="QYM1" s="671"/>
      <c r="QYN1" s="671"/>
      <c r="QYO1" s="671"/>
      <c r="QYP1" s="671"/>
      <c r="QYQ1" s="671"/>
      <c r="QYR1" s="671"/>
      <c r="QYS1" s="671"/>
      <c r="QYT1" s="671"/>
      <c r="QYU1" s="671"/>
      <c r="QYV1" s="671"/>
      <c r="QYW1" s="671"/>
      <c r="QYX1" s="671"/>
      <c r="QYY1" s="671"/>
      <c r="QYZ1" s="671"/>
      <c r="QZA1" s="671"/>
      <c r="QZB1" s="671"/>
      <c r="QZC1" s="671"/>
      <c r="QZD1" s="671"/>
      <c r="QZE1" s="671"/>
      <c r="QZF1" s="671"/>
      <c r="QZG1" s="671"/>
      <c r="QZH1" s="671"/>
      <c r="QZI1" s="671"/>
      <c r="QZJ1" s="671"/>
      <c r="QZK1" s="671"/>
      <c r="QZL1" s="671"/>
      <c r="QZM1" s="671"/>
      <c r="QZN1" s="671"/>
      <c r="QZO1" s="671"/>
      <c r="QZP1" s="671"/>
      <c r="QZQ1" s="671"/>
      <c r="QZR1" s="671"/>
      <c r="QZS1" s="671"/>
      <c r="QZT1" s="671"/>
      <c r="QZU1" s="671"/>
      <c r="QZV1" s="671"/>
      <c r="QZW1" s="671"/>
      <c r="QZX1" s="671"/>
      <c r="QZY1" s="671"/>
      <c r="QZZ1" s="671"/>
      <c r="RAA1" s="671"/>
      <c r="RAB1" s="671"/>
      <c r="RAC1" s="671"/>
      <c r="RAD1" s="671"/>
      <c r="RAE1" s="671"/>
      <c r="RAF1" s="671"/>
      <c r="RAG1" s="671"/>
      <c r="RAH1" s="671"/>
      <c r="RAI1" s="671"/>
      <c r="RAJ1" s="671"/>
      <c r="RAK1" s="671"/>
      <c r="RAL1" s="671"/>
      <c r="RAM1" s="671"/>
      <c r="RAN1" s="671"/>
      <c r="RAO1" s="671"/>
      <c r="RAP1" s="671"/>
      <c r="RAQ1" s="671"/>
      <c r="RAR1" s="671"/>
      <c r="RAS1" s="671"/>
      <c r="RAT1" s="671"/>
      <c r="RAU1" s="671"/>
      <c r="RAV1" s="671"/>
      <c r="RAW1" s="671"/>
      <c r="RAX1" s="671"/>
      <c r="RAY1" s="671"/>
      <c r="RAZ1" s="671"/>
      <c r="RBA1" s="671"/>
      <c r="RBB1" s="671"/>
      <c r="RBC1" s="671"/>
      <c r="RBD1" s="671"/>
      <c r="RBE1" s="671"/>
      <c r="RBF1" s="671"/>
      <c r="RBG1" s="671"/>
      <c r="RBH1" s="671"/>
      <c r="RBI1" s="671"/>
      <c r="RBJ1" s="671"/>
      <c r="RBK1" s="671"/>
      <c r="RBL1" s="671"/>
      <c r="RBM1" s="671"/>
      <c r="RBN1" s="671"/>
      <c r="RBO1" s="671"/>
      <c r="RBP1" s="671"/>
      <c r="RBQ1" s="671"/>
      <c r="RBR1" s="671"/>
      <c r="RBS1" s="671"/>
      <c r="RBT1" s="671"/>
      <c r="RBU1" s="671"/>
      <c r="RBV1" s="671"/>
      <c r="RBW1" s="671"/>
      <c r="RBX1" s="671"/>
      <c r="RBY1" s="671"/>
      <c r="RBZ1" s="671"/>
      <c r="RCA1" s="671"/>
      <c r="RCB1" s="671"/>
      <c r="RCC1" s="671"/>
      <c r="RCD1" s="671"/>
      <c r="RCE1" s="671"/>
      <c r="RCF1" s="671"/>
      <c r="RCG1" s="671"/>
      <c r="RCH1" s="671"/>
      <c r="RCI1" s="671"/>
      <c r="RCJ1" s="671"/>
      <c r="RCK1" s="671"/>
      <c r="RCL1" s="671"/>
      <c r="RCM1" s="671"/>
      <c r="RCN1" s="671"/>
      <c r="RCO1" s="671"/>
      <c r="RCP1" s="671"/>
      <c r="RCQ1" s="671"/>
      <c r="RCR1" s="671"/>
      <c r="RCS1" s="671"/>
      <c r="RCT1" s="671"/>
      <c r="RCU1" s="671"/>
      <c r="RCV1" s="671"/>
      <c r="RCW1" s="671"/>
      <c r="RCX1" s="671"/>
      <c r="RCY1" s="671"/>
      <c r="RCZ1" s="671"/>
      <c r="RDA1" s="671"/>
      <c r="RDB1" s="671"/>
      <c r="RDC1" s="671"/>
      <c r="RDD1" s="671"/>
      <c r="RDE1" s="671"/>
      <c r="RDF1" s="671"/>
      <c r="RDG1" s="671"/>
      <c r="RDH1" s="671"/>
      <c r="RDI1" s="671"/>
      <c r="RDJ1" s="671"/>
      <c r="RDK1" s="671"/>
      <c r="RDL1" s="671"/>
      <c r="RDM1" s="671"/>
      <c r="RDN1" s="671"/>
      <c r="RDO1" s="671"/>
      <c r="RDP1" s="671"/>
      <c r="RDQ1" s="671"/>
      <c r="RDR1" s="671"/>
      <c r="RDS1" s="671"/>
      <c r="RDT1" s="671"/>
      <c r="RDU1" s="671"/>
      <c r="RDV1" s="671"/>
      <c r="RDW1" s="671"/>
      <c r="RDX1" s="671"/>
      <c r="RDY1" s="671"/>
      <c r="RDZ1" s="671"/>
      <c r="REA1" s="671"/>
      <c r="REB1" s="671"/>
      <c r="REC1" s="671"/>
      <c r="RED1" s="671"/>
      <c r="REE1" s="671"/>
      <c r="REF1" s="671"/>
      <c r="REG1" s="671"/>
      <c r="REH1" s="671"/>
      <c r="REI1" s="671"/>
      <c r="REJ1" s="671"/>
      <c r="REK1" s="671"/>
      <c r="REL1" s="671"/>
      <c r="REM1" s="671"/>
      <c r="REN1" s="671"/>
      <c r="REO1" s="671"/>
      <c r="REP1" s="671"/>
      <c r="REQ1" s="671"/>
      <c r="RER1" s="671"/>
      <c r="RES1" s="671"/>
      <c r="RET1" s="671"/>
      <c r="REU1" s="671"/>
      <c r="REV1" s="671"/>
      <c r="REW1" s="671"/>
      <c r="REX1" s="671"/>
      <c r="REY1" s="671"/>
      <c r="REZ1" s="671"/>
      <c r="RFA1" s="671"/>
      <c r="RFB1" s="671"/>
      <c r="RFC1" s="671"/>
      <c r="RFD1" s="671"/>
      <c r="RFE1" s="671"/>
      <c r="RFF1" s="671"/>
      <c r="RFG1" s="671"/>
      <c r="RFH1" s="671"/>
      <c r="RFI1" s="671"/>
      <c r="RFJ1" s="671"/>
      <c r="RFK1" s="671"/>
      <c r="RFL1" s="671"/>
      <c r="RFM1" s="671"/>
      <c r="RFN1" s="671"/>
      <c r="RFO1" s="671"/>
      <c r="RFP1" s="671"/>
      <c r="RFQ1" s="671"/>
      <c r="RFR1" s="671"/>
      <c r="RFS1" s="671"/>
      <c r="RFT1" s="671"/>
      <c r="RFU1" s="671"/>
      <c r="RFV1" s="671"/>
      <c r="RFW1" s="671"/>
      <c r="RFX1" s="671"/>
      <c r="RFY1" s="671"/>
      <c r="RFZ1" s="671"/>
      <c r="RGA1" s="671"/>
      <c r="RGB1" s="671"/>
      <c r="RGC1" s="671"/>
      <c r="RGD1" s="671"/>
      <c r="RGE1" s="671"/>
      <c r="RGF1" s="671"/>
      <c r="RGG1" s="671"/>
      <c r="RGH1" s="671"/>
      <c r="RGI1" s="671"/>
      <c r="RGJ1" s="671"/>
      <c r="RGK1" s="671"/>
      <c r="RGL1" s="671"/>
      <c r="RGM1" s="671"/>
      <c r="RGN1" s="671"/>
      <c r="RGO1" s="671"/>
      <c r="RGP1" s="671"/>
      <c r="RGQ1" s="671"/>
      <c r="RGR1" s="671"/>
      <c r="RGS1" s="671"/>
      <c r="RGT1" s="671"/>
      <c r="RGU1" s="671"/>
      <c r="RGV1" s="671"/>
      <c r="RGW1" s="671"/>
      <c r="RGX1" s="671"/>
      <c r="RGY1" s="671"/>
      <c r="RGZ1" s="671"/>
      <c r="RHA1" s="671"/>
      <c r="RHB1" s="671"/>
      <c r="RHC1" s="671"/>
      <c r="RHD1" s="671"/>
      <c r="RHE1" s="671"/>
      <c r="RHF1" s="671"/>
      <c r="RHG1" s="671"/>
      <c r="RHH1" s="671"/>
      <c r="RHI1" s="671"/>
      <c r="RHJ1" s="671"/>
      <c r="RHK1" s="671"/>
      <c r="RHL1" s="671"/>
      <c r="RHM1" s="671"/>
      <c r="RHN1" s="671"/>
      <c r="RHO1" s="671"/>
      <c r="RHP1" s="671"/>
      <c r="RHQ1" s="671"/>
      <c r="RHR1" s="671"/>
      <c r="RHS1" s="671"/>
      <c r="RHT1" s="671"/>
      <c r="RHU1" s="671"/>
      <c r="RHV1" s="671"/>
      <c r="RHW1" s="671"/>
      <c r="RHX1" s="671"/>
      <c r="RHY1" s="671"/>
      <c r="RHZ1" s="671"/>
      <c r="RIA1" s="671"/>
      <c r="RIB1" s="671"/>
      <c r="RIC1" s="671"/>
      <c r="RID1" s="671"/>
      <c r="RIE1" s="671"/>
      <c r="RIF1" s="671"/>
      <c r="RIG1" s="671"/>
      <c r="RIH1" s="671"/>
      <c r="RII1" s="671"/>
      <c r="RIJ1" s="671"/>
      <c r="RIK1" s="671"/>
      <c r="RIL1" s="671"/>
      <c r="RIM1" s="671"/>
      <c r="RIN1" s="671"/>
      <c r="RIO1" s="671"/>
      <c r="RIP1" s="671"/>
      <c r="RIQ1" s="671"/>
      <c r="RIR1" s="671"/>
      <c r="RIS1" s="671"/>
      <c r="RIT1" s="671"/>
      <c r="RIU1" s="671"/>
      <c r="RIV1" s="671"/>
      <c r="RIW1" s="671"/>
      <c r="RIX1" s="671"/>
      <c r="RIY1" s="671"/>
      <c r="RIZ1" s="671"/>
      <c r="RJA1" s="671"/>
      <c r="RJB1" s="671"/>
      <c r="RJC1" s="671"/>
      <c r="RJD1" s="671"/>
      <c r="RJE1" s="671"/>
      <c r="RJF1" s="671"/>
      <c r="RJG1" s="671"/>
      <c r="RJH1" s="671"/>
      <c r="RJI1" s="671"/>
      <c r="RJJ1" s="671"/>
      <c r="RJK1" s="671"/>
      <c r="RJL1" s="671"/>
      <c r="RJM1" s="671"/>
      <c r="RJN1" s="671"/>
      <c r="RJO1" s="671"/>
      <c r="RJP1" s="671"/>
      <c r="RJQ1" s="671"/>
      <c r="RJR1" s="671"/>
      <c r="RJS1" s="671"/>
      <c r="RJT1" s="671"/>
      <c r="RJU1" s="671"/>
      <c r="RJV1" s="671"/>
      <c r="RJW1" s="671"/>
      <c r="RJX1" s="671"/>
      <c r="RJY1" s="671"/>
      <c r="RJZ1" s="671"/>
      <c r="RKA1" s="671"/>
      <c r="RKB1" s="671"/>
      <c r="RKC1" s="671"/>
      <c r="RKD1" s="671"/>
      <c r="RKE1" s="671"/>
      <c r="RKF1" s="671"/>
      <c r="RKG1" s="671"/>
      <c r="RKH1" s="671"/>
      <c r="RKI1" s="671"/>
      <c r="RKJ1" s="671"/>
      <c r="RKK1" s="671"/>
      <c r="RKL1" s="671"/>
      <c r="RKM1" s="671"/>
      <c r="RKN1" s="671"/>
      <c r="RKO1" s="671"/>
      <c r="RKP1" s="671"/>
      <c r="RKQ1" s="671"/>
      <c r="RKR1" s="671"/>
      <c r="RKS1" s="671"/>
      <c r="RKT1" s="671"/>
      <c r="RKU1" s="671"/>
      <c r="RKV1" s="671"/>
      <c r="RKW1" s="671"/>
      <c r="RKX1" s="671"/>
      <c r="RKY1" s="671"/>
      <c r="RKZ1" s="671"/>
      <c r="RLA1" s="671"/>
      <c r="RLB1" s="671"/>
      <c r="RLC1" s="671"/>
      <c r="RLD1" s="671"/>
      <c r="RLE1" s="671"/>
      <c r="RLF1" s="671"/>
      <c r="RLG1" s="671"/>
      <c r="RLH1" s="671"/>
      <c r="RLI1" s="671"/>
      <c r="RLJ1" s="671"/>
      <c r="RLK1" s="671"/>
      <c r="RLL1" s="671"/>
      <c r="RLM1" s="671"/>
      <c r="RLN1" s="671"/>
      <c r="RLO1" s="671"/>
      <c r="RLP1" s="671"/>
      <c r="RLQ1" s="671"/>
      <c r="RLR1" s="671"/>
      <c r="RLS1" s="671"/>
      <c r="RLT1" s="671"/>
      <c r="RLU1" s="671"/>
      <c r="RLV1" s="671"/>
      <c r="RLW1" s="671"/>
      <c r="RLX1" s="671"/>
      <c r="RLY1" s="671"/>
      <c r="RLZ1" s="671"/>
      <c r="RMA1" s="671"/>
      <c r="RMB1" s="671"/>
      <c r="RMC1" s="671"/>
      <c r="RMD1" s="671"/>
      <c r="RME1" s="671"/>
      <c r="RMF1" s="671"/>
      <c r="RMG1" s="671"/>
      <c r="RMH1" s="671"/>
      <c r="RMI1" s="671"/>
      <c r="RMJ1" s="671"/>
      <c r="RMK1" s="671"/>
      <c r="RML1" s="671"/>
      <c r="RMM1" s="671"/>
      <c r="RMN1" s="671"/>
      <c r="RMO1" s="671"/>
      <c r="RMP1" s="671"/>
      <c r="RMQ1" s="671"/>
      <c r="RMR1" s="671"/>
      <c r="RMS1" s="671"/>
      <c r="RMT1" s="671"/>
      <c r="RMU1" s="671"/>
      <c r="RMV1" s="671"/>
      <c r="RMW1" s="671"/>
      <c r="RMX1" s="671"/>
      <c r="RMY1" s="671"/>
      <c r="RMZ1" s="671"/>
      <c r="RNA1" s="671"/>
      <c r="RNB1" s="671"/>
      <c r="RNC1" s="671"/>
      <c r="RND1" s="671"/>
      <c r="RNE1" s="671"/>
      <c r="RNF1" s="671"/>
      <c r="RNG1" s="671"/>
      <c r="RNH1" s="671"/>
      <c r="RNI1" s="671"/>
      <c r="RNJ1" s="671"/>
      <c r="RNK1" s="671"/>
      <c r="RNL1" s="671"/>
      <c r="RNM1" s="671"/>
      <c r="RNN1" s="671"/>
      <c r="RNO1" s="671"/>
      <c r="RNP1" s="671"/>
      <c r="RNQ1" s="671"/>
      <c r="RNR1" s="671"/>
      <c r="RNS1" s="671"/>
      <c r="RNT1" s="671"/>
      <c r="RNU1" s="671"/>
      <c r="RNV1" s="671"/>
      <c r="RNW1" s="671"/>
      <c r="RNX1" s="671"/>
      <c r="RNY1" s="671"/>
      <c r="RNZ1" s="671"/>
      <c r="ROA1" s="671"/>
      <c r="ROB1" s="671"/>
      <c r="ROC1" s="671"/>
      <c r="ROD1" s="671"/>
      <c r="ROE1" s="671"/>
      <c r="ROF1" s="671"/>
      <c r="ROG1" s="671"/>
      <c r="ROH1" s="671"/>
      <c r="ROI1" s="671"/>
      <c r="ROJ1" s="671"/>
      <c r="ROK1" s="671"/>
      <c r="ROL1" s="671"/>
      <c r="ROM1" s="671"/>
      <c r="RON1" s="671"/>
      <c r="ROO1" s="671"/>
      <c r="ROP1" s="671"/>
      <c r="ROQ1" s="671"/>
      <c r="ROR1" s="671"/>
      <c r="ROS1" s="671"/>
      <c r="ROT1" s="671"/>
      <c r="ROU1" s="671"/>
      <c r="ROV1" s="671"/>
      <c r="ROW1" s="671"/>
      <c r="ROX1" s="671"/>
      <c r="ROY1" s="671"/>
      <c r="ROZ1" s="671"/>
      <c r="RPA1" s="671"/>
      <c r="RPB1" s="671"/>
      <c r="RPC1" s="671"/>
      <c r="RPD1" s="671"/>
      <c r="RPE1" s="671"/>
      <c r="RPF1" s="671"/>
      <c r="RPG1" s="671"/>
      <c r="RPH1" s="671"/>
      <c r="RPI1" s="671"/>
      <c r="RPJ1" s="671"/>
      <c r="RPK1" s="671"/>
      <c r="RPL1" s="671"/>
      <c r="RPM1" s="671"/>
      <c r="RPN1" s="671"/>
      <c r="RPO1" s="671"/>
      <c r="RPP1" s="671"/>
      <c r="RPQ1" s="671"/>
      <c r="RPR1" s="671"/>
      <c r="RPS1" s="671"/>
      <c r="RPT1" s="671"/>
      <c r="RPU1" s="671"/>
      <c r="RPV1" s="671"/>
      <c r="RPW1" s="671"/>
      <c r="RPX1" s="671"/>
      <c r="RPY1" s="671"/>
      <c r="RPZ1" s="671"/>
      <c r="RQA1" s="671"/>
      <c r="RQB1" s="671"/>
      <c r="RQC1" s="671"/>
      <c r="RQD1" s="671"/>
      <c r="RQE1" s="671"/>
      <c r="RQF1" s="671"/>
      <c r="RQG1" s="671"/>
      <c r="RQH1" s="671"/>
      <c r="RQI1" s="671"/>
      <c r="RQJ1" s="671"/>
      <c r="RQK1" s="671"/>
      <c r="RQL1" s="671"/>
      <c r="RQM1" s="671"/>
      <c r="RQN1" s="671"/>
      <c r="RQO1" s="671"/>
      <c r="RQP1" s="671"/>
      <c r="RQQ1" s="671"/>
      <c r="RQR1" s="671"/>
      <c r="RQS1" s="671"/>
      <c r="RQT1" s="671"/>
      <c r="RQU1" s="671"/>
      <c r="RQV1" s="671"/>
      <c r="RQW1" s="671"/>
      <c r="RQX1" s="671"/>
      <c r="RQY1" s="671"/>
      <c r="RQZ1" s="671"/>
      <c r="RRA1" s="671"/>
      <c r="RRB1" s="671"/>
      <c r="RRC1" s="671"/>
      <c r="RRD1" s="671"/>
      <c r="RRE1" s="671"/>
      <c r="RRF1" s="671"/>
      <c r="RRG1" s="671"/>
      <c r="RRH1" s="671"/>
      <c r="RRI1" s="671"/>
      <c r="RRJ1" s="671"/>
      <c r="RRK1" s="671"/>
      <c r="RRL1" s="671"/>
      <c r="RRM1" s="671"/>
      <c r="RRN1" s="671"/>
      <c r="RRO1" s="671"/>
      <c r="RRP1" s="671"/>
      <c r="RRQ1" s="671"/>
      <c r="RRR1" s="671"/>
      <c r="RRS1" s="671"/>
      <c r="RRT1" s="671"/>
      <c r="RRU1" s="671"/>
      <c r="RRV1" s="671"/>
      <c r="RRW1" s="671"/>
      <c r="RRX1" s="671"/>
      <c r="RRY1" s="671"/>
      <c r="RRZ1" s="671"/>
      <c r="RSA1" s="671"/>
      <c r="RSB1" s="671"/>
      <c r="RSC1" s="671"/>
      <c r="RSD1" s="671"/>
      <c r="RSE1" s="671"/>
      <c r="RSF1" s="671"/>
      <c r="RSG1" s="671"/>
      <c r="RSH1" s="671"/>
      <c r="RSI1" s="671"/>
      <c r="RSJ1" s="671"/>
      <c r="RSK1" s="671"/>
      <c r="RSL1" s="671"/>
      <c r="RSM1" s="671"/>
      <c r="RSN1" s="671"/>
      <c r="RSO1" s="671"/>
      <c r="RSP1" s="671"/>
      <c r="RSQ1" s="671"/>
      <c r="RSR1" s="671"/>
      <c r="RSS1" s="671"/>
      <c r="RST1" s="671"/>
      <c r="RSU1" s="671"/>
      <c r="RSV1" s="671"/>
      <c r="RSW1" s="671"/>
      <c r="RSX1" s="671"/>
      <c r="RSY1" s="671"/>
      <c r="RSZ1" s="671"/>
      <c r="RTA1" s="671"/>
      <c r="RTB1" s="671"/>
      <c r="RTC1" s="671"/>
      <c r="RTD1" s="671"/>
      <c r="RTE1" s="671"/>
      <c r="RTF1" s="671"/>
      <c r="RTG1" s="671"/>
      <c r="RTH1" s="671"/>
      <c r="RTI1" s="671"/>
      <c r="RTJ1" s="671"/>
      <c r="RTK1" s="671"/>
      <c r="RTL1" s="671"/>
      <c r="RTM1" s="671"/>
      <c r="RTN1" s="671"/>
      <c r="RTO1" s="671"/>
      <c r="RTP1" s="671"/>
      <c r="RTQ1" s="671"/>
      <c r="RTR1" s="671"/>
      <c r="RTS1" s="671"/>
      <c r="RTT1" s="671"/>
      <c r="RTU1" s="671"/>
      <c r="RTV1" s="671"/>
      <c r="RTW1" s="671"/>
      <c r="RTX1" s="671"/>
      <c r="RTY1" s="671"/>
      <c r="RTZ1" s="671"/>
      <c r="RUA1" s="671"/>
      <c r="RUB1" s="671"/>
      <c r="RUC1" s="671"/>
      <c r="RUD1" s="671"/>
      <c r="RUE1" s="671"/>
      <c r="RUF1" s="671"/>
      <c r="RUG1" s="671"/>
      <c r="RUH1" s="671"/>
      <c r="RUI1" s="671"/>
      <c r="RUJ1" s="671"/>
      <c r="RUK1" s="671"/>
      <c r="RUL1" s="671"/>
      <c r="RUM1" s="671"/>
      <c r="RUN1" s="671"/>
      <c r="RUO1" s="671"/>
      <c r="RUP1" s="671"/>
      <c r="RUQ1" s="671"/>
      <c r="RUR1" s="671"/>
      <c r="RUS1" s="671"/>
      <c r="RUT1" s="671"/>
      <c r="RUU1" s="671"/>
      <c r="RUV1" s="671"/>
      <c r="RUW1" s="671"/>
      <c r="RUX1" s="671"/>
      <c r="RUY1" s="671"/>
      <c r="RUZ1" s="671"/>
      <c r="RVA1" s="671"/>
      <c r="RVB1" s="671"/>
      <c r="RVC1" s="671"/>
      <c r="RVD1" s="671"/>
      <c r="RVE1" s="671"/>
      <c r="RVF1" s="671"/>
      <c r="RVG1" s="671"/>
      <c r="RVH1" s="671"/>
      <c r="RVI1" s="671"/>
      <c r="RVJ1" s="671"/>
      <c r="RVK1" s="671"/>
      <c r="RVL1" s="671"/>
      <c r="RVM1" s="671"/>
      <c r="RVN1" s="671"/>
      <c r="RVO1" s="671"/>
      <c r="RVP1" s="671"/>
      <c r="RVQ1" s="671"/>
      <c r="RVR1" s="671"/>
      <c r="RVS1" s="671"/>
      <c r="RVT1" s="671"/>
      <c r="RVU1" s="671"/>
      <c r="RVV1" s="671"/>
      <c r="RVW1" s="671"/>
      <c r="RVX1" s="671"/>
      <c r="RVY1" s="671"/>
      <c r="RVZ1" s="671"/>
      <c r="RWA1" s="671"/>
      <c r="RWB1" s="671"/>
      <c r="RWC1" s="671"/>
      <c r="RWD1" s="671"/>
      <c r="RWE1" s="671"/>
      <c r="RWF1" s="671"/>
      <c r="RWG1" s="671"/>
      <c r="RWH1" s="671"/>
      <c r="RWI1" s="671"/>
      <c r="RWJ1" s="671"/>
      <c r="RWK1" s="671"/>
      <c r="RWL1" s="671"/>
      <c r="RWM1" s="671"/>
      <c r="RWN1" s="671"/>
      <c r="RWO1" s="671"/>
      <c r="RWP1" s="671"/>
      <c r="RWQ1" s="671"/>
      <c r="RWR1" s="671"/>
      <c r="RWS1" s="671"/>
      <c r="RWT1" s="671"/>
      <c r="RWU1" s="671"/>
      <c r="RWV1" s="671"/>
      <c r="RWW1" s="671"/>
      <c r="RWX1" s="671"/>
      <c r="RWY1" s="671"/>
      <c r="RWZ1" s="671"/>
      <c r="RXA1" s="671"/>
      <c r="RXB1" s="671"/>
      <c r="RXC1" s="671"/>
      <c r="RXD1" s="671"/>
      <c r="RXE1" s="671"/>
      <c r="RXF1" s="671"/>
      <c r="RXG1" s="671"/>
      <c r="RXH1" s="671"/>
      <c r="RXI1" s="671"/>
      <c r="RXJ1" s="671"/>
      <c r="RXK1" s="671"/>
      <c r="RXL1" s="671"/>
      <c r="RXM1" s="671"/>
      <c r="RXN1" s="671"/>
      <c r="RXO1" s="671"/>
      <c r="RXP1" s="671"/>
      <c r="RXQ1" s="671"/>
      <c r="RXR1" s="671"/>
      <c r="RXS1" s="671"/>
      <c r="RXT1" s="671"/>
      <c r="RXU1" s="671"/>
      <c r="RXV1" s="671"/>
      <c r="RXW1" s="671"/>
      <c r="RXX1" s="671"/>
      <c r="RXY1" s="671"/>
      <c r="RXZ1" s="671"/>
      <c r="RYA1" s="671"/>
      <c r="RYB1" s="671"/>
      <c r="RYC1" s="671"/>
      <c r="RYD1" s="671"/>
      <c r="RYE1" s="671"/>
      <c r="RYF1" s="671"/>
      <c r="RYG1" s="671"/>
      <c r="RYH1" s="671"/>
      <c r="RYI1" s="671"/>
      <c r="RYJ1" s="671"/>
      <c r="RYK1" s="671"/>
      <c r="RYL1" s="671"/>
      <c r="RYM1" s="671"/>
      <c r="RYN1" s="671"/>
      <c r="RYO1" s="671"/>
      <c r="RYP1" s="671"/>
      <c r="RYQ1" s="671"/>
      <c r="RYR1" s="671"/>
      <c r="RYS1" s="671"/>
      <c r="RYT1" s="671"/>
      <c r="RYU1" s="671"/>
      <c r="RYV1" s="671"/>
      <c r="RYW1" s="671"/>
      <c r="RYX1" s="671"/>
      <c r="RYY1" s="671"/>
      <c r="RYZ1" s="671"/>
      <c r="RZA1" s="671"/>
      <c r="RZB1" s="671"/>
      <c r="RZC1" s="671"/>
      <c r="RZD1" s="671"/>
      <c r="RZE1" s="671"/>
      <c r="RZF1" s="671"/>
      <c r="RZG1" s="671"/>
      <c r="RZH1" s="671"/>
      <c r="RZI1" s="671"/>
      <c r="RZJ1" s="671"/>
      <c r="RZK1" s="671"/>
      <c r="RZL1" s="671"/>
      <c r="RZM1" s="671"/>
      <c r="RZN1" s="671"/>
      <c r="RZO1" s="671"/>
      <c r="RZP1" s="671"/>
      <c r="RZQ1" s="671"/>
      <c r="RZR1" s="671"/>
      <c r="RZS1" s="671"/>
      <c r="RZT1" s="671"/>
      <c r="RZU1" s="671"/>
      <c r="RZV1" s="671"/>
      <c r="RZW1" s="671"/>
      <c r="RZX1" s="671"/>
      <c r="RZY1" s="671"/>
      <c r="RZZ1" s="671"/>
      <c r="SAA1" s="671"/>
      <c r="SAB1" s="671"/>
      <c r="SAC1" s="671"/>
      <c r="SAD1" s="671"/>
      <c r="SAE1" s="671"/>
      <c r="SAF1" s="671"/>
      <c r="SAG1" s="671"/>
      <c r="SAH1" s="671"/>
      <c r="SAI1" s="671"/>
      <c r="SAJ1" s="671"/>
      <c r="SAK1" s="671"/>
      <c r="SAL1" s="671"/>
      <c r="SAM1" s="671"/>
      <c r="SAN1" s="671"/>
      <c r="SAO1" s="671"/>
      <c r="SAP1" s="671"/>
      <c r="SAQ1" s="671"/>
      <c r="SAR1" s="671"/>
      <c r="SAS1" s="671"/>
      <c r="SAT1" s="671"/>
      <c r="SAU1" s="671"/>
      <c r="SAV1" s="671"/>
      <c r="SAW1" s="671"/>
      <c r="SAX1" s="671"/>
      <c r="SAY1" s="671"/>
      <c r="SAZ1" s="671"/>
      <c r="SBA1" s="671"/>
      <c r="SBB1" s="671"/>
      <c r="SBC1" s="671"/>
      <c r="SBD1" s="671"/>
      <c r="SBE1" s="671"/>
      <c r="SBF1" s="671"/>
      <c r="SBG1" s="671"/>
      <c r="SBH1" s="671"/>
      <c r="SBI1" s="671"/>
      <c r="SBJ1" s="671"/>
      <c r="SBK1" s="671"/>
      <c r="SBL1" s="671"/>
      <c r="SBM1" s="671"/>
      <c r="SBN1" s="671"/>
      <c r="SBO1" s="671"/>
      <c r="SBP1" s="671"/>
      <c r="SBQ1" s="671"/>
      <c r="SBR1" s="671"/>
      <c r="SBS1" s="671"/>
      <c r="SBT1" s="671"/>
      <c r="SBU1" s="671"/>
      <c r="SBV1" s="671"/>
      <c r="SBW1" s="671"/>
      <c r="SBX1" s="671"/>
      <c r="SBY1" s="671"/>
      <c r="SBZ1" s="671"/>
      <c r="SCA1" s="671"/>
      <c r="SCB1" s="671"/>
      <c r="SCC1" s="671"/>
      <c r="SCD1" s="671"/>
      <c r="SCE1" s="671"/>
      <c r="SCF1" s="671"/>
      <c r="SCG1" s="671"/>
      <c r="SCH1" s="671"/>
      <c r="SCI1" s="671"/>
      <c r="SCJ1" s="671"/>
      <c r="SCK1" s="671"/>
      <c r="SCL1" s="671"/>
      <c r="SCM1" s="671"/>
      <c r="SCN1" s="671"/>
      <c r="SCO1" s="671"/>
      <c r="SCP1" s="671"/>
      <c r="SCQ1" s="671"/>
      <c r="SCR1" s="671"/>
      <c r="SCS1" s="671"/>
      <c r="SCT1" s="671"/>
      <c r="SCU1" s="671"/>
      <c r="SCV1" s="671"/>
      <c r="SCW1" s="671"/>
      <c r="SCX1" s="671"/>
      <c r="SCY1" s="671"/>
      <c r="SCZ1" s="671"/>
      <c r="SDA1" s="671"/>
      <c r="SDB1" s="671"/>
      <c r="SDC1" s="671"/>
      <c r="SDD1" s="671"/>
      <c r="SDE1" s="671"/>
      <c r="SDF1" s="671"/>
      <c r="SDG1" s="671"/>
      <c r="SDH1" s="671"/>
      <c r="SDI1" s="671"/>
      <c r="SDJ1" s="671"/>
      <c r="SDK1" s="671"/>
      <c r="SDL1" s="671"/>
      <c r="SDM1" s="671"/>
      <c r="SDN1" s="671"/>
      <c r="SDO1" s="671"/>
      <c r="SDP1" s="671"/>
      <c r="SDQ1" s="671"/>
      <c r="SDR1" s="671"/>
      <c r="SDS1" s="671"/>
      <c r="SDT1" s="671"/>
      <c r="SDU1" s="671"/>
      <c r="SDV1" s="671"/>
      <c r="SDW1" s="671"/>
      <c r="SDX1" s="671"/>
      <c r="SDY1" s="671"/>
      <c r="SDZ1" s="671"/>
      <c r="SEA1" s="671"/>
      <c r="SEB1" s="671"/>
      <c r="SEC1" s="671"/>
      <c r="SED1" s="671"/>
      <c r="SEE1" s="671"/>
      <c r="SEF1" s="671"/>
      <c r="SEG1" s="671"/>
      <c r="SEH1" s="671"/>
      <c r="SEI1" s="671"/>
      <c r="SEJ1" s="671"/>
      <c r="SEK1" s="671"/>
      <c r="SEL1" s="671"/>
      <c r="SEM1" s="671"/>
      <c r="SEN1" s="671"/>
      <c r="SEO1" s="671"/>
      <c r="SEP1" s="671"/>
      <c r="SEQ1" s="671"/>
      <c r="SER1" s="671"/>
      <c r="SES1" s="671"/>
      <c r="SET1" s="671"/>
      <c r="SEU1" s="671"/>
      <c r="SEV1" s="671"/>
      <c r="SEW1" s="671"/>
      <c r="SEX1" s="671"/>
      <c r="SEY1" s="671"/>
      <c r="SEZ1" s="671"/>
      <c r="SFA1" s="671"/>
      <c r="SFB1" s="671"/>
      <c r="SFC1" s="671"/>
      <c r="SFD1" s="671"/>
      <c r="SFE1" s="671"/>
      <c r="SFF1" s="671"/>
      <c r="SFG1" s="671"/>
      <c r="SFH1" s="671"/>
      <c r="SFI1" s="671"/>
      <c r="SFJ1" s="671"/>
      <c r="SFK1" s="671"/>
      <c r="SFL1" s="671"/>
      <c r="SFM1" s="671"/>
      <c r="SFN1" s="671"/>
      <c r="SFO1" s="671"/>
      <c r="SFP1" s="671"/>
      <c r="SFQ1" s="671"/>
      <c r="SFR1" s="671"/>
      <c r="SFS1" s="671"/>
      <c r="SFT1" s="671"/>
      <c r="SFU1" s="671"/>
      <c r="SFV1" s="671"/>
      <c r="SFW1" s="671"/>
      <c r="SFX1" s="671"/>
      <c r="SFY1" s="671"/>
      <c r="SFZ1" s="671"/>
      <c r="SGA1" s="671"/>
      <c r="SGB1" s="671"/>
      <c r="SGC1" s="671"/>
      <c r="SGD1" s="671"/>
      <c r="SGE1" s="671"/>
      <c r="SGF1" s="671"/>
      <c r="SGG1" s="671"/>
      <c r="SGH1" s="671"/>
      <c r="SGI1" s="671"/>
      <c r="SGJ1" s="671"/>
      <c r="SGK1" s="671"/>
      <c r="SGL1" s="671"/>
      <c r="SGM1" s="671"/>
      <c r="SGN1" s="671"/>
      <c r="SGO1" s="671"/>
      <c r="SGP1" s="671"/>
      <c r="SGQ1" s="671"/>
      <c r="SGR1" s="671"/>
      <c r="SGS1" s="671"/>
      <c r="SGT1" s="671"/>
      <c r="SGU1" s="671"/>
      <c r="SGV1" s="671"/>
      <c r="SGW1" s="671"/>
      <c r="SGX1" s="671"/>
      <c r="SGY1" s="671"/>
      <c r="SGZ1" s="671"/>
      <c r="SHA1" s="671"/>
      <c r="SHB1" s="671"/>
      <c r="SHC1" s="671"/>
      <c r="SHD1" s="671"/>
      <c r="SHE1" s="671"/>
      <c r="SHF1" s="671"/>
      <c r="SHG1" s="671"/>
      <c r="SHH1" s="671"/>
      <c r="SHI1" s="671"/>
      <c r="SHJ1" s="671"/>
      <c r="SHK1" s="671"/>
      <c r="SHL1" s="671"/>
      <c r="SHM1" s="671"/>
      <c r="SHN1" s="671"/>
      <c r="SHO1" s="671"/>
      <c r="SHP1" s="671"/>
      <c r="SHQ1" s="671"/>
      <c r="SHR1" s="671"/>
      <c r="SHS1" s="671"/>
      <c r="SHT1" s="671"/>
      <c r="SHU1" s="671"/>
      <c r="SHV1" s="671"/>
      <c r="SHW1" s="671"/>
      <c r="SHX1" s="671"/>
      <c r="SHY1" s="671"/>
      <c r="SHZ1" s="671"/>
      <c r="SIA1" s="671"/>
      <c r="SIB1" s="671"/>
      <c r="SIC1" s="671"/>
      <c r="SID1" s="671"/>
      <c r="SIE1" s="671"/>
      <c r="SIF1" s="671"/>
      <c r="SIG1" s="671"/>
      <c r="SIH1" s="671"/>
      <c r="SII1" s="671"/>
      <c r="SIJ1" s="671"/>
      <c r="SIK1" s="671"/>
      <c r="SIL1" s="671"/>
      <c r="SIM1" s="671"/>
      <c r="SIN1" s="671"/>
      <c r="SIO1" s="671"/>
      <c r="SIP1" s="671"/>
      <c r="SIQ1" s="671"/>
      <c r="SIR1" s="671"/>
      <c r="SIS1" s="671"/>
      <c r="SIT1" s="671"/>
      <c r="SIU1" s="671"/>
      <c r="SIV1" s="671"/>
      <c r="SIW1" s="671"/>
      <c r="SIX1" s="671"/>
      <c r="SIY1" s="671"/>
      <c r="SIZ1" s="671"/>
      <c r="SJA1" s="671"/>
      <c r="SJB1" s="671"/>
      <c r="SJC1" s="671"/>
      <c r="SJD1" s="671"/>
      <c r="SJE1" s="671"/>
      <c r="SJF1" s="671"/>
      <c r="SJG1" s="671"/>
      <c r="SJH1" s="671"/>
      <c r="SJI1" s="671"/>
      <c r="SJJ1" s="671"/>
      <c r="SJK1" s="671"/>
      <c r="SJL1" s="671"/>
      <c r="SJM1" s="671"/>
      <c r="SJN1" s="671"/>
      <c r="SJO1" s="671"/>
      <c r="SJP1" s="671"/>
      <c r="SJQ1" s="671"/>
      <c r="SJR1" s="671"/>
      <c r="SJS1" s="671"/>
      <c r="SJT1" s="671"/>
      <c r="SJU1" s="671"/>
      <c r="SJV1" s="671"/>
      <c r="SJW1" s="671"/>
      <c r="SJX1" s="671"/>
      <c r="SJY1" s="671"/>
      <c r="SJZ1" s="671"/>
      <c r="SKA1" s="671"/>
      <c r="SKB1" s="671"/>
      <c r="SKC1" s="671"/>
      <c r="SKD1" s="671"/>
      <c r="SKE1" s="671"/>
      <c r="SKF1" s="671"/>
      <c r="SKG1" s="671"/>
      <c r="SKH1" s="671"/>
      <c r="SKI1" s="671"/>
      <c r="SKJ1" s="671"/>
      <c r="SKK1" s="671"/>
      <c r="SKL1" s="671"/>
      <c r="SKM1" s="671"/>
      <c r="SKN1" s="671"/>
      <c r="SKO1" s="671"/>
      <c r="SKP1" s="671"/>
      <c r="SKQ1" s="671"/>
      <c r="SKR1" s="671"/>
      <c r="SKS1" s="671"/>
      <c r="SKT1" s="671"/>
      <c r="SKU1" s="671"/>
      <c r="SKV1" s="671"/>
      <c r="SKW1" s="671"/>
      <c r="SKX1" s="671"/>
      <c r="SKY1" s="671"/>
      <c r="SKZ1" s="671"/>
      <c r="SLA1" s="671"/>
      <c r="SLB1" s="671"/>
      <c r="SLC1" s="671"/>
      <c r="SLD1" s="671"/>
      <c r="SLE1" s="671"/>
      <c r="SLF1" s="671"/>
      <c r="SLG1" s="671"/>
      <c r="SLH1" s="671"/>
      <c r="SLI1" s="671"/>
      <c r="SLJ1" s="671"/>
      <c r="SLK1" s="671"/>
      <c r="SLL1" s="671"/>
      <c r="SLM1" s="671"/>
      <c r="SLN1" s="671"/>
      <c r="SLO1" s="671"/>
      <c r="SLP1" s="671"/>
      <c r="SLQ1" s="671"/>
      <c r="SLR1" s="671"/>
      <c r="SLS1" s="671"/>
      <c r="SLT1" s="671"/>
      <c r="SLU1" s="671"/>
      <c r="SLV1" s="671"/>
      <c r="SLW1" s="671"/>
      <c r="SLX1" s="671"/>
      <c r="SLY1" s="671"/>
      <c r="SLZ1" s="671"/>
      <c r="SMA1" s="671"/>
      <c r="SMB1" s="671"/>
      <c r="SMC1" s="671"/>
      <c r="SMD1" s="671"/>
      <c r="SME1" s="671"/>
      <c r="SMF1" s="671"/>
      <c r="SMG1" s="671"/>
      <c r="SMH1" s="671"/>
      <c r="SMI1" s="671"/>
      <c r="SMJ1" s="671"/>
      <c r="SMK1" s="671"/>
      <c r="SML1" s="671"/>
      <c r="SMM1" s="671"/>
      <c r="SMN1" s="671"/>
      <c r="SMO1" s="671"/>
      <c r="SMP1" s="671"/>
      <c r="SMQ1" s="671"/>
      <c r="SMR1" s="671"/>
      <c r="SMS1" s="671"/>
      <c r="SMT1" s="671"/>
      <c r="SMU1" s="671"/>
      <c r="SMV1" s="671"/>
      <c r="SMW1" s="671"/>
      <c r="SMX1" s="671"/>
      <c r="SMY1" s="671"/>
      <c r="SMZ1" s="671"/>
      <c r="SNA1" s="671"/>
      <c r="SNB1" s="671"/>
      <c r="SNC1" s="671"/>
      <c r="SND1" s="671"/>
      <c r="SNE1" s="671"/>
      <c r="SNF1" s="671"/>
      <c r="SNG1" s="671"/>
      <c r="SNH1" s="671"/>
      <c r="SNI1" s="671"/>
      <c r="SNJ1" s="671"/>
      <c r="SNK1" s="671"/>
      <c r="SNL1" s="671"/>
      <c r="SNM1" s="671"/>
      <c r="SNN1" s="671"/>
      <c r="SNO1" s="671"/>
      <c r="SNP1" s="671"/>
      <c r="SNQ1" s="671"/>
      <c r="SNR1" s="671"/>
      <c r="SNS1" s="671"/>
      <c r="SNT1" s="671"/>
      <c r="SNU1" s="671"/>
      <c r="SNV1" s="671"/>
      <c r="SNW1" s="671"/>
      <c r="SNX1" s="671"/>
      <c r="SNY1" s="671"/>
      <c r="SNZ1" s="671"/>
      <c r="SOA1" s="671"/>
      <c r="SOB1" s="671"/>
      <c r="SOC1" s="671"/>
      <c r="SOD1" s="671"/>
      <c r="SOE1" s="671"/>
      <c r="SOF1" s="671"/>
      <c r="SOG1" s="671"/>
      <c r="SOH1" s="671"/>
      <c r="SOI1" s="671"/>
      <c r="SOJ1" s="671"/>
      <c r="SOK1" s="671"/>
      <c r="SOL1" s="671"/>
      <c r="SOM1" s="671"/>
      <c r="SON1" s="671"/>
      <c r="SOO1" s="671"/>
      <c r="SOP1" s="671"/>
      <c r="SOQ1" s="671"/>
      <c r="SOR1" s="671"/>
      <c r="SOS1" s="671"/>
      <c r="SOT1" s="671"/>
      <c r="SOU1" s="671"/>
      <c r="SOV1" s="671"/>
      <c r="SOW1" s="671"/>
      <c r="SOX1" s="671"/>
      <c r="SOY1" s="671"/>
      <c r="SOZ1" s="671"/>
      <c r="SPA1" s="671"/>
      <c r="SPB1" s="671"/>
      <c r="SPC1" s="671"/>
      <c r="SPD1" s="671"/>
      <c r="SPE1" s="671"/>
      <c r="SPF1" s="671"/>
      <c r="SPG1" s="671"/>
      <c r="SPH1" s="671"/>
      <c r="SPI1" s="671"/>
      <c r="SPJ1" s="671"/>
      <c r="SPK1" s="671"/>
      <c r="SPL1" s="671"/>
      <c r="SPM1" s="671"/>
      <c r="SPN1" s="671"/>
      <c r="SPO1" s="671"/>
      <c r="SPP1" s="671"/>
      <c r="SPQ1" s="671"/>
      <c r="SPR1" s="671"/>
      <c r="SPS1" s="671"/>
      <c r="SPT1" s="671"/>
      <c r="SPU1" s="671"/>
      <c r="SPV1" s="671"/>
      <c r="SPW1" s="671"/>
      <c r="SPX1" s="671"/>
      <c r="SPY1" s="671"/>
      <c r="SPZ1" s="671"/>
      <c r="SQA1" s="671"/>
      <c r="SQB1" s="671"/>
      <c r="SQC1" s="671"/>
      <c r="SQD1" s="671"/>
      <c r="SQE1" s="671"/>
      <c r="SQF1" s="671"/>
      <c r="SQG1" s="671"/>
      <c r="SQH1" s="671"/>
      <c r="SQI1" s="671"/>
      <c r="SQJ1" s="671"/>
      <c r="SQK1" s="671"/>
      <c r="SQL1" s="671"/>
      <c r="SQM1" s="671"/>
      <c r="SQN1" s="671"/>
      <c r="SQO1" s="671"/>
      <c r="SQP1" s="671"/>
      <c r="SQQ1" s="671"/>
      <c r="SQR1" s="671"/>
      <c r="SQS1" s="671"/>
      <c r="SQT1" s="671"/>
      <c r="SQU1" s="671"/>
      <c r="SQV1" s="671"/>
      <c r="SQW1" s="671"/>
      <c r="SQX1" s="671"/>
      <c r="SQY1" s="671"/>
      <c r="SQZ1" s="671"/>
      <c r="SRA1" s="671"/>
      <c r="SRB1" s="671"/>
      <c r="SRC1" s="671"/>
      <c r="SRD1" s="671"/>
      <c r="SRE1" s="671"/>
      <c r="SRF1" s="671"/>
      <c r="SRG1" s="671"/>
      <c r="SRH1" s="671"/>
      <c r="SRI1" s="671"/>
      <c r="SRJ1" s="671"/>
      <c r="SRK1" s="671"/>
      <c r="SRL1" s="671"/>
      <c r="SRM1" s="671"/>
      <c r="SRN1" s="671"/>
      <c r="SRO1" s="671"/>
      <c r="SRP1" s="671"/>
      <c r="SRQ1" s="671"/>
      <c r="SRR1" s="671"/>
      <c r="SRS1" s="671"/>
      <c r="SRT1" s="671"/>
      <c r="SRU1" s="671"/>
      <c r="SRV1" s="671"/>
      <c r="SRW1" s="671"/>
      <c r="SRX1" s="671"/>
      <c r="SRY1" s="671"/>
      <c r="SRZ1" s="671"/>
      <c r="SSA1" s="671"/>
      <c r="SSB1" s="671"/>
      <c r="SSC1" s="671"/>
      <c r="SSD1" s="671"/>
      <c r="SSE1" s="671"/>
      <c r="SSF1" s="671"/>
      <c r="SSG1" s="671"/>
      <c r="SSH1" s="671"/>
      <c r="SSI1" s="671"/>
      <c r="SSJ1" s="671"/>
      <c r="SSK1" s="671"/>
      <c r="SSL1" s="671"/>
      <c r="SSM1" s="671"/>
      <c r="SSN1" s="671"/>
      <c r="SSO1" s="671"/>
      <c r="SSP1" s="671"/>
      <c r="SSQ1" s="671"/>
      <c r="SSR1" s="671"/>
      <c r="SSS1" s="671"/>
      <c r="SST1" s="671"/>
      <c r="SSU1" s="671"/>
      <c r="SSV1" s="671"/>
      <c r="SSW1" s="671"/>
      <c r="SSX1" s="671"/>
      <c r="SSY1" s="671"/>
      <c r="SSZ1" s="671"/>
      <c r="STA1" s="671"/>
      <c r="STB1" s="671"/>
      <c r="STC1" s="671"/>
      <c r="STD1" s="671"/>
      <c r="STE1" s="671"/>
      <c r="STF1" s="671"/>
      <c r="STG1" s="671"/>
      <c r="STH1" s="671"/>
      <c r="STI1" s="671"/>
      <c r="STJ1" s="671"/>
      <c r="STK1" s="671"/>
      <c r="STL1" s="671"/>
      <c r="STM1" s="671"/>
      <c r="STN1" s="671"/>
      <c r="STO1" s="671"/>
      <c r="STP1" s="671"/>
      <c r="STQ1" s="671"/>
      <c r="STR1" s="671"/>
      <c r="STS1" s="671"/>
      <c r="STT1" s="671"/>
      <c r="STU1" s="671"/>
      <c r="STV1" s="671"/>
      <c r="STW1" s="671"/>
      <c r="STX1" s="671"/>
      <c r="STY1" s="671"/>
      <c r="STZ1" s="671"/>
      <c r="SUA1" s="671"/>
      <c r="SUB1" s="671"/>
      <c r="SUC1" s="671"/>
      <c r="SUD1" s="671"/>
      <c r="SUE1" s="671"/>
      <c r="SUF1" s="671"/>
      <c r="SUG1" s="671"/>
      <c r="SUH1" s="671"/>
      <c r="SUI1" s="671"/>
      <c r="SUJ1" s="671"/>
      <c r="SUK1" s="671"/>
      <c r="SUL1" s="671"/>
      <c r="SUM1" s="671"/>
      <c r="SUN1" s="671"/>
      <c r="SUO1" s="671"/>
      <c r="SUP1" s="671"/>
      <c r="SUQ1" s="671"/>
      <c r="SUR1" s="671"/>
      <c r="SUS1" s="671"/>
      <c r="SUT1" s="671"/>
      <c r="SUU1" s="671"/>
      <c r="SUV1" s="671"/>
      <c r="SUW1" s="671"/>
      <c r="SUX1" s="671"/>
      <c r="SUY1" s="671"/>
      <c r="SUZ1" s="671"/>
      <c r="SVA1" s="671"/>
      <c r="SVB1" s="671"/>
      <c r="SVC1" s="671"/>
      <c r="SVD1" s="671"/>
      <c r="SVE1" s="671"/>
      <c r="SVF1" s="671"/>
      <c r="SVG1" s="671"/>
      <c r="SVH1" s="671"/>
      <c r="SVI1" s="671"/>
      <c r="SVJ1" s="671"/>
      <c r="SVK1" s="671"/>
      <c r="SVL1" s="671"/>
      <c r="SVM1" s="671"/>
      <c r="SVN1" s="671"/>
      <c r="SVO1" s="671"/>
      <c r="SVP1" s="671"/>
      <c r="SVQ1" s="671"/>
      <c r="SVR1" s="671"/>
      <c r="SVS1" s="671"/>
      <c r="SVT1" s="671"/>
      <c r="SVU1" s="671"/>
      <c r="SVV1" s="671"/>
      <c r="SVW1" s="671"/>
      <c r="SVX1" s="671"/>
      <c r="SVY1" s="671"/>
      <c r="SVZ1" s="671"/>
      <c r="SWA1" s="671"/>
      <c r="SWB1" s="671"/>
      <c r="SWC1" s="671"/>
      <c r="SWD1" s="671"/>
      <c r="SWE1" s="671"/>
      <c r="SWF1" s="671"/>
      <c r="SWG1" s="671"/>
      <c r="SWH1" s="671"/>
      <c r="SWI1" s="671"/>
      <c r="SWJ1" s="671"/>
      <c r="SWK1" s="671"/>
      <c r="SWL1" s="671"/>
      <c r="SWM1" s="671"/>
      <c r="SWN1" s="671"/>
      <c r="SWO1" s="671"/>
      <c r="SWP1" s="671"/>
      <c r="SWQ1" s="671"/>
      <c r="SWR1" s="671"/>
      <c r="SWS1" s="671"/>
      <c r="SWT1" s="671"/>
      <c r="SWU1" s="671"/>
      <c r="SWV1" s="671"/>
      <c r="SWW1" s="671"/>
      <c r="SWX1" s="671"/>
      <c r="SWY1" s="671"/>
      <c r="SWZ1" s="671"/>
      <c r="SXA1" s="671"/>
      <c r="SXB1" s="671"/>
      <c r="SXC1" s="671"/>
      <c r="SXD1" s="671"/>
      <c r="SXE1" s="671"/>
      <c r="SXF1" s="671"/>
      <c r="SXG1" s="671"/>
      <c r="SXH1" s="671"/>
      <c r="SXI1" s="671"/>
      <c r="SXJ1" s="671"/>
      <c r="SXK1" s="671"/>
      <c r="SXL1" s="671"/>
      <c r="SXM1" s="671"/>
      <c r="SXN1" s="671"/>
      <c r="SXO1" s="671"/>
      <c r="SXP1" s="671"/>
      <c r="SXQ1" s="671"/>
      <c r="SXR1" s="671"/>
      <c r="SXS1" s="671"/>
      <c r="SXT1" s="671"/>
      <c r="SXU1" s="671"/>
      <c r="SXV1" s="671"/>
      <c r="SXW1" s="671"/>
      <c r="SXX1" s="671"/>
      <c r="SXY1" s="671"/>
      <c r="SXZ1" s="671"/>
      <c r="SYA1" s="671"/>
      <c r="SYB1" s="671"/>
      <c r="SYC1" s="671"/>
      <c r="SYD1" s="671"/>
      <c r="SYE1" s="671"/>
      <c r="SYF1" s="671"/>
      <c r="SYG1" s="671"/>
      <c r="SYH1" s="671"/>
      <c r="SYI1" s="671"/>
      <c r="SYJ1" s="671"/>
      <c r="SYK1" s="671"/>
      <c r="SYL1" s="671"/>
      <c r="SYM1" s="671"/>
      <c r="SYN1" s="671"/>
      <c r="SYO1" s="671"/>
      <c r="SYP1" s="671"/>
      <c r="SYQ1" s="671"/>
      <c r="SYR1" s="671"/>
      <c r="SYS1" s="671"/>
      <c r="SYT1" s="671"/>
      <c r="SYU1" s="671"/>
      <c r="SYV1" s="671"/>
      <c r="SYW1" s="671"/>
      <c r="SYX1" s="671"/>
      <c r="SYY1" s="671"/>
      <c r="SYZ1" s="671"/>
      <c r="SZA1" s="671"/>
      <c r="SZB1" s="671"/>
      <c r="SZC1" s="671"/>
      <c r="SZD1" s="671"/>
      <c r="SZE1" s="671"/>
      <c r="SZF1" s="671"/>
      <c r="SZG1" s="671"/>
      <c r="SZH1" s="671"/>
      <c r="SZI1" s="671"/>
      <c r="SZJ1" s="671"/>
      <c r="SZK1" s="671"/>
      <c r="SZL1" s="671"/>
      <c r="SZM1" s="671"/>
      <c r="SZN1" s="671"/>
      <c r="SZO1" s="671"/>
      <c r="SZP1" s="671"/>
      <c r="SZQ1" s="671"/>
      <c r="SZR1" s="671"/>
      <c r="SZS1" s="671"/>
      <c r="SZT1" s="671"/>
      <c r="SZU1" s="671"/>
      <c r="SZV1" s="671"/>
      <c r="SZW1" s="671"/>
      <c r="SZX1" s="671"/>
      <c r="SZY1" s="671"/>
      <c r="SZZ1" s="671"/>
      <c r="TAA1" s="671"/>
      <c r="TAB1" s="671"/>
      <c r="TAC1" s="671"/>
      <c r="TAD1" s="671"/>
      <c r="TAE1" s="671"/>
      <c r="TAF1" s="671"/>
      <c r="TAG1" s="671"/>
      <c r="TAH1" s="671"/>
      <c r="TAI1" s="671"/>
      <c r="TAJ1" s="671"/>
      <c r="TAK1" s="671"/>
      <c r="TAL1" s="671"/>
      <c r="TAM1" s="671"/>
      <c r="TAN1" s="671"/>
      <c r="TAO1" s="671"/>
      <c r="TAP1" s="671"/>
      <c r="TAQ1" s="671"/>
      <c r="TAR1" s="671"/>
      <c r="TAS1" s="671"/>
      <c r="TAT1" s="671"/>
      <c r="TAU1" s="671"/>
      <c r="TAV1" s="671"/>
      <c r="TAW1" s="671"/>
      <c r="TAX1" s="671"/>
      <c r="TAY1" s="671"/>
      <c r="TAZ1" s="671"/>
      <c r="TBA1" s="671"/>
      <c r="TBB1" s="671"/>
      <c r="TBC1" s="671"/>
      <c r="TBD1" s="671"/>
      <c r="TBE1" s="671"/>
      <c r="TBF1" s="671"/>
      <c r="TBG1" s="671"/>
      <c r="TBH1" s="671"/>
      <c r="TBI1" s="671"/>
      <c r="TBJ1" s="671"/>
      <c r="TBK1" s="671"/>
      <c r="TBL1" s="671"/>
      <c r="TBM1" s="671"/>
      <c r="TBN1" s="671"/>
      <c r="TBO1" s="671"/>
      <c r="TBP1" s="671"/>
      <c r="TBQ1" s="671"/>
      <c r="TBR1" s="671"/>
      <c r="TBS1" s="671"/>
      <c r="TBT1" s="671"/>
      <c r="TBU1" s="671"/>
      <c r="TBV1" s="671"/>
      <c r="TBW1" s="671"/>
      <c r="TBX1" s="671"/>
      <c r="TBY1" s="671"/>
      <c r="TBZ1" s="671"/>
      <c r="TCA1" s="671"/>
      <c r="TCB1" s="671"/>
      <c r="TCC1" s="671"/>
      <c r="TCD1" s="671"/>
      <c r="TCE1" s="671"/>
      <c r="TCF1" s="671"/>
      <c r="TCG1" s="671"/>
      <c r="TCH1" s="671"/>
      <c r="TCI1" s="671"/>
      <c r="TCJ1" s="671"/>
      <c r="TCK1" s="671"/>
      <c r="TCL1" s="671"/>
      <c r="TCM1" s="671"/>
      <c r="TCN1" s="671"/>
      <c r="TCO1" s="671"/>
      <c r="TCP1" s="671"/>
      <c r="TCQ1" s="671"/>
      <c r="TCR1" s="671"/>
      <c r="TCS1" s="671"/>
      <c r="TCT1" s="671"/>
      <c r="TCU1" s="671"/>
      <c r="TCV1" s="671"/>
      <c r="TCW1" s="671"/>
      <c r="TCX1" s="671"/>
      <c r="TCY1" s="671"/>
      <c r="TCZ1" s="671"/>
      <c r="TDA1" s="671"/>
      <c r="TDB1" s="671"/>
      <c r="TDC1" s="671"/>
      <c r="TDD1" s="671"/>
      <c r="TDE1" s="671"/>
      <c r="TDF1" s="671"/>
      <c r="TDG1" s="671"/>
      <c r="TDH1" s="671"/>
      <c r="TDI1" s="671"/>
      <c r="TDJ1" s="671"/>
      <c r="TDK1" s="671"/>
      <c r="TDL1" s="671"/>
      <c r="TDM1" s="671"/>
      <c r="TDN1" s="671"/>
      <c r="TDO1" s="671"/>
      <c r="TDP1" s="671"/>
      <c r="TDQ1" s="671"/>
      <c r="TDR1" s="671"/>
      <c r="TDS1" s="671"/>
      <c r="TDT1" s="671"/>
      <c r="TDU1" s="671"/>
      <c r="TDV1" s="671"/>
      <c r="TDW1" s="671"/>
      <c r="TDX1" s="671"/>
      <c r="TDY1" s="671"/>
      <c r="TDZ1" s="671"/>
      <c r="TEA1" s="671"/>
      <c r="TEB1" s="671"/>
      <c r="TEC1" s="671"/>
      <c r="TED1" s="671"/>
      <c r="TEE1" s="671"/>
      <c r="TEF1" s="671"/>
      <c r="TEG1" s="671"/>
      <c r="TEH1" s="671"/>
      <c r="TEI1" s="671"/>
      <c r="TEJ1" s="671"/>
      <c r="TEK1" s="671"/>
      <c r="TEL1" s="671"/>
      <c r="TEM1" s="671"/>
      <c r="TEN1" s="671"/>
      <c r="TEO1" s="671"/>
      <c r="TEP1" s="671"/>
      <c r="TEQ1" s="671"/>
      <c r="TER1" s="671"/>
      <c r="TES1" s="671"/>
      <c r="TET1" s="671"/>
      <c r="TEU1" s="671"/>
      <c r="TEV1" s="671"/>
      <c r="TEW1" s="671"/>
      <c r="TEX1" s="671"/>
      <c r="TEY1" s="671"/>
      <c r="TEZ1" s="671"/>
      <c r="TFA1" s="671"/>
      <c r="TFB1" s="671"/>
      <c r="TFC1" s="671"/>
      <c r="TFD1" s="671"/>
      <c r="TFE1" s="671"/>
      <c r="TFF1" s="671"/>
      <c r="TFG1" s="671"/>
      <c r="TFH1" s="671"/>
      <c r="TFI1" s="671"/>
      <c r="TFJ1" s="671"/>
      <c r="TFK1" s="671"/>
      <c r="TFL1" s="671"/>
      <c r="TFM1" s="671"/>
      <c r="TFN1" s="671"/>
      <c r="TFO1" s="671"/>
      <c r="TFP1" s="671"/>
      <c r="TFQ1" s="671"/>
      <c r="TFR1" s="671"/>
      <c r="TFS1" s="671"/>
      <c r="TFT1" s="671"/>
      <c r="TFU1" s="671"/>
      <c r="TFV1" s="671"/>
      <c r="TFW1" s="671"/>
      <c r="TFX1" s="671"/>
      <c r="TFY1" s="671"/>
      <c r="TFZ1" s="671"/>
      <c r="TGA1" s="671"/>
      <c r="TGB1" s="671"/>
      <c r="TGC1" s="671"/>
      <c r="TGD1" s="671"/>
      <c r="TGE1" s="671"/>
      <c r="TGF1" s="671"/>
      <c r="TGG1" s="671"/>
      <c r="TGH1" s="671"/>
      <c r="TGI1" s="671"/>
      <c r="TGJ1" s="671"/>
      <c r="TGK1" s="671"/>
      <c r="TGL1" s="671"/>
      <c r="TGM1" s="671"/>
      <c r="TGN1" s="671"/>
      <c r="TGO1" s="671"/>
      <c r="TGP1" s="671"/>
      <c r="TGQ1" s="671"/>
      <c r="TGR1" s="671"/>
      <c r="TGS1" s="671"/>
      <c r="TGT1" s="671"/>
      <c r="TGU1" s="671"/>
      <c r="TGV1" s="671"/>
      <c r="TGW1" s="671"/>
      <c r="TGX1" s="671"/>
      <c r="TGY1" s="671"/>
      <c r="TGZ1" s="671"/>
      <c r="THA1" s="671"/>
      <c r="THB1" s="671"/>
      <c r="THC1" s="671"/>
      <c r="THD1" s="671"/>
      <c r="THE1" s="671"/>
      <c r="THF1" s="671"/>
      <c r="THG1" s="671"/>
      <c r="THH1" s="671"/>
      <c r="THI1" s="671"/>
      <c r="THJ1" s="671"/>
      <c r="THK1" s="671"/>
      <c r="THL1" s="671"/>
      <c r="THM1" s="671"/>
      <c r="THN1" s="671"/>
      <c r="THO1" s="671"/>
      <c r="THP1" s="671"/>
      <c r="THQ1" s="671"/>
      <c r="THR1" s="671"/>
      <c r="THS1" s="671"/>
      <c r="THT1" s="671"/>
      <c r="THU1" s="671"/>
      <c r="THV1" s="671"/>
      <c r="THW1" s="671"/>
      <c r="THX1" s="671"/>
      <c r="THY1" s="671"/>
      <c r="THZ1" s="671"/>
      <c r="TIA1" s="671"/>
      <c r="TIB1" s="671"/>
      <c r="TIC1" s="671"/>
      <c r="TID1" s="671"/>
      <c r="TIE1" s="671"/>
      <c r="TIF1" s="671"/>
      <c r="TIG1" s="671"/>
      <c r="TIH1" s="671"/>
      <c r="TII1" s="671"/>
      <c r="TIJ1" s="671"/>
      <c r="TIK1" s="671"/>
      <c r="TIL1" s="671"/>
      <c r="TIM1" s="671"/>
      <c r="TIN1" s="671"/>
      <c r="TIO1" s="671"/>
      <c r="TIP1" s="671"/>
      <c r="TIQ1" s="671"/>
      <c r="TIR1" s="671"/>
      <c r="TIS1" s="671"/>
      <c r="TIT1" s="671"/>
      <c r="TIU1" s="671"/>
      <c r="TIV1" s="671"/>
      <c r="TIW1" s="671"/>
      <c r="TIX1" s="671"/>
      <c r="TIY1" s="671"/>
      <c r="TIZ1" s="671"/>
      <c r="TJA1" s="671"/>
      <c r="TJB1" s="671"/>
      <c r="TJC1" s="671"/>
      <c r="TJD1" s="671"/>
      <c r="TJE1" s="671"/>
      <c r="TJF1" s="671"/>
      <c r="TJG1" s="671"/>
      <c r="TJH1" s="671"/>
      <c r="TJI1" s="671"/>
      <c r="TJJ1" s="671"/>
      <c r="TJK1" s="671"/>
      <c r="TJL1" s="671"/>
      <c r="TJM1" s="671"/>
      <c r="TJN1" s="671"/>
      <c r="TJO1" s="671"/>
      <c r="TJP1" s="671"/>
      <c r="TJQ1" s="671"/>
      <c r="TJR1" s="671"/>
      <c r="TJS1" s="671"/>
      <c r="TJT1" s="671"/>
      <c r="TJU1" s="671"/>
      <c r="TJV1" s="671"/>
      <c r="TJW1" s="671"/>
      <c r="TJX1" s="671"/>
      <c r="TJY1" s="671"/>
      <c r="TJZ1" s="671"/>
      <c r="TKA1" s="671"/>
      <c r="TKB1" s="671"/>
      <c r="TKC1" s="671"/>
      <c r="TKD1" s="671"/>
      <c r="TKE1" s="671"/>
      <c r="TKF1" s="671"/>
      <c r="TKG1" s="671"/>
      <c r="TKH1" s="671"/>
      <c r="TKI1" s="671"/>
      <c r="TKJ1" s="671"/>
      <c r="TKK1" s="671"/>
      <c r="TKL1" s="671"/>
      <c r="TKM1" s="671"/>
      <c r="TKN1" s="671"/>
      <c r="TKO1" s="671"/>
      <c r="TKP1" s="671"/>
      <c r="TKQ1" s="671"/>
      <c r="TKR1" s="671"/>
      <c r="TKS1" s="671"/>
      <c r="TKT1" s="671"/>
      <c r="TKU1" s="671"/>
      <c r="TKV1" s="671"/>
      <c r="TKW1" s="671"/>
      <c r="TKX1" s="671"/>
      <c r="TKY1" s="671"/>
      <c r="TKZ1" s="671"/>
      <c r="TLA1" s="671"/>
      <c r="TLB1" s="671"/>
      <c r="TLC1" s="671"/>
      <c r="TLD1" s="671"/>
      <c r="TLE1" s="671"/>
      <c r="TLF1" s="671"/>
      <c r="TLG1" s="671"/>
      <c r="TLH1" s="671"/>
      <c r="TLI1" s="671"/>
      <c r="TLJ1" s="671"/>
      <c r="TLK1" s="671"/>
      <c r="TLL1" s="671"/>
      <c r="TLM1" s="671"/>
      <c r="TLN1" s="671"/>
      <c r="TLO1" s="671"/>
      <c r="TLP1" s="671"/>
      <c r="TLQ1" s="671"/>
      <c r="TLR1" s="671"/>
      <c r="TLS1" s="671"/>
      <c r="TLT1" s="671"/>
      <c r="TLU1" s="671"/>
      <c r="TLV1" s="671"/>
      <c r="TLW1" s="671"/>
      <c r="TLX1" s="671"/>
      <c r="TLY1" s="671"/>
      <c r="TLZ1" s="671"/>
      <c r="TMA1" s="671"/>
      <c r="TMB1" s="671"/>
      <c r="TMC1" s="671"/>
      <c r="TMD1" s="671"/>
      <c r="TME1" s="671"/>
      <c r="TMF1" s="671"/>
      <c r="TMG1" s="671"/>
      <c r="TMH1" s="671"/>
      <c r="TMI1" s="671"/>
      <c r="TMJ1" s="671"/>
      <c r="TMK1" s="671"/>
      <c r="TML1" s="671"/>
      <c r="TMM1" s="671"/>
      <c r="TMN1" s="671"/>
      <c r="TMO1" s="671"/>
      <c r="TMP1" s="671"/>
      <c r="TMQ1" s="671"/>
      <c r="TMR1" s="671"/>
      <c r="TMS1" s="671"/>
      <c r="TMT1" s="671"/>
      <c r="TMU1" s="671"/>
      <c r="TMV1" s="671"/>
      <c r="TMW1" s="671"/>
      <c r="TMX1" s="671"/>
      <c r="TMY1" s="671"/>
      <c r="TMZ1" s="671"/>
      <c r="TNA1" s="671"/>
      <c r="TNB1" s="671"/>
      <c r="TNC1" s="671"/>
      <c r="TND1" s="671"/>
      <c r="TNE1" s="671"/>
      <c r="TNF1" s="671"/>
      <c r="TNG1" s="671"/>
      <c r="TNH1" s="671"/>
      <c r="TNI1" s="671"/>
      <c r="TNJ1" s="671"/>
      <c r="TNK1" s="671"/>
      <c r="TNL1" s="671"/>
      <c r="TNM1" s="671"/>
      <c r="TNN1" s="671"/>
      <c r="TNO1" s="671"/>
      <c r="TNP1" s="671"/>
      <c r="TNQ1" s="671"/>
      <c r="TNR1" s="671"/>
      <c r="TNS1" s="671"/>
      <c r="TNT1" s="671"/>
      <c r="TNU1" s="671"/>
      <c r="TNV1" s="671"/>
      <c r="TNW1" s="671"/>
      <c r="TNX1" s="671"/>
      <c r="TNY1" s="671"/>
      <c r="TNZ1" s="671"/>
      <c r="TOA1" s="671"/>
      <c r="TOB1" s="671"/>
      <c r="TOC1" s="671"/>
      <c r="TOD1" s="671"/>
      <c r="TOE1" s="671"/>
      <c r="TOF1" s="671"/>
      <c r="TOG1" s="671"/>
      <c r="TOH1" s="671"/>
      <c r="TOI1" s="671"/>
      <c r="TOJ1" s="671"/>
      <c r="TOK1" s="671"/>
      <c r="TOL1" s="671"/>
      <c r="TOM1" s="671"/>
      <c r="TON1" s="671"/>
      <c r="TOO1" s="671"/>
      <c r="TOP1" s="671"/>
      <c r="TOQ1" s="671"/>
      <c r="TOR1" s="671"/>
      <c r="TOS1" s="671"/>
      <c r="TOT1" s="671"/>
      <c r="TOU1" s="671"/>
      <c r="TOV1" s="671"/>
      <c r="TOW1" s="671"/>
      <c r="TOX1" s="671"/>
      <c r="TOY1" s="671"/>
      <c r="TOZ1" s="671"/>
      <c r="TPA1" s="671"/>
      <c r="TPB1" s="671"/>
      <c r="TPC1" s="671"/>
      <c r="TPD1" s="671"/>
      <c r="TPE1" s="671"/>
      <c r="TPF1" s="671"/>
      <c r="TPG1" s="671"/>
      <c r="TPH1" s="671"/>
      <c r="TPI1" s="671"/>
      <c r="TPJ1" s="671"/>
      <c r="TPK1" s="671"/>
      <c r="TPL1" s="671"/>
      <c r="TPM1" s="671"/>
      <c r="TPN1" s="671"/>
      <c r="TPO1" s="671"/>
      <c r="TPP1" s="671"/>
      <c r="TPQ1" s="671"/>
      <c r="TPR1" s="671"/>
      <c r="TPS1" s="671"/>
      <c r="TPT1" s="671"/>
      <c r="TPU1" s="671"/>
      <c r="TPV1" s="671"/>
      <c r="TPW1" s="671"/>
      <c r="TPX1" s="671"/>
      <c r="TPY1" s="671"/>
      <c r="TPZ1" s="671"/>
      <c r="TQA1" s="671"/>
      <c r="TQB1" s="671"/>
      <c r="TQC1" s="671"/>
      <c r="TQD1" s="671"/>
      <c r="TQE1" s="671"/>
      <c r="TQF1" s="671"/>
      <c r="TQG1" s="671"/>
      <c r="TQH1" s="671"/>
      <c r="TQI1" s="671"/>
      <c r="TQJ1" s="671"/>
      <c r="TQK1" s="671"/>
      <c r="TQL1" s="671"/>
      <c r="TQM1" s="671"/>
      <c r="TQN1" s="671"/>
      <c r="TQO1" s="671"/>
      <c r="TQP1" s="671"/>
      <c r="TQQ1" s="671"/>
      <c r="TQR1" s="671"/>
      <c r="TQS1" s="671"/>
      <c r="TQT1" s="671"/>
      <c r="TQU1" s="671"/>
      <c r="TQV1" s="671"/>
      <c r="TQW1" s="671"/>
      <c r="TQX1" s="671"/>
      <c r="TQY1" s="671"/>
      <c r="TQZ1" s="671"/>
      <c r="TRA1" s="671"/>
      <c r="TRB1" s="671"/>
      <c r="TRC1" s="671"/>
      <c r="TRD1" s="671"/>
      <c r="TRE1" s="671"/>
      <c r="TRF1" s="671"/>
      <c r="TRG1" s="671"/>
      <c r="TRH1" s="671"/>
      <c r="TRI1" s="671"/>
      <c r="TRJ1" s="671"/>
      <c r="TRK1" s="671"/>
      <c r="TRL1" s="671"/>
      <c r="TRM1" s="671"/>
      <c r="TRN1" s="671"/>
      <c r="TRO1" s="671"/>
      <c r="TRP1" s="671"/>
      <c r="TRQ1" s="671"/>
      <c r="TRR1" s="671"/>
      <c r="TRS1" s="671"/>
      <c r="TRT1" s="671"/>
      <c r="TRU1" s="671"/>
      <c r="TRV1" s="671"/>
      <c r="TRW1" s="671"/>
      <c r="TRX1" s="671"/>
      <c r="TRY1" s="671"/>
      <c r="TRZ1" s="671"/>
      <c r="TSA1" s="671"/>
      <c r="TSB1" s="671"/>
      <c r="TSC1" s="671"/>
      <c r="TSD1" s="671"/>
      <c r="TSE1" s="671"/>
      <c r="TSF1" s="671"/>
      <c r="TSG1" s="671"/>
      <c r="TSH1" s="671"/>
      <c r="TSI1" s="671"/>
      <c r="TSJ1" s="671"/>
      <c r="TSK1" s="671"/>
      <c r="TSL1" s="671"/>
      <c r="TSM1" s="671"/>
      <c r="TSN1" s="671"/>
      <c r="TSO1" s="671"/>
      <c r="TSP1" s="671"/>
      <c r="TSQ1" s="671"/>
      <c r="TSR1" s="671"/>
      <c r="TSS1" s="671"/>
      <c r="TST1" s="671"/>
      <c r="TSU1" s="671"/>
      <c r="TSV1" s="671"/>
      <c r="TSW1" s="671"/>
      <c r="TSX1" s="671"/>
      <c r="TSY1" s="671"/>
      <c r="TSZ1" s="671"/>
      <c r="TTA1" s="671"/>
      <c r="TTB1" s="671"/>
      <c r="TTC1" s="671"/>
      <c r="TTD1" s="671"/>
      <c r="TTE1" s="671"/>
      <c r="TTF1" s="671"/>
      <c r="TTG1" s="671"/>
      <c r="TTH1" s="671"/>
      <c r="TTI1" s="671"/>
      <c r="TTJ1" s="671"/>
      <c r="TTK1" s="671"/>
      <c r="TTL1" s="671"/>
      <c r="TTM1" s="671"/>
      <c r="TTN1" s="671"/>
      <c r="TTO1" s="671"/>
      <c r="TTP1" s="671"/>
      <c r="TTQ1" s="671"/>
      <c r="TTR1" s="671"/>
      <c r="TTS1" s="671"/>
      <c r="TTT1" s="671"/>
      <c r="TTU1" s="671"/>
      <c r="TTV1" s="671"/>
      <c r="TTW1" s="671"/>
      <c r="TTX1" s="671"/>
      <c r="TTY1" s="671"/>
      <c r="TTZ1" s="671"/>
      <c r="TUA1" s="671"/>
      <c r="TUB1" s="671"/>
      <c r="TUC1" s="671"/>
      <c r="TUD1" s="671"/>
      <c r="TUE1" s="671"/>
      <c r="TUF1" s="671"/>
      <c r="TUG1" s="671"/>
      <c r="TUH1" s="671"/>
      <c r="TUI1" s="671"/>
      <c r="TUJ1" s="671"/>
      <c r="TUK1" s="671"/>
      <c r="TUL1" s="671"/>
      <c r="TUM1" s="671"/>
      <c r="TUN1" s="671"/>
      <c r="TUO1" s="671"/>
      <c r="TUP1" s="671"/>
      <c r="TUQ1" s="671"/>
      <c r="TUR1" s="671"/>
      <c r="TUS1" s="671"/>
      <c r="TUT1" s="671"/>
      <c r="TUU1" s="671"/>
      <c r="TUV1" s="671"/>
      <c r="TUW1" s="671"/>
      <c r="TUX1" s="671"/>
      <c r="TUY1" s="671"/>
      <c r="TUZ1" s="671"/>
      <c r="TVA1" s="671"/>
      <c r="TVB1" s="671"/>
      <c r="TVC1" s="671"/>
      <c r="TVD1" s="671"/>
      <c r="TVE1" s="671"/>
      <c r="TVF1" s="671"/>
      <c r="TVG1" s="671"/>
      <c r="TVH1" s="671"/>
      <c r="TVI1" s="671"/>
      <c r="TVJ1" s="671"/>
      <c r="TVK1" s="671"/>
      <c r="TVL1" s="671"/>
      <c r="TVM1" s="671"/>
      <c r="TVN1" s="671"/>
      <c r="TVO1" s="671"/>
      <c r="TVP1" s="671"/>
      <c r="TVQ1" s="671"/>
      <c r="TVR1" s="671"/>
      <c r="TVS1" s="671"/>
      <c r="TVT1" s="671"/>
      <c r="TVU1" s="671"/>
      <c r="TVV1" s="671"/>
      <c r="TVW1" s="671"/>
      <c r="TVX1" s="671"/>
      <c r="TVY1" s="671"/>
      <c r="TVZ1" s="671"/>
      <c r="TWA1" s="671"/>
      <c r="TWB1" s="671"/>
      <c r="TWC1" s="671"/>
      <c r="TWD1" s="671"/>
      <c r="TWE1" s="671"/>
      <c r="TWF1" s="671"/>
      <c r="TWG1" s="671"/>
      <c r="TWH1" s="671"/>
      <c r="TWI1" s="671"/>
      <c r="TWJ1" s="671"/>
      <c r="TWK1" s="671"/>
      <c r="TWL1" s="671"/>
      <c r="TWM1" s="671"/>
      <c r="TWN1" s="671"/>
      <c r="TWO1" s="671"/>
      <c r="TWP1" s="671"/>
      <c r="TWQ1" s="671"/>
      <c r="TWR1" s="671"/>
      <c r="TWS1" s="671"/>
      <c r="TWT1" s="671"/>
      <c r="TWU1" s="671"/>
      <c r="TWV1" s="671"/>
      <c r="TWW1" s="671"/>
      <c r="TWX1" s="671"/>
      <c r="TWY1" s="671"/>
      <c r="TWZ1" s="671"/>
      <c r="TXA1" s="671"/>
      <c r="TXB1" s="671"/>
      <c r="TXC1" s="671"/>
      <c r="TXD1" s="671"/>
      <c r="TXE1" s="671"/>
      <c r="TXF1" s="671"/>
      <c r="TXG1" s="671"/>
      <c r="TXH1" s="671"/>
      <c r="TXI1" s="671"/>
      <c r="TXJ1" s="671"/>
      <c r="TXK1" s="671"/>
      <c r="TXL1" s="671"/>
      <c r="TXM1" s="671"/>
      <c r="TXN1" s="671"/>
      <c r="TXO1" s="671"/>
      <c r="TXP1" s="671"/>
      <c r="TXQ1" s="671"/>
      <c r="TXR1" s="671"/>
      <c r="TXS1" s="671"/>
      <c r="TXT1" s="671"/>
      <c r="TXU1" s="671"/>
      <c r="TXV1" s="671"/>
      <c r="TXW1" s="671"/>
      <c r="TXX1" s="671"/>
      <c r="TXY1" s="671"/>
      <c r="TXZ1" s="671"/>
      <c r="TYA1" s="671"/>
      <c r="TYB1" s="671"/>
      <c r="TYC1" s="671"/>
      <c r="TYD1" s="671"/>
      <c r="TYE1" s="671"/>
      <c r="TYF1" s="671"/>
      <c r="TYG1" s="671"/>
      <c r="TYH1" s="671"/>
      <c r="TYI1" s="671"/>
      <c r="TYJ1" s="671"/>
      <c r="TYK1" s="671"/>
      <c r="TYL1" s="671"/>
      <c r="TYM1" s="671"/>
      <c r="TYN1" s="671"/>
      <c r="TYO1" s="671"/>
      <c r="TYP1" s="671"/>
      <c r="TYQ1" s="671"/>
      <c r="TYR1" s="671"/>
      <c r="TYS1" s="671"/>
      <c r="TYT1" s="671"/>
      <c r="TYU1" s="671"/>
      <c r="TYV1" s="671"/>
      <c r="TYW1" s="671"/>
      <c r="TYX1" s="671"/>
      <c r="TYY1" s="671"/>
      <c r="TYZ1" s="671"/>
      <c r="TZA1" s="671"/>
      <c r="TZB1" s="671"/>
      <c r="TZC1" s="671"/>
      <c r="TZD1" s="671"/>
      <c r="TZE1" s="671"/>
      <c r="TZF1" s="671"/>
      <c r="TZG1" s="671"/>
      <c r="TZH1" s="671"/>
      <c r="TZI1" s="671"/>
      <c r="TZJ1" s="671"/>
      <c r="TZK1" s="671"/>
      <c r="TZL1" s="671"/>
      <c r="TZM1" s="671"/>
      <c r="TZN1" s="671"/>
      <c r="TZO1" s="671"/>
      <c r="TZP1" s="671"/>
      <c r="TZQ1" s="671"/>
      <c r="TZR1" s="671"/>
      <c r="TZS1" s="671"/>
      <c r="TZT1" s="671"/>
      <c r="TZU1" s="671"/>
      <c r="TZV1" s="671"/>
      <c r="TZW1" s="671"/>
      <c r="TZX1" s="671"/>
      <c r="TZY1" s="671"/>
      <c r="TZZ1" s="671"/>
      <c r="UAA1" s="671"/>
      <c r="UAB1" s="671"/>
      <c r="UAC1" s="671"/>
      <c r="UAD1" s="671"/>
      <c r="UAE1" s="671"/>
      <c r="UAF1" s="671"/>
      <c r="UAG1" s="671"/>
      <c r="UAH1" s="671"/>
      <c r="UAI1" s="671"/>
      <c r="UAJ1" s="671"/>
      <c r="UAK1" s="671"/>
      <c r="UAL1" s="671"/>
      <c r="UAM1" s="671"/>
      <c r="UAN1" s="671"/>
      <c r="UAO1" s="671"/>
      <c r="UAP1" s="671"/>
      <c r="UAQ1" s="671"/>
      <c r="UAR1" s="671"/>
      <c r="UAS1" s="671"/>
      <c r="UAT1" s="671"/>
      <c r="UAU1" s="671"/>
      <c r="UAV1" s="671"/>
      <c r="UAW1" s="671"/>
      <c r="UAX1" s="671"/>
      <c r="UAY1" s="671"/>
      <c r="UAZ1" s="671"/>
      <c r="UBA1" s="671"/>
      <c r="UBB1" s="671"/>
      <c r="UBC1" s="671"/>
      <c r="UBD1" s="671"/>
      <c r="UBE1" s="671"/>
      <c r="UBF1" s="671"/>
      <c r="UBG1" s="671"/>
      <c r="UBH1" s="671"/>
      <c r="UBI1" s="671"/>
      <c r="UBJ1" s="671"/>
      <c r="UBK1" s="671"/>
      <c r="UBL1" s="671"/>
      <c r="UBM1" s="671"/>
      <c r="UBN1" s="671"/>
      <c r="UBO1" s="671"/>
      <c r="UBP1" s="671"/>
      <c r="UBQ1" s="671"/>
      <c r="UBR1" s="671"/>
      <c r="UBS1" s="671"/>
      <c r="UBT1" s="671"/>
      <c r="UBU1" s="671"/>
      <c r="UBV1" s="671"/>
      <c r="UBW1" s="671"/>
      <c r="UBX1" s="671"/>
      <c r="UBY1" s="671"/>
      <c r="UBZ1" s="671"/>
      <c r="UCA1" s="671"/>
      <c r="UCB1" s="671"/>
      <c r="UCC1" s="671"/>
      <c r="UCD1" s="671"/>
      <c r="UCE1" s="671"/>
      <c r="UCF1" s="671"/>
      <c r="UCG1" s="671"/>
      <c r="UCH1" s="671"/>
      <c r="UCI1" s="671"/>
      <c r="UCJ1" s="671"/>
      <c r="UCK1" s="671"/>
      <c r="UCL1" s="671"/>
      <c r="UCM1" s="671"/>
      <c r="UCN1" s="671"/>
      <c r="UCO1" s="671"/>
      <c r="UCP1" s="671"/>
      <c r="UCQ1" s="671"/>
      <c r="UCR1" s="671"/>
      <c r="UCS1" s="671"/>
      <c r="UCT1" s="671"/>
      <c r="UCU1" s="671"/>
      <c r="UCV1" s="671"/>
      <c r="UCW1" s="671"/>
      <c r="UCX1" s="671"/>
      <c r="UCY1" s="671"/>
      <c r="UCZ1" s="671"/>
      <c r="UDA1" s="671"/>
      <c r="UDB1" s="671"/>
      <c r="UDC1" s="671"/>
      <c r="UDD1" s="671"/>
      <c r="UDE1" s="671"/>
      <c r="UDF1" s="671"/>
      <c r="UDG1" s="671"/>
      <c r="UDH1" s="671"/>
      <c r="UDI1" s="671"/>
      <c r="UDJ1" s="671"/>
      <c r="UDK1" s="671"/>
      <c r="UDL1" s="671"/>
      <c r="UDM1" s="671"/>
      <c r="UDN1" s="671"/>
      <c r="UDO1" s="671"/>
      <c r="UDP1" s="671"/>
      <c r="UDQ1" s="671"/>
      <c r="UDR1" s="671"/>
      <c r="UDS1" s="671"/>
      <c r="UDT1" s="671"/>
      <c r="UDU1" s="671"/>
      <c r="UDV1" s="671"/>
      <c r="UDW1" s="671"/>
      <c r="UDX1" s="671"/>
      <c r="UDY1" s="671"/>
      <c r="UDZ1" s="671"/>
      <c r="UEA1" s="671"/>
      <c r="UEB1" s="671"/>
      <c r="UEC1" s="671"/>
      <c r="UED1" s="671"/>
      <c r="UEE1" s="671"/>
      <c r="UEF1" s="671"/>
      <c r="UEG1" s="671"/>
      <c r="UEH1" s="671"/>
      <c r="UEI1" s="671"/>
      <c r="UEJ1" s="671"/>
      <c r="UEK1" s="671"/>
      <c r="UEL1" s="671"/>
      <c r="UEM1" s="671"/>
      <c r="UEN1" s="671"/>
      <c r="UEO1" s="671"/>
      <c r="UEP1" s="671"/>
      <c r="UEQ1" s="671"/>
      <c r="UER1" s="671"/>
      <c r="UES1" s="671"/>
      <c r="UET1" s="671"/>
      <c r="UEU1" s="671"/>
      <c r="UEV1" s="671"/>
      <c r="UEW1" s="671"/>
      <c r="UEX1" s="671"/>
      <c r="UEY1" s="671"/>
      <c r="UEZ1" s="671"/>
      <c r="UFA1" s="671"/>
      <c r="UFB1" s="671"/>
      <c r="UFC1" s="671"/>
      <c r="UFD1" s="671"/>
      <c r="UFE1" s="671"/>
      <c r="UFF1" s="671"/>
      <c r="UFG1" s="671"/>
      <c r="UFH1" s="671"/>
      <c r="UFI1" s="671"/>
      <c r="UFJ1" s="671"/>
      <c r="UFK1" s="671"/>
      <c r="UFL1" s="671"/>
      <c r="UFM1" s="671"/>
      <c r="UFN1" s="671"/>
      <c r="UFO1" s="671"/>
      <c r="UFP1" s="671"/>
      <c r="UFQ1" s="671"/>
      <c r="UFR1" s="671"/>
      <c r="UFS1" s="671"/>
      <c r="UFT1" s="671"/>
      <c r="UFU1" s="671"/>
      <c r="UFV1" s="671"/>
      <c r="UFW1" s="671"/>
      <c r="UFX1" s="671"/>
      <c r="UFY1" s="671"/>
      <c r="UFZ1" s="671"/>
      <c r="UGA1" s="671"/>
      <c r="UGB1" s="671"/>
      <c r="UGC1" s="671"/>
      <c r="UGD1" s="671"/>
      <c r="UGE1" s="671"/>
      <c r="UGF1" s="671"/>
      <c r="UGG1" s="671"/>
      <c r="UGH1" s="671"/>
      <c r="UGI1" s="671"/>
      <c r="UGJ1" s="671"/>
      <c r="UGK1" s="671"/>
      <c r="UGL1" s="671"/>
      <c r="UGM1" s="671"/>
      <c r="UGN1" s="671"/>
      <c r="UGO1" s="671"/>
      <c r="UGP1" s="671"/>
      <c r="UGQ1" s="671"/>
      <c r="UGR1" s="671"/>
      <c r="UGS1" s="671"/>
      <c r="UGT1" s="671"/>
      <c r="UGU1" s="671"/>
      <c r="UGV1" s="671"/>
      <c r="UGW1" s="671"/>
      <c r="UGX1" s="671"/>
      <c r="UGY1" s="671"/>
      <c r="UGZ1" s="671"/>
      <c r="UHA1" s="671"/>
      <c r="UHB1" s="671"/>
      <c r="UHC1" s="671"/>
      <c r="UHD1" s="671"/>
      <c r="UHE1" s="671"/>
      <c r="UHF1" s="671"/>
      <c r="UHG1" s="671"/>
      <c r="UHH1" s="671"/>
      <c r="UHI1" s="671"/>
      <c r="UHJ1" s="671"/>
      <c r="UHK1" s="671"/>
      <c r="UHL1" s="671"/>
      <c r="UHM1" s="671"/>
      <c r="UHN1" s="671"/>
      <c r="UHO1" s="671"/>
      <c r="UHP1" s="671"/>
      <c r="UHQ1" s="671"/>
      <c r="UHR1" s="671"/>
      <c r="UHS1" s="671"/>
      <c r="UHT1" s="671"/>
      <c r="UHU1" s="671"/>
      <c r="UHV1" s="671"/>
      <c r="UHW1" s="671"/>
      <c r="UHX1" s="671"/>
      <c r="UHY1" s="671"/>
      <c r="UHZ1" s="671"/>
      <c r="UIA1" s="671"/>
      <c r="UIB1" s="671"/>
      <c r="UIC1" s="671"/>
      <c r="UID1" s="671"/>
      <c r="UIE1" s="671"/>
      <c r="UIF1" s="671"/>
      <c r="UIG1" s="671"/>
      <c r="UIH1" s="671"/>
      <c r="UII1" s="671"/>
      <c r="UIJ1" s="671"/>
      <c r="UIK1" s="671"/>
      <c r="UIL1" s="671"/>
      <c r="UIM1" s="671"/>
      <c r="UIN1" s="671"/>
      <c r="UIO1" s="671"/>
      <c r="UIP1" s="671"/>
      <c r="UIQ1" s="671"/>
      <c r="UIR1" s="671"/>
      <c r="UIS1" s="671"/>
      <c r="UIT1" s="671"/>
      <c r="UIU1" s="671"/>
      <c r="UIV1" s="671"/>
      <c r="UIW1" s="671"/>
      <c r="UIX1" s="671"/>
      <c r="UIY1" s="671"/>
      <c r="UIZ1" s="671"/>
      <c r="UJA1" s="671"/>
      <c r="UJB1" s="671"/>
      <c r="UJC1" s="671"/>
      <c r="UJD1" s="671"/>
      <c r="UJE1" s="671"/>
      <c r="UJF1" s="671"/>
      <c r="UJG1" s="671"/>
      <c r="UJH1" s="671"/>
      <c r="UJI1" s="671"/>
      <c r="UJJ1" s="671"/>
      <c r="UJK1" s="671"/>
      <c r="UJL1" s="671"/>
      <c r="UJM1" s="671"/>
      <c r="UJN1" s="671"/>
      <c r="UJO1" s="671"/>
      <c r="UJP1" s="671"/>
      <c r="UJQ1" s="671"/>
      <c r="UJR1" s="671"/>
      <c r="UJS1" s="671"/>
      <c r="UJT1" s="671"/>
      <c r="UJU1" s="671"/>
      <c r="UJV1" s="671"/>
      <c r="UJW1" s="671"/>
      <c r="UJX1" s="671"/>
      <c r="UJY1" s="671"/>
      <c r="UJZ1" s="671"/>
      <c r="UKA1" s="671"/>
      <c r="UKB1" s="671"/>
      <c r="UKC1" s="671"/>
      <c r="UKD1" s="671"/>
      <c r="UKE1" s="671"/>
      <c r="UKF1" s="671"/>
      <c r="UKG1" s="671"/>
      <c r="UKH1" s="671"/>
      <c r="UKI1" s="671"/>
      <c r="UKJ1" s="671"/>
      <c r="UKK1" s="671"/>
      <c r="UKL1" s="671"/>
      <c r="UKM1" s="671"/>
      <c r="UKN1" s="671"/>
      <c r="UKO1" s="671"/>
      <c r="UKP1" s="671"/>
      <c r="UKQ1" s="671"/>
      <c r="UKR1" s="671"/>
      <c r="UKS1" s="671"/>
      <c r="UKT1" s="671"/>
      <c r="UKU1" s="671"/>
      <c r="UKV1" s="671"/>
      <c r="UKW1" s="671"/>
      <c r="UKX1" s="671"/>
      <c r="UKY1" s="671"/>
      <c r="UKZ1" s="671"/>
      <c r="ULA1" s="671"/>
      <c r="ULB1" s="671"/>
      <c r="ULC1" s="671"/>
      <c r="ULD1" s="671"/>
      <c r="ULE1" s="671"/>
      <c r="ULF1" s="671"/>
      <c r="ULG1" s="671"/>
      <c r="ULH1" s="671"/>
      <c r="ULI1" s="671"/>
      <c r="ULJ1" s="671"/>
      <c r="ULK1" s="671"/>
      <c r="ULL1" s="671"/>
      <c r="ULM1" s="671"/>
      <c r="ULN1" s="671"/>
      <c r="ULO1" s="671"/>
      <c r="ULP1" s="671"/>
      <c r="ULQ1" s="671"/>
      <c r="ULR1" s="671"/>
      <c r="ULS1" s="671"/>
      <c r="ULT1" s="671"/>
      <c r="ULU1" s="671"/>
      <c r="ULV1" s="671"/>
      <c r="ULW1" s="671"/>
      <c r="ULX1" s="671"/>
      <c r="ULY1" s="671"/>
      <c r="ULZ1" s="671"/>
      <c r="UMA1" s="671"/>
      <c r="UMB1" s="671"/>
      <c r="UMC1" s="671"/>
      <c r="UMD1" s="671"/>
      <c r="UME1" s="671"/>
      <c r="UMF1" s="671"/>
      <c r="UMG1" s="671"/>
      <c r="UMH1" s="671"/>
      <c r="UMI1" s="671"/>
      <c r="UMJ1" s="671"/>
      <c r="UMK1" s="671"/>
      <c r="UML1" s="671"/>
      <c r="UMM1" s="671"/>
      <c r="UMN1" s="671"/>
      <c r="UMO1" s="671"/>
      <c r="UMP1" s="671"/>
      <c r="UMQ1" s="671"/>
      <c r="UMR1" s="671"/>
      <c r="UMS1" s="671"/>
      <c r="UMT1" s="671"/>
      <c r="UMU1" s="671"/>
      <c r="UMV1" s="671"/>
      <c r="UMW1" s="671"/>
      <c r="UMX1" s="671"/>
      <c r="UMY1" s="671"/>
      <c r="UMZ1" s="671"/>
      <c r="UNA1" s="671"/>
      <c r="UNB1" s="671"/>
      <c r="UNC1" s="671"/>
      <c r="UND1" s="671"/>
      <c r="UNE1" s="671"/>
      <c r="UNF1" s="671"/>
      <c r="UNG1" s="671"/>
      <c r="UNH1" s="671"/>
      <c r="UNI1" s="671"/>
      <c r="UNJ1" s="671"/>
      <c r="UNK1" s="671"/>
      <c r="UNL1" s="671"/>
      <c r="UNM1" s="671"/>
      <c r="UNN1" s="671"/>
      <c r="UNO1" s="671"/>
      <c r="UNP1" s="671"/>
      <c r="UNQ1" s="671"/>
      <c r="UNR1" s="671"/>
      <c r="UNS1" s="671"/>
      <c r="UNT1" s="671"/>
      <c r="UNU1" s="671"/>
      <c r="UNV1" s="671"/>
      <c r="UNW1" s="671"/>
      <c r="UNX1" s="671"/>
      <c r="UNY1" s="671"/>
      <c r="UNZ1" s="671"/>
      <c r="UOA1" s="671"/>
      <c r="UOB1" s="671"/>
      <c r="UOC1" s="671"/>
      <c r="UOD1" s="671"/>
      <c r="UOE1" s="671"/>
      <c r="UOF1" s="671"/>
      <c r="UOG1" s="671"/>
      <c r="UOH1" s="671"/>
      <c r="UOI1" s="671"/>
      <c r="UOJ1" s="671"/>
      <c r="UOK1" s="671"/>
      <c r="UOL1" s="671"/>
      <c r="UOM1" s="671"/>
      <c r="UON1" s="671"/>
      <c r="UOO1" s="671"/>
      <c r="UOP1" s="671"/>
      <c r="UOQ1" s="671"/>
      <c r="UOR1" s="671"/>
      <c r="UOS1" s="671"/>
      <c r="UOT1" s="671"/>
      <c r="UOU1" s="671"/>
      <c r="UOV1" s="671"/>
      <c r="UOW1" s="671"/>
      <c r="UOX1" s="671"/>
      <c r="UOY1" s="671"/>
      <c r="UOZ1" s="671"/>
      <c r="UPA1" s="671"/>
      <c r="UPB1" s="671"/>
      <c r="UPC1" s="671"/>
      <c r="UPD1" s="671"/>
      <c r="UPE1" s="671"/>
      <c r="UPF1" s="671"/>
      <c r="UPG1" s="671"/>
      <c r="UPH1" s="671"/>
      <c r="UPI1" s="671"/>
      <c r="UPJ1" s="671"/>
      <c r="UPK1" s="671"/>
      <c r="UPL1" s="671"/>
      <c r="UPM1" s="671"/>
      <c r="UPN1" s="671"/>
      <c r="UPO1" s="671"/>
      <c r="UPP1" s="671"/>
      <c r="UPQ1" s="671"/>
      <c r="UPR1" s="671"/>
      <c r="UPS1" s="671"/>
      <c r="UPT1" s="671"/>
      <c r="UPU1" s="671"/>
      <c r="UPV1" s="671"/>
      <c r="UPW1" s="671"/>
      <c r="UPX1" s="671"/>
      <c r="UPY1" s="671"/>
      <c r="UPZ1" s="671"/>
      <c r="UQA1" s="671"/>
      <c r="UQB1" s="671"/>
      <c r="UQC1" s="671"/>
      <c r="UQD1" s="671"/>
      <c r="UQE1" s="671"/>
      <c r="UQF1" s="671"/>
      <c r="UQG1" s="671"/>
      <c r="UQH1" s="671"/>
      <c r="UQI1" s="671"/>
      <c r="UQJ1" s="671"/>
      <c r="UQK1" s="671"/>
      <c r="UQL1" s="671"/>
      <c r="UQM1" s="671"/>
      <c r="UQN1" s="671"/>
      <c r="UQO1" s="671"/>
      <c r="UQP1" s="671"/>
      <c r="UQQ1" s="671"/>
      <c r="UQR1" s="671"/>
      <c r="UQS1" s="671"/>
      <c r="UQT1" s="671"/>
      <c r="UQU1" s="671"/>
      <c r="UQV1" s="671"/>
      <c r="UQW1" s="671"/>
      <c r="UQX1" s="671"/>
      <c r="UQY1" s="671"/>
      <c r="UQZ1" s="671"/>
      <c r="URA1" s="671"/>
      <c r="URB1" s="671"/>
      <c r="URC1" s="671"/>
      <c r="URD1" s="671"/>
      <c r="URE1" s="671"/>
      <c r="URF1" s="671"/>
      <c r="URG1" s="671"/>
      <c r="URH1" s="671"/>
      <c r="URI1" s="671"/>
      <c r="URJ1" s="671"/>
      <c r="URK1" s="671"/>
      <c r="URL1" s="671"/>
      <c r="URM1" s="671"/>
      <c r="URN1" s="671"/>
      <c r="URO1" s="671"/>
      <c r="URP1" s="671"/>
      <c r="URQ1" s="671"/>
      <c r="URR1" s="671"/>
      <c r="URS1" s="671"/>
      <c r="URT1" s="671"/>
      <c r="URU1" s="671"/>
      <c r="URV1" s="671"/>
      <c r="URW1" s="671"/>
      <c r="URX1" s="671"/>
      <c r="URY1" s="671"/>
      <c r="URZ1" s="671"/>
      <c r="USA1" s="671"/>
      <c r="USB1" s="671"/>
      <c r="USC1" s="671"/>
      <c r="USD1" s="671"/>
      <c r="USE1" s="671"/>
      <c r="USF1" s="671"/>
      <c r="USG1" s="671"/>
      <c r="USH1" s="671"/>
      <c r="USI1" s="671"/>
      <c r="USJ1" s="671"/>
      <c r="USK1" s="671"/>
      <c r="USL1" s="671"/>
      <c r="USM1" s="671"/>
      <c r="USN1" s="671"/>
      <c r="USO1" s="671"/>
      <c r="USP1" s="671"/>
      <c r="USQ1" s="671"/>
      <c r="USR1" s="671"/>
      <c r="USS1" s="671"/>
      <c r="UST1" s="671"/>
      <c r="USU1" s="671"/>
      <c r="USV1" s="671"/>
      <c r="USW1" s="671"/>
      <c r="USX1" s="671"/>
      <c r="USY1" s="671"/>
      <c r="USZ1" s="671"/>
      <c r="UTA1" s="671"/>
      <c r="UTB1" s="671"/>
      <c r="UTC1" s="671"/>
      <c r="UTD1" s="671"/>
      <c r="UTE1" s="671"/>
      <c r="UTF1" s="671"/>
      <c r="UTG1" s="671"/>
      <c r="UTH1" s="671"/>
      <c r="UTI1" s="671"/>
      <c r="UTJ1" s="671"/>
      <c r="UTK1" s="671"/>
      <c r="UTL1" s="671"/>
      <c r="UTM1" s="671"/>
      <c r="UTN1" s="671"/>
      <c r="UTO1" s="671"/>
      <c r="UTP1" s="671"/>
      <c r="UTQ1" s="671"/>
      <c r="UTR1" s="671"/>
      <c r="UTS1" s="671"/>
      <c r="UTT1" s="671"/>
      <c r="UTU1" s="671"/>
      <c r="UTV1" s="671"/>
      <c r="UTW1" s="671"/>
      <c r="UTX1" s="671"/>
      <c r="UTY1" s="671"/>
      <c r="UTZ1" s="671"/>
      <c r="UUA1" s="671"/>
      <c r="UUB1" s="671"/>
      <c r="UUC1" s="671"/>
      <c r="UUD1" s="671"/>
      <c r="UUE1" s="671"/>
      <c r="UUF1" s="671"/>
      <c r="UUG1" s="671"/>
      <c r="UUH1" s="671"/>
      <c r="UUI1" s="671"/>
      <c r="UUJ1" s="671"/>
      <c r="UUK1" s="671"/>
      <c r="UUL1" s="671"/>
      <c r="UUM1" s="671"/>
      <c r="UUN1" s="671"/>
      <c r="UUO1" s="671"/>
      <c r="UUP1" s="671"/>
      <c r="UUQ1" s="671"/>
      <c r="UUR1" s="671"/>
      <c r="UUS1" s="671"/>
      <c r="UUT1" s="671"/>
      <c r="UUU1" s="671"/>
      <c r="UUV1" s="671"/>
      <c r="UUW1" s="671"/>
      <c r="UUX1" s="671"/>
      <c r="UUY1" s="671"/>
      <c r="UUZ1" s="671"/>
      <c r="UVA1" s="671"/>
      <c r="UVB1" s="671"/>
      <c r="UVC1" s="671"/>
      <c r="UVD1" s="671"/>
      <c r="UVE1" s="671"/>
      <c r="UVF1" s="671"/>
      <c r="UVG1" s="671"/>
      <c r="UVH1" s="671"/>
      <c r="UVI1" s="671"/>
      <c r="UVJ1" s="671"/>
      <c r="UVK1" s="671"/>
      <c r="UVL1" s="671"/>
      <c r="UVM1" s="671"/>
      <c r="UVN1" s="671"/>
      <c r="UVO1" s="671"/>
      <c r="UVP1" s="671"/>
      <c r="UVQ1" s="671"/>
      <c r="UVR1" s="671"/>
      <c r="UVS1" s="671"/>
      <c r="UVT1" s="671"/>
      <c r="UVU1" s="671"/>
      <c r="UVV1" s="671"/>
      <c r="UVW1" s="671"/>
      <c r="UVX1" s="671"/>
      <c r="UVY1" s="671"/>
      <c r="UVZ1" s="671"/>
      <c r="UWA1" s="671"/>
      <c r="UWB1" s="671"/>
      <c r="UWC1" s="671"/>
      <c r="UWD1" s="671"/>
      <c r="UWE1" s="671"/>
      <c r="UWF1" s="671"/>
      <c r="UWG1" s="671"/>
      <c r="UWH1" s="671"/>
      <c r="UWI1" s="671"/>
      <c r="UWJ1" s="671"/>
      <c r="UWK1" s="671"/>
      <c r="UWL1" s="671"/>
      <c r="UWM1" s="671"/>
      <c r="UWN1" s="671"/>
      <c r="UWO1" s="671"/>
      <c r="UWP1" s="671"/>
      <c r="UWQ1" s="671"/>
      <c r="UWR1" s="671"/>
      <c r="UWS1" s="671"/>
      <c r="UWT1" s="671"/>
      <c r="UWU1" s="671"/>
      <c r="UWV1" s="671"/>
      <c r="UWW1" s="671"/>
      <c r="UWX1" s="671"/>
      <c r="UWY1" s="671"/>
      <c r="UWZ1" s="671"/>
      <c r="UXA1" s="671"/>
      <c r="UXB1" s="671"/>
      <c r="UXC1" s="671"/>
      <c r="UXD1" s="671"/>
      <c r="UXE1" s="671"/>
      <c r="UXF1" s="671"/>
      <c r="UXG1" s="671"/>
      <c r="UXH1" s="671"/>
      <c r="UXI1" s="671"/>
      <c r="UXJ1" s="671"/>
      <c r="UXK1" s="671"/>
      <c r="UXL1" s="671"/>
      <c r="UXM1" s="671"/>
      <c r="UXN1" s="671"/>
      <c r="UXO1" s="671"/>
      <c r="UXP1" s="671"/>
      <c r="UXQ1" s="671"/>
      <c r="UXR1" s="671"/>
      <c r="UXS1" s="671"/>
      <c r="UXT1" s="671"/>
      <c r="UXU1" s="671"/>
      <c r="UXV1" s="671"/>
      <c r="UXW1" s="671"/>
      <c r="UXX1" s="671"/>
      <c r="UXY1" s="671"/>
      <c r="UXZ1" s="671"/>
      <c r="UYA1" s="671"/>
      <c r="UYB1" s="671"/>
      <c r="UYC1" s="671"/>
      <c r="UYD1" s="671"/>
      <c r="UYE1" s="671"/>
      <c r="UYF1" s="671"/>
      <c r="UYG1" s="671"/>
      <c r="UYH1" s="671"/>
      <c r="UYI1" s="671"/>
      <c r="UYJ1" s="671"/>
      <c r="UYK1" s="671"/>
      <c r="UYL1" s="671"/>
      <c r="UYM1" s="671"/>
      <c r="UYN1" s="671"/>
      <c r="UYO1" s="671"/>
      <c r="UYP1" s="671"/>
      <c r="UYQ1" s="671"/>
      <c r="UYR1" s="671"/>
      <c r="UYS1" s="671"/>
      <c r="UYT1" s="671"/>
      <c r="UYU1" s="671"/>
      <c r="UYV1" s="671"/>
      <c r="UYW1" s="671"/>
      <c r="UYX1" s="671"/>
      <c r="UYY1" s="671"/>
      <c r="UYZ1" s="671"/>
      <c r="UZA1" s="671"/>
      <c r="UZB1" s="671"/>
      <c r="UZC1" s="671"/>
      <c r="UZD1" s="671"/>
      <c r="UZE1" s="671"/>
      <c r="UZF1" s="671"/>
      <c r="UZG1" s="671"/>
      <c r="UZH1" s="671"/>
      <c r="UZI1" s="671"/>
      <c r="UZJ1" s="671"/>
      <c r="UZK1" s="671"/>
      <c r="UZL1" s="671"/>
      <c r="UZM1" s="671"/>
      <c r="UZN1" s="671"/>
      <c r="UZO1" s="671"/>
      <c r="UZP1" s="671"/>
      <c r="UZQ1" s="671"/>
      <c r="UZR1" s="671"/>
      <c r="UZS1" s="671"/>
      <c r="UZT1" s="671"/>
      <c r="UZU1" s="671"/>
      <c r="UZV1" s="671"/>
      <c r="UZW1" s="671"/>
      <c r="UZX1" s="671"/>
      <c r="UZY1" s="671"/>
      <c r="UZZ1" s="671"/>
      <c r="VAA1" s="671"/>
      <c r="VAB1" s="671"/>
      <c r="VAC1" s="671"/>
      <c r="VAD1" s="671"/>
      <c r="VAE1" s="671"/>
      <c r="VAF1" s="671"/>
      <c r="VAG1" s="671"/>
      <c r="VAH1" s="671"/>
      <c r="VAI1" s="671"/>
      <c r="VAJ1" s="671"/>
      <c r="VAK1" s="671"/>
      <c r="VAL1" s="671"/>
      <c r="VAM1" s="671"/>
      <c r="VAN1" s="671"/>
      <c r="VAO1" s="671"/>
      <c r="VAP1" s="671"/>
      <c r="VAQ1" s="671"/>
      <c r="VAR1" s="671"/>
      <c r="VAS1" s="671"/>
      <c r="VAT1" s="671"/>
      <c r="VAU1" s="671"/>
      <c r="VAV1" s="671"/>
      <c r="VAW1" s="671"/>
      <c r="VAX1" s="671"/>
      <c r="VAY1" s="671"/>
      <c r="VAZ1" s="671"/>
      <c r="VBA1" s="671"/>
      <c r="VBB1" s="671"/>
      <c r="VBC1" s="671"/>
      <c r="VBD1" s="671"/>
      <c r="VBE1" s="671"/>
      <c r="VBF1" s="671"/>
      <c r="VBG1" s="671"/>
      <c r="VBH1" s="671"/>
      <c r="VBI1" s="671"/>
      <c r="VBJ1" s="671"/>
      <c r="VBK1" s="671"/>
      <c r="VBL1" s="671"/>
      <c r="VBM1" s="671"/>
      <c r="VBN1" s="671"/>
      <c r="VBO1" s="671"/>
      <c r="VBP1" s="671"/>
      <c r="VBQ1" s="671"/>
      <c r="VBR1" s="671"/>
      <c r="VBS1" s="671"/>
      <c r="VBT1" s="671"/>
      <c r="VBU1" s="671"/>
      <c r="VBV1" s="671"/>
      <c r="VBW1" s="671"/>
      <c r="VBX1" s="671"/>
      <c r="VBY1" s="671"/>
      <c r="VBZ1" s="671"/>
      <c r="VCA1" s="671"/>
      <c r="VCB1" s="671"/>
      <c r="VCC1" s="671"/>
      <c r="VCD1" s="671"/>
      <c r="VCE1" s="671"/>
      <c r="VCF1" s="671"/>
      <c r="VCG1" s="671"/>
      <c r="VCH1" s="671"/>
      <c r="VCI1" s="671"/>
      <c r="VCJ1" s="671"/>
      <c r="VCK1" s="671"/>
      <c r="VCL1" s="671"/>
      <c r="VCM1" s="671"/>
      <c r="VCN1" s="671"/>
      <c r="VCO1" s="671"/>
      <c r="VCP1" s="671"/>
      <c r="VCQ1" s="671"/>
      <c r="VCR1" s="671"/>
      <c r="VCS1" s="671"/>
      <c r="VCT1" s="671"/>
      <c r="VCU1" s="671"/>
      <c r="VCV1" s="671"/>
      <c r="VCW1" s="671"/>
      <c r="VCX1" s="671"/>
      <c r="VCY1" s="671"/>
      <c r="VCZ1" s="671"/>
      <c r="VDA1" s="671"/>
      <c r="VDB1" s="671"/>
      <c r="VDC1" s="671"/>
      <c r="VDD1" s="671"/>
      <c r="VDE1" s="671"/>
      <c r="VDF1" s="671"/>
      <c r="VDG1" s="671"/>
      <c r="VDH1" s="671"/>
      <c r="VDI1" s="671"/>
      <c r="VDJ1" s="671"/>
      <c r="VDK1" s="671"/>
      <c r="VDL1" s="671"/>
      <c r="VDM1" s="671"/>
      <c r="VDN1" s="671"/>
      <c r="VDO1" s="671"/>
      <c r="VDP1" s="671"/>
      <c r="VDQ1" s="671"/>
      <c r="VDR1" s="671"/>
      <c r="VDS1" s="671"/>
      <c r="VDT1" s="671"/>
      <c r="VDU1" s="671"/>
      <c r="VDV1" s="671"/>
      <c r="VDW1" s="671"/>
      <c r="VDX1" s="671"/>
      <c r="VDY1" s="671"/>
      <c r="VDZ1" s="671"/>
      <c r="VEA1" s="671"/>
      <c r="VEB1" s="671"/>
      <c r="VEC1" s="671"/>
      <c r="VED1" s="671"/>
      <c r="VEE1" s="671"/>
      <c r="VEF1" s="671"/>
      <c r="VEG1" s="671"/>
      <c r="VEH1" s="671"/>
      <c r="VEI1" s="671"/>
      <c r="VEJ1" s="671"/>
      <c r="VEK1" s="671"/>
      <c r="VEL1" s="671"/>
      <c r="VEM1" s="671"/>
      <c r="VEN1" s="671"/>
      <c r="VEO1" s="671"/>
      <c r="VEP1" s="671"/>
      <c r="VEQ1" s="671"/>
      <c r="VER1" s="671"/>
      <c r="VES1" s="671"/>
      <c r="VET1" s="671"/>
      <c r="VEU1" s="671"/>
      <c r="VEV1" s="671"/>
      <c r="VEW1" s="671"/>
      <c r="VEX1" s="671"/>
      <c r="VEY1" s="671"/>
      <c r="VEZ1" s="671"/>
      <c r="VFA1" s="671"/>
      <c r="VFB1" s="671"/>
      <c r="VFC1" s="671"/>
      <c r="VFD1" s="671"/>
      <c r="VFE1" s="671"/>
      <c r="VFF1" s="671"/>
      <c r="VFG1" s="671"/>
      <c r="VFH1" s="671"/>
      <c r="VFI1" s="671"/>
      <c r="VFJ1" s="671"/>
      <c r="VFK1" s="671"/>
      <c r="VFL1" s="671"/>
      <c r="VFM1" s="671"/>
      <c r="VFN1" s="671"/>
      <c r="VFO1" s="671"/>
      <c r="VFP1" s="671"/>
      <c r="VFQ1" s="671"/>
      <c r="VFR1" s="671"/>
      <c r="VFS1" s="671"/>
      <c r="VFT1" s="671"/>
      <c r="VFU1" s="671"/>
      <c r="VFV1" s="671"/>
      <c r="VFW1" s="671"/>
      <c r="VFX1" s="671"/>
      <c r="VFY1" s="671"/>
      <c r="VFZ1" s="671"/>
      <c r="VGA1" s="671"/>
      <c r="VGB1" s="671"/>
      <c r="VGC1" s="671"/>
      <c r="VGD1" s="671"/>
      <c r="VGE1" s="671"/>
      <c r="VGF1" s="671"/>
      <c r="VGG1" s="671"/>
      <c r="VGH1" s="671"/>
      <c r="VGI1" s="671"/>
      <c r="VGJ1" s="671"/>
      <c r="VGK1" s="671"/>
      <c r="VGL1" s="671"/>
      <c r="VGM1" s="671"/>
      <c r="VGN1" s="671"/>
      <c r="VGO1" s="671"/>
      <c r="VGP1" s="671"/>
      <c r="VGQ1" s="671"/>
      <c r="VGR1" s="671"/>
      <c r="VGS1" s="671"/>
      <c r="VGT1" s="671"/>
      <c r="VGU1" s="671"/>
      <c r="VGV1" s="671"/>
      <c r="VGW1" s="671"/>
      <c r="VGX1" s="671"/>
      <c r="VGY1" s="671"/>
      <c r="VGZ1" s="671"/>
      <c r="VHA1" s="671"/>
      <c r="VHB1" s="671"/>
      <c r="VHC1" s="671"/>
      <c r="VHD1" s="671"/>
      <c r="VHE1" s="671"/>
      <c r="VHF1" s="671"/>
      <c r="VHG1" s="671"/>
      <c r="VHH1" s="671"/>
      <c r="VHI1" s="671"/>
      <c r="VHJ1" s="671"/>
      <c r="VHK1" s="671"/>
      <c r="VHL1" s="671"/>
      <c r="VHM1" s="671"/>
      <c r="VHN1" s="671"/>
      <c r="VHO1" s="671"/>
      <c r="VHP1" s="671"/>
      <c r="VHQ1" s="671"/>
      <c r="VHR1" s="671"/>
      <c r="VHS1" s="671"/>
      <c r="VHT1" s="671"/>
      <c r="VHU1" s="671"/>
      <c r="VHV1" s="671"/>
      <c r="VHW1" s="671"/>
      <c r="VHX1" s="671"/>
      <c r="VHY1" s="671"/>
      <c r="VHZ1" s="671"/>
      <c r="VIA1" s="671"/>
      <c r="VIB1" s="671"/>
      <c r="VIC1" s="671"/>
      <c r="VID1" s="671"/>
      <c r="VIE1" s="671"/>
      <c r="VIF1" s="671"/>
      <c r="VIG1" s="671"/>
      <c r="VIH1" s="671"/>
      <c r="VII1" s="671"/>
      <c r="VIJ1" s="671"/>
      <c r="VIK1" s="671"/>
      <c r="VIL1" s="671"/>
      <c r="VIM1" s="671"/>
      <c r="VIN1" s="671"/>
      <c r="VIO1" s="671"/>
      <c r="VIP1" s="671"/>
      <c r="VIQ1" s="671"/>
      <c r="VIR1" s="671"/>
      <c r="VIS1" s="671"/>
      <c r="VIT1" s="671"/>
      <c r="VIU1" s="671"/>
      <c r="VIV1" s="671"/>
      <c r="VIW1" s="671"/>
      <c r="VIX1" s="671"/>
      <c r="VIY1" s="671"/>
      <c r="VIZ1" s="671"/>
      <c r="VJA1" s="671"/>
      <c r="VJB1" s="671"/>
      <c r="VJC1" s="671"/>
      <c r="VJD1" s="671"/>
      <c r="VJE1" s="671"/>
      <c r="VJF1" s="671"/>
      <c r="VJG1" s="671"/>
      <c r="VJH1" s="671"/>
      <c r="VJI1" s="671"/>
      <c r="VJJ1" s="671"/>
      <c r="VJK1" s="671"/>
      <c r="VJL1" s="671"/>
      <c r="VJM1" s="671"/>
      <c r="VJN1" s="671"/>
      <c r="VJO1" s="671"/>
      <c r="VJP1" s="671"/>
      <c r="VJQ1" s="671"/>
      <c r="VJR1" s="671"/>
      <c r="VJS1" s="671"/>
      <c r="VJT1" s="671"/>
      <c r="VJU1" s="671"/>
      <c r="VJV1" s="671"/>
      <c r="VJW1" s="671"/>
      <c r="VJX1" s="671"/>
      <c r="VJY1" s="671"/>
      <c r="VJZ1" s="671"/>
      <c r="VKA1" s="671"/>
      <c r="VKB1" s="671"/>
      <c r="VKC1" s="671"/>
      <c r="VKD1" s="671"/>
      <c r="VKE1" s="671"/>
      <c r="VKF1" s="671"/>
      <c r="VKG1" s="671"/>
      <c r="VKH1" s="671"/>
      <c r="VKI1" s="671"/>
      <c r="VKJ1" s="671"/>
      <c r="VKK1" s="671"/>
      <c r="VKL1" s="671"/>
      <c r="VKM1" s="671"/>
      <c r="VKN1" s="671"/>
      <c r="VKO1" s="671"/>
      <c r="VKP1" s="671"/>
      <c r="VKQ1" s="671"/>
      <c r="VKR1" s="671"/>
      <c r="VKS1" s="671"/>
      <c r="VKT1" s="671"/>
      <c r="VKU1" s="671"/>
      <c r="VKV1" s="671"/>
      <c r="VKW1" s="671"/>
      <c r="VKX1" s="671"/>
      <c r="VKY1" s="671"/>
      <c r="VKZ1" s="671"/>
      <c r="VLA1" s="671"/>
      <c r="VLB1" s="671"/>
      <c r="VLC1" s="671"/>
      <c r="VLD1" s="671"/>
      <c r="VLE1" s="671"/>
      <c r="VLF1" s="671"/>
      <c r="VLG1" s="671"/>
      <c r="VLH1" s="671"/>
      <c r="VLI1" s="671"/>
      <c r="VLJ1" s="671"/>
      <c r="VLK1" s="671"/>
      <c r="VLL1" s="671"/>
      <c r="VLM1" s="671"/>
      <c r="VLN1" s="671"/>
      <c r="VLO1" s="671"/>
      <c r="VLP1" s="671"/>
      <c r="VLQ1" s="671"/>
      <c r="VLR1" s="671"/>
      <c r="VLS1" s="671"/>
      <c r="VLT1" s="671"/>
      <c r="VLU1" s="671"/>
      <c r="VLV1" s="671"/>
      <c r="VLW1" s="671"/>
      <c r="VLX1" s="671"/>
      <c r="VLY1" s="671"/>
      <c r="VLZ1" s="671"/>
      <c r="VMA1" s="671"/>
      <c r="VMB1" s="671"/>
      <c r="VMC1" s="671"/>
      <c r="VMD1" s="671"/>
      <c r="VME1" s="671"/>
      <c r="VMF1" s="671"/>
      <c r="VMG1" s="671"/>
      <c r="VMH1" s="671"/>
      <c r="VMI1" s="671"/>
      <c r="VMJ1" s="671"/>
      <c r="VMK1" s="671"/>
      <c r="VML1" s="671"/>
      <c r="VMM1" s="671"/>
      <c r="VMN1" s="671"/>
      <c r="VMO1" s="671"/>
      <c r="VMP1" s="671"/>
      <c r="VMQ1" s="671"/>
      <c r="VMR1" s="671"/>
      <c r="VMS1" s="671"/>
      <c r="VMT1" s="671"/>
      <c r="VMU1" s="671"/>
      <c r="VMV1" s="671"/>
      <c r="VMW1" s="671"/>
      <c r="VMX1" s="671"/>
      <c r="VMY1" s="671"/>
      <c r="VMZ1" s="671"/>
      <c r="VNA1" s="671"/>
      <c r="VNB1" s="671"/>
      <c r="VNC1" s="671"/>
      <c r="VND1" s="671"/>
      <c r="VNE1" s="671"/>
      <c r="VNF1" s="671"/>
      <c r="VNG1" s="671"/>
      <c r="VNH1" s="671"/>
      <c r="VNI1" s="671"/>
      <c r="VNJ1" s="671"/>
      <c r="VNK1" s="671"/>
      <c r="VNL1" s="671"/>
      <c r="VNM1" s="671"/>
      <c r="VNN1" s="671"/>
      <c r="VNO1" s="671"/>
      <c r="VNP1" s="671"/>
      <c r="VNQ1" s="671"/>
      <c r="VNR1" s="671"/>
      <c r="VNS1" s="671"/>
      <c r="VNT1" s="671"/>
      <c r="VNU1" s="671"/>
      <c r="VNV1" s="671"/>
      <c r="VNW1" s="671"/>
      <c r="VNX1" s="671"/>
      <c r="VNY1" s="671"/>
      <c r="VNZ1" s="671"/>
      <c r="VOA1" s="671"/>
      <c r="VOB1" s="671"/>
      <c r="VOC1" s="671"/>
      <c r="VOD1" s="671"/>
      <c r="VOE1" s="671"/>
      <c r="VOF1" s="671"/>
      <c r="VOG1" s="671"/>
      <c r="VOH1" s="671"/>
      <c r="VOI1" s="671"/>
      <c r="VOJ1" s="671"/>
      <c r="VOK1" s="671"/>
      <c r="VOL1" s="671"/>
      <c r="VOM1" s="671"/>
      <c r="VON1" s="671"/>
      <c r="VOO1" s="671"/>
      <c r="VOP1" s="671"/>
      <c r="VOQ1" s="671"/>
      <c r="VOR1" s="671"/>
      <c r="VOS1" s="671"/>
      <c r="VOT1" s="671"/>
      <c r="VOU1" s="671"/>
      <c r="VOV1" s="671"/>
      <c r="VOW1" s="671"/>
      <c r="VOX1" s="671"/>
      <c r="VOY1" s="671"/>
      <c r="VOZ1" s="671"/>
      <c r="VPA1" s="671"/>
      <c r="VPB1" s="671"/>
      <c r="VPC1" s="671"/>
      <c r="VPD1" s="671"/>
      <c r="VPE1" s="671"/>
      <c r="VPF1" s="671"/>
      <c r="VPG1" s="671"/>
      <c r="VPH1" s="671"/>
      <c r="VPI1" s="671"/>
      <c r="VPJ1" s="671"/>
      <c r="VPK1" s="671"/>
      <c r="VPL1" s="671"/>
      <c r="VPM1" s="671"/>
      <c r="VPN1" s="671"/>
      <c r="VPO1" s="671"/>
      <c r="VPP1" s="671"/>
      <c r="VPQ1" s="671"/>
      <c r="VPR1" s="671"/>
      <c r="VPS1" s="671"/>
      <c r="VPT1" s="671"/>
      <c r="VPU1" s="671"/>
      <c r="VPV1" s="671"/>
      <c r="VPW1" s="671"/>
      <c r="VPX1" s="671"/>
      <c r="VPY1" s="671"/>
      <c r="VPZ1" s="671"/>
      <c r="VQA1" s="671"/>
      <c r="VQB1" s="671"/>
      <c r="VQC1" s="671"/>
      <c r="VQD1" s="671"/>
      <c r="VQE1" s="671"/>
      <c r="VQF1" s="671"/>
      <c r="VQG1" s="671"/>
      <c r="VQH1" s="671"/>
      <c r="VQI1" s="671"/>
      <c r="VQJ1" s="671"/>
      <c r="VQK1" s="671"/>
      <c r="VQL1" s="671"/>
      <c r="VQM1" s="671"/>
      <c r="VQN1" s="671"/>
      <c r="VQO1" s="671"/>
      <c r="VQP1" s="671"/>
      <c r="VQQ1" s="671"/>
      <c r="VQR1" s="671"/>
      <c r="VQS1" s="671"/>
      <c r="VQT1" s="671"/>
      <c r="VQU1" s="671"/>
      <c r="VQV1" s="671"/>
      <c r="VQW1" s="671"/>
      <c r="VQX1" s="671"/>
      <c r="VQY1" s="671"/>
      <c r="VQZ1" s="671"/>
      <c r="VRA1" s="671"/>
      <c r="VRB1" s="671"/>
      <c r="VRC1" s="671"/>
      <c r="VRD1" s="671"/>
      <c r="VRE1" s="671"/>
      <c r="VRF1" s="671"/>
      <c r="VRG1" s="671"/>
      <c r="VRH1" s="671"/>
      <c r="VRI1" s="671"/>
      <c r="VRJ1" s="671"/>
      <c r="VRK1" s="671"/>
      <c r="VRL1" s="671"/>
      <c r="VRM1" s="671"/>
      <c r="VRN1" s="671"/>
      <c r="VRO1" s="671"/>
      <c r="VRP1" s="671"/>
      <c r="VRQ1" s="671"/>
      <c r="VRR1" s="671"/>
      <c r="VRS1" s="671"/>
      <c r="VRT1" s="671"/>
      <c r="VRU1" s="671"/>
      <c r="VRV1" s="671"/>
      <c r="VRW1" s="671"/>
      <c r="VRX1" s="671"/>
      <c r="VRY1" s="671"/>
      <c r="VRZ1" s="671"/>
      <c r="VSA1" s="671"/>
      <c r="VSB1" s="671"/>
      <c r="VSC1" s="671"/>
      <c r="VSD1" s="671"/>
      <c r="VSE1" s="671"/>
      <c r="VSF1" s="671"/>
      <c r="VSG1" s="671"/>
      <c r="VSH1" s="671"/>
      <c r="VSI1" s="671"/>
      <c r="VSJ1" s="671"/>
      <c r="VSK1" s="671"/>
      <c r="VSL1" s="671"/>
      <c r="VSM1" s="671"/>
      <c r="VSN1" s="671"/>
      <c r="VSO1" s="671"/>
      <c r="VSP1" s="671"/>
      <c r="VSQ1" s="671"/>
      <c r="VSR1" s="671"/>
      <c r="VSS1" s="671"/>
      <c r="VST1" s="671"/>
      <c r="VSU1" s="671"/>
      <c r="VSV1" s="671"/>
      <c r="VSW1" s="671"/>
      <c r="VSX1" s="671"/>
      <c r="VSY1" s="671"/>
      <c r="VSZ1" s="671"/>
      <c r="VTA1" s="671"/>
      <c r="VTB1" s="671"/>
      <c r="VTC1" s="671"/>
      <c r="VTD1" s="671"/>
      <c r="VTE1" s="671"/>
      <c r="VTF1" s="671"/>
      <c r="VTG1" s="671"/>
      <c r="VTH1" s="671"/>
      <c r="VTI1" s="671"/>
      <c r="VTJ1" s="671"/>
      <c r="VTK1" s="671"/>
      <c r="VTL1" s="671"/>
      <c r="VTM1" s="671"/>
      <c r="VTN1" s="671"/>
      <c r="VTO1" s="671"/>
      <c r="VTP1" s="671"/>
      <c r="VTQ1" s="671"/>
      <c r="VTR1" s="671"/>
      <c r="VTS1" s="671"/>
      <c r="VTT1" s="671"/>
      <c r="VTU1" s="671"/>
      <c r="VTV1" s="671"/>
      <c r="VTW1" s="671"/>
      <c r="VTX1" s="671"/>
      <c r="VTY1" s="671"/>
      <c r="VTZ1" s="671"/>
      <c r="VUA1" s="671"/>
      <c r="VUB1" s="671"/>
      <c r="VUC1" s="671"/>
      <c r="VUD1" s="671"/>
      <c r="VUE1" s="671"/>
      <c r="VUF1" s="671"/>
      <c r="VUG1" s="671"/>
      <c r="VUH1" s="671"/>
      <c r="VUI1" s="671"/>
      <c r="VUJ1" s="671"/>
      <c r="VUK1" s="671"/>
      <c r="VUL1" s="671"/>
      <c r="VUM1" s="671"/>
      <c r="VUN1" s="671"/>
      <c r="VUO1" s="671"/>
      <c r="VUP1" s="671"/>
      <c r="VUQ1" s="671"/>
      <c r="VUR1" s="671"/>
      <c r="VUS1" s="671"/>
      <c r="VUT1" s="671"/>
      <c r="VUU1" s="671"/>
      <c r="VUV1" s="671"/>
      <c r="VUW1" s="671"/>
      <c r="VUX1" s="671"/>
      <c r="VUY1" s="671"/>
      <c r="VUZ1" s="671"/>
      <c r="VVA1" s="671"/>
      <c r="VVB1" s="671"/>
      <c r="VVC1" s="671"/>
      <c r="VVD1" s="671"/>
      <c r="VVE1" s="671"/>
      <c r="VVF1" s="671"/>
      <c r="VVG1" s="671"/>
      <c r="VVH1" s="671"/>
      <c r="VVI1" s="671"/>
      <c r="VVJ1" s="671"/>
      <c r="VVK1" s="671"/>
      <c r="VVL1" s="671"/>
      <c r="VVM1" s="671"/>
      <c r="VVN1" s="671"/>
      <c r="VVO1" s="671"/>
      <c r="VVP1" s="671"/>
      <c r="VVQ1" s="671"/>
      <c r="VVR1" s="671"/>
      <c r="VVS1" s="671"/>
      <c r="VVT1" s="671"/>
      <c r="VVU1" s="671"/>
      <c r="VVV1" s="671"/>
      <c r="VVW1" s="671"/>
      <c r="VVX1" s="671"/>
      <c r="VVY1" s="671"/>
      <c r="VVZ1" s="671"/>
      <c r="VWA1" s="671"/>
      <c r="VWB1" s="671"/>
      <c r="VWC1" s="671"/>
      <c r="VWD1" s="671"/>
      <c r="VWE1" s="671"/>
      <c r="VWF1" s="671"/>
      <c r="VWG1" s="671"/>
      <c r="VWH1" s="671"/>
      <c r="VWI1" s="671"/>
      <c r="VWJ1" s="671"/>
      <c r="VWK1" s="671"/>
      <c r="VWL1" s="671"/>
      <c r="VWM1" s="671"/>
      <c r="VWN1" s="671"/>
      <c r="VWO1" s="671"/>
      <c r="VWP1" s="671"/>
      <c r="VWQ1" s="671"/>
      <c r="VWR1" s="671"/>
      <c r="VWS1" s="671"/>
      <c r="VWT1" s="671"/>
      <c r="VWU1" s="671"/>
      <c r="VWV1" s="671"/>
      <c r="VWW1" s="671"/>
      <c r="VWX1" s="671"/>
      <c r="VWY1" s="671"/>
      <c r="VWZ1" s="671"/>
      <c r="VXA1" s="671"/>
      <c r="VXB1" s="671"/>
      <c r="VXC1" s="671"/>
      <c r="VXD1" s="671"/>
      <c r="VXE1" s="671"/>
      <c r="VXF1" s="671"/>
      <c r="VXG1" s="671"/>
      <c r="VXH1" s="671"/>
      <c r="VXI1" s="671"/>
      <c r="VXJ1" s="671"/>
      <c r="VXK1" s="671"/>
      <c r="VXL1" s="671"/>
      <c r="VXM1" s="671"/>
      <c r="VXN1" s="671"/>
      <c r="VXO1" s="671"/>
      <c r="VXP1" s="671"/>
      <c r="VXQ1" s="671"/>
      <c r="VXR1" s="671"/>
      <c r="VXS1" s="671"/>
      <c r="VXT1" s="671"/>
      <c r="VXU1" s="671"/>
      <c r="VXV1" s="671"/>
      <c r="VXW1" s="671"/>
      <c r="VXX1" s="671"/>
      <c r="VXY1" s="671"/>
      <c r="VXZ1" s="671"/>
      <c r="VYA1" s="671"/>
      <c r="VYB1" s="671"/>
      <c r="VYC1" s="671"/>
      <c r="VYD1" s="671"/>
      <c r="VYE1" s="671"/>
      <c r="VYF1" s="671"/>
      <c r="VYG1" s="671"/>
      <c r="VYH1" s="671"/>
      <c r="VYI1" s="671"/>
      <c r="VYJ1" s="671"/>
      <c r="VYK1" s="671"/>
      <c r="VYL1" s="671"/>
      <c r="VYM1" s="671"/>
      <c r="VYN1" s="671"/>
      <c r="VYO1" s="671"/>
      <c r="VYP1" s="671"/>
      <c r="VYQ1" s="671"/>
      <c r="VYR1" s="671"/>
      <c r="VYS1" s="671"/>
      <c r="VYT1" s="671"/>
      <c r="VYU1" s="671"/>
      <c r="VYV1" s="671"/>
      <c r="VYW1" s="671"/>
      <c r="VYX1" s="671"/>
      <c r="VYY1" s="671"/>
      <c r="VYZ1" s="671"/>
      <c r="VZA1" s="671"/>
      <c r="VZB1" s="671"/>
      <c r="VZC1" s="671"/>
      <c r="VZD1" s="671"/>
      <c r="VZE1" s="671"/>
      <c r="VZF1" s="671"/>
      <c r="VZG1" s="671"/>
      <c r="VZH1" s="671"/>
      <c r="VZI1" s="671"/>
      <c r="VZJ1" s="671"/>
      <c r="VZK1" s="671"/>
      <c r="VZL1" s="671"/>
      <c r="VZM1" s="671"/>
      <c r="VZN1" s="671"/>
      <c r="VZO1" s="671"/>
      <c r="VZP1" s="671"/>
      <c r="VZQ1" s="671"/>
      <c r="VZR1" s="671"/>
      <c r="VZS1" s="671"/>
      <c r="VZT1" s="671"/>
      <c r="VZU1" s="671"/>
      <c r="VZV1" s="671"/>
      <c r="VZW1" s="671"/>
      <c r="VZX1" s="671"/>
      <c r="VZY1" s="671"/>
      <c r="VZZ1" s="671"/>
      <c r="WAA1" s="671"/>
      <c r="WAB1" s="671"/>
      <c r="WAC1" s="671"/>
      <c r="WAD1" s="671"/>
      <c r="WAE1" s="671"/>
      <c r="WAF1" s="671"/>
      <c r="WAG1" s="671"/>
      <c r="WAH1" s="671"/>
      <c r="WAI1" s="671"/>
      <c r="WAJ1" s="671"/>
      <c r="WAK1" s="671"/>
      <c r="WAL1" s="671"/>
      <c r="WAM1" s="671"/>
      <c r="WAN1" s="671"/>
      <c r="WAO1" s="671"/>
      <c r="WAP1" s="671"/>
      <c r="WAQ1" s="671"/>
      <c r="WAR1" s="671"/>
      <c r="WAS1" s="671"/>
      <c r="WAT1" s="671"/>
      <c r="WAU1" s="671"/>
      <c r="WAV1" s="671"/>
      <c r="WAW1" s="671"/>
      <c r="WAX1" s="671"/>
      <c r="WAY1" s="671"/>
      <c r="WAZ1" s="671"/>
      <c r="WBA1" s="671"/>
      <c r="WBB1" s="671"/>
      <c r="WBC1" s="671"/>
      <c r="WBD1" s="671"/>
      <c r="WBE1" s="671"/>
      <c r="WBF1" s="671"/>
      <c r="WBG1" s="671"/>
      <c r="WBH1" s="671"/>
      <c r="WBI1" s="671"/>
      <c r="WBJ1" s="671"/>
      <c r="WBK1" s="671"/>
      <c r="WBL1" s="671"/>
      <c r="WBM1" s="671"/>
      <c r="WBN1" s="671"/>
      <c r="WBO1" s="671"/>
      <c r="WBP1" s="671"/>
      <c r="WBQ1" s="671"/>
      <c r="WBR1" s="671"/>
      <c r="WBS1" s="671"/>
      <c r="WBT1" s="671"/>
      <c r="WBU1" s="671"/>
      <c r="WBV1" s="671"/>
      <c r="WBW1" s="671"/>
      <c r="WBX1" s="671"/>
      <c r="WBY1" s="671"/>
      <c r="WBZ1" s="671"/>
      <c r="WCA1" s="671"/>
      <c r="WCB1" s="671"/>
      <c r="WCC1" s="671"/>
      <c r="WCD1" s="671"/>
      <c r="WCE1" s="671"/>
      <c r="WCF1" s="671"/>
      <c r="WCG1" s="671"/>
      <c r="WCH1" s="671"/>
      <c r="WCI1" s="671"/>
      <c r="WCJ1" s="671"/>
      <c r="WCK1" s="671"/>
      <c r="WCL1" s="671"/>
      <c r="WCM1" s="671"/>
      <c r="WCN1" s="671"/>
      <c r="WCO1" s="671"/>
      <c r="WCP1" s="671"/>
      <c r="WCQ1" s="671"/>
      <c r="WCR1" s="671"/>
      <c r="WCS1" s="671"/>
      <c r="WCT1" s="671"/>
      <c r="WCU1" s="671"/>
      <c r="WCV1" s="671"/>
      <c r="WCW1" s="671"/>
      <c r="WCX1" s="671"/>
      <c r="WCY1" s="671"/>
      <c r="WCZ1" s="671"/>
      <c r="WDA1" s="671"/>
      <c r="WDB1" s="671"/>
      <c r="WDC1" s="671"/>
      <c r="WDD1" s="671"/>
      <c r="WDE1" s="671"/>
      <c r="WDF1" s="671"/>
      <c r="WDG1" s="671"/>
      <c r="WDH1" s="671"/>
      <c r="WDI1" s="671"/>
      <c r="WDJ1" s="671"/>
      <c r="WDK1" s="671"/>
      <c r="WDL1" s="671"/>
      <c r="WDM1" s="671"/>
      <c r="WDN1" s="671"/>
      <c r="WDO1" s="671"/>
      <c r="WDP1" s="671"/>
      <c r="WDQ1" s="671"/>
      <c r="WDR1" s="671"/>
      <c r="WDS1" s="671"/>
      <c r="WDT1" s="671"/>
      <c r="WDU1" s="671"/>
      <c r="WDV1" s="671"/>
      <c r="WDW1" s="671"/>
      <c r="WDX1" s="671"/>
      <c r="WDY1" s="671"/>
      <c r="WDZ1" s="671"/>
      <c r="WEA1" s="671"/>
      <c r="WEB1" s="671"/>
      <c r="WEC1" s="671"/>
      <c r="WED1" s="671"/>
      <c r="WEE1" s="671"/>
      <c r="WEF1" s="671"/>
      <c r="WEG1" s="671"/>
      <c r="WEH1" s="671"/>
      <c r="WEI1" s="671"/>
      <c r="WEJ1" s="671"/>
      <c r="WEK1" s="671"/>
      <c r="WEL1" s="671"/>
      <c r="WEM1" s="671"/>
      <c r="WEN1" s="671"/>
      <c r="WEO1" s="671"/>
      <c r="WEP1" s="671"/>
      <c r="WEQ1" s="671"/>
      <c r="WER1" s="671"/>
      <c r="WES1" s="671"/>
      <c r="WET1" s="671"/>
      <c r="WEU1" s="671"/>
      <c r="WEV1" s="671"/>
      <c r="WEW1" s="671"/>
      <c r="WEX1" s="671"/>
      <c r="WEY1" s="671"/>
      <c r="WEZ1" s="671"/>
      <c r="WFA1" s="671"/>
      <c r="WFB1" s="671"/>
      <c r="WFC1" s="671"/>
      <c r="WFD1" s="671"/>
      <c r="WFE1" s="671"/>
      <c r="WFF1" s="671"/>
      <c r="WFG1" s="671"/>
      <c r="WFH1" s="671"/>
      <c r="WFI1" s="671"/>
      <c r="WFJ1" s="671"/>
      <c r="WFK1" s="671"/>
      <c r="WFL1" s="671"/>
      <c r="WFM1" s="671"/>
      <c r="WFN1" s="671"/>
      <c r="WFO1" s="671"/>
      <c r="WFP1" s="671"/>
      <c r="WFQ1" s="671"/>
      <c r="WFR1" s="671"/>
      <c r="WFS1" s="671"/>
      <c r="WFT1" s="671"/>
      <c r="WFU1" s="671"/>
      <c r="WFV1" s="671"/>
      <c r="WFW1" s="671"/>
      <c r="WFX1" s="671"/>
      <c r="WFY1" s="671"/>
      <c r="WFZ1" s="671"/>
      <c r="WGA1" s="671"/>
      <c r="WGB1" s="671"/>
      <c r="WGC1" s="671"/>
      <c r="WGD1" s="671"/>
      <c r="WGE1" s="671"/>
      <c r="WGF1" s="671"/>
      <c r="WGG1" s="671"/>
      <c r="WGH1" s="671"/>
      <c r="WGI1" s="671"/>
      <c r="WGJ1" s="671"/>
      <c r="WGK1" s="671"/>
      <c r="WGL1" s="671"/>
      <c r="WGM1" s="671"/>
      <c r="WGN1" s="671"/>
      <c r="WGO1" s="671"/>
      <c r="WGP1" s="671"/>
      <c r="WGQ1" s="671"/>
      <c r="WGR1" s="671"/>
      <c r="WGS1" s="671"/>
      <c r="WGT1" s="671"/>
      <c r="WGU1" s="671"/>
      <c r="WGV1" s="671"/>
      <c r="WGW1" s="671"/>
      <c r="WGX1" s="671"/>
      <c r="WGY1" s="671"/>
      <c r="WGZ1" s="671"/>
      <c r="WHA1" s="671"/>
      <c r="WHB1" s="671"/>
      <c r="WHC1" s="671"/>
      <c r="WHD1" s="671"/>
      <c r="WHE1" s="671"/>
      <c r="WHF1" s="671"/>
      <c r="WHG1" s="671"/>
      <c r="WHH1" s="671"/>
      <c r="WHI1" s="671"/>
      <c r="WHJ1" s="671"/>
      <c r="WHK1" s="671"/>
      <c r="WHL1" s="671"/>
      <c r="WHM1" s="671"/>
      <c r="WHN1" s="671"/>
      <c r="WHO1" s="671"/>
      <c r="WHP1" s="671"/>
      <c r="WHQ1" s="671"/>
      <c r="WHR1" s="671"/>
      <c r="WHS1" s="671"/>
      <c r="WHT1" s="671"/>
      <c r="WHU1" s="671"/>
      <c r="WHV1" s="671"/>
      <c r="WHW1" s="671"/>
      <c r="WHX1" s="671"/>
      <c r="WHY1" s="671"/>
      <c r="WHZ1" s="671"/>
      <c r="WIA1" s="671"/>
      <c r="WIB1" s="671"/>
      <c r="WIC1" s="671"/>
      <c r="WID1" s="671"/>
      <c r="WIE1" s="671"/>
      <c r="WIF1" s="671"/>
      <c r="WIG1" s="671"/>
      <c r="WIH1" s="671"/>
      <c r="WII1" s="671"/>
      <c r="WIJ1" s="671"/>
      <c r="WIK1" s="671"/>
      <c r="WIL1" s="671"/>
      <c r="WIM1" s="671"/>
      <c r="WIN1" s="671"/>
      <c r="WIO1" s="671"/>
      <c r="WIP1" s="671"/>
      <c r="WIQ1" s="671"/>
      <c r="WIR1" s="671"/>
      <c r="WIS1" s="671"/>
      <c r="WIT1" s="671"/>
      <c r="WIU1" s="671"/>
      <c r="WIV1" s="671"/>
      <c r="WIW1" s="671"/>
      <c r="WIX1" s="671"/>
      <c r="WIY1" s="671"/>
      <c r="WIZ1" s="671"/>
      <c r="WJA1" s="671"/>
      <c r="WJB1" s="671"/>
      <c r="WJC1" s="671"/>
      <c r="WJD1" s="671"/>
      <c r="WJE1" s="671"/>
      <c r="WJF1" s="671"/>
      <c r="WJG1" s="671"/>
      <c r="WJH1" s="671"/>
      <c r="WJI1" s="671"/>
      <c r="WJJ1" s="671"/>
      <c r="WJK1" s="671"/>
      <c r="WJL1" s="671"/>
      <c r="WJM1" s="671"/>
      <c r="WJN1" s="671"/>
      <c r="WJO1" s="671"/>
      <c r="WJP1" s="671"/>
      <c r="WJQ1" s="671"/>
      <c r="WJR1" s="671"/>
      <c r="WJS1" s="671"/>
      <c r="WJT1" s="671"/>
      <c r="WJU1" s="671"/>
      <c r="WJV1" s="671"/>
      <c r="WJW1" s="671"/>
      <c r="WJX1" s="671"/>
      <c r="WJY1" s="671"/>
      <c r="WJZ1" s="671"/>
      <c r="WKA1" s="671"/>
      <c r="WKB1" s="671"/>
      <c r="WKC1" s="671"/>
      <c r="WKD1" s="671"/>
      <c r="WKE1" s="671"/>
      <c r="WKF1" s="671"/>
      <c r="WKG1" s="671"/>
      <c r="WKH1" s="671"/>
      <c r="WKI1" s="671"/>
      <c r="WKJ1" s="671"/>
      <c r="WKK1" s="671"/>
      <c r="WKL1" s="671"/>
      <c r="WKM1" s="671"/>
      <c r="WKN1" s="671"/>
      <c r="WKO1" s="671"/>
      <c r="WKP1" s="671"/>
      <c r="WKQ1" s="671"/>
      <c r="WKR1" s="671"/>
      <c r="WKS1" s="671"/>
      <c r="WKT1" s="671"/>
      <c r="WKU1" s="671"/>
      <c r="WKV1" s="671"/>
      <c r="WKW1" s="671"/>
      <c r="WKX1" s="671"/>
      <c r="WKY1" s="671"/>
      <c r="WKZ1" s="671"/>
      <c r="WLA1" s="671"/>
      <c r="WLB1" s="671"/>
      <c r="WLC1" s="671"/>
      <c r="WLD1" s="671"/>
      <c r="WLE1" s="671"/>
      <c r="WLF1" s="671"/>
      <c r="WLG1" s="671"/>
      <c r="WLH1" s="671"/>
      <c r="WLI1" s="671"/>
      <c r="WLJ1" s="671"/>
      <c r="WLK1" s="671"/>
      <c r="WLL1" s="671"/>
      <c r="WLM1" s="671"/>
      <c r="WLN1" s="671"/>
      <c r="WLO1" s="671"/>
      <c r="WLP1" s="671"/>
      <c r="WLQ1" s="671"/>
      <c r="WLR1" s="671"/>
      <c r="WLS1" s="671"/>
      <c r="WLT1" s="671"/>
      <c r="WLU1" s="671"/>
      <c r="WLV1" s="671"/>
      <c r="WLW1" s="671"/>
      <c r="WLX1" s="671"/>
      <c r="WLY1" s="671"/>
      <c r="WLZ1" s="671"/>
      <c r="WMA1" s="671"/>
      <c r="WMB1" s="671"/>
      <c r="WMC1" s="671"/>
      <c r="WMD1" s="671"/>
      <c r="WME1" s="671"/>
      <c r="WMF1" s="671"/>
      <c r="WMG1" s="671"/>
      <c r="WMH1" s="671"/>
      <c r="WMI1" s="671"/>
      <c r="WMJ1" s="671"/>
      <c r="WMK1" s="671"/>
      <c r="WML1" s="671"/>
      <c r="WMM1" s="671"/>
      <c r="WMN1" s="671"/>
      <c r="WMO1" s="671"/>
      <c r="WMP1" s="671"/>
      <c r="WMQ1" s="671"/>
      <c r="WMR1" s="671"/>
      <c r="WMS1" s="671"/>
      <c r="WMT1" s="671"/>
      <c r="WMU1" s="671"/>
      <c r="WMV1" s="671"/>
      <c r="WMW1" s="671"/>
      <c r="WMX1" s="671"/>
      <c r="WMY1" s="671"/>
      <c r="WMZ1" s="671"/>
      <c r="WNA1" s="671"/>
      <c r="WNB1" s="671"/>
      <c r="WNC1" s="671"/>
      <c r="WND1" s="671"/>
      <c r="WNE1" s="671"/>
      <c r="WNF1" s="671"/>
      <c r="WNG1" s="671"/>
      <c r="WNH1" s="671"/>
      <c r="WNI1" s="671"/>
      <c r="WNJ1" s="671"/>
      <c r="WNK1" s="671"/>
      <c r="WNL1" s="671"/>
      <c r="WNM1" s="671"/>
      <c r="WNN1" s="671"/>
      <c r="WNO1" s="671"/>
      <c r="WNP1" s="671"/>
      <c r="WNQ1" s="671"/>
      <c r="WNR1" s="671"/>
      <c r="WNS1" s="671"/>
      <c r="WNT1" s="671"/>
      <c r="WNU1" s="671"/>
      <c r="WNV1" s="671"/>
      <c r="WNW1" s="671"/>
      <c r="WNX1" s="671"/>
      <c r="WNY1" s="671"/>
      <c r="WNZ1" s="671"/>
      <c r="WOA1" s="671"/>
      <c r="WOB1" s="671"/>
      <c r="WOC1" s="671"/>
      <c r="WOD1" s="671"/>
      <c r="WOE1" s="671"/>
      <c r="WOF1" s="671"/>
      <c r="WOG1" s="671"/>
      <c r="WOH1" s="671"/>
      <c r="WOI1" s="671"/>
      <c r="WOJ1" s="671"/>
      <c r="WOK1" s="671"/>
      <c r="WOL1" s="671"/>
      <c r="WOM1" s="671"/>
      <c r="WON1" s="671"/>
      <c r="WOO1" s="671"/>
      <c r="WOP1" s="671"/>
      <c r="WOQ1" s="671"/>
      <c r="WOR1" s="671"/>
      <c r="WOS1" s="671"/>
      <c r="WOT1" s="671"/>
      <c r="WOU1" s="671"/>
      <c r="WOV1" s="671"/>
      <c r="WOW1" s="671"/>
      <c r="WOX1" s="671"/>
      <c r="WOY1" s="671"/>
      <c r="WOZ1" s="671"/>
      <c r="WPA1" s="671"/>
      <c r="WPB1" s="671"/>
      <c r="WPC1" s="671"/>
      <c r="WPD1" s="671"/>
      <c r="WPE1" s="671"/>
      <c r="WPF1" s="671"/>
      <c r="WPG1" s="671"/>
      <c r="WPH1" s="671"/>
      <c r="WPI1" s="671"/>
      <c r="WPJ1" s="671"/>
      <c r="WPK1" s="671"/>
      <c r="WPL1" s="671"/>
      <c r="WPM1" s="671"/>
      <c r="WPN1" s="671"/>
      <c r="WPO1" s="671"/>
      <c r="WPP1" s="671"/>
      <c r="WPQ1" s="671"/>
      <c r="WPR1" s="671"/>
      <c r="WPS1" s="671"/>
      <c r="WPT1" s="671"/>
      <c r="WPU1" s="671"/>
      <c r="WPV1" s="671"/>
      <c r="WPW1" s="671"/>
      <c r="WPX1" s="671"/>
      <c r="WPY1" s="671"/>
      <c r="WPZ1" s="671"/>
      <c r="WQA1" s="671"/>
      <c r="WQB1" s="671"/>
      <c r="WQC1" s="671"/>
      <c r="WQD1" s="671"/>
      <c r="WQE1" s="671"/>
      <c r="WQF1" s="671"/>
      <c r="WQG1" s="671"/>
      <c r="WQH1" s="671"/>
      <c r="WQI1" s="671"/>
      <c r="WQJ1" s="671"/>
      <c r="WQK1" s="671"/>
      <c r="WQL1" s="671"/>
      <c r="WQM1" s="671"/>
      <c r="WQN1" s="671"/>
      <c r="WQO1" s="671"/>
      <c r="WQP1" s="671"/>
      <c r="WQQ1" s="671"/>
      <c r="WQR1" s="671"/>
      <c r="WQS1" s="671"/>
      <c r="WQT1" s="671"/>
      <c r="WQU1" s="671"/>
      <c r="WQV1" s="671"/>
      <c r="WQW1" s="671"/>
      <c r="WQX1" s="671"/>
      <c r="WQY1" s="671"/>
      <c r="WQZ1" s="671"/>
      <c r="WRA1" s="671"/>
      <c r="WRB1" s="671"/>
      <c r="WRC1" s="671"/>
      <c r="WRD1" s="671"/>
      <c r="WRE1" s="671"/>
      <c r="WRF1" s="671"/>
      <c r="WRG1" s="671"/>
      <c r="WRH1" s="671"/>
      <c r="WRI1" s="671"/>
      <c r="WRJ1" s="671"/>
      <c r="WRK1" s="671"/>
      <c r="WRL1" s="671"/>
      <c r="WRM1" s="671"/>
      <c r="WRN1" s="671"/>
      <c r="WRO1" s="671"/>
      <c r="WRP1" s="671"/>
      <c r="WRQ1" s="671"/>
      <c r="WRR1" s="671"/>
      <c r="WRS1" s="671"/>
      <c r="WRT1" s="671"/>
      <c r="WRU1" s="671"/>
      <c r="WRV1" s="671"/>
      <c r="WRW1" s="671"/>
      <c r="WRX1" s="671"/>
      <c r="WRY1" s="671"/>
      <c r="WRZ1" s="671"/>
      <c r="WSA1" s="671"/>
      <c r="WSB1" s="671"/>
      <c r="WSC1" s="671"/>
      <c r="WSD1" s="671"/>
      <c r="WSE1" s="671"/>
      <c r="WSF1" s="671"/>
      <c r="WSG1" s="671"/>
      <c r="WSH1" s="671"/>
      <c r="WSI1" s="671"/>
      <c r="WSJ1" s="671"/>
      <c r="WSK1" s="671"/>
      <c r="WSL1" s="671"/>
      <c r="WSM1" s="671"/>
      <c r="WSN1" s="671"/>
      <c r="WSO1" s="671"/>
      <c r="WSP1" s="671"/>
      <c r="WSQ1" s="671"/>
      <c r="WSR1" s="671"/>
      <c r="WSS1" s="671"/>
      <c r="WST1" s="671"/>
      <c r="WSU1" s="671"/>
      <c r="WSV1" s="671"/>
      <c r="WSW1" s="671"/>
      <c r="WSX1" s="671"/>
      <c r="WSY1" s="671"/>
      <c r="WSZ1" s="671"/>
      <c r="WTA1" s="671"/>
      <c r="WTB1" s="671"/>
      <c r="WTC1" s="671"/>
      <c r="WTD1" s="671"/>
      <c r="WTE1" s="671"/>
      <c r="WTF1" s="671"/>
      <c r="WTG1" s="671"/>
      <c r="WTH1" s="671"/>
      <c r="WTI1" s="671"/>
      <c r="WTJ1" s="671"/>
      <c r="WTK1" s="671"/>
      <c r="WTL1" s="671"/>
      <c r="WTM1" s="671"/>
      <c r="WTN1" s="671"/>
      <c r="WTO1" s="671"/>
      <c r="WTP1" s="671"/>
      <c r="WTQ1" s="671"/>
      <c r="WTR1" s="671"/>
      <c r="WTS1" s="671"/>
      <c r="WTT1" s="671"/>
      <c r="WTU1" s="671"/>
      <c r="WTV1" s="671"/>
      <c r="WTW1" s="671"/>
      <c r="WTX1" s="671"/>
      <c r="WTY1" s="671"/>
      <c r="WTZ1" s="671"/>
      <c r="WUA1" s="671"/>
      <c r="WUB1" s="671"/>
      <c r="WUC1" s="671"/>
      <c r="WUD1" s="671"/>
      <c r="WUE1" s="671"/>
      <c r="WUF1" s="671"/>
      <c r="WUG1" s="671"/>
      <c r="WUH1" s="671"/>
      <c r="WUI1" s="671"/>
      <c r="WUJ1" s="671"/>
      <c r="WUK1" s="671"/>
      <c r="WUL1" s="671"/>
      <c r="WUM1" s="671"/>
      <c r="WUN1" s="671"/>
      <c r="WUO1" s="671"/>
      <c r="WUP1" s="671"/>
      <c r="WUQ1" s="671"/>
      <c r="WUR1" s="671"/>
      <c r="WUS1" s="671"/>
      <c r="WUT1" s="671"/>
      <c r="WUU1" s="671"/>
      <c r="WUV1" s="671"/>
      <c r="WUW1" s="671"/>
      <c r="WUX1" s="671"/>
      <c r="WUY1" s="671"/>
      <c r="WUZ1" s="671"/>
      <c r="WVA1" s="671"/>
      <c r="WVB1" s="671"/>
      <c r="WVC1" s="671"/>
      <c r="WVD1" s="671"/>
      <c r="WVE1" s="671"/>
      <c r="WVF1" s="671"/>
      <c r="WVG1" s="671"/>
      <c r="WVH1" s="671"/>
      <c r="WVI1" s="671"/>
      <c r="WVJ1" s="671"/>
      <c r="WVK1" s="671"/>
      <c r="WVL1" s="671"/>
      <c r="WVM1" s="671"/>
      <c r="WVN1" s="671"/>
      <c r="WVO1" s="671"/>
      <c r="WVP1" s="671"/>
      <c r="WVQ1" s="671"/>
      <c r="WVR1" s="671"/>
      <c r="WVS1" s="671"/>
      <c r="WVT1" s="671"/>
      <c r="WVU1" s="671"/>
      <c r="WVV1" s="671"/>
      <c r="WVW1" s="671"/>
      <c r="WVX1" s="671"/>
      <c r="WVY1" s="671"/>
      <c r="WVZ1" s="671"/>
      <c r="WWA1" s="671"/>
      <c r="WWB1" s="671"/>
      <c r="WWC1" s="671"/>
      <c r="WWD1" s="671"/>
      <c r="WWE1" s="671"/>
      <c r="WWF1" s="671"/>
      <c r="WWG1" s="671"/>
      <c r="WWH1" s="671"/>
      <c r="WWI1" s="671"/>
      <c r="WWJ1" s="671"/>
      <c r="WWK1" s="671"/>
      <c r="WWL1" s="671"/>
      <c r="WWM1" s="671"/>
      <c r="WWN1" s="671"/>
      <c r="WWO1" s="671"/>
      <c r="WWP1" s="671"/>
      <c r="WWQ1" s="671"/>
      <c r="WWR1" s="671"/>
      <c r="WWS1" s="671"/>
      <c r="WWT1" s="671"/>
      <c r="WWU1" s="671"/>
      <c r="WWV1" s="671"/>
      <c r="WWW1" s="671"/>
      <c r="WWX1" s="671"/>
      <c r="WWY1" s="671"/>
      <c r="WWZ1" s="671"/>
      <c r="WXA1" s="671"/>
      <c r="WXB1" s="671"/>
      <c r="WXC1" s="671"/>
      <c r="WXD1" s="671"/>
      <c r="WXE1" s="671"/>
      <c r="WXF1" s="671"/>
      <c r="WXG1" s="671"/>
      <c r="WXH1" s="671"/>
      <c r="WXI1" s="671"/>
      <c r="WXJ1" s="671"/>
      <c r="WXK1" s="671"/>
      <c r="WXL1" s="671"/>
      <c r="WXM1" s="671"/>
      <c r="WXN1" s="671"/>
      <c r="WXO1" s="671"/>
      <c r="WXP1" s="671"/>
      <c r="WXQ1" s="671"/>
      <c r="WXR1" s="671"/>
      <c r="WXS1" s="671"/>
      <c r="WXT1" s="671"/>
      <c r="WXU1" s="671"/>
      <c r="WXV1" s="671"/>
      <c r="WXW1" s="671"/>
      <c r="WXX1" s="671"/>
      <c r="WXY1" s="671"/>
      <c r="WXZ1" s="671"/>
      <c r="WYA1" s="671"/>
      <c r="WYB1" s="671"/>
      <c r="WYC1" s="671"/>
      <c r="WYD1" s="671"/>
      <c r="WYE1" s="671"/>
      <c r="WYF1" s="671"/>
      <c r="WYG1" s="671"/>
      <c r="WYH1" s="671"/>
      <c r="WYI1" s="671"/>
      <c r="WYJ1" s="671"/>
      <c r="WYK1" s="671"/>
      <c r="WYL1" s="671"/>
      <c r="WYM1" s="671"/>
      <c r="WYN1" s="671"/>
      <c r="WYO1" s="671"/>
      <c r="WYP1" s="671"/>
      <c r="WYQ1" s="671"/>
      <c r="WYR1" s="671"/>
      <c r="WYS1" s="671"/>
      <c r="WYT1" s="671"/>
      <c r="WYU1" s="671"/>
      <c r="WYV1" s="671"/>
      <c r="WYW1" s="671"/>
      <c r="WYX1" s="671"/>
      <c r="WYY1" s="671"/>
      <c r="WYZ1" s="671"/>
      <c r="WZA1" s="671"/>
      <c r="WZB1" s="671"/>
      <c r="WZC1" s="671"/>
      <c r="WZD1" s="671"/>
      <c r="WZE1" s="671"/>
      <c r="WZF1" s="671"/>
      <c r="WZG1" s="671"/>
      <c r="WZH1" s="671"/>
      <c r="WZI1" s="671"/>
      <c r="WZJ1" s="671"/>
      <c r="WZK1" s="671"/>
      <c r="WZL1" s="671"/>
      <c r="WZM1" s="671"/>
      <c r="WZN1" s="671"/>
      <c r="WZO1" s="671"/>
      <c r="WZP1" s="671"/>
      <c r="WZQ1" s="671"/>
      <c r="WZR1" s="671"/>
      <c r="WZS1" s="671"/>
      <c r="WZT1" s="671"/>
      <c r="WZU1" s="671"/>
      <c r="WZV1" s="671"/>
      <c r="WZW1" s="671"/>
      <c r="WZX1" s="671"/>
      <c r="WZY1" s="671"/>
      <c r="WZZ1" s="671"/>
      <c r="XAA1" s="671"/>
      <c r="XAB1" s="671"/>
      <c r="XAC1" s="671"/>
      <c r="XAD1" s="671"/>
      <c r="XAE1" s="671"/>
      <c r="XAF1" s="671"/>
      <c r="XAG1" s="671"/>
      <c r="XAH1" s="671"/>
      <c r="XAI1" s="671"/>
      <c r="XAJ1" s="671"/>
      <c r="XAK1" s="671"/>
      <c r="XAL1" s="671"/>
      <c r="XAM1" s="671"/>
      <c r="XAN1" s="671"/>
      <c r="XAO1" s="671"/>
      <c r="XAP1" s="671"/>
      <c r="XAQ1" s="671"/>
      <c r="XAR1" s="671"/>
      <c r="XAS1" s="671"/>
      <c r="XAT1" s="671"/>
      <c r="XAU1" s="671"/>
      <c r="XAV1" s="671"/>
      <c r="XAW1" s="671"/>
      <c r="XAX1" s="671"/>
      <c r="XAY1" s="671"/>
      <c r="XAZ1" s="671"/>
      <c r="XBA1" s="671"/>
      <c r="XBB1" s="671"/>
      <c r="XBC1" s="671"/>
      <c r="XBD1" s="671"/>
      <c r="XBE1" s="671"/>
      <c r="XBF1" s="671"/>
      <c r="XBG1" s="671"/>
      <c r="XBH1" s="671"/>
      <c r="XBI1" s="671"/>
      <c r="XBJ1" s="671"/>
      <c r="XBK1" s="671"/>
      <c r="XBL1" s="671"/>
      <c r="XBM1" s="671"/>
      <c r="XBN1" s="671"/>
      <c r="XBO1" s="671"/>
      <c r="XBP1" s="671"/>
      <c r="XBQ1" s="671"/>
      <c r="XBR1" s="671"/>
      <c r="XBS1" s="671"/>
      <c r="XBT1" s="671"/>
      <c r="XBU1" s="671"/>
      <c r="XBV1" s="671"/>
      <c r="XBW1" s="671"/>
      <c r="XBX1" s="671"/>
      <c r="XBY1" s="671"/>
      <c r="XBZ1" s="671"/>
      <c r="XCA1" s="671"/>
      <c r="XCB1" s="671"/>
      <c r="XCC1" s="671"/>
      <c r="XCD1" s="671"/>
      <c r="XCE1" s="671"/>
      <c r="XCF1" s="671"/>
      <c r="XCG1" s="671"/>
      <c r="XCH1" s="671"/>
      <c r="XCI1" s="671"/>
      <c r="XCJ1" s="671"/>
      <c r="XCK1" s="671"/>
      <c r="XCL1" s="671"/>
      <c r="XCM1" s="671"/>
      <c r="XCN1" s="671"/>
      <c r="XCO1" s="671"/>
      <c r="XCP1" s="671"/>
      <c r="XCQ1" s="671"/>
      <c r="XCR1" s="671"/>
      <c r="XCS1" s="671"/>
      <c r="XCT1" s="671"/>
      <c r="XCU1" s="671"/>
      <c r="XCV1" s="671"/>
      <c r="XCW1" s="671"/>
      <c r="XCX1" s="671"/>
      <c r="XCY1" s="671"/>
      <c r="XCZ1" s="671"/>
      <c r="XDA1" s="671"/>
      <c r="XDB1" s="671"/>
      <c r="XDC1" s="671"/>
      <c r="XDD1" s="671"/>
      <c r="XDE1" s="671"/>
      <c r="XDF1" s="671"/>
      <c r="XDG1" s="671"/>
      <c r="XDH1" s="671"/>
      <c r="XDI1" s="671"/>
      <c r="XDJ1" s="671"/>
      <c r="XDK1" s="671"/>
      <c r="XDL1" s="671"/>
      <c r="XDM1" s="671"/>
      <c r="XDN1" s="671"/>
      <c r="XDO1" s="671"/>
      <c r="XDP1" s="671"/>
      <c r="XDQ1" s="671"/>
      <c r="XDR1" s="671"/>
      <c r="XDS1" s="671"/>
      <c r="XDT1" s="671"/>
      <c r="XDU1" s="671"/>
      <c r="XDV1" s="671"/>
      <c r="XDW1" s="671"/>
      <c r="XDX1" s="671"/>
      <c r="XDY1" s="671"/>
      <c r="XDZ1" s="671"/>
      <c r="XEA1" s="671"/>
      <c r="XEB1" s="671"/>
      <c r="XEC1" s="671"/>
      <c r="XED1" s="671"/>
      <c r="XEE1" s="671"/>
      <c r="XEF1" s="671"/>
      <c r="XEG1" s="671"/>
      <c r="XEH1" s="671"/>
      <c r="XEI1" s="671"/>
      <c r="XEJ1" s="671"/>
      <c r="XEK1" s="671"/>
      <c r="XEL1" s="671"/>
      <c r="XEM1" s="671"/>
      <c r="XEN1" s="671"/>
      <c r="XEO1" s="671"/>
      <c r="XEP1" s="671"/>
      <c r="XEQ1" s="671"/>
      <c r="XER1" s="671"/>
      <c r="XES1" s="671"/>
      <c r="XET1" s="671"/>
      <c r="XEU1" s="671"/>
      <c r="XEV1" s="671"/>
      <c r="XEW1" s="671"/>
      <c r="XEX1" s="671"/>
      <c r="XEY1" s="671"/>
      <c r="XEZ1" s="671"/>
      <c r="XFA1" s="671"/>
      <c r="XFB1" s="671"/>
      <c r="XFC1" s="671"/>
      <c r="XFD1" s="671"/>
    </row>
    <row r="2" spans="1:16384" s="235" customFormat="1" ht="30" customHeight="1" x14ac:dyDescent="0.25">
      <c r="A2" s="549"/>
      <c r="B2" s="676"/>
      <c r="C2" s="551" t="s">
        <v>230</v>
      </c>
      <c r="D2" s="679" t="s">
        <v>424</v>
      </c>
      <c r="E2" s="679"/>
      <c r="F2" s="679"/>
      <c r="G2" s="679"/>
      <c r="H2" s="679"/>
      <c r="I2" s="679"/>
      <c r="J2" s="679"/>
      <c r="K2" s="679"/>
      <c r="L2" s="679"/>
      <c r="M2" s="679"/>
      <c r="N2" s="679"/>
      <c r="O2" s="679"/>
      <c r="P2" s="679"/>
      <c r="Q2" s="679"/>
      <c r="R2" s="554"/>
      <c r="S2" s="553"/>
    </row>
    <row r="3" spans="1:16384" s="235" customFormat="1" ht="30" customHeight="1" x14ac:dyDescent="0.25">
      <c r="B3" s="676"/>
      <c r="C3" s="551" t="s">
        <v>229</v>
      </c>
      <c r="D3" s="677" t="s">
        <v>416</v>
      </c>
      <c r="E3" s="678"/>
      <c r="F3" s="678"/>
      <c r="G3" s="678"/>
      <c r="H3" s="678"/>
      <c r="I3" s="678"/>
      <c r="J3" s="678"/>
      <c r="K3" s="678"/>
      <c r="L3" s="678"/>
      <c r="M3" s="678"/>
      <c r="N3" s="678"/>
      <c r="O3" s="678"/>
      <c r="P3" s="678"/>
      <c r="Q3" s="678"/>
      <c r="R3" s="327"/>
      <c r="S3" s="552"/>
    </row>
    <row r="4" spans="1:16384" s="540" customFormat="1" ht="14.25" customHeight="1" x14ac:dyDescent="0.25">
      <c r="A4" s="325"/>
      <c r="B4" s="673"/>
      <c r="C4" s="674"/>
      <c r="D4" s="674"/>
      <c r="E4" s="674"/>
      <c r="F4" s="674"/>
      <c r="G4" s="674"/>
      <c r="H4" s="674"/>
      <c r="I4" s="674"/>
      <c r="J4" s="674"/>
      <c r="K4" s="674"/>
      <c r="L4" s="674"/>
      <c r="M4" s="674"/>
      <c r="N4" s="674"/>
      <c r="O4" s="674"/>
      <c r="P4" s="674"/>
      <c r="Q4" s="674"/>
      <c r="R4" s="675"/>
      <c r="S4" s="550"/>
      <c r="T4" s="539"/>
      <c r="U4" s="539"/>
      <c r="V4" s="539"/>
      <c r="W4" s="539"/>
      <c r="X4" s="539"/>
      <c r="Y4" s="539"/>
      <c r="Z4" s="539"/>
      <c r="AA4" s="539"/>
      <c r="AB4" s="539"/>
      <c r="AC4" s="539"/>
      <c r="AD4" s="539"/>
      <c r="AE4" s="539"/>
      <c r="AF4" s="539"/>
      <c r="AG4" s="539"/>
      <c r="AH4" s="539"/>
      <c r="AI4" s="539"/>
      <c r="AJ4" s="539"/>
      <c r="AK4" s="539"/>
      <c r="AL4" s="539"/>
      <c r="AM4" s="539"/>
      <c r="AN4" s="539"/>
      <c r="AO4" s="539"/>
      <c r="AP4" s="539"/>
      <c r="AQ4" s="539"/>
      <c r="AR4" s="539"/>
      <c r="AS4" s="539"/>
      <c r="AT4" s="539"/>
      <c r="AU4" s="539"/>
      <c r="AV4" s="539"/>
      <c r="AW4" s="539"/>
      <c r="AX4" s="539"/>
      <c r="AY4" s="539"/>
      <c r="AZ4" s="539"/>
      <c r="BA4" s="539"/>
      <c r="BB4" s="539"/>
      <c r="BC4" s="539"/>
      <c r="BD4" s="539"/>
      <c r="BE4" s="539"/>
      <c r="BF4" s="539"/>
      <c r="BG4" s="539"/>
      <c r="BH4" s="539"/>
      <c r="BI4" s="539"/>
      <c r="BJ4" s="539"/>
      <c r="BK4" s="539"/>
      <c r="BL4" s="539"/>
      <c r="BM4" s="539"/>
      <c r="BN4" s="539"/>
      <c r="BO4" s="539"/>
      <c r="BP4" s="539"/>
      <c r="BQ4" s="539"/>
      <c r="BR4" s="539"/>
      <c r="BS4" s="539"/>
      <c r="BT4" s="539"/>
      <c r="BU4" s="539"/>
      <c r="BV4" s="539"/>
      <c r="BW4" s="539"/>
      <c r="BX4" s="539"/>
      <c r="BY4" s="539"/>
      <c r="BZ4" s="539"/>
      <c r="CA4" s="539"/>
      <c r="CB4" s="539"/>
      <c r="CC4" s="539"/>
      <c r="CD4" s="539"/>
      <c r="CE4" s="539"/>
      <c r="CF4" s="539"/>
      <c r="CG4" s="539"/>
      <c r="CH4" s="539"/>
      <c r="CI4" s="539"/>
      <c r="CJ4" s="539"/>
      <c r="CK4" s="539"/>
      <c r="CL4" s="539"/>
      <c r="CM4" s="539"/>
      <c r="CN4" s="539"/>
      <c r="CO4" s="539"/>
      <c r="CP4" s="539"/>
      <c r="CQ4" s="539"/>
      <c r="CR4" s="539"/>
      <c r="CS4" s="539"/>
      <c r="CT4" s="539"/>
      <c r="CU4" s="539"/>
      <c r="CV4" s="539"/>
      <c r="CW4" s="539"/>
      <c r="CX4" s="539"/>
      <c r="CY4" s="539"/>
      <c r="CZ4" s="539"/>
      <c r="DA4" s="539"/>
      <c r="DB4" s="539"/>
      <c r="DC4" s="539"/>
      <c r="DD4" s="539"/>
      <c r="DE4" s="539"/>
      <c r="DF4" s="539"/>
      <c r="DG4" s="539"/>
      <c r="DH4" s="539"/>
      <c r="DI4" s="539"/>
      <c r="DJ4" s="539"/>
      <c r="DK4" s="539"/>
      <c r="DL4" s="539"/>
      <c r="DM4" s="539"/>
      <c r="DN4" s="539"/>
      <c r="DO4" s="539"/>
      <c r="DP4" s="539"/>
      <c r="DQ4" s="539"/>
      <c r="DR4" s="539"/>
      <c r="DS4" s="539"/>
      <c r="DT4" s="539"/>
      <c r="DU4" s="539"/>
      <c r="DV4" s="539"/>
      <c r="DW4" s="539"/>
      <c r="DX4" s="539"/>
      <c r="DY4" s="539"/>
      <c r="DZ4" s="539"/>
      <c r="EA4" s="539"/>
      <c r="EB4" s="539"/>
      <c r="EC4" s="539"/>
      <c r="ED4" s="539"/>
      <c r="EE4" s="539"/>
      <c r="EF4" s="539"/>
      <c r="EG4" s="539"/>
      <c r="EH4" s="539"/>
      <c r="EI4" s="539"/>
      <c r="EJ4" s="539"/>
      <c r="EK4" s="539"/>
      <c r="EL4" s="539"/>
      <c r="EM4" s="539"/>
      <c r="EN4" s="539"/>
      <c r="EO4" s="539"/>
      <c r="EP4" s="539"/>
      <c r="EQ4" s="539"/>
      <c r="ER4" s="539"/>
      <c r="ES4" s="539"/>
      <c r="ET4" s="539"/>
      <c r="EU4" s="539"/>
      <c r="EV4" s="539"/>
      <c r="EW4" s="539"/>
      <c r="EX4" s="539"/>
      <c r="EY4" s="539"/>
      <c r="EZ4" s="539"/>
      <c r="FA4" s="539"/>
      <c r="FB4" s="539"/>
      <c r="FC4" s="539"/>
      <c r="FD4" s="539"/>
      <c r="FE4" s="539"/>
      <c r="FF4" s="539"/>
      <c r="FG4" s="539"/>
      <c r="FH4" s="539"/>
      <c r="FI4" s="539"/>
      <c r="FJ4" s="539"/>
      <c r="FK4" s="539"/>
      <c r="FL4" s="539"/>
      <c r="FM4" s="539"/>
      <c r="FN4" s="539"/>
      <c r="FO4" s="539"/>
      <c r="FP4" s="539"/>
      <c r="FQ4" s="539"/>
      <c r="FR4" s="539"/>
      <c r="FS4" s="539"/>
      <c r="FT4" s="539"/>
      <c r="FU4" s="539"/>
      <c r="FV4" s="539"/>
      <c r="FW4" s="539"/>
      <c r="FX4" s="539"/>
      <c r="FY4" s="539"/>
      <c r="FZ4" s="539"/>
      <c r="GA4" s="539"/>
      <c r="GB4" s="539"/>
      <c r="GC4" s="539"/>
      <c r="GD4" s="539"/>
      <c r="GE4" s="539"/>
      <c r="GF4" s="539"/>
      <c r="GG4" s="539"/>
      <c r="GH4" s="539"/>
      <c r="GI4" s="539"/>
      <c r="GJ4" s="539"/>
      <c r="GK4" s="539"/>
      <c r="GL4" s="539"/>
      <c r="GM4" s="539"/>
      <c r="GN4" s="539"/>
      <c r="GO4" s="539"/>
      <c r="GP4" s="539"/>
      <c r="GQ4" s="539"/>
      <c r="GR4" s="539"/>
      <c r="GS4" s="539"/>
      <c r="GT4" s="539"/>
      <c r="GU4" s="539"/>
      <c r="GV4" s="539"/>
      <c r="GW4" s="539"/>
      <c r="GX4" s="539"/>
      <c r="GY4" s="539"/>
      <c r="GZ4" s="539"/>
      <c r="HA4" s="539"/>
      <c r="HB4" s="539"/>
      <c r="HC4" s="539"/>
      <c r="HD4" s="539"/>
      <c r="HE4" s="539"/>
      <c r="HF4" s="539"/>
      <c r="HG4" s="539"/>
      <c r="HH4" s="539"/>
      <c r="HI4" s="539"/>
      <c r="HJ4" s="539"/>
      <c r="HK4" s="539"/>
      <c r="HL4" s="539"/>
      <c r="HM4" s="539"/>
      <c r="HN4" s="539"/>
      <c r="HO4" s="539"/>
      <c r="HP4" s="539"/>
      <c r="HQ4" s="539"/>
      <c r="HR4" s="539"/>
      <c r="HS4" s="539"/>
      <c r="HT4" s="539"/>
      <c r="HU4" s="539"/>
      <c r="HV4" s="539"/>
      <c r="HW4" s="539"/>
      <c r="HX4" s="539"/>
      <c r="HY4" s="539"/>
      <c r="HZ4" s="539"/>
      <c r="IA4" s="539"/>
      <c r="IB4" s="539"/>
      <c r="IC4" s="539"/>
      <c r="ID4" s="539"/>
      <c r="IE4" s="539"/>
      <c r="IF4" s="539"/>
      <c r="IG4" s="539"/>
      <c r="IH4" s="539"/>
      <c r="II4" s="539"/>
      <c r="IJ4" s="539"/>
      <c r="IK4" s="539"/>
      <c r="IL4" s="539"/>
      <c r="IM4" s="539"/>
      <c r="IN4" s="539"/>
      <c r="IO4" s="539"/>
      <c r="IP4" s="539"/>
      <c r="IQ4" s="539"/>
      <c r="IR4" s="539"/>
      <c r="IS4" s="539"/>
      <c r="IT4" s="539"/>
      <c r="IU4" s="539"/>
      <c r="IV4" s="539"/>
      <c r="IW4" s="539"/>
      <c r="IX4" s="539"/>
      <c r="IY4" s="539"/>
      <c r="IZ4" s="539"/>
      <c r="JA4" s="539"/>
      <c r="JB4" s="539"/>
      <c r="JC4" s="539"/>
      <c r="JD4" s="539"/>
      <c r="JE4" s="539"/>
      <c r="JF4" s="539"/>
      <c r="JG4" s="539"/>
      <c r="JH4" s="539"/>
      <c r="JI4" s="539"/>
      <c r="JJ4" s="539"/>
      <c r="JK4" s="539"/>
      <c r="JL4" s="539"/>
      <c r="JM4" s="539"/>
      <c r="JN4" s="539"/>
      <c r="JO4" s="539"/>
      <c r="JP4" s="539"/>
      <c r="JQ4" s="539"/>
      <c r="JR4" s="539"/>
      <c r="JS4" s="539"/>
      <c r="JT4" s="539"/>
      <c r="JU4" s="539"/>
      <c r="JV4" s="539"/>
      <c r="JW4" s="539"/>
      <c r="JX4" s="539"/>
      <c r="JY4" s="539"/>
      <c r="JZ4" s="539"/>
      <c r="KA4" s="539"/>
      <c r="KB4" s="539"/>
      <c r="KC4" s="539"/>
      <c r="KD4" s="539"/>
      <c r="KE4" s="539"/>
      <c r="KF4" s="539"/>
      <c r="KG4" s="539"/>
      <c r="KH4" s="539"/>
      <c r="KI4" s="539"/>
      <c r="KJ4" s="539"/>
      <c r="KK4" s="539"/>
      <c r="KL4" s="539"/>
      <c r="KM4" s="539"/>
      <c r="KN4" s="539"/>
      <c r="KO4" s="539"/>
      <c r="KP4" s="539"/>
      <c r="KQ4" s="539"/>
      <c r="KR4" s="539"/>
      <c r="KS4" s="539"/>
      <c r="KT4" s="539"/>
      <c r="KU4" s="539"/>
      <c r="KV4" s="539"/>
      <c r="KW4" s="539"/>
      <c r="KX4" s="539"/>
      <c r="KY4" s="539"/>
      <c r="KZ4" s="539"/>
      <c r="LA4" s="539"/>
      <c r="LB4" s="539"/>
      <c r="LC4" s="539"/>
      <c r="LD4" s="539"/>
      <c r="LE4" s="539"/>
      <c r="LF4" s="539"/>
      <c r="LG4" s="539"/>
      <c r="LH4" s="539"/>
      <c r="LI4" s="539"/>
      <c r="LJ4" s="539"/>
      <c r="LK4" s="539"/>
      <c r="LL4" s="539"/>
      <c r="LM4" s="539"/>
      <c r="LN4" s="539"/>
      <c r="LO4" s="539"/>
      <c r="LP4" s="539"/>
      <c r="LQ4" s="539"/>
      <c r="LR4" s="539"/>
      <c r="LS4" s="539"/>
      <c r="LT4" s="539"/>
      <c r="LU4" s="539"/>
      <c r="LV4" s="539"/>
      <c r="LW4" s="539"/>
      <c r="LX4" s="539"/>
      <c r="LY4" s="539"/>
      <c r="LZ4" s="539"/>
      <c r="MA4" s="539"/>
      <c r="MB4" s="539"/>
      <c r="MC4" s="539"/>
      <c r="MD4" s="539"/>
      <c r="ME4" s="539"/>
      <c r="MF4" s="539"/>
      <c r="MG4" s="539"/>
      <c r="MH4" s="539"/>
      <c r="MI4" s="539"/>
      <c r="MJ4" s="539"/>
      <c r="MK4" s="539"/>
      <c r="ML4" s="539"/>
      <c r="MM4" s="539"/>
      <c r="MN4" s="539"/>
      <c r="MO4" s="539"/>
      <c r="MP4" s="539"/>
      <c r="MQ4" s="539"/>
      <c r="MR4" s="539"/>
      <c r="MS4" s="539"/>
      <c r="MT4" s="539"/>
      <c r="MU4" s="539"/>
      <c r="MV4" s="539"/>
      <c r="MW4" s="539"/>
      <c r="MX4" s="539"/>
      <c r="MY4" s="539"/>
      <c r="MZ4" s="539"/>
      <c r="NA4" s="539"/>
      <c r="NB4" s="539"/>
      <c r="NC4" s="539"/>
      <c r="ND4" s="539"/>
      <c r="NE4" s="539"/>
      <c r="NF4" s="539"/>
      <c r="NG4" s="539"/>
      <c r="NH4" s="539"/>
      <c r="NI4" s="539"/>
      <c r="NJ4" s="539"/>
      <c r="NK4" s="539"/>
      <c r="NL4" s="539"/>
      <c r="NM4" s="539"/>
      <c r="NN4" s="539"/>
      <c r="NO4" s="539"/>
      <c r="NP4" s="539"/>
      <c r="NQ4" s="539"/>
      <c r="NR4" s="539"/>
      <c r="NS4" s="539"/>
      <c r="NT4" s="539"/>
      <c r="NU4" s="539"/>
      <c r="NV4" s="539"/>
      <c r="NW4" s="539"/>
      <c r="NX4" s="539"/>
      <c r="NY4" s="539"/>
      <c r="NZ4" s="539"/>
      <c r="OA4" s="539"/>
      <c r="OB4" s="539"/>
      <c r="OC4" s="539"/>
      <c r="OD4" s="539"/>
      <c r="OE4" s="539"/>
      <c r="OF4" s="539"/>
      <c r="OG4" s="539"/>
      <c r="OH4" s="539"/>
      <c r="OI4" s="539"/>
      <c r="OJ4" s="539"/>
      <c r="OK4" s="539"/>
      <c r="OL4" s="539"/>
      <c r="OM4" s="539"/>
      <c r="ON4" s="539"/>
      <c r="OO4" s="539"/>
      <c r="OP4" s="539"/>
      <c r="OQ4" s="539"/>
      <c r="OR4" s="539"/>
      <c r="OS4" s="539"/>
      <c r="OT4" s="539"/>
      <c r="OU4" s="539"/>
      <c r="OV4" s="539"/>
      <c r="OW4" s="539"/>
      <c r="OX4" s="539"/>
      <c r="OY4" s="539"/>
      <c r="OZ4" s="539"/>
      <c r="PA4" s="539"/>
      <c r="PB4" s="539"/>
      <c r="PC4" s="539"/>
      <c r="PD4" s="539"/>
      <c r="PE4" s="539"/>
      <c r="PF4" s="539"/>
      <c r="PG4" s="539"/>
      <c r="PH4" s="539"/>
      <c r="PI4" s="539"/>
      <c r="PJ4" s="539"/>
      <c r="PK4" s="539"/>
      <c r="PL4" s="539"/>
      <c r="PM4" s="539"/>
      <c r="PN4" s="539"/>
      <c r="PO4" s="539"/>
      <c r="PP4" s="539"/>
      <c r="PQ4" s="539"/>
      <c r="PR4" s="539"/>
      <c r="PS4" s="539"/>
      <c r="PT4" s="539"/>
      <c r="PU4" s="539"/>
      <c r="PV4" s="539"/>
      <c r="PW4" s="539"/>
      <c r="PX4" s="539"/>
      <c r="PY4" s="539"/>
      <c r="PZ4" s="539"/>
      <c r="QA4" s="539"/>
      <c r="QB4" s="539"/>
      <c r="QC4" s="539"/>
      <c r="QD4" s="539"/>
      <c r="QE4" s="539"/>
      <c r="QF4" s="539"/>
      <c r="QG4" s="539"/>
      <c r="QH4" s="539"/>
      <c r="QI4" s="539"/>
      <c r="QJ4" s="539"/>
      <c r="QK4" s="539"/>
      <c r="QL4" s="539"/>
      <c r="QM4" s="539"/>
      <c r="QN4" s="539"/>
      <c r="QO4" s="539"/>
      <c r="QP4" s="539"/>
      <c r="QQ4" s="539"/>
      <c r="QR4" s="539"/>
      <c r="QS4" s="539"/>
      <c r="QT4" s="539"/>
      <c r="QU4" s="539"/>
      <c r="QV4" s="539"/>
      <c r="QW4" s="539"/>
      <c r="QX4" s="539"/>
      <c r="QY4" s="539"/>
      <c r="QZ4" s="539"/>
      <c r="RA4" s="539"/>
      <c r="RB4" s="539"/>
      <c r="RC4" s="539"/>
      <c r="RD4" s="539"/>
      <c r="RE4" s="539"/>
      <c r="RF4" s="539"/>
      <c r="RG4" s="539"/>
      <c r="RH4" s="539"/>
      <c r="RI4" s="539"/>
      <c r="RJ4" s="539"/>
      <c r="RK4" s="539"/>
      <c r="RL4" s="539"/>
      <c r="RM4" s="539"/>
      <c r="RN4" s="539"/>
      <c r="RO4" s="539"/>
      <c r="RP4" s="539"/>
      <c r="RQ4" s="539"/>
      <c r="RR4" s="539"/>
      <c r="RS4" s="539"/>
      <c r="RT4" s="539"/>
      <c r="RU4" s="539"/>
      <c r="RV4" s="539"/>
      <c r="RW4" s="539"/>
      <c r="RX4" s="539"/>
      <c r="RY4" s="539"/>
      <c r="RZ4" s="539"/>
      <c r="SA4" s="539"/>
      <c r="SB4" s="539"/>
      <c r="SC4" s="539"/>
      <c r="SD4" s="539"/>
      <c r="SE4" s="539"/>
      <c r="SF4" s="539"/>
      <c r="SG4" s="539"/>
      <c r="SH4" s="539"/>
      <c r="SI4" s="539"/>
      <c r="SJ4" s="539"/>
      <c r="SK4" s="539"/>
      <c r="SL4" s="539"/>
      <c r="SM4" s="539"/>
      <c r="SN4" s="539"/>
      <c r="SO4" s="539"/>
      <c r="SP4" s="539"/>
      <c r="SQ4" s="539"/>
      <c r="SR4" s="539"/>
      <c r="SS4" s="539"/>
      <c r="ST4" s="539"/>
      <c r="SU4" s="539"/>
      <c r="SV4" s="539"/>
      <c r="SW4" s="539"/>
      <c r="SX4" s="539"/>
      <c r="SY4" s="539"/>
      <c r="SZ4" s="539"/>
      <c r="TA4" s="539"/>
      <c r="TB4" s="539"/>
      <c r="TC4" s="539"/>
      <c r="TD4" s="539"/>
      <c r="TE4" s="539"/>
      <c r="TF4" s="539"/>
      <c r="TG4" s="539"/>
      <c r="TH4" s="539"/>
      <c r="TI4" s="539"/>
      <c r="TJ4" s="539"/>
      <c r="TK4" s="539"/>
      <c r="TL4" s="539"/>
      <c r="TM4" s="539"/>
      <c r="TN4" s="539"/>
      <c r="TO4" s="539"/>
      <c r="TP4" s="539"/>
      <c r="TQ4" s="539"/>
      <c r="TR4" s="539"/>
      <c r="TS4" s="539"/>
      <c r="TT4" s="539"/>
      <c r="TU4" s="539"/>
      <c r="TV4" s="539"/>
      <c r="TW4" s="539"/>
      <c r="TX4" s="539"/>
      <c r="TY4" s="539"/>
      <c r="TZ4" s="539"/>
      <c r="UA4" s="539"/>
      <c r="UB4" s="539"/>
      <c r="UC4" s="539"/>
      <c r="UD4" s="539"/>
      <c r="UE4" s="539"/>
      <c r="UF4" s="539"/>
      <c r="UG4" s="539"/>
      <c r="UH4" s="539"/>
      <c r="UI4" s="539"/>
      <c r="UJ4" s="539"/>
      <c r="UK4" s="539"/>
      <c r="UL4" s="539"/>
      <c r="UM4" s="539"/>
      <c r="UN4" s="539"/>
      <c r="UO4" s="539"/>
      <c r="UP4" s="539"/>
      <c r="UQ4" s="539"/>
      <c r="UR4" s="539"/>
      <c r="US4" s="539"/>
      <c r="UT4" s="539"/>
      <c r="UU4" s="539"/>
      <c r="UV4" s="539"/>
      <c r="UW4" s="539"/>
      <c r="UX4" s="539"/>
      <c r="UY4" s="539"/>
      <c r="UZ4" s="539"/>
      <c r="VA4" s="539"/>
      <c r="VB4" s="539"/>
      <c r="VC4" s="539"/>
      <c r="VD4" s="539"/>
      <c r="VE4" s="539"/>
      <c r="VF4" s="539"/>
      <c r="VG4" s="539"/>
      <c r="VH4" s="539"/>
      <c r="VI4" s="539"/>
      <c r="VJ4" s="539"/>
      <c r="VK4" s="539"/>
      <c r="VL4" s="539"/>
      <c r="VM4" s="539"/>
      <c r="VN4" s="539"/>
      <c r="VO4" s="539"/>
      <c r="VP4" s="539"/>
      <c r="VQ4" s="539"/>
      <c r="VR4" s="539"/>
      <c r="VS4" s="539"/>
      <c r="VT4" s="539"/>
      <c r="VU4" s="539"/>
      <c r="VV4" s="539"/>
      <c r="VW4" s="539"/>
      <c r="VX4" s="539"/>
      <c r="VY4" s="539"/>
      <c r="VZ4" s="539"/>
      <c r="WA4" s="539"/>
      <c r="WB4" s="539"/>
      <c r="WC4" s="539"/>
      <c r="WD4" s="539"/>
      <c r="WE4" s="539"/>
      <c r="WF4" s="539"/>
      <c r="WG4" s="539"/>
      <c r="WH4" s="539"/>
      <c r="WI4" s="539"/>
      <c r="WJ4" s="539"/>
      <c r="WK4" s="539"/>
      <c r="WL4" s="539"/>
      <c r="WM4" s="539"/>
      <c r="WN4" s="539"/>
      <c r="WO4" s="539"/>
      <c r="WP4" s="539"/>
      <c r="WQ4" s="539"/>
      <c r="WR4" s="539"/>
      <c r="WS4" s="539"/>
      <c r="WT4" s="539"/>
      <c r="WU4" s="539"/>
      <c r="WV4" s="539"/>
      <c r="WW4" s="539"/>
      <c r="WX4" s="539"/>
      <c r="WY4" s="539"/>
      <c r="WZ4" s="539"/>
      <c r="XA4" s="539"/>
      <c r="XB4" s="539"/>
      <c r="XC4" s="539"/>
      <c r="XD4" s="539"/>
      <c r="XE4" s="539"/>
      <c r="XF4" s="539"/>
      <c r="XG4" s="539"/>
      <c r="XH4" s="539"/>
      <c r="XI4" s="539"/>
      <c r="XJ4" s="539"/>
      <c r="XK4" s="539"/>
      <c r="XL4" s="539"/>
      <c r="XM4" s="539"/>
      <c r="XN4" s="539"/>
      <c r="XO4" s="539"/>
      <c r="XP4" s="539"/>
      <c r="XQ4" s="539"/>
      <c r="XR4" s="539"/>
      <c r="XS4" s="539"/>
      <c r="XT4" s="539"/>
      <c r="XU4" s="539"/>
      <c r="XV4" s="539"/>
      <c r="XW4" s="539"/>
      <c r="XX4" s="539"/>
      <c r="XY4" s="539"/>
      <c r="XZ4" s="539"/>
      <c r="YA4" s="539"/>
      <c r="YB4" s="539"/>
      <c r="YC4" s="539"/>
      <c r="YD4" s="539"/>
      <c r="YE4" s="539"/>
      <c r="YF4" s="539"/>
      <c r="YG4" s="539"/>
      <c r="YH4" s="539"/>
      <c r="YI4" s="539"/>
      <c r="YJ4" s="539"/>
      <c r="YK4" s="539"/>
      <c r="YL4" s="539"/>
      <c r="YM4" s="539"/>
      <c r="YN4" s="539"/>
      <c r="YO4" s="539"/>
      <c r="YP4" s="539"/>
      <c r="YQ4" s="539"/>
      <c r="YR4" s="539"/>
      <c r="YS4" s="539"/>
      <c r="YT4" s="539"/>
      <c r="YU4" s="539"/>
      <c r="YV4" s="539"/>
      <c r="YW4" s="539"/>
      <c r="YX4" s="539"/>
      <c r="YY4" s="539"/>
      <c r="YZ4" s="539"/>
      <c r="ZA4" s="539"/>
      <c r="ZB4" s="539"/>
      <c r="ZC4" s="539"/>
      <c r="ZD4" s="539"/>
      <c r="ZE4" s="539"/>
      <c r="ZF4" s="539"/>
      <c r="ZG4" s="539"/>
      <c r="ZH4" s="539"/>
      <c r="ZI4" s="539"/>
      <c r="ZJ4" s="539"/>
      <c r="ZK4" s="539"/>
      <c r="ZL4" s="539"/>
      <c r="ZM4" s="539"/>
      <c r="ZN4" s="539"/>
      <c r="ZO4" s="539"/>
      <c r="ZP4" s="539"/>
      <c r="ZQ4" s="539"/>
      <c r="ZR4" s="539"/>
      <c r="ZS4" s="539"/>
      <c r="ZT4" s="539"/>
      <c r="ZU4" s="539"/>
      <c r="ZV4" s="539"/>
      <c r="ZW4" s="539"/>
      <c r="ZX4" s="539"/>
      <c r="ZY4" s="539"/>
      <c r="ZZ4" s="539"/>
      <c r="AAA4" s="539"/>
      <c r="AAB4" s="539"/>
      <c r="AAC4" s="539"/>
      <c r="AAD4" s="539"/>
      <c r="AAE4" s="539"/>
      <c r="AAF4" s="539"/>
      <c r="AAG4" s="539"/>
      <c r="AAH4" s="539"/>
      <c r="AAI4" s="539"/>
      <c r="AAJ4" s="539"/>
      <c r="AAK4" s="539"/>
      <c r="AAL4" s="539"/>
      <c r="AAM4" s="539"/>
      <c r="AAN4" s="539"/>
      <c r="AAO4" s="539"/>
      <c r="AAP4" s="539"/>
      <c r="AAQ4" s="539"/>
      <c r="AAR4" s="539"/>
      <c r="AAS4" s="539"/>
      <c r="AAT4" s="539"/>
      <c r="AAU4" s="539"/>
      <c r="AAV4" s="539"/>
      <c r="AAW4" s="539"/>
      <c r="AAX4" s="539"/>
      <c r="AAY4" s="539"/>
      <c r="AAZ4" s="539"/>
      <c r="ABA4" s="539"/>
      <c r="ABB4" s="539"/>
      <c r="ABC4" s="539"/>
      <c r="ABD4" s="539"/>
      <c r="ABE4" s="539"/>
      <c r="ABF4" s="539"/>
      <c r="ABG4" s="539"/>
      <c r="ABH4" s="539"/>
      <c r="ABI4" s="539"/>
      <c r="ABJ4" s="539"/>
      <c r="ABK4" s="539"/>
      <c r="ABL4" s="539"/>
      <c r="ABM4" s="539"/>
      <c r="ABN4" s="539"/>
      <c r="ABO4" s="539"/>
      <c r="ABP4" s="539"/>
      <c r="ABQ4" s="539"/>
      <c r="ABR4" s="539"/>
      <c r="ABS4" s="539"/>
      <c r="ABT4" s="539"/>
      <c r="ABU4" s="539"/>
      <c r="ABV4" s="539"/>
      <c r="ABW4" s="539"/>
      <c r="ABX4" s="539"/>
      <c r="ABY4" s="539"/>
      <c r="ABZ4" s="539"/>
      <c r="ACA4" s="539"/>
      <c r="ACB4" s="539"/>
      <c r="ACC4" s="539"/>
      <c r="ACD4" s="539"/>
      <c r="ACE4" s="539"/>
      <c r="ACF4" s="539"/>
      <c r="ACG4" s="539"/>
      <c r="ACH4" s="539"/>
      <c r="ACI4" s="539"/>
      <c r="ACJ4" s="539"/>
      <c r="ACK4" s="539"/>
      <c r="ACL4" s="539"/>
      <c r="ACM4" s="539"/>
      <c r="ACN4" s="539"/>
      <c r="ACO4" s="539"/>
      <c r="ACP4" s="539"/>
      <c r="ACQ4" s="539"/>
      <c r="ACR4" s="539"/>
      <c r="ACS4" s="539"/>
      <c r="ACT4" s="539"/>
      <c r="ACU4" s="539"/>
      <c r="ACV4" s="539"/>
      <c r="ACW4" s="539"/>
      <c r="ACX4" s="539"/>
      <c r="ACY4" s="539"/>
      <c r="ACZ4" s="539"/>
      <c r="ADA4" s="539"/>
      <c r="ADB4" s="539"/>
      <c r="ADC4" s="539"/>
      <c r="ADD4" s="539"/>
      <c r="ADE4" s="539"/>
      <c r="ADF4" s="539"/>
      <c r="ADG4" s="539"/>
      <c r="ADH4" s="539"/>
      <c r="ADI4" s="539"/>
      <c r="ADJ4" s="539"/>
      <c r="ADK4" s="539"/>
      <c r="ADL4" s="539"/>
      <c r="ADM4" s="539"/>
      <c r="ADN4" s="539"/>
      <c r="ADO4" s="539"/>
      <c r="ADP4" s="539"/>
      <c r="ADQ4" s="539"/>
      <c r="ADR4" s="539"/>
      <c r="ADS4" s="539"/>
      <c r="ADT4" s="539"/>
      <c r="ADU4" s="539"/>
      <c r="ADV4" s="539"/>
      <c r="ADW4" s="539"/>
      <c r="ADX4" s="539"/>
      <c r="ADY4" s="539"/>
      <c r="ADZ4" s="539"/>
      <c r="AEA4" s="539"/>
      <c r="AEB4" s="539"/>
      <c r="AEC4" s="539"/>
      <c r="AED4" s="539"/>
      <c r="AEE4" s="539"/>
      <c r="AEF4" s="539"/>
      <c r="AEG4" s="539"/>
      <c r="AEH4" s="539"/>
      <c r="AEI4" s="539"/>
      <c r="AEJ4" s="539"/>
      <c r="AEK4" s="539"/>
      <c r="AEL4" s="539"/>
      <c r="AEM4" s="539"/>
      <c r="AEN4" s="539"/>
      <c r="AEO4" s="539"/>
      <c r="AEP4" s="539"/>
      <c r="AEQ4" s="539"/>
      <c r="AER4" s="539"/>
      <c r="AES4" s="539"/>
      <c r="AET4" s="539"/>
      <c r="AEU4" s="539"/>
      <c r="AEV4" s="539"/>
      <c r="AEW4" s="539"/>
      <c r="AEX4" s="539"/>
      <c r="AEY4" s="539"/>
      <c r="AEZ4" s="539"/>
      <c r="AFA4" s="539"/>
      <c r="AFB4" s="539"/>
      <c r="AFC4" s="539"/>
      <c r="AFD4" s="539"/>
      <c r="AFE4" s="539"/>
      <c r="AFF4" s="539"/>
      <c r="AFG4" s="539"/>
      <c r="AFH4" s="539"/>
      <c r="AFI4" s="539"/>
      <c r="AFJ4" s="539"/>
      <c r="AFK4" s="539"/>
      <c r="AFL4" s="539"/>
      <c r="AFM4" s="539"/>
      <c r="AFN4" s="539"/>
      <c r="AFO4" s="539"/>
      <c r="AFP4" s="539"/>
      <c r="AFQ4" s="539"/>
      <c r="AFR4" s="539"/>
      <c r="AFS4" s="539"/>
      <c r="AFT4" s="539"/>
      <c r="AFU4" s="539"/>
      <c r="AFV4" s="539"/>
      <c r="AFW4" s="539"/>
      <c r="AFX4" s="539"/>
      <c r="AFY4" s="539"/>
      <c r="AFZ4" s="539"/>
      <c r="AGA4" s="539"/>
      <c r="AGB4" s="539"/>
      <c r="AGC4" s="539"/>
      <c r="AGD4" s="539"/>
      <c r="AGE4" s="539"/>
      <c r="AGF4" s="539"/>
      <c r="AGG4" s="539"/>
      <c r="AGH4" s="539"/>
      <c r="AGI4" s="539"/>
      <c r="AGJ4" s="539"/>
      <c r="AGK4" s="539"/>
      <c r="AGL4" s="539"/>
      <c r="AGM4" s="539"/>
      <c r="AGN4" s="539"/>
      <c r="AGO4" s="539"/>
      <c r="AGP4" s="539"/>
      <c r="AGQ4" s="539"/>
      <c r="AGR4" s="539"/>
      <c r="AGS4" s="539"/>
      <c r="AGT4" s="539"/>
      <c r="AGU4" s="539"/>
      <c r="AGV4" s="539"/>
      <c r="AGW4" s="539"/>
      <c r="AGX4" s="539"/>
      <c r="AGY4" s="539"/>
      <c r="AGZ4" s="539"/>
      <c r="AHA4" s="539"/>
      <c r="AHB4" s="539"/>
      <c r="AHC4" s="539"/>
      <c r="AHD4" s="539"/>
      <c r="AHE4" s="539"/>
      <c r="AHF4" s="539"/>
      <c r="AHG4" s="539"/>
      <c r="AHH4" s="539"/>
      <c r="AHI4" s="539"/>
      <c r="AHJ4" s="539"/>
      <c r="AHK4" s="539"/>
      <c r="AHL4" s="539"/>
      <c r="AHM4" s="539"/>
      <c r="AHN4" s="539"/>
      <c r="AHO4" s="539"/>
      <c r="AHP4" s="539"/>
      <c r="AHQ4" s="539"/>
      <c r="AHR4" s="539"/>
      <c r="AHS4" s="539"/>
      <c r="AHT4" s="539"/>
      <c r="AHU4" s="539"/>
      <c r="AHV4" s="539"/>
      <c r="AHW4" s="539"/>
      <c r="AHX4" s="539"/>
      <c r="AHY4" s="539"/>
      <c r="AHZ4" s="539"/>
      <c r="AIA4" s="539"/>
      <c r="AIB4" s="539"/>
      <c r="AIC4" s="539"/>
      <c r="AID4" s="539"/>
      <c r="AIE4" s="539"/>
      <c r="AIF4" s="539"/>
      <c r="AIG4" s="539"/>
      <c r="AIH4" s="539"/>
      <c r="AII4" s="539"/>
      <c r="AIJ4" s="539"/>
      <c r="AIK4" s="539"/>
      <c r="AIL4" s="539"/>
      <c r="AIM4" s="539"/>
      <c r="AIN4" s="539"/>
      <c r="AIO4" s="539"/>
      <c r="AIP4" s="539"/>
      <c r="AIQ4" s="539"/>
      <c r="AIR4" s="539"/>
      <c r="AIS4" s="539"/>
      <c r="AIT4" s="539"/>
      <c r="AIU4" s="539"/>
      <c r="AIV4" s="539"/>
      <c r="AIW4" s="539"/>
      <c r="AIX4" s="539"/>
      <c r="AIY4" s="539"/>
      <c r="AIZ4" s="539"/>
      <c r="AJA4" s="539"/>
      <c r="AJB4" s="539"/>
      <c r="AJC4" s="539"/>
      <c r="AJD4" s="539"/>
      <c r="AJE4" s="539"/>
      <c r="AJF4" s="539"/>
      <c r="AJG4" s="539"/>
      <c r="AJH4" s="539"/>
      <c r="AJI4" s="539"/>
      <c r="AJJ4" s="539"/>
      <c r="AJK4" s="539"/>
      <c r="AJL4" s="539"/>
      <c r="AJM4" s="539"/>
      <c r="AJN4" s="539"/>
      <c r="AJO4" s="539"/>
      <c r="AJP4" s="539"/>
      <c r="AJQ4" s="539"/>
      <c r="AJR4" s="539"/>
      <c r="AJS4" s="539"/>
      <c r="AJT4" s="539"/>
      <c r="AJU4" s="539"/>
      <c r="AJV4" s="539"/>
      <c r="AJW4" s="539"/>
      <c r="AJX4" s="539"/>
      <c r="AJY4" s="539"/>
      <c r="AJZ4" s="539"/>
      <c r="AKA4" s="539"/>
      <c r="AKB4" s="539"/>
      <c r="AKC4" s="539"/>
      <c r="AKD4" s="539"/>
      <c r="AKE4" s="539"/>
      <c r="AKF4" s="539"/>
      <c r="AKG4" s="539"/>
      <c r="AKH4" s="539"/>
      <c r="AKI4" s="539"/>
      <c r="AKJ4" s="539"/>
      <c r="AKK4" s="539"/>
      <c r="AKL4" s="539"/>
      <c r="AKM4" s="539"/>
      <c r="AKN4" s="539"/>
      <c r="AKO4" s="539"/>
      <c r="AKP4" s="539"/>
      <c r="AKQ4" s="539"/>
      <c r="AKR4" s="539"/>
      <c r="AKS4" s="539"/>
      <c r="AKT4" s="539"/>
      <c r="AKU4" s="539"/>
      <c r="AKV4" s="539"/>
      <c r="AKW4" s="539"/>
      <c r="AKX4" s="539"/>
      <c r="AKY4" s="539"/>
      <c r="AKZ4" s="539"/>
      <c r="ALA4" s="539"/>
      <c r="ALB4" s="539"/>
      <c r="ALC4" s="539"/>
      <c r="ALD4" s="539"/>
      <c r="ALE4" s="539"/>
      <c r="ALF4" s="539"/>
      <c r="ALG4" s="539"/>
      <c r="ALH4" s="539"/>
      <c r="ALI4" s="539"/>
      <c r="ALJ4" s="539"/>
      <c r="ALK4" s="539"/>
      <c r="ALL4" s="539"/>
      <c r="ALM4" s="539"/>
      <c r="ALN4" s="539"/>
      <c r="ALO4" s="539"/>
      <c r="ALP4" s="539"/>
      <c r="ALQ4" s="539"/>
      <c r="ALR4" s="539"/>
      <c r="ALS4" s="539"/>
      <c r="ALT4" s="539"/>
      <c r="ALU4" s="539"/>
      <c r="ALV4" s="539"/>
      <c r="ALW4" s="539"/>
      <c r="ALX4" s="539"/>
      <c r="ALY4" s="539"/>
      <c r="ALZ4" s="539"/>
      <c r="AMA4" s="539"/>
      <c r="AMB4" s="539"/>
      <c r="AMC4" s="539"/>
      <c r="AMD4" s="539"/>
      <c r="AME4" s="539"/>
      <c r="AMF4" s="539"/>
      <c r="AMG4" s="539"/>
      <c r="AMH4" s="539"/>
      <c r="AMI4" s="539"/>
      <c r="AMJ4" s="539"/>
      <c r="AMK4" s="539"/>
      <c r="AML4" s="539"/>
      <c r="AMM4" s="539"/>
      <c r="AMN4" s="539"/>
      <c r="AMO4" s="539"/>
      <c r="AMP4" s="539"/>
      <c r="AMQ4" s="539"/>
      <c r="AMR4" s="539"/>
      <c r="AMS4" s="539"/>
      <c r="AMT4" s="539"/>
      <c r="AMU4" s="539"/>
      <c r="AMV4" s="539"/>
      <c r="AMW4" s="539"/>
      <c r="AMX4" s="539"/>
      <c r="AMY4" s="539"/>
      <c r="AMZ4" s="539"/>
      <c r="ANA4" s="539"/>
      <c r="ANB4" s="539"/>
      <c r="ANC4" s="539"/>
      <c r="AND4" s="539"/>
      <c r="ANE4" s="539"/>
      <c r="ANF4" s="539"/>
      <c r="ANG4" s="539"/>
      <c r="ANH4" s="539"/>
      <c r="ANI4" s="539"/>
      <c r="ANJ4" s="539"/>
      <c r="ANK4" s="539"/>
      <c r="ANL4" s="539"/>
      <c r="ANM4" s="539"/>
      <c r="ANN4" s="539"/>
      <c r="ANO4" s="539"/>
      <c r="ANP4" s="539"/>
      <c r="ANQ4" s="539"/>
      <c r="ANR4" s="539"/>
      <c r="ANS4" s="539"/>
      <c r="ANT4" s="539"/>
      <c r="ANU4" s="539"/>
      <c r="ANV4" s="539"/>
      <c r="ANW4" s="539"/>
      <c r="ANX4" s="539"/>
      <c r="ANY4" s="539"/>
      <c r="ANZ4" s="539"/>
      <c r="AOA4" s="539"/>
      <c r="AOB4" s="539"/>
      <c r="AOC4" s="539"/>
      <c r="AOD4" s="539"/>
      <c r="AOE4" s="539"/>
      <c r="AOF4" s="539"/>
      <c r="AOG4" s="539"/>
      <c r="AOH4" s="539"/>
      <c r="AOI4" s="539"/>
      <c r="AOJ4" s="539"/>
      <c r="AOK4" s="539"/>
      <c r="AOL4" s="539"/>
      <c r="AOM4" s="539"/>
      <c r="AON4" s="539"/>
      <c r="AOO4" s="539"/>
      <c r="AOP4" s="539"/>
      <c r="AOQ4" s="539"/>
      <c r="AOR4" s="539"/>
      <c r="AOS4" s="539"/>
      <c r="AOT4" s="539"/>
      <c r="AOU4" s="539"/>
      <c r="AOV4" s="539"/>
      <c r="AOW4" s="539"/>
      <c r="AOX4" s="539"/>
      <c r="AOY4" s="539"/>
      <c r="AOZ4" s="539"/>
      <c r="APA4" s="539"/>
      <c r="APB4" s="539"/>
      <c r="APC4" s="539"/>
      <c r="APD4" s="539"/>
      <c r="APE4" s="539"/>
      <c r="APF4" s="539"/>
      <c r="APG4" s="539"/>
      <c r="APH4" s="539"/>
      <c r="API4" s="539"/>
      <c r="APJ4" s="539"/>
      <c r="APK4" s="539"/>
      <c r="APL4" s="539"/>
      <c r="APM4" s="539"/>
      <c r="APN4" s="539"/>
      <c r="APO4" s="539"/>
      <c r="APP4" s="539"/>
      <c r="APQ4" s="539"/>
      <c r="APR4" s="539"/>
      <c r="APS4" s="539"/>
      <c r="APT4" s="539"/>
      <c r="APU4" s="539"/>
      <c r="APV4" s="539"/>
      <c r="APW4" s="539"/>
      <c r="APX4" s="539"/>
      <c r="APY4" s="539"/>
      <c r="APZ4" s="539"/>
      <c r="AQA4" s="539"/>
      <c r="AQB4" s="539"/>
      <c r="AQC4" s="539"/>
      <c r="AQD4" s="539"/>
      <c r="AQE4" s="539"/>
      <c r="AQF4" s="539"/>
      <c r="AQG4" s="539"/>
      <c r="AQH4" s="539"/>
      <c r="AQI4" s="539"/>
      <c r="AQJ4" s="539"/>
      <c r="AQK4" s="539"/>
      <c r="AQL4" s="539"/>
      <c r="AQM4" s="539"/>
      <c r="AQN4" s="539"/>
      <c r="AQO4" s="539"/>
      <c r="AQP4" s="539"/>
      <c r="AQQ4" s="539"/>
      <c r="AQR4" s="539"/>
      <c r="AQS4" s="539"/>
      <c r="AQT4" s="539"/>
      <c r="AQU4" s="539"/>
      <c r="AQV4" s="539"/>
      <c r="AQW4" s="539"/>
      <c r="AQX4" s="539"/>
      <c r="AQY4" s="539"/>
      <c r="AQZ4" s="539"/>
      <c r="ARA4" s="539"/>
      <c r="ARB4" s="539"/>
      <c r="ARC4" s="539"/>
      <c r="ARD4" s="539"/>
      <c r="ARE4" s="539"/>
      <c r="ARF4" s="539"/>
      <c r="ARG4" s="539"/>
      <c r="ARH4" s="539"/>
      <c r="ARI4" s="539"/>
      <c r="ARJ4" s="539"/>
      <c r="ARK4" s="539"/>
      <c r="ARL4" s="539"/>
      <c r="ARM4" s="539"/>
      <c r="ARN4" s="539"/>
      <c r="ARO4" s="539"/>
      <c r="ARP4" s="539"/>
      <c r="ARQ4" s="539"/>
      <c r="ARR4" s="539"/>
      <c r="ARS4" s="539"/>
      <c r="ART4" s="539"/>
      <c r="ARU4" s="539"/>
      <c r="ARV4" s="539"/>
      <c r="ARW4" s="539"/>
      <c r="ARX4" s="539"/>
      <c r="ARY4" s="539"/>
      <c r="ARZ4" s="539"/>
      <c r="ASA4" s="539"/>
      <c r="ASB4" s="539"/>
      <c r="ASC4" s="539"/>
      <c r="ASD4" s="539"/>
      <c r="ASE4" s="539"/>
      <c r="ASF4" s="539"/>
      <c r="ASG4" s="539"/>
      <c r="ASH4" s="539"/>
      <c r="ASI4" s="539"/>
      <c r="ASJ4" s="539"/>
      <c r="ASK4" s="539"/>
      <c r="ASL4" s="539"/>
      <c r="ASM4" s="539"/>
      <c r="ASN4" s="539"/>
      <c r="ASO4" s="539"/>
      <c r="ASP4" s="539"/>
      <c r="ASQ4" s="539"/>
      <c r="ASR4" s="539"/>
      <c r="ASS4" s="539"/>
      <c r="AST4" s="539"/>
      <c r="ASU4" s="539"/>
      <c r="ASV4" s="539"/>
      <c r="ASW4" s="539"/>
      <c r="ASX4" s="539"/>
      <c r="ASY4" s="539"/>
      <c r="ASZ4" s="539"/>
      <c r="ATA4" s="539"/>
      <c r="ATB4" s="539"/>
      <c r="ATC4" s="539"/>
      <c r="ATD4" s="539"/>
      <c r="ATE4" s="539"/>
      <c r="ATF4" s="539"/>
      <c r="ATG4" s="539"/>
      <c r="ATH4" s="539"/>
      <c r="ATI4" s="539"/>
      <c r="ATJ4" s="539"/>
      <c r="ATK4" s="539"/>
      <c r="ATL4" s="539"/>
      <c r="ATM4" s="539"/>
      <c r="ATN4" s="539"/>
      <c r="ATO4" s="539"/>
      <c r="ATP4" s="539"/>
      <c r="ATQ4" s="539"/>
      <c r="ATR4" s="539"/>
      <c r="ATS4" s="539"/>
      <c r="ATT4" s="539"/>
      <c r="ATU4" s="539"/>
      <c r="ATV4" s="539"/>
      <c r="ATW4" s="539"/>
      <c r="ATX4" s="539"/>
      <c r="ATY4" s="539"/>
      <c r="ATZ4" s="539"/>
      <c r="AUA4" s="539"/>
      <c r="AUB4" s="539"/>
      <c r="AUC4" s="539"/>
      <c r="AUD4" s="539"/>
      <c r="AUE4" s="539"/>
      <c r="AUF4" s="539"/>
      <c r="AUG4" s="539"/>
      <c r="AUH4" s="539"/>
      <c r="AUI4" s="539"/>
      <c r="AUJ4" s="539"/>
      <c r="AUK4" s="539"/>
      <c r="AUL4" s="539"/>
      <c r="AUM4" s="539"/>
      <c r="AUN4" s="539"/>
      <c r="AUO4" s="539"/>
      <c r="AUP4" s="539"/>
      <c r="AUQ4" s="539"/>
      <c r="AUR4" s="539"/>
      <c r="AUS4" s="539"/>
      <c r="AUT4" s="539"/>
      <c r="AUU4" s="539"/>
      <c r="AUV4" s="539"/>
      <c r="AUW4" s="539"/>
      <c r="AUX4" s="539"/>
      <c r="AUY4" s="539"/>
      <c r="AUZ4" s="539"/>
      <c r="AVA4" s="539"/>
      <c r="AVB4" s="539"/>
      <c r="AVC4" s="539"/>
      <c r="AVD4" s="539"/>
      <c r="AVE4" s="539"/>
      <c r="AVF4" s="539"/>
      <c r="AVG4" s="539"/>
      <c r="AVH4" s="539"/>
      <c r="AVI4" s="539"/>
      <c r="AVJ4" s="539"/>
      <c r="AVK4" s="539"/>
      <c r="AVL4" s="539"/>
      <c r="AVM4" s="539"/>
      <c r="AVN4" s="539"/>
      <c r="AVO4" s="539"/>
      <c r="AVP4" s="539"/>
      <c r="AVQ4" s="539"/>
      <c r="AVR4" s="539"/>
      <c r="AVS4" s="539"/>
      <c r="AVT4" s="539"/>
      <c r="AVU4" s="539"/>
      <c r="AVV4" s="539"/>
      <c r="AVW4" s="539"/>
      <c r="AVX4" s="539"/>
      <c r="AVY4" s="539"/>
      <c r="AVZ4" s="539"/>
      <c r="AWA4" s="539"/>
      <c r="AWB4" s="539"/>
      <c r="AWC4" s="539"/>
      <c r="AWD4" s="539"/>
      <c r="AWE4" s="539"/>
      <c r="AWF4" s="539"/>
      <c r="AWG4" s="539"/>
      <c r="AWH4" s="539"/>
      <c r="AWI4" s="539"/>
      <c r="AWJ4" s="539"/>
      <c r="AWK4" s="539"/>
      <c r="AWL4" s="539"/>
      <c r="AWM4" s="539"/>
      <c r="AWN4" s="539"/>
      <c r="AWO4" s="539"/>
      <c r="AWP4" s="539"/>
      <c r="AWQ4" s="539"/>
      <c r="AWR4" s="539"/>
      <c r="AWS4" s="539"/>
      <c r="AWT4" s="539"/>
      <c r="AWU4" s="539"/>
      <c r="AWV4" s="539"/>
      <c r="AWW4" s="539"/>
      <c r="AWX4" s="539"/>
      <c r="AWY4" s="539"/>
      <c r="AWZ4" s="539"/>
      <c r="AXA4" s="539"/>
      <c r="AXB4" s="539"/>
      <c r="AXC4" s="539"/>
      <c r="AXD4" s="539"/>
      <c r="AXE4" s="539"/>
      <c r="AXF4" s="539"/>
      <c r="AXG4" s="539"/>
      <c r="AXH4" s="539"/>
      <c r="AXI4" s="539"/>
      <c r="AXJ4" s="539"/>
      <c r="AXK4" s="539"/>
      <c r="AXL4" s="539"/>
      <c r="AXM4" s="539"/>
      <c r="AXN4" s="539"/>
      <c r="AXO4" s="539"/>
      <c r="AXP4" s="539"/>
      <c r="AXQ4" s="539"/>
      <c r="AXR4" s="539"/>
      <c r="AXS4" s="539"/>
      <c r="AXT4" s="539"/>
      <c r="AXU4" s="539"/>
      <c r="AXV4" s="539"/>
      <c r="AXW4" s="539"/>
      <c r="AXX4" s="539"/>
      <c r="AXY4" s="539"/>
      <c r="AXZ4" s="539"/>
      <c r="AYA4" s="539"/>
      <c r="AYB4" s="539"/>
      <c r="AYC4" s="539"/>
      <c r="AYD4" s="539"/>
      <c r="AYE4" s="539"/>
      <c r="AYF4" s="539"/>
      <c r="AYG4" s="539"/>
      <c r="AYH4" s="539"/>
      <c r="AYI4" s="539"/>
      <c r="AYJ4" s="539"/>
      <c r="AYK4" s="539"/>
      <c r="AYL4" s="539"/>
      <c r="AYM4" s="539"/>
      <c r="AYN4" s="539"/>
      <c r="AYO4" s="539"/>
      <c r="AYP4" s="539"/>
      <c r="AYQ4" s="539"/>
      <c r="AYR4" s="539"/>
      <c r="AYS4" s="539"/>
      <c r="AYT4" s="539"/>
      <c r="AYU4" s="539"/>
      <c r="AYV4" s="539"/>
      <c r="AYW4" s="539"/>
      <c r="AYX4" s="539"/>
      <c r="AYY4" s="539"/>
      <c r="AYZ4" s="539"/>
      <c r="AZA4" s="539"/>
      <c r="AZB4" s="539"/>
      <c r="AZC4" s="539"/>
      <c r="AZD4" s="539"/>
      <c r="AZE4" s="539"/>
      <c r="AZF4" s="539"/>
      <c r="AZG4" s="539"/>
      <c r="AZH4" s="539"/>
      <c r="AZI4" s="539"/>
      <c r="AZJ4" s="539"/>
      <c r="AZK4" s="539"/>
      <c r="AZL4" s="539"/>
      <c r="AZM4" s="539"/>
      <c r="AZN4" s="539"/>
      <c r="AZO4" s="539"/>
      <c r="AZP4" s="539"/>
      <c r="AZQ4" s="539"/>
      <c r="AZR4" s="539"/>
      <c r="AZS4" s="539"/>
      <c r="AZT4" s="539"/>
      <c r="AZU4" s="539"/>
      <c r="AZV4" s="539"/>
      <c r="AZW4" s="539"/>
      <c r="AZX4" s="539"/>
      <c r="AZY4" s="539"/>
      <c r="AZZ4" s="539"/>
      <c r="BAA4" s="539"/>
      <c r="BAB4" s="539"/>
      <c r="BAC4" s="539"/>
      <c r="BAD4" s="539"/>
      <c r="BAE4" s="539"/>
      <c r="BAF4" s="539"/>
      <c r="BAG4" s="539"/>
      <c r="BAH4" s="539"/>
      <c r="BAI4" s="539"/>
      <c r="BAJ4" s="539"/>
      <c r="BAK4" s="539"/>
      <c r="BAL4" s="539"/>
      <c r="BAM4" s="539"/>
      <c r="BAN4" s="539"/>
      <c r="BAO4" s="539"/>
      <c r="BAP4" s="539"/>
      <c r="BAQ4" s="539"/>
      <c r="BAR4" s="539"/>
      <c r="BAS4" s="539"/>
      <c r="BAT4" s="539"/>
      <c r="BAU4" s="539"/>
      <c r="BAV4" s="539"/>
      <c r="BAW4" s="539"/>
      <c r="BAX4" s="539"/>
      <c r="BAY4" s="539"/>
      <c r="BAZ4" s="539"/>
      <c r="BBA4" s="539"/>
      <c r="BBB4" s="539"/>
      <c r="BBC4" s="539"/>
      <c r="BBD4" s="539"/>
      <c r="BBE4" s="539"/>
      <c r="BBF4" s="539"/>
      <c r="BBG4" s="539"/>
      <c r="BBH4" s="539"/>
      <c r="BBI4" s="539"/>
      <c r="BBJ4" s="539"/>
      <c r="BBK4" s="539"/>
      <c r="BBL4" s="539"/>
      <c r="BBM4" s="539"/>
      <c r="BBN4" s="539"/>
      <c r="BBO4" s="539"/>
      <c r="BBP4" s="539"/>
      <c r="BBQ4" s="539"/>
      <c r="BBR4" s="539"/>
      <c r="BBS4" s="539"/>
      <c r="BBT4" s="539"/>
      <c r="BBU4" s="539"/>
      <c r="BBV4" s="539"/>
      <c r="BBW4" s="539"/>
      <c r="BBX4" s="539"/>
      <c r="BBY4" s="539"/>
      <c r="BBZ4" s="539"/>
      <c r="BCA4" s="539"/>
      <c r="BCB4" s="539"/>
      <c r="BCC4" s="539"/>
      <c r="BCD4" s="539"/>
      <c r="BCE4" s="539"/>
      <c r="BCF4" s="539"/>
      <c r="BCG4" s="539"/>
      <c r="BCH4" s="539"/>
      <c r="BCI4" s="539"/>
      <c r="BCJ4" s="539"/>
      <c r="BCK4" s="539"/>
      <c r="BCL4" s="539"/>
      <c r="BCM4" s="539"/>
      <c r="BCN4" s="539"/>
      <c r="BCO4" s="539"/>
      <c r="BCP4" s="539"/>
      <c r="BCQ4" s="539"/>
      <c r="BCR4" s="539"/>
      <c r="BCS4" s="539"/>
      <c r="BCT4" s="539"/>
      <c r="BCU4" s="539"/>
      <c r="BCV4" s="539"/>
      <c r="BCW4" s="539"/>
      <c r="BCX4" s="539"/>
      <c r="BCY4" s="539"/>
      <c r="BCZ4" s="539"/>
      <c r="BDA4" s="539"/>
      <c r="BDB4" s="539"/>
      <c r="BDC4" s="539"/>
      <c r="BDD4" s="539"/>
      <c r="BDE4" s="539"/>
      <c r="BDF4" s="539"/>
      <c r="BDG4" s="539"/>
      <c r="BDH4" s="539"/>
      <c r="BDI4" s="539"/>
      <c r="BDJ4" s="539"/>
      <c r="BDK4" s="539"/>
      <c r="BDL4" s="539"/>
      <c r="BDM4" s="539"/>
      <c r="BDN4" s="539"/>
      <c r="BDO4" s="539"/>
      <c r="BDP4" s="539"/>
      <c r="BDQ4" s="539"/>
      <c r="BDR4" s="539"/>
      <c r="BDS4" s="539"/>
      <c r="BDT4" s="539"/>
      <c r="BDU4" s="539"/>
      <c r="BDV4" s="539"/>
      <c r="BDW4" s="539"/>
      <c r="BDX4" s="539"/>
      <c r="BDY4" s="539"/>
      <c r="BDZ4" s="539"/>
      <c r="BEA4" s="539"/>
      <c r="BEB4" s="539"/>
      <c r="BEC4" s="539"/>
      <c r="BED4" s="539"/>
      <c r="BEE4" s="539"/>
      <c r="BEF4" s="539"/>
      <c r="BEG4" s="539"/>
      <c r="BEH4" s="539"/>
      <c r="BEI4" s="539"/>
      <c r="BEJ4" s="539"/>
      <c r="BEK4" s="539"/>
      <c r="BEL4" s="539"/>
      <c r="BEM4" s="539"/>
      <c r="BEN4" s="539"/>
      <c r="BEO4" s="539"/>
      <c r="BEP4" s="539"/>
      <c r="BEQ4" s="539"/>
      <c r="BER4" s="539"/>
      <c r="BES4" s="539"/>
      <c r="BET4" s="539"/>
      <c r="BEU4" s="539"/>
      <c r="BEV4" s="539"/>
      <c r="BEW4" s="539"/>
      <c r="BEX4" s="539"/>
      <c r="BEY4" s="539"/>
      <c r="BEZ4" s="539"/>
      <c r="BFA4" s="539"/>
      <c r="BFB4" s="539"/>
      <c r="BFC4" s="539"/>
      <c r="BFD4" s="539"/>
      <c r="BFE4" s="539"/>
      <c r="BFF4" s="539"/>
      <c r="BFG4" s="539"/>
      <c r="BFH4" s="539"/>
      <c r="BFI4" s="539"/>
      <c r="BFJ4" s="539"/>
      <c r="BFK4" s="539"/>
      <c r="BFL4" s="539"/>
      <c r="BFM4" s="539"/>
      <c r="BFN4" s="539"/>
      <c r="BFO4" s="539"/>
      <c r="BFP4" s="539"/>
      <c r="BFQ4" s="539"/>
      <c r="BFR4" s="539"/>
      <c r="BFS4" s="539"/>
      <c r="BFT4" s="539"/>
      <c r="BFU4" s="539"/>
      <c r="BFV4" s="539"/>
      <c r="BFW4" s="539"/>
      <c r="BFX4" s="539"/>
      <c r="BFY4" s="539"/>
      <c r="BFZ4" s="539"/>
      <c r="BGA4" s="539"/>
      <c r="BGB4" s="539"/>
      <c r="BGC4" s="539"/>
      <c r="BGD4" s="539"/>
      <c r="BGE4" s="539"/>
      <c r="BGF4" s="539"/>
      <c r="BGG4" s="539"/>
      <c r="BGH4" s="539"/>
      <c r="BGI4" s="539"/>
      <c r="BGJ4" s="539"/>
      <c r="BGK4" s="539"/>
      <c r="BGL4" s="539"/>
      <c r="BGM4" s="539"/>
      <c r="BGN4" s="539"/>
      <c r="BGO4" s="539"/>
      <c r="BGP4" s="539"/>
      <c r="BGQ4" s="539"/>
      <c r="BGR4" s="539"/>
      <c r="BGS4" s="539"/>
      <c r="BGT4" s="539"/>
      <c r="BGU4" s="539"/>
      <c r="BGV4" s="539"/>
      <c r="BGW4" s="539"/>
      <c r="BGX4" s="539"/>
      <c r="BGY4" s="539"/>
      <c r="BGZ4" s="539"/>
      <c r="BHA4" s="539"/>
      <c r="BHB4" s="539"/>
      <c r="BHC4" s="539"/>
      <c r="BHD4" s="539"/>
      <c r="BHE4" s="539"/>
      <c r="BHF4" s="539"/>
      <c r="BHG4" s="539"/>
      <c r="BHH4" s="539"/>
      <c r="BHI4" s="539"/>
      <c r="BHJ4" s="539"/>
      <c r="BHK4" s="539"/>
      <c r="BHL4" s="539"/>
      <c r="BHM4" s="539"/>
      <c r="BHN4" s="539"/>
      <c r="BHO4" s="539"/>
      <c r="BHP4" s="539"/>
      <c r="BHQ4" s="539"/>
      <c r="BHR4" s="539"/>
      <c r="BHS4" s="539"/>
      <c r="BHT4" s="539"/>
      <c r="BHU4" s="539"/>
      <c r="BHV4" s="539"/>
      <c r="BHW4" s="539"/>
      <c r="BHX4" s="539"/>
      <c r="BHY4" s="539"/>
      <c r="BHZ4" s="539"/>
      <c r="BIA4" s="539"/>
      <c r="BIB4" s="539"/>
      <c r="BIC4" s="539"/>
      <c r="BID4" s="539"/>
      <c r="BIE4" s="539"/>
      <c r="BIF4" s="539"/>
      <c r="BIG4" s="539"/>
      <c r="BIH4" s="539"/>
      <c r="BII4" s="539"/>
      <c r="BIJ4" s="539"/>
      <c r="BIK4" s="539"/>
      <c r="BIL4" s="539"/>
      <c r="BIM4" s="539"/>
      <c r="BIN4" s="539"/>
      <c r="BIO4" s="539"/>
      <c r="BIP4" s="539"/>
      <c r="BIQ4" s="539"/>
      <c r="BIR4" s="539"/>
      <c r="BIS4" s="539"/>
      <c r="BIT4" s="539"/>
      <c r="BIU4" s="539"/>
      <c r="BIV4" s="539"/>
      <c r="BIW4" s="539"/>
      <c r="BIX4" s="539"/>
      <c r="BIY4" s="539"/>
      <c r="BIZ4" s="539"/>
      <c r="BJA4" s="539"/>
      <c r="BJB4" s="539"/>
      <c r="BJC4" s="539"/>
      <c r="BJD4" s="539"/>
      <c r="BJE4" s="539"/>
      <c r="BJF4" s="539"/>
      <c r="BJG4" s="539"/>
      <c r="BJH4" s="539"/>
      <c r="BJI4" s="539"/>
      <c r="BJJ4" s="539"/>
      <c r="BJK4" s="539"/>
      <c r="BJL4" s="539"/>
      <c r="BJM4" s="539"/>
      <c r="BJN4" s="539"/>
      <c r="BJO4" s="539"/>
      <c r="BJP4" s="539"/>
      <c r="BJQ4" s="539"/>
      <c r="BJR4" s="539"/>
      <c r="BJS4" s="539"/>
      <c r="BJT4" s="539"/>
      <c r="BJU4" s="539"/>
      <c r="BJV4" s="539"/>
      <c r="BJW4" s="539"/>
      <c r="BJX4" s="539"/>
      <c r="BJY4" s="539"/>
      <c r="BJZ4" s="539"/>
      <c r="BKA4" s="539"/>
      <c r="BKB4" s="539"/>
      <c r="BKC4" s="539"/>
      <c r="BKD4" s="539"/>
      <c r="BKE4" s="539"/>
      <c r="BKF4" s="539"/>
      <c r="BKG4" s="539"/>
      <c r="BKH4" s="539"/>
      <c r="BKI4" s="539"/>
      <c r="BKJ4" s="539"/>
      <c r="BKK4" s="539"/>
      <c r="BKL4" s="539"/>
      <c r="BKM4" s="539"/>
      <c r="BKN4" s="539"/>
      <c r="BKO4" s="539"/>
      <c r="BKP4" s="539"/>
      <c r="BKQ4" s="539"/>
      <c r="BKR4" s="539"/>
      <c r="BKS4" s="539"/>
      <c r="BKT4" s="539"/>
      <c r="BKU4" s="539"/>
      <c r="BKV4" s="539"/>
      <c r="BKW4" s="539"/>
      <c r="BKX4" s="539"/>
      <c r="BKY4" s="539"/>
      <c r="BKZ4" s="539"/>
      <c r="BLA4" s="539"/>
      <c r="BLB4" s="539"/>
      <c r="BLC4" s="539"/>
      <c r="BLD4" s="539"/>
      <c r="BLE4" s="539"/>
      <c r="BLF4" s="539"/>
      <c r="BLG4" s="539"/>
      <c r="BLH4" s="539"/>
      <c r="BLI4" s="539"/>
      <c r="BLJ4" s="539"/>
      <c r="BLK4" s="539"/>
      <c r="BLL4" s="539"/>
      <c r="BLM4" s="539"/>
      <c r="BLN4" s="539"/>
      <c r="BLO4" s="539"/>
      <c r="BLP4" s="539"/>
      <c r="BLQ4" s="539"/>
      <c r="BLR4" s="539"/>
      <c r="BLS4" s="539"/>
      <c r="BLT4" s="539"/>
      <c r="BLU4" s="539"/>
      <c r="BLV4" s="539"/>
      <c r="BLW4" s="539"/>
      <c r="BLX4" s="539"/>
      <c r="BLY4" s="539"/>
      <c r="BLZ4" s="539"/>
      <c r="BMA4" s="539"/>
      <c r="BMB4" s="539"/>
      <c r="BMC4" s="539"/>
      <c r="BMD4" s="539"/>
      <c r="BME4" s="539"/>
      <c r="BMF4" s="539"/>
      <c r="BMG4" s="539"/>
      <c r="BMH4" s="539"/>
      <c r="BMI4" s="539"/>
      <c r="BMJ4" s="539"/>
      <c r="BMK4" s="539"/>
      <c r="BML4" s="539"/>
      <c r="BMM4" s="539"/>
      <c r="BMN4" s="539"/>
      <c r="BMO4" s="539"/>
      <c r="BMP4" s="539"/>
      <c r="BMQ4" s="539"/>
      <c r="BMR4" s="539"/>
      <c r="BMS4" s="539"/>
      <c r="BMT4" s="539"/>
      <c r="BMU4" s="539"/>
      <c r="BMV4" s="539"/>
      <c r="BMW4" s="539"/>
      <c r="BMX4" s="539"/>
      <c r="BMY4" s="539"/>
      <c r="BMZ4" s="539"/>
      <c r="BNA4" s="539"/>
      <c r="BNB4" s="539"/>
      <c r="BNC4" s="539"/>
      <c r="BND4" s="539"/>
      <c r="BNE4" s="539"/>
      <c r="BNF4" s="539"/>
      <c r="BNG4" s="539"/>
      <c r="BNH4" s="539"/>
      <c r="BNI4" s="539"/>
      <c r="BNJ4" s="539"/>
      <c r="BNK4" s="539"/>
      <c r="BNL4" s="539"/>
      <c r="BNM4" s="539"/>
      <c r="BNN4" s="539"/>
      <c r="BNO4" s="539"/>
      <c r="BNP4" s="539"/>
      <c r="BNQ4" s="539"/>
      <c r="BNR4" s="539"/>
      <c r="BNS4" s="539"/>
      <c r="BNT4" s="539"/>
      <c r="BNU4" s="539"/>
      <c r="BNV4" s="539"/>
      <c r="BNW4" s="539"/>
      <c r="BNX4" s="539"/>
      <c r="BNY4" s="539"/>
      <c r="BNZ4" s="539"/>
      <c r="BOA4" s="539"/>
      <c r="BOB4" s="539"/>
      <c r="BOC4" s="539"/>
      <c r="BOD4" s="539"/>
      <c r="BOE4" s="539"/>
      <c r="BOF4" s="539"/>
      <c r="BOG4" s="539"/>
      <c r="BOH4" s="539"/>
      <c r="BOI4" s="539"/>
      <c r="BOJ4" s="539"/>
      <c r="BOK4" s="539"/>
      <c r="BOL4" s="539"/>
      <c r="BOM4" s="539"/>
      <c r="BON4" s="539"/>
      <c r="BOO4" s="539"/>
      <c r="BOP4" s="539"/>
      <c r="BOQ4" s="539"/>
      <c r="BOR4" s="539"/>
      <c r="BOS4" s="539"/>
      <c r="BOT4" s="539"/>
      <c r="BOU4" s="539"/>
      <c r="BOV4" s="539"/>
      <c r="BOW4" s="539"/>
      <c r="BOX4" s="539"/>
      <c r="BOY4" s="539"/>
      <c r="BOZ4" s="539"/>
      <c r="BPA4" s="539"/>
      <c r="BPB4" s="539"/>
      <c r="BPC4" s="539"/>
      <c r="BPD4" s="539"/>
      <c r="BPE4" s="539"/>
      <c r="BPF4" s="539"/>
      <c r="BPG4" s="539"/>
      <c r="BPH4" s="539"/>
      <c r="BPI4" s="539"/>
      <c r="BPJ4" s="539"/>
      <c r="BPK4" s="539"/>
      <c r="BPL4" s="539"/>
      <c r="BPM4" s="539"/>
      <c r="BPN4" s="539"/>
      <c r="BPO4" s="539"/>
      <c r="BPP4" s="539"/>
      <c r="BPQ4" s="539"/>
      <c r="BPR4" s="539"/>
      <c r="BPS4" s="539"/>
      <c r="BPT4" s="539"/>
      <c r="BPU4" s="539"/>
      <c r="BPV4" s="539"/>
      <c r="BPW4" s="539"/>
      <c r="BPX4" s="539"/>
      <c r="BPY4" s="539"/>
      <c r="BPZ4" s="539"/>
      <c r="BQA4" s="539"/>
      <c r="BQB4" s="539"/>
      <c r="BQC4" s="539"/>
      <c r="BQD4" s="539"/>
      <c r="BQE4" s="539"/>
      <c r="BQF4" s="539"/>
      <c r="BQG4" s="539"/>
      <c r="BQH4" s="539"/>
      <c r="BQI4" s="539"/>
      <c r="BQJ4" s="539"/>
      <c r="BQK4" s="539"/>
      <c r="BQL4" s="539"/>
      <c r="BQM4" s="539"/>
      <c r="BQN4" s="539"/>
      <c r="BQO4" s="539"/>
      <c r="BQP4" s="539"/>
      <c r="BQQ4" s="539"/>
      <c r="BQR4" s="539"/>
      <c r="BQS4" s="539"/>
      <c r="BQT4" s="539"/>
      <c r="BQU4" s="539"/>
      <c r="BQV4" s="539"/>
      <c r="BQW4" s="539"/>
      <c r="BQX4" s="539"/>
      <c r="BQY4" s="539"/>
      <c r="BQZ4" s="539"/>
      <c r="BRA4" s="539"/>
      <c r="BRB4" s="539"/>
      <c r="BRC4" s="539"/>
      <c r="BRD4" s="539"/>
      <c r="BRE4" s="539"/>
      <c r="BRF4" s="539"/>
      <c r="BRG4" s="539"/>
      <c r="BRH4" s="539"/>
      <c r="BRI4" s="539"/>
      <c r="BRJ4" s="539"/>
      <c r="BRK4" s="539"/>
      <c r="BRL4" s="539"/>
      <c r="BRM4" s="539"/>
      <c r="BRN4" s="539"/>
      <c r="BRO4" s="539"/>
      <c r="BRP4" s="539"/>
      <c r="BRQ4" s="539"/>
      <c r="BRR4" s="539"/>
      <c r="BRS4" s="539"/>
      <c r="BRT4" s="539"/>
      <c r="BRU4" s="539"/>
      <c r="BRV4" s="539"/>
      <c r="BRW4" s="539"/>
      <c r="BRX4" s="539"/>
      <c r="BRY4" s="539"/>
      <c r="BRZ4" s="539"/>
      <c r="BSA4" s="539"/>
      <c r="BSB4" s="539"/>
      <c r="BSC4" s="539"/>
      <c r="BSD4" s="539"/>
      <c r="BSE4" s="539"/>
      <c r="BSF4" s="539"/>
      <c r="BSG4" s="539"/>
      <c r="BSH4" s="539"/>
      <c r="BSI4" s="539"/>
      <c r="BSJ4" s="539"/>
      <c r="BSK4" s="539"/>
      <c r="BSL4" s="539"/>
      <c r="BSM4" s="539"/>
      <c r="BSN4" s="539"/>
      <c r="BSO4" s="539"/>
      <c r="BSP4" s="539"/>
      <c r="BSQ4" s="539"/>
      <c r="BSR4" s="539"/>
      <c r="BSS4" s="539"/>
      <c r="BST4" s="539"/>
      <c r="BSU4" s="539"/>
      <c r="BSV4" s="539"/>
      <c r="BSW4" s="539"/>
      <c r="BSX4" s="539"/>
      <c r="BSY4" s="539"/>
      <c r="BSZ4" s="539"/>
      <c r="BTA4" s="539"/>
      <c r="BTB4" s="539"/>
      <c r="BTC4" s="539"/>
      <c r="BTD4" s="539"/>
      <c r="BTE4" s="539"/>
      <c r="BTF4" s="539"/>
      <c r="BTG4" s="539"/>
      <c r="BTH4" s="539"/>
      <c r="BTI4" s="539"/>
      <c r="BTJ4" s="539"/>
      <c r="BTK4" s="539"/>
      <c r="BTL4" s="539"/>
      <c r="BTM4" s="539"/>
      <c r="BTN4" s="539"/>
      <c r="BTO4" s="539"/>
      <c r="BTP4" s="539"/>
      <c r="BTQ4" s="539"/>
      <c r="BTR4" s="539"/>
      <c r="BTS4" s="539"/>
      <c r="BTT4" s="539"/>
      <c r="BTU4" s="539"/>
      <c r="BTV4" s="539"/>
      <c r="BTW4" s="539"/>
      <c r="BTX4" s="539"/>
      <c r="BTY4" s="539"/>
      <c r="BTZ4" s="539"/>
      <c r="BUA4" s="539"/>
      <c r="BUB4" s="539"/>
      <c r="BUC4" s="539"/>
      <c r="BUD4" s="539"/>
      <c r="BUE4" s="539"/>
      <c r="BUF4" s="539"/>
      <c r="BUG4" s="539"/>
      <c r="BUH4" s="539"/>
      <c r="BUI4" s="539"/>
      <c r="BUJ4" s="539"/>
      <c r="BUK4" s="539"/>
      <c r="BUL4" s="539"/>
      <c r="BUM4" s="539"/>
      <c r="BUN4" s="539"/>
      <c r="BUO4" s="539"/>
      <c r="BUP4" s="539"/>
      <c r="BUQ4" s="539"/>
      <c r="BUR4" s="539"/>
      <c r="BUS4" s="539"/>
      <c r="BUT4" s="539"/>
      <c r="BUU4" s="539"/>
      <c r="BUV4" s="539"/>
      <c r="BUW4" s="539"/>
      <c r="BUX4" s="539"/>
      <c r="BUY4" s="539"/>
      <c r="BUZ4" s="539"/>
      <c r="BVA4" s="539"/>
      <c r="BVB4" s="539"/>
      <c r="BVC4" s="539"/>
      <c r="BVD4" s="539"/>
      <c r="BVE4" s="539"/>
      <c r="BVF4" s="539"/>
      <c r="BVG4" s="539"/>
      <c r="BVH4" s="539"/>
      <c r="BVI4" s="539"/>
      <c r="BVJ4" s="539"/>
      <c r="BVK4" s="539"/>
      <c r="BVL4" s="539"/>
      <c r="BVM4" s="539"/>
      <c r="BVN4" s="539"/>
      <c r="BVO4" s="539"/>
      <c r="BVP4" s="539"/>
      <c r="BVQ4" s="539"/>
      <c r="BVR4" s="539"/>
      <c r="BVS4" s="539"/>
      <c r="BVT4" s="539"/>
      <c r="BVU4" s="539"/>
      <c r="BVV4" s="539"/>
      <c r="BVW4" s="539"/>
      <c r="BVX4" s="539"/>
      <c r="BVY4" s="539"/>
      <c r="BVZ4" s="539"/>
      <c r="BWA4" s="539"/>
      <c r="BWB4" s="539"/>
      <c r="BWC4" s="539"/>
      <c r="BWD4" s="539"/>
      <c r="BWE4" s="539"/>
      <c r="BWF4" s="539"/>
      <c r="BWG4" s="539"/>
      <c r="BWH4" s="539"/>
      <c r="BWI4" s="539"/>
      <c r="BWJ4" s="539"/>
      <c r="BWK4" s="539"/>
      <c r="BWL4" s="539"/>
      <c r="BWM4" s="539"/>
      <c r="BWN4" s="539"/>
      <c r="BWO4" s="539"/>
      <c r="BWP4" s="539"/>
      <c r="BWQ4" s="539"/>
      <c r="BWR4" s="539"/>
      <c r="BWS4" s="539"/>
      <c r="BWT4" s="539"/>
      <c r="BWU4" s="539"/>
      <c r="BWV4" s="539"/>
      <c r="BWW4" s="539"/>
      <c r="BWX4" s="539"/>
      <c r="BWY4" s="539"/>
      <c r="BWZ4" s="539"/>
      <c r="BXA4" s="539"/>
      <c r="BXB4" s="539"/>
      <c r="BXC4" s="539"/>
      <c r="BXD4" s="539"/>
      <c r="BXE4" s="539"/>
      <c r="BXF4" s="539"/>
      <c r="BXG4" s="539"/>
      <c r="BXH4" s="539"/>
      <c r="BXI4" s="539"/>
      <c r="BXJ4" s="539"/>
      <c r="BXK4" s="539"/>
      <c r="BXL4" s="539"/>
      <c r="BXM4" s="539"/>
      <c r="BXN4" s="539"/>
      <c r="BXO4" s="539"/>
      <c r="BXP4" s="539"/>
      <c r="BXQ4" s="539"/>
      <c r="BXR4" s="539"/>
      <c r="BXS4" s="539"/>
      <c r="BXT4" s="539"/>
      <c r="BXU4" s="539"/>
      <c r="BXV4" s="539"/>
      <c r="BXW4" s="539"/>
      <c r="BXX4" s="539"/>
      <c r="BXY4" s="539"/>
      <c r="BXZ4" s="539"/>
      <c r="BYA4" s="539"/>
      <c r="BYB4" s="539"/>
      <c r="BYC4" s="539"/>
      <c r="BYD4" s="539"/>
      <c r="BYE4" s="539"/>
      <c r="BYF4" s="539"/>
      <c r="BYG4" s="539"/>
      <c r="BYH4" s="539"/>
      <c r="BYI4" s="539"/>
      <c r="BYJ4" s="539"/>
      <c r="BYK4" s="539"/>
      <c r="BYL4" s="539"/>
      <c r="BYM4" s="539"/>
      <c r="BYN4" s="539"/>
      <c r="BYO4" s="539"/>
      <c r="BYP4" s="539"/>
      <c r="BYQ4" s="539"/>
      <c r="BYR4" s="539"/>
      <c r="BYS4" s="539"/>
      <c r="BYT4" s="539"/>
      <c r="BYU4" s="539"/>
      <c r="BYV4" s="539"/>
      <c r="BYW4" s="539"/>
      <c r="BYX4" s="539"/>
      <c r="BYY4" s="539"/>
      <c r="BYZ4" s="539"/>
      <c r="BZA4" s="539"/>
      <c r="BZB4" s="539"/>
      <c r="BZC4" s="539"/>
      <c r="BZD4" s="539"/>
      <c r="BZE4" s="539"/>
      <c r="BZF4" s="539"/>
      <c r="BZG4" s="539"/>
      <c r="BZH4" s="539"/>
      <c r="BZI4" s="539"/>
      <c r="BZJ4" s="539"/>
      <c r="BZK4" s="539"/>
      <c r="BZL4" s="539"/>
      <c r="BZM4" s="539"/>
      <c r="BZN4" s="539"/>
      <c r="BZO4" s="539"/>
      <c r="BZP4" s="539"/>
      <c r="BZQ4" s="539"/>
      <c r="BZR4" s="539"/>
      <c r="BZS4" s="539"/>
      <c r="BZT4" s="539"/>
      <c r="BZU4" s="539"/>
      <c r="BZV4" s="539"/>
      <c r="BZW4" s="539"/>
      <c r="BZX4" s="539"/>
      <c r="BZY4" s="539"/>
      <c r="BZZ4" s="539"/>
      <c r="CAA4" s="539"/>
      <c r="CAB4" s="539"/>
      <c r="CAC4" s="539"/>
      <c r="CAD4" s="539"/>
      <c r="CAE4" s="539"/>
      <c r="CAF4" s="539"/>
      <c r="CAG4" s="539"/>
      <c r="CAH4" s="539"/>
      <c r="CAI4" s="539"/>
      <c r="CAJ4" s="539"/>
      <c r="CAK4" s="539"/>
      <c r="CAL4" s="539"/>
      <c r="CAM4" s="539"/>
      <c r="CAN4" s="539"/>
      <c r="CAO4" s="539"/>
      <c r="CAP4" s="539"/>
      <c r="CAQ4" s="539"/>
      <c r="CAR4" s="539"/>
      <c r="CAS4" s="539"/>
      <c r="CAT4" s="539"/>
      <c r="CAU4" s="539"/>
      <c r="CAV4" s="539"/>
      <c r="CAW4" s="539"/>
      <c r="CAX4" s="539"/>
      <c r="CAY4" s="539"/>
      <c r="CAZ4" s="539"/>
      <c r="CBA4" s="539"/>
      <c r="CBB4" s="539"/>
      <c r="CBC4" s="539"/>
      <c r="CBD4" s="539"/>
      <c r="CBE4" s="539"/>
      <c r="CBF4" s="539"/>
      <c r="CBG4" s="539"/>
      <c r="CBH4" s="539"/>
      <c r="CBI4" s="539"/>
      <c r="CBJ4" s="539"/>
      <c r="CBK4" s="539"/>
      <c r="CBL4" s="539"/>
      <c r="CBM4" s="539"/>
      <c r="CBN4" s="539"/>
      <c r="CBO4" s="539"/>
      <c r="CBP4" s="539"/>
      <c r="CBQ4" s="539"/>
      <c r="CBR4" s="539"/>
      <c r="CBS4" s="539"/>
      <c r="CBT4" s="539"/>
      <c r="CBU4" s="539"/>
      <c r="CBV4" s="539"/>
      <c r="CBW4" s="539"/>
      <c r="CBX4" s="539"/>
      <c r="CBY4" s="539"/>
      <c r="CBZ4" s="539"/>
      <c r="CCA4" s="539"/>
      <c r="CCB4" s="539"/>
      <c r="CCC4" s="539"/>
      <c r="CCD4" s="539"/>
      <c r="CCE4" s="539"/>
      <c r="CCF4" s="539"/>
      <c r="CCG4" s="539"/>
      <c r="CCH4" s="539"/>
      <c r="CCI4" s="539"/>
      <c r="CCJ4" s="539"/>
      <c r="CCK4" s="539"/>
      <c r="CCL4" s="539"/>
      <c r="CCM4" s="539"/>
      <c r="CCN4" s="539"/>
      <c r="CCO4" s="539"/>
      <c r="CCP4" s="539"/>
      <c r="CCQ4" s="539"/>
      <c r="CCR4" s="539"/>
      <c r="CCS4" s="539"/>
      <c r="CCT4" s="539"/>
      <c r="CCU4" s="539"/>
      <c r="CCV4" s="539"/>
      <c r="CCW4" s="539"/>
      <c r="CCX4" s="539"/>
      <c r="CCY4" s="539"/>
      <c r="CCZ4" s="539"/>
      <c r="CDA4" s="539"/>
      <c r="CDB4" s="539"/>
      <c r="CDC4" s="539"/>
      <c r="CDD4" s="539"/>
      <c r="CDE4" s="539"/>
      <c r="CDF4" s="539"/>
      <c r="CDG4" s="539"/>
      <c r="CDH4" s="539"/>
      <c r="CDI4" s="539"/>
      <c r="CDJ4" s="539"/>
      <c r="CDK4" s="539"/>
      <c r="CDL4" s="539"/>
      <c r="CDM4" s="539"/>
      <c r="CDN4" s="539"/>
      <c r="CDO4" s="539"/>
      <c r="CDP4" s="539"/>
      <c r="CDQ4" s="539"/>
      <c r="CDR4" s="539"/>
      <c r="CDS4" s="539"/>
      <c r="CDT4" s="539"/>
      <c r="CDU4" s="539"/>
      <c r="CDV4" s="539"/>
      <c r="CDW4" s="539"/>
      <c r="CDX4" s="539"/>
      <c r="CDY4" s="539"/>
      <c r="CDZ4" s="539"/>
      <c r="CEA4" s="539"/>
      <c r="CEB4" s="539"/>
      <c r="CEC4" s="539"/>
      <c r="CED4" s="539"/>
      <c r="CEE4" s="539"/>
      <c r="CEF4" s="539"/>
      <c r="CEG4" s="539"/>
      <c r="CEH4" s="539"/>
      <c r="CEI4" s="539"/>
      <c r="CEJ4" s="539"/>
      <c r="CEK4" s="539"/>
      <c r="CEL4" s="539"/>
      <c r="CEM4" s="539"/>
      <c r="CEN4" s="539"/>
      <c r="CEO4" s="539"/>
      <c r="CEP4" s="539"/>
      <c r="CEQ4" s="539"/>
      <c r="CER4" s="539"/>
      <c r="CES4" s="539"/>
      <c r="CET4" s="539"/>
      <c r="CEU4" s="539"/>
      <c r="CEV4" s="539"/>
      <c r="CEW4" s="539"/>
      <c r="CEX4" s="539"/>
      <c r="CEY4" s="539"/>
      <c r="CEZ4" s="539"/>
      <c r="CFA4" s="539"/>
      <c r="CFB4" s="539"/>
      <c r="CFC4" s="539"/>
      <c r="CFD4" s="539"/>
      <c r="CFE4" s="539"/>
      <c r="CFF4" s="539"/>
      <c r="CFG4" s="539"/>
      <c r="CFH4" s="539"/>
      <c r="CFI4" s="539"/>
      <c r="CFJ4" s="539"/>
      <c r="CFK4" s="539"/>
      <c r="CFL4" s="539"/>
      <c r="CFM4" s="539"/>
      <c r="CFN4" s="539"/>
      <c r="CFO4" s="539"/>
      <c r="CFP4" s="539"/>
      <c r="CFQ4" s="539"/>
      <c r="CFR4" s="539"/>
      <c r="CFS4" s="539"/>
      <c r="CFT4" s="539"/>
      <c r="CFU4" s="539"/>
      <c r="CFV4" s="539"/>
      <c r="CFW4" s="539"/>
      <c r="CFX4" s="539"/>
      <c r="CFY4" s="539"/>
      <c r="CFZ4" s="539"/>
      <c r="CGA4" s="539"/>
      <c r="CGB4" s="539"/>
      <c r="CGC4" s="539"/>
      <c r="CGD4" s="539"/>
      <c r="CGE4" s="539"/>
      <c r="CGF4" s="539"/>
      <c r="CGG4" s="539"/>
      <c r="CGH4" s="539"/>
      <c r="CGI4" s="539"/>
      <c r="CGJ4" s="539"/>
      <c r="CGK4" s="539"/>
      <c r="CGL4" s="539"/>
      <c r="CGM4" s="539"/>
      <c r="CGN4" s="539"/>
      <c r="CGO4" s="539"/>
      <c r="CGP4" s="539"/>
      <c r="CGQ4" s="539"/>
      <c r="CGR4" s="539"/>
      <c r="CGS4" s="539"/>
      <c r="CGT4" s="539"/>
      <c r="CGU4" s="539"/>
      <c r="CGV4" s="539"/>
      <c r="CGW4" s="539"/>
      <c r="CGX4" s="539"/>
      <c r="CGY4" s="539"/>
      <c r="CGZ4" s="539"/>
      <c r="CHA4" s="539"/>
      <c r="CHB4" s="539"/>
      <c r="CHC4" s="539"/>
      <c r="CHD4" s="539"/>
      <c r="CHE4" s="539"/>
      <c r="CHF4" s="539"/>
      <c r="CHG4" s="539"/>
      <c r="CHH4" s="539"/>
      <c r="CHI4" s="539"/>
      <c r="CHJ4" s="539"/>
      <c r="CHK4" s="539"/>
      <c r="CHL4" s="539"/>
      <c r="CHM4" s="539"/>
      <c r="CHN4" s="539"/>
      <c r="CHO4" s="539"/>
      <c r="CHP4" s="539"/>
      <c r="CHQ4" s="539"/>
      <c r="CHR4" s="539"/>
      <c r="CHS4" s="539"/>
      <c r="CHT4" s="539"/>
      <c r="CHU4" s="539"/>
      <c r="CHV4" s="539"/>
      <c r="CHW4" s="539"/>
      <c r="CHX4" s="539"/>
      <c r="CHY4" s="539"/>
      <c r="CHZ4" s="539"/>
      <c r="CIA4" s="539"/>
      <c r="CIB4" s="539"/>
      <c r="CIC4" s="539"/>
      <c r="CID4" s="539"/>
      <c r="CIE4" s="539"/>
      <c r="CIF4" s="539"/>
      <c r="CIG4" s="539"/>
      <c r="CIH4" s="539"/>
      <c r="CII4" s="539"/>
      <c r="CIJ4" s="539"/>
      <c r="CIK4" s="539"/>
      <c r="CIL4" s="539"/>
      <c r="CIM4" s="539"/>
      <c r="CIN4" s="539"/>
      <c r="CIO4" s="539"/>
      <c r="CIP4" s="539"/>
      <c r="CIQ4" s="539"/>
      <c r="CIR4" s="539"/>
      <c r="CIS4" s="539"/>
      <c r="CIT4" s="539"/>
      <c r="CIU4" s="539"/>
      <c r="CIV4" s="539"/>
      <c r="CIW4" s="539"/>
      <c r="CIX4" s="539"/>
      <c r="CIY4" s="539"/>
      <c r="CIZ4" s="539"/>
      <c r="CJA4" s="539"/>
      <c r="CJB4" s="539"/>
      <c r="CJC4" s="539"/>
      <c r="CJD4" s="539"/>
      <c r="CJE4" s="539"/>
      <c r="CJF4" s="539"/>
      <c r="CJG4" s="539"/>
      <c r="CJH4" s="539"/>
      <c r="CJI4" s="539"/>
      <c r="CJJ4" s="539"/>
      <c r="CJK4" s="539"/>
      <c r="CJL4" s="539"/>
      <c r="CJM4" s="539"/>
      <c r="CJN4" s="539"/>
      <c r="CJO4" s="539"/>
      <c r="CJP4" s="539"/>
      <c r="CJQ4" s="539"/>
      <c r="CJR4" s="539"/>
      <c r="CJS4" s="539"/>
      <c r="CJT4" s="539"/>
      <c r="CJU4" s="539"/>
      <c r="CJV4" s="539"/>
      <c r="CJW4" s="539"/>
      <c r="CJX4" s="539"/>
      <c r="CJY4" s="539"/>
      <c r="CJZ4" s="539"/>
      <c r="CKA4" s="539"/>
      <c r="CKB4" s="539"/>
      <c r="CKC4" s="539"/>
      <c r="CKD4" s="539"/>
      <c r="CKE4" s="539"/>
      <c r="CKF4" s="539"/>
      <c r="CKG4" s="539"/>
      <c r="CKH4" s="539"/>
      <c r="CKI4" s="539"/>
      <c r="CKJ4" s="539"/>
      <c r="CKK4" s="539"/>
      <c r="CKL4" s="539"/>
      <c r="CKM4" s="539"/>
      <c r="CKN4" s="539"/>
      <c r="CKO4" s="539"/>
      <c r="CKP4" s="539"/>
      <c r="CKQ4" s="539"/>
      <c r="CKR4" s="539"/>
      <c r="CKS4" s="539"/>
      <c r="CKT4" s="539"/>
      <c r="CKU4" s="539"/>
      <c r="CKV4" s="539"/>
      <c r="CKW4" s="539"/>
      <c r="CKX4" s="539"/>
      <c r="CKY4" s="539"/>
      <c r="CKZ4" s="539"/>
      <c r="CLA4" s="539"/>
      <c r="CLB4" s="539"/>
      <c r="CLC4" s="539"/>
      <c r="CLD4" s="539"/>
      <c r="CLE4" s="539"/>
      <c r="CLF4" s="539"/>
      <c r="CLG4" s="539"/>
      <c r="CLH4" s="539"/>
      <c r="CLI4" s="539"/>
      <c r="CLJ4" s="539"/>
      <c r="CLK4" s="539"/>
      <c r="CLL4" s="539"/>
      <c r="CLM4" s="539"/>
      <c r="CLN4" s="539"/>
      <c r="CLO4" s="539"/>
      <c r="CLP4" s="539"/>
      <c r="CLQ4" s="539"/>
      <c r="CLR4" s="539"/>
      <c r="CLS4" s="539"/>
      <c r="CLT4" s="539"/>
      <c r="CLU4" s="539"/>
      <c r="CLV4" s="539"/>
      <c r="CLW4" s="539"/>
      <c r="CLX4" s="539"/>
      <c r="CLY4" s="539"/>
      <c r="CLZ4" s="539"/>
      <c r="CMA4" s="539"/>
      <c r="CMB4" s="539"/>
      <c r="CMC4" s="539"/>
      <c r="CMD4" s="539"/>
      <c r="CME4" s="539"/>
      <c r="CMF4" s="539"/>
      <c r="CMG4" s="539"/>
      <c r="CMH4" s="539"/>
      <c r="CMI4" s="539"/>
      <c r="CMJ4" s="539"/>
      <c r="CMK4" s="539"/>
      <c r="CML4" s="539"/>
      <c r="CMM4" s="539"/>
      <c r="CMN4" s="539"/>
      <c r="CMO4" s="539"/>
      <c r="CMP4" s="539"/>
      <c r="CMQ4" s="539"/>
      <c r="CMR4" s="539"/>
      <c r="CMS4" s="539"/>
      <c r="CMT4" s="539"/>
      <c r="CMU4" s="539"/>
      <c r="CMV4" s="539"/>
      <c r="CMW4" s="539"/>
      <c r="CMX4" s="539"/>
      <c r="CMY4" s="539"/>
      <c r="CMZ4" s="539"/>
      <c r="CNA4" s="539"/>
      <c r="CNB4" s="539"/>
      <c r="CNC4" s="539"/>
      <c r="CND4" s="539"/>
      <c r="CNE4" s="539"/>
      <c r="CNF4" s="539"/>
      <c r="CNG4" s="539"/>
      <c r="CNH4" s="539"/>
      <c r="CNI4" s="539"/>
      <c r="CNJ4" s="539"/>
      <c r="CNK4" s="539"/>
      <c r="CNL4" s="539"/>
      <c r="CNM4" s="539"/>
      <c r="CNN4" s="539"/>
      <c r="CNO4" s="539"/>
      <c r="CNP4" s="539"/>
      <c r="CNQ4" s="539"/>
      <c r="CNR4" s="539"/>
      <c r="CNS4" s="539"/>
      <c r="CNT4" s="539"/>
      <c r="CNU4" s="539"/>
      <c r="CNV4" s="539"/>
      <c r="CNW4" s="539"/>
      <c r="CNX4" s="539"/>
      <c r="CNY4" s="539"/>
      <c r="CNZ4" s="539"/>
      <c r="COA4" s="539"/>
      <c r="COB4" s="539"/>
      <c r="COC4" s="539"/>
      <c r="COD4" s="539"/>
      <c r="COE4" s="539"/>
      <c r="COF4" s="539"/>
      <c r="COG4" s="539"/>
      <c r="COH4" s="539"/>
      <c r="COI4" s="539"/>
      <c r="COJ4" s="539"/>
      <c r="COK4" s="539"/>
      <c r="COL4" s="539"/>
      <c r="COM4" s="539"/>
      <c r="CON4" s="539"/>
      <c r="COO4" s="539"/>
      <c r="COP4" s="539"/>
      <c r="COQ4" s="539"/>
      <c r="COR4" s="539"/>
      <c r="COS4" s="539"/>
      <c r="COT4" s="539"/>
      <c r="COU4" s="539"/>
      <c r="COV4" s="539"/>
      <c r="COW4" s="539"/>
      <c r="COX4" s="539"/>
      <c r="COY4" s="539"/>
      <c r="COZ4" s="539"/>
      <c r="CPA4" s="539"/>
      <c r="CPB4" s="539"/>
      <c r="CPC4" s="539"/>
      <c r="CPD4" s="539"/>
      <c r="CPE4" s="539"/>
      <c r="CPF4" s="539"/>
      <c r="CPG4" s="539"/>
      <c r="CPH4" s="539"/>
      <c r="CPI4" s="539"/>
      <c r="CPJ4" s="539"/>
      <c r="CPK4" s="539"/>
      <c r="CPL4" s="539"/>
      <c r="CPM4" s="539"/>
      <c r="CPN4" s="539"/>
      <c r="CPO4" s="539"/>
      <c r="CPP4" s="539"/>
      <c r="CPQ4" s="539"/>
      <c r="CPR4" s="539"/>
      <c r="CPS4" s="539"/>
      <c r="CPT4" s="539"/>
      <c r="CPU4" s="539"/>
      <c r="CPV4" s="539"/>
      <c r="CPW4" s="539"/>
      <c r="CPX4" s="539"/>
      <c r="CPY4" s="539"/>
      <c r="CPZ4" s="539"/>
      <c r="CQA4" s="539"/>
      <c r="CQB4" s="539"/>
      <c r="CQC4" s="539"/>
      <c r="CQD4" s="539"/>
      <c r="CQE4" s="539"/>
      <c r="CQF4" s="539"/>
      <c r="CQG4" s="539"/>
      <c r="CQH4" s="539"/>
      <c r="CQI4" s="539"/>
      <c r="CQJ4" s="539"/>
      <c r="CQK4" s="539"/>
      <c r="CQL4" s="539"/>
      <c r="CQM4" s="539"/>
      <c r="CQN4" s="539"/>
      <c r="CQO4" s="539"/>
      <c r="CQP4" s="539"/>
      <c r="CQQ4" s="539"/>
      <c r="CQR4" s="539"/>
      <c r="CQS4" s="539"/>
      <c r="CQT4" s="539"/>
      <c r="CQU4" s="539"/>
      <c r="CQV4" s="539"/>
      <c r="CQW4" s="539"/>
      <c r="CQX4" s="539"/>
      <c r="CQY4" s="539"/>
      <c r="CQZ4" s="539"/>
      <c r="CRA4" s="539"/>
      <c r="CRB4" s="539"/>
      <c r="CRC4" s="539"/>
      <c r="CRD4" s="539"/>
      <c r="CRE4" s="539"/>
      <c r="CRF4" s="539"/>
      <c r="CRG4" s="539"/>
      <c r="CRH4" s="539"/>
      <c r="CRI4" s="539"/>
      <c r="CRJ4" s="539"/>
      <c r="CRK4" s="539"/>
      <c r="CRL4" s="539"/>
      <c r="CRM4" s="539"/>
      <c r="CRN4" s="539"/>
      <c r="CRO4" s="539"/>
      <c r="CRP4" s="539"/>
      <c r="CRQ4" s="539"/>
      <c r="CRR4" s="539"/>
      <c r="CRS4" s="539"/>
      <c r="CRT4" s="539"/>
      <c r="CRU4" s="539"/>
      <c r="CRV4" s="539"/>
      <c r="CRW4" s="539"/>
      <c r="CRX4" s="539"/>
      <c r="CRY4" s="539"/>
      <c r="CRZ4" s="539"/>
      <c r="CSA4" s="539"/>
      <c r="CSB4" s="539"/>
      <c r="CSC4" s="539"/>
      <c r="CSD4" s="539"/>
      <c r="CSE4" s="539"/>
      <c r="CSF4" s="539"/>
      <c r="CSG4" s="539"/>
      <c r="CSH4" s="539"/>
      <c r="CSI4" s="539"/>
      <c r="CSJ4" s="539"/>
      <c r="CSK4" s="539"/>
      <c r="CSL4" s="539"/>
      <c r="CSM4" s="539"/>
      <c r="CSN4" s="539"/>
      <c r="CSO4" s="539"/>
      <c r="CSP4" s="539"/>
      <c r="CSQ4" s="539"/>
      <c r="CSR4" s="539"/>
      <c r="CSS4" s="539"/>
      <c r="CST4" s="539"/>
      <c r="CSU4" s="539"/>
      <c r="CSV4" s="539"/>
      <c r="CSW4" s="539"/>
      <c r="CSX4" s="539"/>
      <c r="CSY4" s="539"/>
      <c r="CSZ4" s="539"/>
      <c r="CTA4" s="539"/>
      <c r="CTB4" s="539"/>
      <c r="CTC4" s="539"/>
      <c r="CTD4" s="539"/>
      <c r="CTE4" s="539"/>
      <c r="CTF4" s="539"/>
      <c r="CTG4" s="539"/>
      <c r="CTH4" s="539"/>
      <c r="CTI4" s="539"/>
      <c r="CTJ4" s="539"/>
      <c r="CTK4" s="539"/>
      <c r="CTL4" s="539"/>
      <c r="CTM4" s="539"/>
      <c r="CTN4" s="539"/>
      <c r="CTO4" s="539"/>
      <c r="CTP4" s="539"/>
      <c r="CTQ4" s="539"/>
      <c r="CTR4" s="539"/>
      <c r="CTS4" s="539"/>
      <c r="CTT4" s="539"/>
      <c r="CTU4" s="539"/>
      <c r="CTV4" s="539"/>
      <c r="CTW4" s="539"/>
      <c r="CTX4" s="539"/>
      <c r="CTY4" s="539"/>
      <c r="CTZ4" s="539"/>
      <c r="CUA4" s="539"/>
      <c r="CUB4" s="539"/>
      <c r="CUC4" s="539"/>
      <c r="CUD4" s="539"/>
      <c r="CUE4" s="539"/>
      <c r="CUF4" s="539"/>
      <c r="CUG4" s="539"/>
      <c r="CUH4" s="539"/>
      <c r="CUI4" s="539"/>
      <c r="CUJ4" s="539"/>
      <c r="CUK4" s="539"/>
      <c r="CUL4" s="539"/>
      <c r="CUM4" s="539"/>
      <c r="CUN4" s="539"/>
      <c r="CUO4" s="539"/>
      <c r="CUP4" s="539"/>
      <c r="CUQ4" s="539"/>
      <c r="CUR4" s="539"/>
      <c r="CUS4" s="539"/>
      <c r="CUT4" s="539"/>
      <c r="CUU4" s="539"/>
      <c r="CUV4" s="539"/>
      <c r="CUW4" s="539"/>
      <c r="CUX4" s="539"/>
      <c r="CUY4" s="539"/>
      <c r="CUZ4" s="539"/>
      <c r="CVA4" s="539"/>
      <c r="CVB4" s="539"/>
      <c r="CVC4" s="539"/>
      <c r="CVD4" s="539"/>
      <c r="CVE4" s="539"/>
      <c r="CVF4" s="539"/>
      <c r="CVG4" s="539"/>
      <c r="CVH4" s="539"/>
      <c r="CVI4" s="539"/>
      <c r="CVJ4" s="539"/>
      <c r="CVK4" s="539"/>
      <c r="CVL4" s="539"/>
      <c r="CVM4" s="539"/>
      <c r="CVN4" s="539"/>
      <c r="CVO4" s="539"/>
      <c r="CVP4" s="539"/>
      <c r="CVQ4" s="539"/>
      <c r="CVR4" s="539"/>
      <c r="CVS4" s="539"/>
      <c r="CVT4" s="539"/>
      <c r="CVU4" s="539"/>
      <c r="CVV4" s="539"/>
      <c r="CVW4" s="539"/>
      <c r="CVX4" s="539"/>
      <c r="CVY4" s="539"/>
      <c r="CVZ4" s="539"/>
      <c r="CWA4" s="539"/>
      <c r="CWB4" s="539"/>
      <c r="CWC4" s="539"/>
      <c r="CWD4" s="539"/>
      <c r="CWE4" s="539"/>
      <c r="CWF4" s="539"/>
      <c r="CWG4" s="539"/>
      <c r="CWH4" s="539"/>
      <c r="CWI4" s="539"/>
      <c r="CWJ4" s="539"/>
      <c r="CWK4" s="539"/>
      <c r="CWL4" s="539"/>
      <c r="CWM4" s="539"/>
      <c r="CWN4" s="539"/>
      <c r="CWO4" s="539"/>
      <c r="CWP4" s="539"/>
      <c r="CWQ4" s="539"/>
      <c r="CWR4" s="539"/>
      <c r="CWS4" s="539"/>
      <c r="CWT4" s="539"/>
      <c r="CWU4" s="539"/>
      <c r="CWV4" s="539"/>
      <c r="CWW4" s="539"/>
      <c r="CWX4" s="539"/>
      <c r="CWY4" s="539"/>
      <c r="CWZ4" s="539"/>
      <c r="CXA4" s="539"/>
      <c r="CXB4" s="539"/>
      <c r="CXC4" s="539"/>
      <c r="CXD4" s="539"/>
      <c r="CXE4" s="539"/>
      <c r="CXF4" s="539"/>
      <c r="CXG4" s="539"/>
      <c r="CXH4" s="539"/>
      <c r="CXI4" s="539"/>
      <c r="CXJ4" s="539"/>
      <c r="CXK4" s="539"/>
      <c r="CXL4" s="539"/>
      <c r="CXM4" s="539"/>
      <c r="CXN4" s="539"/>
      <c r="CXO4" s="539"/>
      <c r="CXP4" s="539"/>
      <c r="CXQ4" s="539"/>
      <c r="CXR4" s="539"/>
      <c r="CXS4" s="539"/>
      <c r="CXT4" s="539"/>
      <c r="CXU4" s="539"/>
      <c r="CXV4" s="539"/>
      <c r="CXW4" s="539"/>
      <c r="CXX4" s="539"/>
      <c r="CXY4" s="539"/>
      <c r="CXZ4" s="539"/>
      <c r="CYA4" s="539"/>
      <c r="CYB4" s="539"/>
      <c r="CYC4" s="539"/>
      <c r="CYD4" s="539"/>
      <c r="CYE4" s="539"/>
      <c r="CYF4" s="539"/>
      <c r="CYG4" s="539"/>
      <c r="CYH4" s="539"/>
      <c r="CYI4" s="539"/>
      <c r="CYJ4" s="539"/>
      <c r="CYK4" s="539"/>
      <c r="CYL4" s="539"/>
      <c r="CYM4" s="539"/>
      <c r="CYN4" s="539"/>
      <c r="CYO4" s="539"/>
      <c r="CYP4" s="539"/>
      <c r="CYQ4" s="539"/>
      <c r="CYR4" s="539"/>
      <c r="CYS4" s="539"/>
      <c r="CYT4" s="539"/>
      <c r="CYU4" s="539"/>
      <c r="CYV4" s="539"/>
      <c r="CYW4" s="539"/>
      <c r="CYX4" s="539"/>
      <c r="CYY4" s="539"/>
      <c r="CYZ4" s="539"/>
      <c r="CZA4" s="539"/>
      <c r="CZB4" s="539"/>
      <c r="CZC4" s="539"/>
      <c r="CZD4" s="539"/>
      <c r="CZE4" s="539"/>
      <c r="CZF4" s="539"/>
      <c r="CZG4" s="539"/>
      <c r="CZH4" s="539"/>
      <c r="CZI4" s="539"/>
      <c r="CZJ4" s="539"/>
      <c r="CZK4" s="539"/>
      <c r="CZL4" s="539"/>
      <c r="CZM4" s="539"/>
      <c r="CZN4" s="539"/>
      <c r="CZO4" s="539"/>
      <c r="CZP4" s="539"/>
      <c r="CZQ4" s="539"/>
      <c r="CZR4" s="539"/>
      <c r="CZS4" s="539"/>
      <c r="CZT4" s="539"/>
      <c r="CZU4" s="539"/>
      <c r="CZV4" s="539"/>
      <c r="CZW4" s="539"/>
      <c r="CZX4" s="539"/>
      <c r="CZY4" s="539"/>
      <c r="CZZ4" s="539"/>
      <c r="DAA4" s="539"/>
      <c r="DAB4" s="539"/>
      <c r="DAC4" s="539"/>
      <c r="DAD4" s="539"/>
      <c r="DAE4" s="539"/>
      <c r="DAF4" s="539"/>
      <c r="DAG4" s="539"/>
      <c r="DAH4" s="539"/>
      <c r="DAI4" s="539"/>
      <c r="DAJ4" s="539"/>
      <c r="DAK4" s="539"/>
      <c r="DAL4" s="539"/>
      <c r="DAM4" s="539"/>
      <c r="DAN4" s="539"/>
      <c r="DAO4" s="539"/>
      <c r="DAP4" s="539"/>
      <c r="DAQ4" s="539"/>
      <c r="DAR4" s="539"/>
      <c r="DAS4" s="539"/>
      <c r="DAT4" s="539"/>
      <c r="DAU4" s="539"/>
      <c r="DAV4" s="539"/>
      <c r="DAW4" s="539"/>
      <c r="DAX4" s="539"/>
      <c r="DAY4" s="539"/>
      <c r="DAZ4" s="539"/>
      <c r="DBA4" s="539"/>
      <c r="DBB4" s="539"/>
      <c r="DBC4" s="539"/>
      <c r="DBD4" s="539"/>
      <c r="DBE4" s="539"/>
      <c r="DBF4" s="539"/>
      <c r="DBG4" s="539"/>
      <c r="DBH4" s="539"/>
      <c r="DBI4" s="539"/>
      <c r="DBJ4" s="539"/>
      <c r="DBK4" s="539"/>
      <c r="DBL4" s="539"/>
      <c r="DBM4" s="539"/>
      <c r="DBN4" s="539"/>
      <c r="DBO4" s="539"/>
      <c r="DBP4" s="539"/>
      <c r="DBQ4" s="539"/>
      <c r="DBR4" s="539"/>
      <c r="DBS4" s="539"/>
      <c r="DBT4" s="539"/>
      <c r="DBU4" s="539"/>
      <c r="DBV4" s="539"/>
      <c r="DBW4" s="539"/>
      <c r="DBX4" s="539"/>
      <c r="DBY4" s="539"/>
      <c r="DBZ4" s="539"/>
      <c r="DCA4" s="539"/>
      <c r="DCB4" s="539"/>
      <c r="DCC4" s="539"/>
      <c r="DCD4" s="539"/>
      <c r="DCE4" s="539"/>
      <c r="DCF4" s="539"/>
      <c r="DCG4" s="539"/>
      <c r="DCH4" s="539"/>
      <c r="DCI4" s="539"/>
      <c r="DCJ4" s="539"/>
      <c r="DCK4" s="539"/>
      <c r="DCL4" s="539"/>
      <c r="DCM4" s="539"/>
      <c r="DCN4" s="539"/>
      <c r="DCO4" s="539"/>
      <c r="DCP4" s="539"/>
      <c r="DCQ4" s="539"/>
      <c r="DCR4" s="539"/>
      <c r="DCS4" s="539"/>
      <c r="DCT4" s="539"/>
      <c r="DCU4" s="539"/>
      <c r="DCV4" s="539"/>
      <c r="DCW4" s="539"/>
      <c r="DCX4" s="539"/>
      <c r="DCY4" s="539"/>
      <c r="DCZ4" s="539"/>
      <c r="DDA4" s="539"/>
      <c r="DDB4" s="539"/>
      <c r="DDC4" s="539"/>
      <c r="DDD4" s="539"/>
      <c r="DDE4" s="539"/>
      <c r="DDF4" s="539"/>
      <c r="DDG4" s="539"/>
      <c r="DDH4" s="539"/>
      <c r="DDI4" s="539"/>
      <c r="DDJ4" s="539"/>
      <c r="DDK4" s="539"/>
      <c r="DDL4" s="539"/>
      <c r="DDM4" s="539"/>
      <c r="DDN4" s="539"/>
      <c r="DDO4" s="539"/>
      <c r="DDP4" s="539"/>
      <c r="DDQ4" s="539"/>
      <c r="DDR4" s="539"/>
      <c r="DDS4" s="539"/>
      <c r="DDT4" s="539"/>
      <c r="DDU4" s="539"/>
      <c r="DDV4" s="539"/>
      <c r="DDW4" s="539"/>
      <c r="DDX4" s="539"/>
      <c r="DDY4" s="539"/>
      <c r="DDZ4" s="539"/>
      <c r="DEA4" s="539"/>
      <c r="DEB4" s="539"/>
      <c r="DEC4" s="539"/>
      <c r="DED4" s="539"/>
      <c r="DEE4" s="539"/>
      <c r="DEF4" s="539"/>
      <c r="DEG4" s="539"/>
      <c r="DEH4" s="539"/>
      <c r="DEI4" s="539"/>
      <c r="DEJ4" s="539"/>
      <c r="DEK4" s="539"/>
      <c r="DEL4" s="539"/>
      <c r="DEM4" s="539"/>
      <c r="DEN4" s="539"/>
      <c r="DEO4" s="539"/>
      <c r="DEP4" s="539"/>
      <c r="DEQ4" s="539"/>
      <c r="DER4" s="539"/>
      <c r="DES4" s="539"/>
      <c r="DET4" s="539"/>
      <c r="DEU4" s="539"/>
      <c r="DEV4" s="539"/>
      <c r="DEW4" s="539"/>
      <c r="DEX4" s="539"/>
      <c r="DEY4" s="539"/>
      <c r="DEZ4" s="539"/>
      <c r="DFA4" s="539"/>
      <c r="DFB4" s="539"/>
      <c r="DFC4" s="539"/>
      <c r="DFD4" s="539"/>
      <c r="DFE4" s="539"/>
      <c r="DFF4" s="539"/>
      <c r="DFG4" s="539"/>
      <c r="DFH4" s="539"/>
      <c r="DFI4" s="539"/>
      <c r="DFJ4" s="539"/>
      <c r="DFK4" s="539"/>
      <c r="DFL4" s="539"/>
      <c r="DFM4" s="539"/>
      <c r="DFN4" s="539"/>
      <c r="DFO4" s="539"/>
      <c r="DFP4" s="539"/>
      <c r="DFQ4" s="539"/>
      <c r="DFR4" s="539"/>
      <c r="DFS4" s="539"/>
      <c r="DFT4" s="539"/>
      <c r="DFU4" s="539"/>
      <c r="DFV4" s="539"/>
      <c r="DFW4" s="539"/>
      <c r="DFX4" s="539"/>
      <c r="DFY4" s="539"/>
      <c r="DFZ4" s="539"/>
      <c r="DGA4" s="539"/>
      <c r="DGB4" s="539"/>
      <c r="DGC4" s="539"/>
      <c r="DGD4" s="539"/>
      <c r="DGE4" s="539"/>
      <c r="DGF4" s="539"/>
      <c r="DGG4" s="539"/>
      <c r="DGH4" s="539"/>
      <c r="DGI4" s="539"/>
      <c r="DGJ4" s="539"/>
      <c r="DGK4" s="539"/>
      <c r="DGL4" s="539"/>
      <c r="DGM4" s="539"/>
      <c r="DGN4" s="539"/>
      <c r="DGO4" s="539"/>
      <c r="DGP4" s="539"/>
      <c r="DGQ4" s="539"/>
      <c r="DGR4" s="539"/>
      <c r="DGS4" s="539"/>
      <c r="DGT4" s="539"/>
      <c r="DGU4" s="539"/>
      <c r="DGV4" s="539"/>
      <c r="DGW4" s="539"/>
      <c r="DGX4" s="539"/>
      <c r="DGY4" s="539"/>
      <c r="DGZ4" s="539"/>
      <c r="DHA4" s="539"/>
      <c r="DHB4" s="539"/>
      <c r="DHC4" s="539"/>
      <c r="DHD4" s="539"/>
      <c r="DHE4" s="539"/>
      <c r="DHF4" s="539"/>
      <c r="DHG4" s="539"/>
      <c r="DHH4" s="539"/>
      <c r="DHI4" s="539"/>
      <c r="DHJ4" s="539"/>
      <c r="DHK4" s="539"/>
      <c r="DHL4" s="539"/>
      <c r="DHM4" s="539"/>
      <c r="DHN4" s="539"/>
      <c r="DHO4" s="539"/>
      <c r="DHP4" s="539"/>
      <c r="DHQ4" s="539"/>
      <c r="DHR4" s="539"/>
      <c r="DHS4" s="539"/>
      <c r="DHT4" s="539"/>
      <c r="DHU4" s="539"/>
      <c r="DHV4" s="539"/>
      <c r="DHW4" s="539"/>
      <c r="DHX4" s="539"/>
      <c r="DHY4" s="539"/>
      <c r="DHZ4" s="539"/>
      <c r="DIA4" s="539"/>
      <c r="DIB4" s="539"/>
      <c r="DIC4" s="539"/>
      <c r="DID4" s="539"/>
      <c r="DIE4" s="539"/>
      <c r="DIF4" s="539"/>
      <c r="DIG4" s="539"/>
      <c r="DIH4" s="539"/>
      <c r="DII4" s="539"/>
      <c r="DIJ4" s="539"/>
      <c r="DIK4" s="539"/>
      <c r="DIL4" s="539"/>
      <c r="DIM4" s="539"/>
      <c r="DIN4" s="539"/>
      <c r="DIO4" s="539"/>
      <c r="DIP4" s="539"/>
      <c r="DIQ4" s="539"/>
      <c r="DIR4" s="539"/>
      <c r="DIS4" s="539"/>
      <c r="DIT4" s="539"/>
      <c r="DIU4" s="539"/>
      <c r="DIV4" s="539"/>
      <c r="DIW4" s="539"/>
      <c r="DIX4" s="539"/>
      <c r="DIY4" s="539"/>
      <c r="DIZ4" s="539"/>
      <c r="DJA4" s="539"/>
      <c r="DJB4" s="539"/>
      <c r="DJC4" s="539"/>
      <c r="DJD4" s="539"/>
      <c r="DJE4" s="539"/>
      <c r="DJF4" s="539"/>
      <c r="DJG4" s="539"/>
      <c r="DJH4" s="539"/>
      <c r="DJI4" s="539"/>
      <c r="DJJ4" s="539"/>
      <c r="DJK4" s="539"/>
      <c r="DJL4" s="539"/>
      <c r="DJM4" s="539"/>
      <c r="DJN4" s="539"/>
      <c r="DJO4" s="539"/>
      <c r="DJP4" s="539"/>
      <c r="DJQ4" s="539"/>
      <c r="DJR4" s="539"/>
      <c r="DJS4" s="539"/>
      <c r="DJT4" s="539"/>
      <c r="DJU4" s="539"/>
      <c r="DJV4" s="539"/>
      <c r="DJW4" s="539"/>
      <c r="DJX4" s="539"/>
      <c r="DJY4" s="539"/>
      <c r="DJZ4" s="539"/>
      <c r="DKA4" s="539"/>
      <c r="DKB4" s="539"/>
      <c r="DKC4" s="539"/>
      <c r="DKD4" s="539"/>
      <c r="DKE4" s="539"/>
      <c r="DKF4" s="539"/>
      <c r="DKG4" s="539"/>
      <c r="DKH4" s="539"/>
      <c r="DKI4" s="539"/>
      <c r="DKJ4" s="539"/>
      <c r="DKK4" s="539"/>
      <c r="DKL4" s="539"/>
      <c r="DKM4" s="539"/>
      <c r="DKN4" s="539"/>
      <c r="DKO4" s="539"/>
      <c r="DKP4" s="539"/>
      <c r="DKQ4" s="539"/>
      <c r="DKR4" s="539"/>
      <c r="DKS4" s="539"/>
      <c r="DKT4" s="539"/>
      <c r="DKU4" s="539"/>
      <c r="DKV4" s="539"/>
      <c r="DKW4" s="539"/>
      <c r="DKX4" s="539"/>
      <c r="DKY4" s="539"/>
      <c r="DKZ4" s="539"/>
      <c r="DLA4" s="539"/>
      <c r="DLB4" s="539"/>
      <c r="DLC4" s="539"/>
      <c r="DLD4" s="539"/>
      <c r="DLE4" s="539"/>
      <c r="DLF4" s="539"/>
      <c r="DLG4" s="539"/>
      <c r="DLH4" s="539"/>
      <c r="DLI4" s="539"/>
      <c r="DLJ4" s="539"/>
      <c r="DLK4" s="539"/>
      <c r="DLL4" s="539"/>
      <c r="DLM4" s="539"/>
      <c r="DLN4" s="539"/>
      <c r="DLO4" s="539"/>
      <c r="DLP4" s="539"/>
      <c r="DLQ4" s="539"/>
      <c r="DLR4" s="539"/>
      <c r="DLS4" s="539"/>
      <c r="DLT4" s="539"/>
      <c r="DLU4" s="539"/>
      <c r="DLV4" s="539"/>
      <c r="DLW4" s="539"/>
      <c r="DLX4" s="539"/>
      <c r="DLY4" s="539"/>
      <c r="DLZ4" s="539"/>
      <c r="DMA4" s="539"/>
      <c r="DMB4" s="539"/>
      <c r="DMC4" s="539"/>
      <c r="DMD4" s="539"/>
      <c r="DME4" s="539"/>
      <c r="DMF4" s="539"/>
      <c r="DMG4" s="539"/>
      <c r="DMH4" s="539"/>
      <c r="DMI4" s="539"/>
      <c r="DMJ4" s="539"/>
      <c r="DMK4" s="539"/>
      <c r="DML4" s="539"/>
      <c r="DMM4" s="539"/>
      <c r="DMN4" s="539"/>
      <c r="DMO4" s="539"/>
      <c r="DMP4" s="539"/>
      <c r="DMQ4" s="539"/>
      <c r="DMR4" s="539"/>
      <c r="DMS4" s="539"/>
      <c r="DMT4" s="539"/>
      <c r="DMU4" s="539"/>
      <c r="DMV4" s="539"/>
      <c r="DMW4" s="539"/>
      <c r="DMX4" s="539"/>
      <c r="DMY4" s="539"/>
      <c r="DMZ4" s="539"/>
      <c r="DNA4" s="539"/>
      <c r="DNB4" s="539"/>
      <c r="DNC4" s="539"/>
      <c r="DND4" s="539"/>
      <c r="DNE4" s="539"/>
      <c r="DNF4" s="539"/>
      <c r="DNG4" s="539"/>
      <c r="DNH4" s="539"/>
      <c r="DNI4" s="539"/>
      <c r="DNJ4" s="539"/>
      <c r="DNK4" s="539"/>
      <c r="DNL4" s="539"/>
      <c r="DNM4" s="539"/>
      <c r="DNN4" s="539"/>
      <c r="DNO4" s="539"/>
      <c r="DNP4" s="539"/>
      <c r="DNQ4" s="539"/>
      <c r="DNR4" s="539"/>
      <c r="DNS4" s="539"/>
      <c r="DNT4" s="539"/>
      <c r="DNU4" s="539"/>
      <c r="DNV4" s="539"/>
      <c r="DNW4" s="539"/>
      <c r="DNX4" s="539"/>
      <c r="DNY4" s="539"/>
      <c r="DNZ4" s="539"/>
      <c r="DOA4" s="539"/>
      <c r="DOB4" s="539"/>
      <c r="DOC4" s="539"/>
      <c r="DOD4" s="539"/>
      <c r="DOE4" s="539"/>
      <c r="DOF4" s="539"/>
      <c r="DOG4" s="539"/>
      <c r="DOH4" s="539"/>
      <c r="DOI4" s="539"/>
      <c r="DOJ4" s="539"/>
      <c r="DOK4" s="539"/>
      <c r="DOL4" s="539"/>
      <c r="DOM4" s="539"/>
      <c r="DON4" s="539"/>
      <c r="DOO4" s="539"/>
      <c r="DOP4" s="539"/>
      <c r="DOQ4" s="539"/>
      <c r="DOR4" s="539"/>
      <c r="DOS4" s="539"/>
      <c r="DOT4" s="539"/>
      <c r="DOU4" s="539"/>
      <c r="DOV4" s="539"/>
      <c r="DOW4" s="539"/>
      <c r="DOX4" s="539"/>
      <c r="DOY4" s="539"/>
      <c r="DOZ4" s="539"/>
      <c r="DPA4" s="539"/>
      <c r="DPB4" s="539"/>
      <c r="DPC4" s="539"/>
      <c r="DPD4" s="539"/>
      <c r="DPE4" s="539"/>
      <c r="DPF4" s="539"/>
      <c r="DPG4" s="539"/>
      <c r="DPH4" s="539"/>
      <c r="DPI4" s="539"/>
      <c r="DPJ4" s="539"/>
      <c r="DPK4" s="539"/>
      <c r="DPL4" s="539"/>
      <c r="DPM4" s="539"/>
      <c r="DPN4" s="539"/>
      <c r="DPO4" s="539"/>
      <c r="DPP4" s="539"/>
      <c r="DPQ4" s="539"/>
      <c r="DPR4" s="539"/>
      <c r="DPS4" s="539"/>
      <c r="DPT4" s="539"/>
      <c r="DPU4" s="539"/>
      <c r="DPV4" s="539"/>
      <c r="DPW4" s="539"/>
      <c r="DPX4" s="539"/>
      <c r="DPY4" s="539"/>
      <c r="DPZ4" s="539"/>
      <c r="DQA4" s="539"/>
      <c r="DQB4" s="539"/>
      <c r="DQC4" s="539"/>
      <c r="DQD4" s="539"/>
      <c r="DQE4" s="539"/>
      <c r="DQF4" s="539"/>
      <c r="DQG4" s="539"/>
      <c r="DQH4" s="539"/>
      <c r="DQI4" s="539"/>
      <c r="DQJ4" s="539"/>
      <c r="DQK4" s="539"/>
      <c r="DQL4" s="539"/>
      <c r="DQM4" s="539"/>
      <c r="DQN4" s="539"/>
      <c r="DQO4" s="539"/>
      <c r="DQP4" s="539"/>
      <c r="DQQ4" s="539"/>
      <c r="DQR4" s="539"/>
      <c r="DQS4" s="539"/>
      <c r="DQT4" s="539"/>
      <c r="DQU4" s="539"/>
      <c r="DQV4" s="539"/>
      <c r="DQW4" s="539"/>
      <c r="DQX4" s="539"/>
      <c r="DQY4" s="539"/>
      <c r="DQZ4" s="539"/>
      <c r="DRA4" s="539"/>
      <c r="DRB4" s="539"/>
      <c r="DRC4" s="539"/>
      <c r="DRD4" s="539"/>
      <c r="DRE4" s="539"/>
      <c r="DRF4" s="539"/>
      <c r="DRG4" s="539"/>
      <c r="DRH4" s="539"/>
      <c r="DRI4" s="539"/>
      <c r="DRJ4" s="539"/>
      <c r="DRK4" s="539"/>
      <c r="DRL4" s="539"/>
      <c r="DRM4" s="539"/>
      <c r="DRN4" s="539"/>
      <c r="DRO4" s="539"/>
      <c r="DRP4" s="539"/>
      <c r="DRQ4" s="539"/>
      <c r="DRR4" s="539"/>
      <c r="DRS4" s="539"/>
      <c r="DRT4" s="539"/>
      <c r="DRU4" s="539"/>
      <c r="DRV4" s="539"/>
      <c r="DRW4" s="539"/>
      <c r="DRX4" s="539"/>
      <c r="DRY4" s="539"/>
      <c r="DRZ4" s="539"/>
      <c r="DSA4" s="539"/>
      <c r="DSB4" s="539"/>
      <c r="DSC4" s="539"/>
      <c r="DSD4" s="539"/>
      <c r="DSE4" s="539"/>
      <c r="DSF4" s="539"/>
      <c r="DSG4" s="539"/>
      <c r="DSH4" s="539"/>
      <c r="DSI4" s="539"/>
      <c r="DSJ4" s="539"/>
      <c r="DSK4" s="539"/>
      <c r="DSL4" s="539"/>
      <c r="DSM4" s="539"/>
      <c r="DSN4" s="539"/>
      <c r="DSO4" s="539"/>
      <c r="DSP4" s="539"/>
      <c r="DSQ4" s="539"/>
      <c r="DSR4" s="539"/>
      <c r="DSS4" s="539"/>
      <c r="DST4" s="539"/>
      <c r="DSU4" s="539"/>
      <c r="DSV4" s="539"/>
      <c r="DSW4" s="539"/>
      <c r="DSX4" s="539"/>
      <c r="DSY4" s="539"/>
      <c r="DSZ4" s="539"/>
      <c r="DTA4" s="539"/>
      <c r="DTB4" s="539"/>
      <c r="DTC4" s="539"/>
      <c r="DTD4" s="539"/>
      <c r="DTE4" s="539"/>
      <c r="DTF4" s="539"/>
      <c r="DTG4" s="539"/>
      <c r="DTH4" s="539"/>
      <c r="DTI4" s="539"/>
      <c r="DTJ4" s="539"/>
      <c r="DTK4" s="539"/>
      <c r="DTL4" s="539"/>
      <c r="DTM4" s="539"/>
      <c r="DTN4" s="539"/>
      <c r="DTO4" s="539"/>
      <c r="DTP4" s="539"/>
      <c r="DTQ4" s="539"/>
      <c r="DTR4" s="539"/>
      <c r="DTS4" s="539"/>
      <c r="DTT4" s="539"/>
      <c r="DTU4" s="539"/>
      <c r="DTV4" s="539"/>
      <c r="DTW4" s="539"/>
      <c r="DTX4" s="539"/>
      <c r="DTY4" s="539"/>
      <c r="DTZ4" s="539"/>
      <c r="DUA4" s="539"/>
      <c r="DUB4" s="539"/>
      <c r="DUC4" s="539"/>
      <c r="DUD4" s="539"/>
      <c r="DUE4" s="539"/>
      <c r="DUF4" s="539"/>
      <c r="DUG4" s="539"/>
      <c r="DUH4" s="539"/>
      <c r="DUI4" s="539"/>
      <c r="DUJ4" s="539"/>
      <c r="DUK4" s="539"/>
      <c r="DUL4" s="539"/>
      <c r="DUM4" s="539"/>
      <c r="DUN4" s="539"/>
      <c r="DUO4" s="539"/>
      <c r="DUP4" s="539"/>
      <c r="DUQ4" s="539"/>
      <c r="DUR4" s="539"/>
      <c r="DUS4" s="539"/>
      <c r="DUT4" s="539"/>
      <c r="DUU4" s="539"/>
      <c r="DUV4" s="539"/>
      <c r="DUW4" s="539"/>
      <c r="DUX4" s="539"/>
      <c r="DUY4" s="539"/>
      <c r="DUZ4" s="539"/>
      <c r="DVA4" s="539"/>
      <c r="DVB4" s="539"/>
      <c r="DVC4" s="539"/>
      <c r="DVD4" s="539"/>
      <c r="DVE4" s="539"/>
      <c r="DVF4" s="539"/>
      <c r="DVG4" s="539"/>
      <c r="DVH4" s="539"/>
      <c r="DVI4" s="539"/>
      <c r="DVJ4" s="539"/>
      <c r="DVK4" s="539"/>
      <c r="DVL4" s="539"/>
      <c r="DVM4" s="539"/>
      <c r="DVN4" s="539"/>
      <c r="DVO4" s="539"/>
      <c r="DVP4" s="539"/>
      <c r="DVQ4" s="539"/>
      <c r="DVR4" s="539"/>
      <c r="DVS4" s="539"/>
      <c r="DVT4" s="539"/>
      <c r="DVU4" s="539"/>
      <c r="DVV4" s="539"/>
      <c r="DVW4" s="539"/>
      <c r="DVX4" s="539"/>
      <c r="DVY4" s="539"/>
      <c r="DVZ4" s="539"/>
      <c r="DWA4" s="539"/>
      <c r="DWB4" s="539"/>
      <c r="DWC4" s="539"/>
      <c r="DWD4" s="539"/>
      <c r="DWE4" s="539"/>
      <c r="DWF4" s="539"/>
      <c r="DWG4" s="539"/>
      <c r="DWH4" s="539"/>
      <c r="DWI4" s="539"/>
      <c r="DWJ4" s="539"/>
      <c r="DWK4" s="539"/>
      <c r="DWL4" s="539"/>
      <c r="DWM4" s="539"/>
      <c r="DWN4" s="539"/>
      <c r="DWO4" s="539"/>
      <c r="DWP4" s="539"/>
      <c r="DWQ4" s="539"/>
      <c r="DWR4" s="539"/>
      <c r="DWS4" s="539"/>
      <c r="DWT4" s="539"/>
      <c r="DWU4" s="539"/>
      <c r="DWV4" s="539"/>
      <c r="DWW4" s="539"/>
      <c r="DWX4" s="539"/>
      <c r="DWY4" s="539"/>
      <c r="DWZ4" s="539"/>
      <c r="DXA4" s="539"/>
      <c r="DXB4" s="539"/>
      <c r="DXC4" s="539"/>
      <c r="DXD4" s="539"/>
      <c r="DXE4" s="539"/>
      <c r="DXF4" s="539"/>
      <c r="DXG4" s="539"/>
      <c r="DXH4" s="539"/>
      <c r="DXI4" s="539"/>
      <c r="DXJ4" s="539"/>
      <c r="DXK4" s="539"/>
      <c r="DXL4" s="539"/>
      <c r="DXM4" s="539"/>
      <c r="DXN4" s="539"/>
      <c r="DXO4" s="539"/>
      <c r="DXP4" s="539"/>
      <c r="DXQ4" s="539"/>
      <c r="DXR4" s="539"/>
      <c r="DXS4" s="539"/>
      <c r="DXT4" s="539"/>
      <c r="DXU4" s="539"/>
      <c r="DXV4" s="539"/>
      <c r="DXW4" s="539"/>
      <c r="DXX4" s="539"/>
      <c r="DXY4" s="539"/>
      <c r="DXZ4" s="539"/>
      <c r="DYA4" s="539"/>
      <c r="DYB4" s="539"/>
      <c r="DYC4" s="539"/>
      <c r="DYD4" s="539"/>
      <c r="DYE4" s="539"/>
      <c r="DYF4" s="539"/>
      <c r="DYG4" s="539"/>
      <c r="DYH4" s="539"/>
      <c r="DYI4" s="539"/>
      <c r="DYJ4" s="539"/>
      <c r="DYK4" s="539"/>
      <c r="DYL4" s="539"/>
      <c r="DYM4" s="539"/>
      <c r="DYN4" s="539"/>
      <c r="DYO4" s="539"/>
      <c r="DYP4" s="539"/>
      <c r="DYQ4" s="539"/>
      <c r="DYR4" s="539"/>
      <c r="DYS4" s="539"/>
      <c r="DYT4" s="539"/>
      <c r="DYU4" s="539"/>
      <c r="DYV4" s="539"/>
      <c r="DYW4" s="539"/>
      <c r="DYX4" s="539"/>
      <c r="DYY4" s="539"/>
      <c r="DYZ4" s="539"/>
      <c r="DZA4" s="539"/>
      <c r="DZB4" s="539"/>
      <c r="DZC4" s="539"/>
      <c r="DZD4" s="539"/>
      <c r="DZE4" s="539"/>
      <c r="DZF4" s="539"/>
      <c r="DZG4" s="539"/>
      <c r="DZH4" s="539"/>
      <c r="DZI4" s="539"/>
      <c r="DZJ4" s="539"/>
      <c r="DZK4" s="539"/>
      <c r="DZL4" s="539"/>
      <c r="DZM4" s="539"/>
      <c r="DZN4" s="539"/>
      <c r="DZO4" s="539"/>
      <c r="DZP4" s="539"/>
      <c r="DZQ4" s="539"/>
      <c r="DZR4" s="539"/>
      <c r="DZS4" s="539"/>
      <c r="DZT4" s="539"/>
      <c r="DZU4" s="539"/>
      <c r="DZV4" s="539"/>
      <c r="DZW4" s="539"/>
      <c r="DZX4" s="539"/>
      <c r="DZY4" s="539"/>
      <c r="DZZ4" s="539"/>
      <c r="EAA4" s="539"/>
      <c r="EAB4" s="539"/>
      <c r="EAC4" s="539"/>
      <c r="EAD4" s="539"/>
      <c r="EAE4" s="539"/>
      <c r="EAF4" s="539"/>
      <c r="EAG4" s="539"/>
      <c r="EAH4" s="539"/>
      <c r="EAI4" s="539"/>
      <c r="EAJ4" s="539"/>
      <c r="EAK4" s="539"/>
      <c r="EAL4" s="539"/>
      <c r="EAM4" s="539"/>
      <c r="EAN4" s="539"/>
      <c r="EAO4" s="539"/>
      <c r="EAP4" s="539"/>
      <c r="EAQ4" s="539"/>
      <c r="EAR4" s="539"/>
      <c r="EAS4" s="539"/>
      <c r="EAT4" s="539"/>
      <c r="EAU4" s="539"/>
      <c r="EAV4" s="539"/>
      <c r="EAW4" s="539"/>
      <c r="EAX4" s="539"/>
      <c r="EAY4" s="539"/>
      <c r="EAZ4" s="539"/>
      <c r="EBA4" s="539"/>
      <c r="EBB4" s="539"/>
      <c r="EBC4" s="539"/>
      <c r="EBD4" s="539"/>
      <c r="EBE4" s="539"/>
      <c r="EBF4" s="539"/>
      <c r="EBG4" s="539"/>
      <c r="EBH4" s="539"/>
      <c r="EBI4" s="539"/>
      <c r="EBJ4" s="539"/>
      <c r="EBK4" s="539"/>
      <c r="EBL4" s="539"/>
      <c r="EBM4" s="539"/>
      <c r="EBN4" s="539"/>
      <c r="EBO4" s="539"/>
      <c r="EBP4" s="539"/>
      <c r="EBQ4" s="539"/>
      <c r="EBR4" s="539"/>
      <c r="EBS4" s="539"/>
      <c r="EBT4" s="539"/>
      <c r="EBU4" s="539"/>
      <c r="EBV4" s="539"/>
      <c r="EBW4" s="539"/>
      <c r="EBX4" s="539"/>
      <c r="EBY4" s="539"/>
      <c r="EBZ4" s="539"/>
      <c r="ECA4" s="539"/>
      <c r="ECB4" s="539"/>
      <c r="ECC4" s="539"/>
      <c r="ECD4" s="539"/>
      <c r="ECE4" s="539"/>
      <c r="ECF4" s="539"/>
      <c r="ECG4" s="539"/>
      <c r="ECH4" s="539"/>
      <c r="ECI4" s="539"/>
      <c r="ECJ4" s="539"/>
      <c r="ECK4" s="539"/>
      <c r="ECL4" s="539"/>
      <c r="ECM4" s="539"/>
      <c r="ECN4" s="539"/>
      <c r="ECO4" s="539"/>
      <c r="ECP4" s="539"/>
      <c r="ECQ4" s="539"/>
      <c r="ECR4" s="539"/>
      <c r="ECS4" s="539"/>
      <c r="ECT4" s="539"/>
      <c r="ECU4" s="539"/>
      <c r="ECV4" s="539"/>
      <c r="ECW4" s="539"/>
      <c r="ECX4" s="539"/>
      <c r="ECY4" s="539"/>
      <c r="ECZ4" s="539"/>
      <c r="EDA4" s="539"/>
      <c r="EDB4" s="539"/>
      <c r="EDC4" s="539"/>
      <c r="EDD4" s="539"/>
      <c r="EDE4" s="539"/>
      <c r="EDF4" s="539"/>
      <c r="EDG4" s="539"/>
      <c r="EDH4" s="539"/>
      <c r="EDI4" s="539"/>
      <c r="EDJ4" s="539"/>
      <c r="EDK4" s="539"/>
      <c r="EDL4" s="539"/>
      <c r="EDM4" s="539"/>
      <c r="EDN4" s="539"/>
      <c r="EDO4" s="539"/>
      <c r="EDP4" s="539"/>
      <c r="EDQ4" s="539"/>
      <c r="EDR4" s="539"/>
      <c r="EDS4" s="539"/>
      <c r="EDT4" s="539"/>
      <c r="EDU4" s="539"/>
      <c r="EDV4" s="539"/>
      <c r="EDW4" s="539"/>
      <c r="EDX4" s="539"/>
      <c r="EDY4" s="539"/>
      <c r="EDZ4" s="539"/>
      <c r="EEA4" s="539"/>
      <c r="EEB4" s="539"/>
      <c r="EEC4" s="539"/>
      <c r="EED4" s="539"/>
      <c r="EEE4" s="539"/>
      <c r="EEF4" s="539"/>
      <c r="EEG4" s="539"/>
      <c r="EEH4" s="539"/>
      <c r="EEI4" s="539"/>
      <c r="EEJ4" s="539"/>
      <c r="EEK4" s="539"/>
      <c r="EEL4" s="539"/>
      <c r="EEM4" s="539"/>
      <c r="EEN4" s="539"/>
      <c r="EEO4" s="539"/>
      <c r="EEP4" s="539"/>
      <c r="EEQ4" s="539"/>
      <c r="EER4" s="539"/>
      <c r="EES4" s="539"/>
      <c r="EET4" s="539"/>
      <c r="EEU4" s="539"/>
      <c r="EEV4" s="539"/>
      <c r="EEW4" s="539"/>
      <c r="EEX4" s="539"/>
      <c r="EEY4" s="539"/>
      <c r="EEZ4" s="539"/>
      <c r="EFA4" s="539"/>
      <c r="EFB4" s="539"/>
      <c r="EFC4" s="539"/>
      <c r="EFD4" s="539"/>
      <c r="EFE4" s="539"/>
      <c r="EFF4" s="539"/>
      <c r="EFG4" s="539"/>
      <c r="EFH4" s="539"/>
      <c r="EFI4" s="539"/>
      <c r="EFJ4" s="539"/>
      <c r="EFK4" s="539"/>
      <c r="EFL4" s="539"/>
      <c r="EFM4" s="539"/>
      <c r="EFN4" s="539"/>
      <c r="EFO4" s="539"/>
      <c r="EFP4" s="539"/>
      <c r="EFQ4" s="539"/>
      <c r="EFR4" s="539"/>
      <c r="EFS4" s="539"/>
      <c r="EFT4" s="539"/>
      <c r="EFU4" s="539"/>
      <c r="EFV4" s="539"/>
      <c r="EFW4" s="539"/>
      <c r="EFX4" s="539"/>
      <c r="EFY4" s="539"/>
      <c r="EFZ4" s="539"/>
      <c r="EGA4" s="539"/>
      <c r="EGB4" s="539"/>
      <c r="EGC4" s="539"/>
      <c r="EGD4" s="539"/>
      <c r="EGE4" s="539"/>
      <c r="EGF4" s="539"/>
      <c r="EGG4" s="539"/>
      <c r="EGH4" s="539"/>
      <c r="EGI4" s="539"/>
      <c r="EGJ4" s="539"/>
      <c r="EGK4" s="539"/>
      <c r="EGL4" s="539"/>
      <c r="EGM4" s="539"/>
      <c r="EGN4" s="539"/>
      <c r="EGO4" s="539"/>
      <c r="EGP4" s="539"/>
      <c r="EGQ4" s="539"/>
      <c r="EGR4" s="539"/>
      <c r="EGS4" s="539"/>
      <c r="EGT4" s="539"/>
      <c r="EGU4" s="539"/>
      <c r="EGV4" s="539"/>
      <c r="EGW4" s="539"/>
      <c r="EGX4" s="539"/>
      <c r="EGY4" s="539"/>
      <c r="EGZ4" s="539"/>
      <c r="EHA4" s="539"/>
      <c r="EHB4" s="539"/>
      <c r="EHC4" s="539"/>
      <c r="EHD4" s="539"/>
      <c r="EHE4" s="539"/>
      <c r="EHF4" s="539"/>
      <c r="EHG4" s="539"/>
      <c r="EHH4" s="539"/>
      <c r="EHI4" s="539"/>
      <c r="EHJ4" s="539"/>
      <c r="EHK4" s="539"/>
      <c r="EHL4" s="539"/>
      <c r="EHM4" s="539"/>
      <c r="EHN4" s="539"/>
      <c r="EHO4" s="539"/>
      <c r="EHP4" s="539"/>
      <c r="EHQ4" s="539"/>
      <c r="EHR4" s="539"/>
      <c r="EHS4" s="539"/>
      <c r="EHT4" s="539"/>
      <c r="EHU4" s="539"/>
      <c r="EHV4" s="539"/>
      <c r="EHW4" s="539"/>
      <c r="EHX4" s="539"/>
      <c r="EHY4" s="539"/>
      <c r="EHZ4" s="539"/>
      <c r="EIA4" s="539"/>
      <c r="EIB4" s="539"/>
      <c r="EIC4" s="539"/>
      <c r="EID4" s="539"/>
      <c r="EIE4" s="539"/>
      <c r="EIF4" s="539"/>
      <c r="EIG4" s="539"/>
      <c r="EIH4" s="539"/>
      <c r="EII4" s="539"/>
      <c r="EIJ4" s="539"/>
      <c r="EIK4" s="539"/>
      <c r="EIL4" s="539"/>
      <c r="EIM4" s="539"/>
      <c r="EIN4" s="539"/>
      <c r="EIO4" s="539"/>
      <c r="EIP4" s="539"/>
      <c r="EIQ4" s="539"/>
      <c r="EIR4" s="539"/>
      <c r="EIS4" s="539"/>
      <c r="EIT4" s="539"/>
      <c r="EIU4" s="539"/>
      <c r="EIV4" s="539"/>
      <c r="EIW4" s="539"/>
      <c r="EIX4" s="539"/>
      <c r="EIY4" s="539"/>
      <c r="EIZ4" s="539"/>
      <c r="EJA4" s="539"/>
      <c r="EJB4" s="539"/>
      <c r="EJC4" s="539"/>
      <c r="EJD4" s="539"/>
      <c r="EJE4" s="539"/>
      <c r="EJF4" s="539"/>
      <c r="EJG4" s="539"/>
      <c r="EJH4" s="539"/>
      <c r="EJI4" s="539"/>
      <c r="EJJ4" s="539"/>
      <c r="EJK4" s="539"/>
      <c r="EJL4" s="539"/>
      <c r="EJM4" s="539"/>
      <c r="EJN4" s="539"/>
      <c r="EJO4" s="539"/>
      <c r="EJP4" s="539"/>
      <c r="EJQ4" s="539"/>
      <c r="EJR4" s="539"/>
      <c r="EJS4" s="539"/>
      <c r="EJT4" s="539"/>
      <c r="EJU4" s="539"/>
      <c r="EJV4" s="539"/>
      <c r="EJW4" s="539"/>
      <c r="EJX4" s="539"/>
      <c r="EJY4" s="539"/>
      <c r="EJZ4" s="539"/>
      <c r="EKA4" s="539"/>
      <c r="EKB4" s="539"/>
      <c r="EKC4" s="539"/>
      <c r="EKD4" s="539"/>
      <c r="EKE4" s="539"/>
      <c r="EKF4" s="539"/>
      <c r="EKG4" s="539"/>
      <c r="EKH4" s="539"/>
      <c r="EKI4" s="539"/>
      <c r="EKJ4" s="539"/>
      <c r="EKK4" s="539"/>
      <c r="EKL4" s="539"/>
      <c r="EKM4" s="539"/>
      <c r="EKN4" s="539"/>
      <c r="EKO4" s="539"/>
      <c r="EKP4" s="539"/>
      <c r="EKQ4" s="539"/>
      <c r="EKR4" s="539"/>
      <c r="EKS4" s="539"/>
      <c r="EKT4" s="539"/>
      <c r="EKU4" s="539"/>
      <c r="EKV4" s="539"/>
      <c r="EKW4" s="539"/>
      <c r="EKX4" s="539"/>
      <c r="EKY4" s="539"/>
      <c r="EKZ4" s="539"/>
      <c r="ELA4" s="539"/>
      <c r="ELB4" s="539"/>
      <c r="ELC4" s="539"/>
      <c r="ELD4" s="539"/>
      <c r="ELE4" s="539"/>
      <c r="ELF4" s="539"/>
      <c r="ELG4" s="539"/>
      <c r="ELH4" s="539"/>
      <c r="ELI4" s="539"/>
      <c r="ELJ4" s="539"/>
      <c r="ELK4" s="539"/>
      <c r="ELL4" s="539"/>
      <c r="ELM4" s="539"/>
      <c r="ELN4" s="539"/>
      <c r="ELO4" s="539"/>
      <c r="ELP4" s="539"/>
      <c r="ELQ4" s="539"/>
      <c r="ELR4" s="539"/>
      <c r="ELS4" s="539"/>
      <c r="ELT4" s="539"/>
      <c r="ELU4" s="539"/>
      <c r="ELV4" s="539"/>
      <c r="ELW4" s="539"/>
      <c r="ELX4" s="539"/>
      <c r="ELY4" s="539"/>
      <c r="ELZ4" s="539"/>
      <c r="EMA4" s="539"/>
      <c r="EMB4" s="539"/>
      <c r="EMC4" s="539"/>
      <c r="EMD4" s="539"/>
      <c r="EME4" s="539"/>
      <c r="EMF4" s="539"/>
      <c r="EMG4" s="539"/>
      <c r="EMH4" s="539"/>
      <c r="EMI4" s="539"/>
      <c r="EMJ4" s="539"/>
      <c r="EMK4" s="539"/>
      <c r="EML4" s="539"/>
      <c r="EMM4" s="539"/>
      <c r="EMN4" s="539"/>
      <c r="EMO4" s="539"/>
      <c r="EMP4" s="539"/>
      <c r="EMQ4" s="539"/>
      <c r="EMR4" s="539"/>
      <c r="EMS4" s="539"/>
      <c r="EMT4" s="539"/>
      <c r="EMU4" s="539"/>
      <c r="EMV4" s="539"/>
      <c r="EMW4" s="539"/>
      <c r="EMX4" s="539"/>
      <c r="EMY4" s="539"/>
      <c r="EMZ4" s="539"/>
      <c r="ENA4" s="539"/>
      <c r="ENB4" s="539"/>
      <c r="ENC4" s="539"/>
      <c r="END4" s="539"/>
      <c r="ENE4" s="539"/>
      <c r="ENF4" s="539"/>
      <c r="ENG4" s="539"/>
      <c r="ENH4" s="539"/>
      <c r="ENI4" s="539"/>
      <c r="ENJ4" s="539"/>
      <c r="ENK4" s="539"/>
      <c r="ENL4" s="539"/>
      <c r="ENM4" s="539"/>
      <c r="ENN4" s="539"/>
      <c r="ENO4" s="539"/>
      <c r="ENP4" s="539"/>
      <c r="ENQ4" s="539"/>
      <c r="ENR4" s="539"/>
      <c r="ENS4" s="539"/>
      <c r="ENT4" s="539"/>
      <c r="ENU4" s="539"/>
      <c r="ENV4" s="539"/>
      <c r="ENW4" s="539"/>
      <c r="ENX4" s="539"/>
      <c r="ENY4" s="539"/>
      <c r="ENZ4" s="539"/>
      <c r="EOA4" s="539"/>
      <c r="EOB4" s="539"/>
      <c r="EOC4" s="539"/>
      <c r="EOD4" s="539"/>
      <c r="EOE4" s="539"/>
      <c r="EOF4" s="539"/>
      <c r="EOG4" s="539"/>
      <c r="EOH4" s="539"/>
      <c r="EOI4" s="539"/>
      <c r="EOJ4" s="539"/>
      <c r="EOK4" s="539"/>
      <c r="EOL4" s="539"/>
      <c r="EOM4" s="539"/>
      <c r="EON4" s="539"/>
      <c r="EOO4" s="539"/>
      <c r="EOP4" s="539"/>
      <c r="EOQ4" s="539"/>
      <c r="EOR4" s="539"/>
      <c r="EOS4" s="539"/>
      <c r="EOT4" s="539"/>
      <c r="EOU4" s="539"/>
      <c r="EOV4" s="539"/>
      <c r="EOW4" s="539"/>
      <c r="EOX4" s="539"/>
      <c r="EOY4" s="539"/>
      <c r="EOZ4" s="539"/>
      <c r="EPA4" s="539"/>
      <c r="EPB4" s="539"/>
      <c r="EPC4" s="539"/>
      <c r="EPD4" s="539"/>
      <c r="EPE4" s="539"/>
      <c r="EPF4" s="539"/>
      <c r="EPG4" s="539"/>
      <c r="EPH4" s="539"/>
      <c r="EPI4" s="539"/>
      <c r="EPJ4" s="539"/>
      <c r="EPK4" s="539"/>
      <c r="EPL4" s="539"/>
      <c r="EPM4" s="539"/>
      <c r="EPN4" s="539"/>
      <c r="EPO4" s="539"/>
      <c r="EPP4" s="539"/>
      <c r="EPQ4" s="539"/>
      <c r="EPR4" s="539"/>
      <c r="EPS4" s="539"/>
      <c r="EPT4" s="539"/>
      <c r="EPU4" s="539"/>
      <c r="EPV4" s="539"/>
      <c r="EPW4" s="539"/>
      <c r="EPX4" s="539"/>
      <c r="EPY4" s="539"/>
      <c r="EPZ4" s="539"/>
      <c r="EQA4" s="539"/>
      <c r="EQB4" s="539"/>
      <c r="EQC4" s="539"/>
      <c r="EQD4" s="539"/>
      <c r="EQE4" s="539"/>
      <c r="EQF4" s="539"/>
      <c r="EQG4" s="539"/>
      <c r="EQH4" s="539"/>
      <c r="EQI4" s="539"/>
      <c r="EQJ4" s="539"/>
      <c r="EQK4" s="539"/>
      <c r="EQL4" s="539"/>
      <c r="EQM4" s="539"/>
      <c r="EQN4" s="539"/>
      <c r="EQO4" s="539"/>
      <c r="EQP4" s="539"/>
      <c r="EQQ4" s="539"/>
      <c r="EQR4" s="539"/>
      <c r="EQS4" s="539"/>
      <c r="EQT4" s="539"/>
      <c r="EQU4" s="539"/>
      <c r="EQV4" s="539"/>
      <c r="EQW4" s="539"/>
      <c r="EQX4" s="539"/>
      <c r="EQY4" s="539"/>
      <c r="EQZ4" s="539"/>
      <c r="ERA4" s="539"/>
      <c r="ERB4" s="539"/>
      <c r="ERC4" s="539"/>
      <c r="ERD4" s="539"/>
      <c r="ERE4" s="539"/>
      <c r="ERF4" s="539"/>
      <c r="ERG4" s="539"/>
      <c r="ERH4" s="539"/>
      <c r="ERI4" s="539"/>
      <c r="ERJ4" s="539"/>
      <c r="ERK4" s="539"/>
      <c r="ERL4" s="539"/>
      <c r="ERM4" s="539"/>
      <c r="ERN4" s="539"/>
      <c r="ERO4" s="539"/>
      <c r="ERP4" s="539"/>
      <c r="ERQ4" s="539"/>
      <c r="ERR4" s="539"/>
      <c r="ERS4" s="539"/>
      <c r="ERT4" s="539"/>
      <c r="ERU4" s="539"/>
      <c r="ERV4" s="539"/>
      <c r="ERW4" s="539"/>
      <c r="ERX4" s="539"/>
      <c r="ERY4" s="539"/>
      <c r="ERZ4" s="539"/>
      <c r="ESA4" s="539"/>
      <c r="ESB4" s="539"/>
      <c r="ESC4" s="539"/>
      <c r="ESD4" s="539"/>
      <c r="ESE4" s="539"/>
      <c r="ESF4" s="539"/>
      <c r="ESG4" s="539"/>
      <c r="ESH4" s="539"/>
      <c r="ESI4" s="539"/>
      <c r="ESJ4" s="539"/>
      <c r="ESK4" s="539"/>
      <c r="ESL4" s="539"/>
      <c r="ESM4" s="539"/>
      <c r="ESN4" s="539"/>
      <c r="ESO4" s="539"/>
      <c r="ESP4" s="539"/>
      <c r="ESQ4" s="539"/>
      <c r="ESR4" s="539"/>
      <c r="ESS4" s="539"/>
      <c r="EST4" s="539"/>
      <c r="ESU4" s="539"/>
      <c r="ESV4" s="539"/>
      <c r="ESW4" s="539"/>
      <c r="ESX4" s="539"/>
      <c r="ESY4" s="539"/>
      <c r="ESZ4" s="539"/>
      <c r="ETA4" s="539"/>
      <c r="ETB4" s="539"/>
      <c r="ETC4" s="539"/>
      <c r="ETD4" s="539"/>
      <c r="ETE4" s="539"/>
      <c r="ETF4" s="539"/>
      <c r="ETG4" s="539"/>
      <c r="ETH4" s="539"/>
      <c r="ETI4" s="539"/>
      <c r="ETJ4" s="539"/>
      <c r="ETK4" s="539"/>
      <c r="ETL4" s="539"/>
      <c r="ETM4" s="539"/>
      <c r="ETN4" s="539"/>
      <c r="ETO4" s="539"/>
      <c r="ETP4" s="539"/>
      <c r="ETQ4" s="539"/>
      <c r="ETR4" s="539"/>
      <c r="ETS4" s="539"/>
      <c r="ETT4" s="539"/>
      <c r="ETU4" s="539"/>
      <c r="ETV4" s="539"/>
      <c r="ETW4" s="539"/>
      <c r="ETX4" s="539"/>
      <c r="ETY4" s="539"/>
      <c r="ETZ4" s="539"/>
      <c r="EUA4" s="539"/>
      <c r="EUB4" s="539"/>
      <c r="EUC4" s="539"/>
      <c r="EUD4" s="539"/>
      <c r="EUE4" s="539"/>
      <c r="EUF4" s="539"/>
      <c r="EUG4" s="539"/>
      <c r="EUH4" s="539"/>
      <c r="EUI4" s="539"/>
      <c r="EUJ4" s="539"/>
      <c r="EUK4" s="539"/>
      <c r="EUL4" s="539"/>
      <c r="EUM4" s="539"/>
      <c r="EUN4" s="539"/>
      <c r="EUO4" s="539"/>
      <c r="EUP4" s="539"/>
      <c r="EUQ4" s="539"/>
      <c r="EUR4" s="539"/>
      <c r="EUS4" s="539"/>
      <c r="EUT4" s="539"/>
      <c r="EUU4" s="539"/>
      <c r="EUV4" s="539"/>
      <c r="EUW4" s="539"/>
      <c r="EUX4" s="539"/>
      <c r="EUY4" s="539"/>
      <c r="EUZ4" s="539"/>
      <c r="EVA4" s="539"/>
      <c r="EVB4" s="539"/>
      <c r="EVC4" s="539"/>
      <c r="EVD4" s="539"/>
      <c r="EVE4" s="539"/>
      <c r="EVF4" s="539"/>
      <c r="EVG4" s="539"/>
      <c r="EVH4" s="539"/>
      <c r="EVI4" s="539"/>
      <c r="EVJ4" s="539"/>
      <c r="EVK4" s="539"/>
      <c r="EVL4" s="539"/>
      <c r="EVM4" s="539"/>
      <c r="EVN4" s="539"/>
      <c r="EVO4" s="539"/>
      <c r="EVP4" s="539"/>
      <c r="EVQ4" s="539"/>
      <c r="EVR4" s="539"/>
      <c r="EVS4" s="539"/>
      <c r="EVT4" s="539"/>
      <c r="EVU4" s="539"/>
      <c r="EVV4" s="539"/>
      <c r="EVW4" s="539"/>
      <c r="EVX4" s="539"/>
      <c r="EVY4" s="539"/>
      <c r="EVZ4" s="539"/>
      <c r="EWA4" s="539"/>
      <c r="EWB4" s="539"/>
      <c r="EWC4" s="539"/>
      <c r="EWD4" s="539"/>
      <c r="EWE4" s="539"/>
      <c r="EWF4" s="539"/>
      <c r="EWG4" s="539"/>
      <c r="EWH4" s="539"/>
      <c r="EWI4" s="539"/>
      <c r="EWJ4" s="539"/>
      <c r="EWK4" s="539"/>
      <c r="EWL4" s="539"/>
      <c r="EWM4" s="539"/>
      <c r="EWN4" s="539"/>
      <c r="EWO4" s="539"/>
      <c r="EWP4" s="539"/>
      <c r="EWQ4" s="539"/>
      <c r="EWR4" s="539"/>
      <c r="EWS4" s="539"/>
      <c r="EWT4" s="539"/>
      <c r="EWU4" s="539"/>
      <c r="EWV4" s="539"/>
      <c r="EWW4" s="539"/>
      <c r="EWX4" s="539"/>
      <c r="EWY4" s="539"/>
      <c r="EWZ4" s="539"/>
      <c r="EXA4" s="539"/>
      <c r="EXB4" s="539"/>
      <c r="EXC4" s="539"/>
      <c r="EXD4" s="539"/>
      <c r="EXE4" s="539"/>
      <c r="EXF4" s="539"/>
      <c r="EXG4" s="539"/>
      <c r="EXH4" s="539"/>
      <c r="EXI4" s="539"/>
      <c r="EXJ4" s="539"/>
      <c r="EXK4" s="539"/>
      <c r="EXL4" s="539"/>
      <c r="EXM4" s="539"/>
      <c r="EXN4" s="539"/>
      <c r="EXO4" s="539"/>
      <c r="EXP4" s="539"/>
      <c r="EXQ4" s="539"/>
      <c r="EXR4" s="539"/>
      <c r="EXS4" s="539"/>
      <c r="EXT4" s="539"/>
      <c r="EXU4" s="539"/>
      <c r="EXV4" s="539"/>
      <c r="EXW4" s="539"/>
      <c r="EXX4" s="539"/>
      <c r="EXY4" s="539"/>
      <c r="EXZ4" s="539"/>
      <c r="EYA4" s="539"/>
      <c r="EYB4" s="539"/>
      <c r="EYC4" s="539"/>
      <c r="EYD4" s="539"/>
      <c r="EYE4" s="539"/>
      <c r="EYF4" s="539"/>
      <c r="EYG4" s="539"/>
      <c r="EYH4" s="539"/>
      <c r="EYI4" s="539"/>
      <c r="EYJ4" s="539"/>
      <c r="EYK4" s="539"/>
      <c r="EYL4" s="539"/>
      <c r="EYM4" s="539"/>
      <c r="EYN4" s="539"/>
      <c r="EYO4" s="539"/>
      <c r="EYP4" s="539"/>
      <c r="EYQ4" s="539"/>
      <c r="EYR4" s="539"/>
      <c r="EYS4" s="539"/>
      <c r="EYT4" s="539"/>
      <c r="EYU4" s="539"/>
      <c r="EYV4" s="539"/>
      <c r="EYW4" s="539"/>
      <c r="EYX4" s="539"/>
      <c r="EYY4" s="539"/>
      <c r="EYZ4" s="539"/>
      <c r="EZA4" s="539"/>
      <c r="EZB4" s="539"/>
      <c r="EZC4" s="539"/>
      <c r="EZD4" s="539"/>
      <c r="EZE4" s="539"/>
      <c r="EZF4" s="539"/>
      <c r="EZG4" s="539"/>
      <c r="EZH4" s="539"/>
      <c r="EZI4" s="539"/>
      <c r="EZJ4" s="539"/>
      <c r="EZK4" s="539"/>
      <c r="EZL4" s="539"/>
      <c r="EZM4" s="539"/>
      <c r="EZN4" s="539"/>
      <c r="EZO4" s="539"/>
      <c r="EZP4" s="539"/>
      <c r="EZQ4" s="539"/>
      <c r="EZR4" s="539"/>
      <c r="EZS4" s="539"/>
      <c r="EZT4" s="539"/>
      <c r="EZU4" s="539"/>
      <c r="EZV4" s="539"/>
      <c r="EZW4" s="539"/>
      <c r="EZX4" s="539"/>
      <c r="EZY4" s="539"/>
      <c r="EZZ4" s="539"/>
      <c r="FAA4" s="539"/>
      <c r="FAB4" s="539"/>
      <c r="FAC4" s="539"/>
      <c r="FAD4" s="539"/>
      <c r="FAE4" s="539"/>
      <c r="FAF4" s="539"/>
      <c r="FAG4" s="539"/>
      <c r="FAH4" s="539"/>
      <c r="FAI4" s="539"/>
      <c r="FAJ4" s="539"/>
      <c r="FAK4" s="539"/>
      <c r="FAL4" s="539"/>
      <c r="FAM4" s="539"/>
      <c r="FAN4" s="539"/>
      <c r="FAO4" s="539"/>
      <c r="FAP4" s="539"/>
      <c r="FAQ4" s="539"/>
      <c r="FAR4" s="539"/>
      <c r="FAS4" s="539"/>
      <c r="FAT4" s="539"/>
      <c r="FAU4" s="539"/>
      <c r="FAV4" s="539"/>
      <c r="FAW4" s="539"/>
      <c r="FAX4" s="539"/>
      <c r="FAY4" s="539"/>
      <c r="FAZ4" s="539"/>
      <c r="FBA4" s="539"/>
      <c r="FBB4" s="539"/>
      <c r="FBC4" s="539"/>
      <c r="FBD4" s="539"/>
      <c r="FBE4" s="539"/>
      <c r="FBF4" s="539"/>
      <c r="FBG4" s="539"/>
      <c r="FBH4" s="539"/>
      <c r="FBI4" s="539"/>
      <c r="FBJ4" s="539"/>
      <c r="FBK4" s="539"/>
      <c r="FBL4" s="539"/>
      <c r="FBM4" s="539"/>
      <c r="FBN4" s="539"/>
      <c r="FBO4" s="539"/>
      <c r="FBP4" s="539"/>
      <c r="FBQ4" s="539"/>
      <c r="FBR4" s="539"/>
      <c r="FBS4" s="539"/>
      <c r="FBT4" s="539"/>
      <c r="FBU4" s="539"/>
      <c r="FBV4" s="539"/>
      <c r="FBW4" s="539"/>
      <c r="FBX4" s="539"/>
      <c r="FBY4" s="539"/>
      <c r="FBZ4" s="539"/>
      <c r="FCA4" s="539"/>
      <c r="FCB4" s="539"/>
      <c r="FCC4" s="539"/>
      <c r="FCD4" s="539"/>
      <c r="FCE4" s="539"/>
      <c r="FCF4" s="539"/>
      <c r="FCG4" s="539"/>
      <c r="FCH4" s="539"/>
      <c r="FCI4" s="539"/>
      <c r="FCJ4" s="539"/>
      <c r="FCK4" s="539"/>
      <c r="FCL4" s="539"/>
      <c r="FCM4" s="539"/>
      <c r="FCN4" s="539"/>
      <c r="FCO4" s="539"/>
      <c r="FCP4" s="539"/>
      <c r="FCQ4" s="539"/>
      <c r="FCR4" s="539"/>
      <c r="FCS4" s="539"/>
      <c r="FCT4" s="539"/>
      <c r="FCU4" s="539"/>
      <c r="FCV4" s="539"/>
      <c r="FCW4" s="539"/>
      <c r="FCX4" s="539"/>
      <c r="FCY4" s="539"/>
      <c r="FCZ4" s="539"/>
      <c r="FDA4" s="539"/>
      <c r="FDB4" s="539"/>
      <c r="FDC4" s="539"/>
      <c r="FDD4" s="539"/>
      <c r="FDE4" s="539"/>
      <c r="FDF4" s="539"/>
      <c r="FDG4" s="539"/>
      <c r="FDH4" s="539"/>
      <c r="FDI4" s="539"/>
      <c r="FDJ4" s="539"/>
      <c r="FDK4" s="539"/>
      <c r="FDL4" s="539"/>
      <c r="FDM4" s="539"/>
      <c r="FDN4" s="539"/>
      <c r="FDO4" s="539"/>
      <c r="FDP4" s="539"/>
      <c r="FDQ4" s="539"/>
      <c r="FDR4" s="539"/>
      <c r="FDS4" s="539"/>
      <c r="FDT4" s="539"/>
      <c r="FDU4" s="539"/>
      <c r="FDV4" s="539"/>
      <c r="FDW4" s="539"/>
      <c r="FDX4" s="539"/>
      <c r="FDY4" s="539"/>
      <c r="FDZ4" s="539"/>
      <c r="FEA4" s="539"/>
      <c r="FEB4" s="539"/>
      <c r="FEC4" s="539"/>
      <c r="FED4" s="539"/>
      <c r="FEE4" s="539"/>
      <c r="FEF4" s="539"/>
      <c r="FEG4" s="539"/>
      <c r="FEH4" s="539"/>
      <c r="FEI4" s="539"/>
      <c r="FEJ4" s="539"/>
      <c r="FEK4" s="539"/>
      <c r="FEL4" s="539"/>
      <c r="FEM4" s="539"/>
      <c r="FEN4" s="539"/>
      <c r="FEO4" s="539"/>
      <c r="FEP4" s="539"/>
      <c r="FEQ4" s="539"/>
      <c r="FER4" s="539"/>
      <c r="FES4" s="539"/>
      <c r="FET4" s="539"/>
      <c r="FEU4" s="539"/>
      <c r="FEV4" s="539"/>
      <c r="FEW4" s="539"/>
      <c r="FEX4" s="539"/>
      <c r="FEY4" s="539"/>
      <c r="FEZ4" s="539"/>
      <c r="FFA4" s="539"/>
      <c r="FFB4" s="539"/>
      <c r="FFC4" s="539"/>
      <c r="FFD4" s="539"/>
      <c r="FFE4" s="539"/>
      <c r="FFF4" s="539"/>
      <c r="FFG4" s="539"/>
      <c r="FFH4" s="539"/>
      <c r="FFI4" s="539"/>
      <c r="FFJ4" s="539"/>
      <c r="FFK4" s="539"/>
      <c r="FFL4" s="539"/>
      <c r="FFM4" s="539"/>
      <c r="FFN4" s="539"/>
      <c r="FFO4" s="539"/>
      <c r="FFP4" s="539"/>
      <c r="FFQ4" s="539"/>
      <c r="FFR4" s="539"/>
      <c r="FFS4" s="539"/>
      <c r="FFT4" s="539"/>
      <c r="FFU4" s="539"/>
      <c r="FFV4" s="539"/>
      <c r="FFW4" s="539"/>
      <c r="FFX4" s="539"/>
      <c r="FFY4" s="539"/>
      <c r="FFZ4" s="539"/>
      <c r="FGA4" s="539"/>
      <c r="FGB4" s="539"/>
      <c r="FGC4" s="539"/>
      <c r="FGD4" s="539"/>
      <c r="FGE4" s="539"/>
      <c r="FGF4" s="539"/>
      <c r="FGG4" s="539"/>
      <c r="FGH4" s="539"/>
      <c r="FGI4" s="539"/>
      <c r="FGJ4" s="539"/>
      <c r="FGK4" s="539"/>
      <c r="FGL4" s="539"/>
      <c r="FGM4" s="539"/>
      <c r="FGN4" s="539"/>
      <c r="FGO4" s="539"/>
      <c r="FGP4" s="539"/>
      <c r="FGQ4" s="539"/>
      <c r="FGR4" s="539"/>
      <c r="FGS4" s="539"/>
      <c r="FGT4" s="539"/>
      <c r="FGU4" s="539"/>
      <c r="FGV4" s="539"/>
      <c r="FGW4" s="539"/>
      <c r="FGX4" s="539"/>
      <c r="FGY4" s="539"/>
      <c r="FGZ4" s="539"/>
      <c r="FHA4" s="539"/>
      <c r="FHB4" s="539"/>
      <c r="FHC4" s="539"/>
      <c r="FHD4" s="539"/>
      <c r="FHE4" s="539"/>
      <c r="FHF4" s="539"/>
      <c r="FHG4" s="539"/>
      <c r="FHH4" s="539"/>
      <c r="FHI4" s="539"/>
      <c r="FHJ4" s="539"/>
      <c r="FHK4" s="539"/>
      <c r="FHL4" s="539"/>
      <c r="FHM4" s="539"/>
      <c r="FHN4" s="539"/>
      <c r="FHO4" s="539"/>
      <c r="FHP4" s="539"/>
      <c r="FHQ4" s="539"/>
      <c r="FHR4" s="539"/>
      <c r="FHS4" s="539"/>
      <c r="FHT4" s="539"/>
      <c r="FHU4" s="539"/>
      <c r="FHV4" s="539"/>
      <c r="FHW4" s="539"/>
      <c r="FHX4" s="539"/>
      <c r="FHY4" s="539"/>
      <c r="FHZ4" s="539"/>
      <c r="FIA4" s="539"/>
      <c r="FIB4" s="539"/>
      <c r="FIC4" s="539"/>
      <c r="FID4" s="539"/>
      <c r="FIE4" s="539"/>
      <c r="FIF4" s="539"/>
      <c r="FIG4" s="539"/>
      <c r="FIH4" s="539"/>
      <c r="FII4" s="539"/>
      <c r="FIJ4" s="539"/>
      <c r="FIK4" s="539"/>
      <c r="FIL4" s="539"/>
      <c r="FIM4" s="539"/>
      <c r="FIN4" s="539"/>
      <c r="FIO4" s="539"/>
      <c r="FIP4" s="539"/>
      <c r="FIQ4" s="539"/>
      <c r="FIR4" s="539"/>
      <c r="FIS4" s="539"/>
      <c r="FIT4" s="539"/>
      <c r="FIU4" s="539"/>
      <c r="FIV4" s="539"/>
      <c r="FIW4" s="539"/>
      <c r="FIX4" s="539"/>
      <c r="FIY4" s="539"/>
      <c r="FIZ4" s="539"/>
      <c r="FJA4" s="539"/>
      <c r="FJB4" s="539"/>
      <c r="FJC4" s="539"/>
      <c r="FJD4" s="539"/>
      <c r="FJE4" s="539"/>
      <c r="FJF4" s="539"/>
      <c r="FJG4" s="539"/>
      <c r="FJH4" s="539"/>
      <c r="FJI4" s="539"/>
      <c r="FJJ4" s="539"/>
      <c r="FJK4" s="539"/>
      <c r="FJL4" s="539"/>
      <c r="FJM4" s="539"/>
      <c r="FJN4" s="539"/>
      <c r="FJO4" s="539"/>
      <c r="FJP4" s="539"/>
      <c r="FJQ4" s="539"/>
      <c r="FJR4" s="539"/>
      <c r="FJS4" s="539"/>
      <c r="FJT4" s="539"/>
      <c r="FJU4" s="539"/>
      <c r="FJV4" s="539"/>
      <c r="FJW4" s="539"/>
      <c r="FJX4" s="539"/>
      <c r="FJY4" s="539"/>
      <c r="FJZ4" s="539"/>
      <c r="FKA4" s="539"/>
      <c r="FKB4" s="539"/>
      <c r="FKC4" s="539"/>
      <c r="FKD4" s="539"/>
      <c r="FKE4" s="539"/>
      <c r="FKF4" s="539"/>
      <c r="FKG4" s="539"/>
      <c r="FKH4" s="539"/>
      <c r="FKI4" s="539"/>
      <c r="FKJ4" s="539"/>
      <c r="FKK4" s="539"/>
      <c r="FKL4" s="539"/>
      <c r="FKM4" s="539"/>
      <c r="FKN4" s="539"/>
      <c r="FKO4" s="539"/>
      <c r="FKP4" s="539"/>
      <c r="FKQ4" s="539"/>
      <c r="FKR4" s="539"/>
      <c r="FKS4" s="539"/>
      <c r="FKT4" s="539"/>
      <c r="FKU4" s="539"/>
      <c r="FKV4" s="539"/>
      <c r="FKW4" s="539"/>
      <c r="FKX4" s="539"/>
      <c r="FKY4" s="539"/>
      <c r="FKZ4" s="539"/>
      <c r="FLA4" s="539"/>
      <c r="FLB4" s="539"/>
      <c r="FLC4" s="539"/>
      <c r="FLD4" s="539"/>
      <c r="FLE4" s="539"/>
      <c r="FLF4" s="539"/>
      <c r="FLG4" s="539"/>
      <c r="FLH4" s="539"/>
      <c r="FLI4" s="539"/>
      <c r="FLJ4" s="539"/>
      <c r="FLK4" s="539"/>
      <c r="FLL4" s="539"/>
      <c r="FLM4" s="539"/>
      <c r="FLN4" s="539"/>
      <c r="FLO4" s="539"/>
      <c r="FLP4" s="539"/>
      <c r="FLQ4" s="539"/>
      <c r="FLR4" s="539"/>
      <c r="FLS4" s="539"/>
      <c r="FLT4" s="539"/>
      <c r="FLU4" s="539"/>
      <c r="FLV4" s="539"/>
      <c r="FLW4" s="539"/>
      <c r="FLX4" s="539"/>
      <c r="FLY4" s="539"/>
      <c r="FLZ4" s="539"/>
      <c r="FMA4" s="539"/>
      <c r="FMB4" s="539"/>
      <c r="FMC4" s="539"/>
      <c r="FMD4" s="539"/>
      <c r="FME4" s="539"/>
      <c r="FMF4" s="539"/>
      <c r="FMG4" s="539"/>
      <c r="FMH4" s="539"/>
      <c r="FMI4" s="539"/>
      <c r="FMJ4" s="539"/>
      <c r="FMK4" s="539"/>
      <c r="FML4" s="539"/>
      <c r="FMM4" s="539"/>
      <c r="FMN4" s="539"/>
      <c r="FMO4" s="539"/>
      <c r="FMP4" s="539"/>
      <c r="FMQ4" s="539"/>
      <c r="FMR4" s="539"/>
      <c r="FMS4" s="539"/>
      <c r="FMT4" s="539"/>
      <c r="FMU4" s="539"/>
      <c r="FMV4" s="539"/>
      <c r="FMW4" s="539"/>
      <c r="FMX4" s="539"/>
      <c r="FMY4" s="539"/>
      <c r="FMZ4" s="539"/>
      <c r="FNA4" s="539"/>
      <c r="FNB4" s="539"/>
      <c r="FNC4" s="539"/>
      <c r="FND4" s="539"/>
      <c r="FNE4" s="539"/>
      <c r="FNF4" s="539"/>
      <c r="FNG4" s="539"/>
      <c r="FNH4" s="539"/>
      <c r="FNI4" s="539"/>
      <c r="FNJ4" s="539"/>
      <c r="FNK4" s="539"/>
      <c r="FNL4" s="539"/>
      <c r="FNM4" s="539"/>
      <c r="FNN4" s="539"/>
      <c r="FNO4" s="539"/>
      <c r="FNP4" s="539"/>
      <c r="FNQ4" s="539"/>
      <c r="FNR4" s="539"/>
      <c r="FNS4" s="539"/>
      <c r="FNT4" s="539"/>
      <c r="FNU4" s="539"/>
      <c r="FNV4" s="539"/>
      <c r="FNW4" s="539"/>
      <c r="FNX4" s="539"/>
      <c r="FNY4" s="539"/>
      <c r="FNZ4" s="539"/>
      <c r="FOA4" s="539"/>
      <c r="FOB4" s="539"/>
      <c r="FOC4" s="539"/>
      <c r="FOD4" s="539"/>
      <c r="FOE4" s="539"/>
      <c r="FOF4" s="539"/>
      <c r="FOG4" s="539"/>
      <c r="FOH4" s="539"/>
      <c r="FOI4" s="539"/>
      <c r="FOJ4" s="539"/>
      <c r="FOK4" s="539"/>
      <c r="FOL4" s="539"/>
      <c r="FOM4" s="539"/>
      <c r="FON4" s="539"/>
      <c r="FOO4" s="539"/>
      <c r="FOP4" s="539"/>
      <c r="FOQ4" s="539"/>
      <c r="FOR4" s="539"/>
      <c r="FOS4" s="539"/>
      <c r="FOT4" s="539"/>
      <c r="FOU4" s="539"/>
      <c r="FOV4" s="539"/>
      <c r="FOW4" s="539"/>
      <c r="FOX4" s="539"/>
      <c r="FOY4" s="539"/>
      <c r="FOZ4" s="539"/>
      <c r="FPA4" s="539"/>
      <c r="FPB4" s="539"/>
      <c r="FPC4" s="539"/>
      <c r="FPD4" s="539"/>
      <c r="FPE4" s="539"/>
      <c r="FPF4" s="539"/>
      <c r="FPG4" s="539"/>
      <c r="FPH4" s="539"/>
      <c r="FPI4" s="539"/>
      <c r="FPJ4" s="539"/>
      <c r="FPK4" s="539"/>
      <c r="FPL4" s="539"/>
      <c r="FPM4" s="539"/>
      <c r="FPN4" s="539"/>
      <c r="FPO4" s="539"/>
      <c r="FPP4" s="539"/>
      <c r="FPQ4" s="539"/>
      <c r="FPR4" s="539"/>
      <c r="FPS4" s="539"/>
      <c r="FPT4" s="539"/>
      <c r="FPU4" s="539"/>
      <c r="FPV4" s="539"/>
      <c r="FPW4" s="539"/>
      <c r="FPX4" s="539"/>
      <c r="FPY4" s="539"/>
      <c r="FPZ4" s="539"/>
      <c r="FQA4" s="539"/>
      <c r="FQB4" s="539"/>
      <c r="FQC4" s="539"/>
      <c r="FQD4" s="539"/>
      <c r="FQE4" s="539"/>
      <c r="FQF4" s="539"/>
      <c r="FQG4" s="539"/>
      <c r="FQH4" s="539"/>
      <c r="FQI4" s="539"/>
      <c r="FQJ4" s="539"/>
      <c r="FQK4" s="539"/>
      <c r="FQL4" s="539"/>
      <c r="FQM4" s="539"/>
      <c r="FQN4" s="539"/>
      <c r="FQO4" s="539"/>
      <c r="FQP4" s="539"/>
      <c r="FQQ4" s="539"/>
      <c r="FQR4" s="539"/>
      <c r="FQS4" s="539"/>
      <c r="FQT4" s="539"/>
      <c r="FQU4" s="539"/>
      <c r="FQV4" s="539"/>
      <c r="FQW4" s="539"/>
      <c r="FQX4" s="539"/>
      <c r="FQY4" s="539"/>
      <c r="FQZ4" s="539"/>
      <c r="FRA4" s="539"/>
      <c r="FRB4" s="539"/>
      <c r="FRC4" s="539"/>
      <c r="FRD4" s="539"/>
      <c r="FRE4" s="539"/>
      <c r="FRF4" s="539"/>
      <c r="FRG4" s="539"/>
      <c r="FRH4" s="539"/>
      <c r="FRI4" s="539"/>
      <c r="FRJ4" s="539"/>
      <c r="FRK4" s="539"/>
      <c r="FRL4" s="539"/>
      <c r="FRM4" s="539"/>
      <c r="FRN4" s="539"/>
      <c r="FRO4" s="539"/>
      <c r="FRP4" s="539"/>
      <c r="FRQ4" s="539"/>
      <c r="FRR4" s="539"/>
      <c r="FRS4" s="539"/>
      <c r="FRT4" s="539"/>
      <c r="FRU4" s="539"/>
      <c r="FRV4" s="539"/>
      <c r="FRW4" s="539"/>
      <c r="FRX4" s="539"/>
      <c r="FRY4" s="539"/>
      <c r="FRZ4" s="539"/>
      <c r="FSA4" s="539"/>
      <c r="FSB4" s="539"/>
      <c r="FSC4" s="539"/>
      <c r="FSD4" s="539"/>
      <c r="FSE4" s="539"/>
      <c r="FSF4" s="539"/>
      <c r="FSG4" s="539"/>
      <c r="FSH4" s="539"/>
      <c r="FSI4" s="539"/>
      <c r="FSJ4" s="539"/>
      <c r="FSK4" s="539"/>
      <c r="FSL4" s="539"/>
      <c r="FSM4" s="539"/>
      <c r="FSN4" s="539"/>
      <c r="FSO4" s="539"/>
      <c r="FSP4" s="539"/>
      <c r="FSQ4" s="539"/>
      <c r="FSR4" s="539"/>
      <c r="FSS4" s="539"/>
      <c r="FST4" s="539"/>
      <c r="FSU4" s="539"/>
      <c r="FSV4" s="539"/>
      <c r="FSW4" s="539"/>
      <c r="FSX4" s="539"/>
      <c r="FSY4" s="539"/>
      <c r="FSZ4" s="539"/>
      <c r="FTA4" s="539"/>
      <c r="FTB4" s="539"/>
      <c r="FTC4" s="539"/>
      <c r="FTD4" s="539"/>
      <c r="FTE4" s="539"/>
      <c r="FTF4" s="539"/>
      <c r="FTG4" s="539"/>
      <c r="FTH4" s="539"/>
      <c r="FTI4" s="539"/>
      <c r="FTJ4" s="539"/>
      <c r="FTK4" s="539"/>
      <c r="FTL4" s="539"/>
      <c r="FTM4" s="539"/>
      <c r="FTN4" s="539"/>
      <c r="FTO4" s="539"/>
      <c r="FTP4" s="539"/>
      <c r="FTQ4" s="539"/>
      <c r="FTR4" s="539"/>
      <c r="FTS4" s="539"/>
      <c r="FTT4" s="539"/>
      <c r="FTU4" s="539"/>
      <c r="FTV4" s="539"/>
      <c r="FTW4" s="539"/>
      <c r="FTX4" s="539"/>
      <c r="FTY4" s="539"/>
      <c r="FTZ4" s="539"/>
      <c r="FUA4" s="539"/>
      <c r="FUB4" s="539"/>
      <c r="FUC4" s="539"/>
      <c r="FUD4" s="539"/>
      <c r="FUE4" s="539"/>
      <c r="FUF4" s="539"/>
      <c r="FUG4" s="539"/>
      <c r="FUH4" s="539"/>
      <c r="FUI4" s="539"/>
      <c r="FUJ4" s="539"/>
      <c r="FUK4" s="539"/>
      <c r="FUL4" s="539"/>
      <c r="FUM4" s="539"/>
      <c r="FUN4" s="539"/>
      <c r="FUO4" s="539"/>
      <c r="FUP4" s="539"/>
      <c r="FUQ4" s="539"/>
      <c r="FUR4" s="539"/>
      <c r="FUS4" s="539"/>
      <c r="FUT4" s="539"/>
      <c r="FUU4" s="539"/>
      <c r="FUV4" s="539"/>
      <c r="FUW4" s="539"/>
      <c r="FUX4" s="539"/>
      <c r="FUY4" s="539"/>
      <c r="FUZ4" s="539"/>
      <c r="FVA4" s="539"/>
      <c r="FVB4" s="539"/>
      <c r="FVC4" s="539"/>
      <c r="FVD4" s="539"/>
      <c r="FVE4" s="539"/>
      <c r="FVF4" s="539"/>
      <c r="FVG4" s="539"/>
      <c r="FVH4" s="539"/>
      <c r="FVI4" s="539"/>
      <c r="FVJ4" s="539"/>
      <c r="FVK4" s="539"/>
      <c r="FVL4" s="539"/>
      <c r="FVM4" s="539"/>
      <c r="FVN4" s="539"/>
      <c r="FVO4" s="539"/>
      <c r="FVP4" s="539"/>
      <c r="FVQ4" s="539"/>
      <c r="FVR4" s="539"/>
      <c r="FVS4" s="539"/>
      <c r="FVT4" s="539"/>
      <c r="FVU4" s="539"/>
      <c r="FVV4" s="539"/>
      <c r="FVW4" s="539"/>
      <c r="FVX4" s="539"/>
      <c r="FVY4" s="539"/>
      <c r="FVZ4" s="539"/>
      <c r="FWA4" s="539"/>
      <c r="FWB4" s="539"/>
      <c r="FWC4" s="539"/>
      <c r="FWD4" s="539"/>
      <c r="FWE4" s="539"/>
      <c r="FWF4" s="539"/>
      <c r="FWG4" s="539"/>
      <c r="FWH4" s="539"/>
      <c r="FWI4" s="539"/>
      <c r="FWJ4" s="539"/>
      <c r="FWK4" s="539"/>
      <c r="FWL4" s="539"/>
      <c r="FWM4" s="539"/>
      <c r="FWN4" s="539"/>
      <c r="FWO4" s="539"/>
      <c r="FWP4" s="539"/>
      <c r="FWQ4" s="539"/>
      <c r="FWR4" s="539"/>
      <c r="FWS4" s="539"/>
      <c r="FWT4" s="539"/>
      <c r="FWU4" s="539"/>
      <c r="FWV4" s="539"/>
      <c r="FWW4" s="539"/>
      <c r="FWX4" s="539"/>
      <c r="FWY4" s="539"/>
      <c r="FWZ4" s="539"/>
      <c r="FXA4" s="539"/>
      <c r="FXB4" s="539"/>
      <c r="FXC4" s="539"/>
      <c r="FXD4" s="539"/>
      <c r="FXE4" s="539"/>
      <c r="FXF4" s="539"/>
      <c r="FXG4" s="539"/>
      <c r="FXH4" s="539"/>
      <c r="FXI4" s="539"/>
      <c r="FXJ4" s="539"/>
      <c r="FXK4" s="539"/>
      <c r="FXL4" s="539"/>
      <c r="FXM4" s="539"/>
      <c r="FXN4" s="539"/>
      <c r="FXO4" s="539"/>
      <c r="FXP4" s="539"/>
      <c r="FXQ4" s="539"/>
      <c r="FXR4" s="539"/>
      <c r="FXS4" s="539"/>
      <c r="FXT4" s="539"/>
      <c r="FXU4" s="539"/>
      <c r="FXV4" s="539"/>
      <c r="FXW4" s="539"/>
      <c r="FXX4" s="539"/>
      <c r="FXY4" s="539"/>
      <c r="FXZ4" s="539"/>
      <c r="FYA4" s="539"/>
      <c r="FYB4" s="539"/>
      <c r="FYC4" s="539"/>
      <c r="FYD4" s="539"/>
      <c r="FYE4" s="539"/>
      <c r="FYF4" s="539"/>
      <c r="FYG4" s="539"/>
      <c r="FYH4" s="539"/>
      <c r="FYI4" s="539"/>
      <c r="FYJ4" s="539"/>
      <c r="FYK4" s="539"/>
      <c r="FYL4" s="539"/>
      <c r="FYM4" s="539"/>
      <c r="FYN4" s="539"/>
      <c r="FYO4" s="539"/>
      <c r="FYP4" s="539"/>
      <c r="FYQ4" s="539"/>
      <c r="FYR4" s="539"/>
      <c r="FYS4" s="539"/>
      <c r="FYT4" s="539"/>
      <c r="FYU4" s="539"/>
      <c r="FYV4" s="539"/>
      <c r="FYW4" s="539"/>
      <c r="FYX4" s="539"/>
      <c r="FYY4" s="539"/>
      <c r="FYZ4" s="539"/>
      <c r="FZA4" s="539"/>
      <c r="FZB4" s="539"/>
      <c r="FZC4" s="539"/>
      <c r="FZD4" s="539"/>
      <c r="FZE4" s="539"/>
      <c r="FZF4" s="539"/>
      <c r="FZG4" s="539"/>
      <c r="FZH4" s="539"/>
      <c r="FZI4" s="539"/>
      <c r="FZJ4" s="539"/>
      <c r="FZK4" s="539"/>
      <c r="FZL4" s="539"/>
      <c r="FZM4" s="539"/>
      <c r="FZN4" s="539"/>
      <c r="FZO4" s="539"/>
      <c r="FZP4" s="539"/>
      <c r="FZQ4" s="539"/>
      <c r="FZR4" s="539"/>
      <c r="FZS4" s="539"/>
      <c r="FZT4" s="539"/>
      <c r="FZU4" s="539"/>
      <c r="FZV4" s="539"/>
      <c r="FZW4" s="539"/>
      <c r="FZX4" s="539"/>
      <c r="FZY4" s="539"/>
      <c r="FZZ4" s="539"/>
      <c r="GAA4" s="539"/>
      <c r="GAB4" s="539"/>
      <c r="GAC4" s="539"/>
      <c r="GAD4" s="539"/>
      <c r="GAE4" s="539"/>
      <c r="GAF4" s="539"/>
      <c r="GAG4" s="539"/>
      <c r="GAH4" s="539"/>
      <c r="GAI4" s="539"/>
      <c r="GAJ4" s="539"/>
      <c r="GAK4" s="539"/>
      <c r="GAL4" s="539"/>
      <c r="GAM4" s="539"/>
      <c r="GAN4" s="539"/>
      <c r="GAO4" s="539"/>
      <c r="GAP4" s="539"/>
      <c r="GAQ4" s="539"/>
      <c r="GAR4" s="539"/>
      <c r="GAS4" s="539"/>
      <c r="GAT4" s="539"/>
      <c r="GAU4" s="539"/>
      <c r="GAV4" s="539"/>
      <c r="GAW4" s="539"/>
      <c r="GAX4" s="539"/>
      <c r="GAY4" s="539"/>
      <c r="GAZ4" s="539"/>
      <c r="GBA4" s="539"/>
      <c r="GBB4" s="539"/>
      <c r="GBC4" s="539"/>
      <c r="GBD4" s="539"/>
      <c r="GBE4" s="539"/>
      <c r="GBF4" s="539"/>
      <c r="GBG4" s="539"/>
      <c r="GBH4" s="539"/>
      <c r="GBI4" s="539"/>
      <c r="GBJ4" s="539"/>
      <c r="GBK4" s="539"/>
      <c r="GBL4" s="539"/>
      <c r="GBM4" s="539"/>
      <c r="GBN4" s="539"/>
      <c r="GBO4" s="539"/>
      <c r="GBP4" s="539"/>
      <c r="GBQ4" s="539"/>
      <c r="GBR4" s="539"/>
      <c r="GBS4" s="539"/>
      <c r="GBT4" s="539"/>
      <c r="GBU4" s="539"/>
      <c r="GBV4" s="539"/>
      <c r="GBW4" s="539"/>
      <c r="GBX4" s="539"/>
      <c r="GBY4" s="539"/>
      <c r="GBZ4" s="539"/>
      <c r="GCA4" s="539"/>
      <c r="GCB4" s="539"/>
      <c r="GCC4" s="539"/>
      <c r="GCD4" s="539"/>
      <c r="GCE4" s="539"/>
      <c r="GCF4" s="539"/>
      <c r="GCG4" s="539"/>
      <c r="GCH4" s="539"/>
      <c r="GCI4" s="539"/>
      <c r="GCJ4" s="539"/>
      <c r="GCK4" s="539"/>
      <c r="GCL4" s="539"/>
      <c r="GCM4" s="539"/>
      <c r="GCN4" s="539"/>
      <c r="GCO4" s="539"/>
      <c r="GCP4" s="539"/>
      <c r="GCQ4" s="539"/>
      <c r="GCR4" s="539"/>
      <c r="GCS4" s="539"/>
      <c r="GCT4" s="539"/>
      <c r="GCU4" s="539"/>
      <c r="GCV4" s="539"/>
      <c r="GCW4" s="539"/>
      <c r="GCX4" s="539"/>
      <c r="GCY4" s="539"/>
      <c r="GCZ4" s="539"/>
      <c r="GDA4" s="539"/>
      <c r="GDB4" s="539"/>
      <c r="GDC4" s="539"/>
      <c r="GDD4" s="539"/>
      <c r="GDE4" s="539"/>
      <c r="GDF4" s="539"/>
      <c r="GDG4" s="539"/>
      <c r="GDH4" s="539"/>
      <c r="GDI4" s="539"/>
      <c r="GDJ4" s="539"/>
      <c r="GDK4" s="539"/>
      <c r="GDL4" s="539"/>
      <c r="GDM4" s="539"/>
      <c r="GDN4" s="539"/>
      <c r="GDO4" s="539"/>
      <c r="GDP4" s="539"/>
      <c r="GDQ4" s="539"/>
      <c r="GDR4" s="539"/>
      <c r="GDS4" s="539"/>
      <c r="GDT4" s="539"/>
      <c r="GDU4" s="539"/>
      <c r="GDV4" s="539"/>
      <c r="GDW4" s="539"/>
      <c r="GDX4" s="539"/>
      <c r="GDY4" s="539"/>
      <c r="GDZ4" s="539"/>
      <c r="GEA4" s="539"/>
      <c r="GEB4" s="539"/>
      <c r="GEC4" s="539"/>
      <c r="GED4" s="539"/>
      <c r="GEE4" s="539"/>
      <c r="GEF4" s="539"/>
      <c r="GEG4" s="539"/>
      <c r="GEH4" s="539"/>
      <c r="GEI4" s="539"/>
      <c r="GEJ4" s="539"/>
      <c r="GEK4" s="539"/>
      <c r="GEL4" s="539"/>
      <c r="GEM4" s="539"/>
      <c r="GEN4" s="539"/>
      <c r="GEO4" s="539"/>
      <c r="GEP4" s="539"/>
      <c r="GEQ4" s="539"/>
      <c r="GER4" s="539"/>
      <c r="GES4" s="539"/>
      <c r="GET4" s="539"/>
      <c r="GEU4" s="539"/>
      <c r="GEV4" s="539"/>
      <c r="GEW4" s="539"/>
      <c r="GEX4" s="539"/>
      <c r="GEY4" s="539"/>
      <c r="GEZ4" s="539"/>
      <c r="GFA4" s="539"/>
      <c r="GFB4" s="539"/>
      <c r="GFC4" s="539"/>
      <c r="GFD4" s="539"/>
      <c r="GFE4" s="539"/>
      <c r="GFF4" s="539"/>
      <c r="GFG4" s="539"/>
      <c r="GFH4" s="539"/>
      <c r="GFI4" s="539"/>
      <c r="GFJ4" s="539"/>
      <c r="GFK4" s="539"/>
      <c r="GFL4" s="539"/>
      <c r="GFM4" s="539"/>
      <c r="GFN4" s="539"/>
      <c r="GFO4" s="539"/>
      <c r="GFP4" s="539"/>
      <c r="GFQ4" s="539"/>
      <c r="GFR4" s="539"/>
      <c r="GFS4" s="539"/>
      <c r="GFT4" s="539"/>
      <c r="GFU4" s="539"/>
      <c r="GFV4" s="539"/>
      <c r="GFW4" s="539"/>
      <c r="GFX4" s="539"/>
      <c r="GFY4" s="539"/>
      <c r="GFZ4" s="539"/>
      <c r="GGA4" s="539"/>
      <c r="GGB4" s="539"/>
      <c r="GGC4" s="539"/>
      <c r="GGD4" s="539"/>
      <c r="GGE4" s="539"/>
      <c r="GGF4" s="539"/>
      <c r="GGG4" s="539"/>
      <c r="GGH4" s="539"/>
      <c r="GGI4" s="539"/>
      <c r="GGJ4" s="539"/>
      <c r="GGK4" s="539"/>
      <c r="GGL4" s="539"/>
      <c r="GGM4" s="539"/>
      <c r="GGN4" s="539"/>
      <c r="GGO4" s="539"/>
      <c r="GGP4" s="539"/>
      <c r="GGQ4" s="539"/>
      <c r="GGR4" s="539"/>
      <c r="GGS4" s="539"/>
      <c r="GGT4" s="539"/>
      <c r="GGU4" s="539"/>
      <c r="GGV4" s="539"/>
      <c r="GGW4" s="539"/>
      <c r="GGX4" s="539"/>
      <c r="GGY4" s="539"/>
      <c r="GGZ4" s="539"/>
      <c r="GHA4" s="539"/>
      <c r="GHB4" s="539"/>
      <c r="GHC4" s="539"/>
      <c r="GHD4" s="539"/>
      <c r="GHE4" s="539"/>
      <c r="GHF4" s="539"/>
      <c r="GHG4" s="539"/>
      <c r="GHH4" s="539"/>
      <c r="GHI4" s="539"/>
      <c r="GHJ4" s="539"/>
      <c r="GHK4" s="539"/>
      <c r="GHL4" s="539"/>
      <c r="GHM4" s="539"/>
      <c r="GHN4" s="539"/>
      <c r="GHO4" s="539"/>
      <c r="GHP4" s="539"/>
      <c r="GHQ4" s="539"/>
      <c r="GHR4" s="539"/>
      <c r="GHS4" s="539"/>
      <c r="GHT4" s="539"/>
      <c r="GHU4" s="539"/>
      <c r="GHV4" s="539"/>
      <c r="GHW4" s="539"/>
      <c r="GHX4" s="539"/>
      <c r="GHY4" s="539"/>
      <c r="GHZ4" s="539"/>
      <c r="GIA4" s="539"/>
      <c r="GIB4" s="539"/>
      <c r="GIC4" s="539"/>
      <c r="GID4" s="539"/>
      <c r="GIE4" s="539"/>
      <c r="GIF4" s="539"/>
      <c r="GIG4" s="539"/>
      <c r="GIH4" s="539"/>
      <c r="GII4" s="539"/>
      <c r="GIJ4" s="539"/>
      <c r="GIK4" s="539"/>
      <c r="GIL4" s="539"/>
      <c r="GIM4" s="539"/>
      <c r="GIN4" s="539"/>
      <c r="GIO4" s="539"/>
      <c r="GIP4" s="539"/>
      <c r="GIQ4" s="539"/>
      <c r="GIR4" s="539"/>
      <c r="GIS4" s="539"/>
      <c r="GIT4" s="539"/>
      <c r="GIU4" s="539"/>
      <c r="GIV4" s="539"/>
      <c r="GIW4" s="539"/>
      <c r="GIX4" s="539"/>
      <c r="GIY4" s="539"/>
      <c r="GIZ4" s="539"/>
      <c r="GJA4" s="539"/>
      <c r="GJB4" s="539"/>
      <c r="GJC4" s="539"/>
      <c r="GJD4" s="539"/>
      <c r="GJE4" s="539"/>
      <c r="GJF4" s="539"/>
      <c r="GJG4" s="539"/>
      <c r="GJH4" s="539"/>
      <c r="GJI4" s="539"/>
      <c r="GJJ4" s="539"/>
      <c r="GJK4" s="539"/>
      <c r="GJL4" s="539"/>
      <c r="GJM4" s="539"/>
      <c r="GJN4" s="539"/>
      <c r="GJO4" s="539"/>
      <c r="GJP4" s="539"/>
      <c r="GJQ4" s="539"/>
      <c r="GJR4" s="539"/>
      <c r="GJS4" s="539"/>
      <c r="GJT4" s="539"/>
      <c r="GJU4" s="539"/>
      <c r="GJV4" s="539"/>
      <c r="GJW4" s="539"/>
      <c r="GJX4" s="539"/>
      <c r="GJY4" s="539"/>
      <c r="GJZ4" s="539"/>
      <c r="GKA4" s="539"/>
      <c r="GKB4" s="539"/>
      <c r="GKC4" s="539"/>
      <c r="GKD4" s="539"/>
      <c r="GKE4" s="539"/>
      <c r="GKF4" s="539"/>
      <c r="GKG4" s="539"/>
      <c r="GKH4" s="539"/>
      <c r="GKI4" s="539"/>
      <c r="GKJ4" s="539"/>
      <c r="GKK4" s="539"/>
      <c r="GKL4" s="539"/>
      <c r="GKM4" s="539"/>
      <c r="GKN4" s="539"/>
      <c r="GKO4" s="539"/>
      <c r="GKP4" s="539"/>
      <c r="GKQ4" s="539"/>
      <c r="GKR4" s="539"/>
      <c r="GKS4" s="539"/>
      <c r="GKT4" s="539"/>
      <c r="GKU4" s="539"/>
      <c r="GKV4" s="539"/>
      <c r="GKW4" s="539"/>
      <c r="GKX4" s="539"/>
      <c r="GKY4" s="539"/>
      <c r="GKZ4" s="539"/>
      <c r="GLA4" s="539"/>
      <c r="GLB4" s="539"/>
      <c r="GLC4" s="539"/>
      <c r="GLD4" s="539"/>
      <c r="GLE4" s="539"/>
      <c r="GLF4" s="539"/>
      <c r="GLG4" s="539"/>
      <c r="GLH4" s="539"/>
      <c r="GLI4" s="539"/>
      <c r="GLJ4" s="539"/>
      <c r="GLK4" s="539"/>
      <c r="GLL4" s="539"/>
      <c r="GLM4" s="539"/>
      <c r="GLN4" s="539"/>
      <c r="GLO4" s="539"/>
      <c r="GLP4" s="539"/>
      <c r="GLQ4" s="539"/>
      <c r="GLR4" s="539"/>
      <c r="GLS4" s="539"/>
      <c r="GLT4" s="539"/>
      <c r="GLU4" s="539"/>
      <c r="GLV4" s="539"/>
      <c r="GLW4" s="539"/>
      <c r="GLX4" s="539"/>
      <c r="GLY4" s="539"/>
      <c r="GLZ4" s="539"/>
      <c r="GMA4" s="539"/>
      <c r="GMB4" s="539"/>
      <c r="GMC4" s="539"/>
      <c r="GMD4" s="539"/>
      <c r="GME4" s="539"/>
      <c r="GMF4" s="539"/>
      <c r="GMG4" s="539"/>
      <c r="GMH4" s="539"/>
      <c r="GMI4" s="539"/>
      <c r="GMJ4" s="539"/>
      <c r="GMK4" s="539"/>
      <c r="GML4" s="539"/>
      <c r="GMM4" s="539"/>
      <c r="GMN4" s="539"/>
      <c r="GMO4" s="539"/>
      <c r="GMP4" s="539"/>
      <c r="GMQ4" s="539"/>
      <c r="GMR4" s="539"/>
      <c r="GMS4" s="539"/>
      <c r="GMT4" s="539"/>
      <c r="GMU4" s="539"/>
      <c r="GMV4" s="539"/>
      <c r="GMW4" s="539"/>
      <c r="GMX4" s="539"/>
      <c r="GMY4" s="539"/>
      <c r="GMZ4" s="539"/>
      <c r="GNA4" s="539"/>
      <c r="GNB4" s="539"/>
      <c r="GNC4" s="539"/>
      <c r="GND4" s="539"/>
      <c r="GNE4" s="539"/>
      <c r="GNF4" s="539"/>
      <c r="GNG4" s="539"/>
      <c r="GNH4" s="539"/>
      <c r="GNI4" s="539"/>
      <c r="GNJ4" s="539"/>
      <c r="GNK4" s="539"/>
      <c r="GNL4" s="539"/>
      <c r="GNM4" s="539"/>
      <c r="GNN4" s="539"/>
      <c r="GNO4" s="539"/>
      <c r="GNP4" s="539"/>
      <c r="GNQ4" s="539"/>
      <c r="GNR4" s="539"/>
      <c r="GNS4" s="539"/>
      <c r="GNT4" s="539"/>
      <c r="GNU4" s="539"/>
      <c r="GNV4" s="539"/>
      <c r="GNW4" s="539"/>
      <c r="GNX4" s="539"/>
      <c r="GNY4" s="539"/>
      <c r="GNZ4" s="539"/>
      <c r="GOA4" s="539"/>
      <c r="GOB4" s="539"/>
      <c r="GOC4" s="539"/>
      <c r="GOD4" s="539"/>
      <c r="GOE4" s="539"/>
      <c r="GOF4" s="539"/>
      <c r="GOG4" s="539"/>
      <c r="GOH4" s="539"/>
      <c r="GOI4" s="539"/>
      <c r="GOJ4" s="539"/>
      <c r="GOK4" s="539"/>
      <c r="GOL4" s="539"/>
      <c r="GOM4" s="539"/>
      <c r="GON4" s="539"/>
      <c r="GOO4" s="539"/>
      <c r="GOP4" s="539"/>
      <c r="GOQ4" s="539"/>
      <c r="GOR4" s="539"/>
      <c r="GOS4" s="539"/>
      <c r="GOT4" s="539"/>
      <c r="GOU4" s="539"/>
      <c r="GOV4" s="539"/>
      <c r="GOW4" s="539"/>
      <c r="GOX4" s="539"/>
      <c r="GOY4" s="539"/>
      <c r="GOZ4" s="539"/>
      <c r="GPA4" s="539"/>
      <c r="GPB4" s="539"/>
      <c r="GPC4" s="539"/>
      <c r="GPD4" s="539"/>
      <c r="GPE4" s="539"/>
      <c r="GPF4" s="539"/>
      <c r="GPG4" s="539"/>
      <c r="GPH4" s="539"/>
      <c r="GPI4" s="539"/>
      <c r="GPJ4" s="539"/>
      <c r="GPK4" s="539"/>
      <c r="GPL4" s="539"/>
      <c r="GPM4" s="539"/>
      <c r="GPN4" s="539"/>
      <c r="GPO4" s="539"/>
      <c r="GPP4" s="539"/>
      <c r="GPQ4" s="539"/>
      <c r="GPR4" s="539"/>
      <c r="GPS4" s="539"/>
      <c r="GPT4" s="539"/>
      <c r="GPU4" s="539"/>
      <c r="GPV4" s="539"/>
      <c r="GPW4" s="539"/>
      <c r="GPX4" s="539"/>
      <c r="GPY4" s="539"/>
      <c r="GPZ4" s="539"/>
      <c r="GQA4" s="539"/>
      <c r="GQB4" s="539"/>
      <c r="GQC4" s="539"/>
      <c r="GQD4" s="539"/>
      <c r="GQE4" s="539"/>
      <c r="GQF4" s="539"/>
      <c r="GQG4" s="539"/>
      <c r="GQH4" s="539"/>
      <c r="GQI4" s="539"/>
      <c r="GQJ4" s="539"/>
      <c r="GQK4" s="539"/>
      <c r="GQL4" s="539"/>
      <c r="GQM4" s="539"/>
      <c r="GQN4" s="539"/>
      <c r="GQO4" s="539"/>
      <c r="GQP4" s="539"/>
      <c r="GQQ4" s="539"/>
      <c r="GQR4" s="539"/>
      <c r="GQS4" s="539"/>
      <c r="GQT4" s="539"/>
      <c r="GQU4" s="539"/>
      <c r="GQV4" s="539"/>
      <c r="GQW4" s="539"/>
      <c r="GQX4" s="539"/>
      <c r="GQY4" s="539"/>
      <c r="GQZ4" s="539"/>
      <c r="GRA4" s="539"/>
      <c r="GRB4" s="539"/>
      <c r="GRC4" s="539"/>
      <c r="GRD4" s="539"/>
      <c r="GRE4" s="539"/>
      <c r="GRF4" s="539"/>
      <c r="GRG4" s="539"/>
      <c r="GRH4" s="539"/>
      <c r="GRI4" s="539"/>
      <c r="GRJ4" s="539"/>
      <c r="GRK4" s="539"/>
      <c r="GRL4" s="539"/>
      <c r="GRM4" s="539"/>
      <c r="GRN4" s="539"/>
      <c r="GRO4" s="539"/>
      <c r="GRP4" s="539"/>
      <c r="GRQ4" s="539"/>
      <c r="GRR4" s="539"/>
      <c r="GRS4" s="539"/>
      <c r="GRT4" s="539"/>
      <c r="GRU4" s="539"/>
      <c r="GRV4" s="539"/>
      <c r="GRW4" s="539"/>
      <c r="GRX4" s="539"/>
      <c r="GRY4" s="539"/>
      <c r="GRZ4" s="539"/>
      <c r="GSA4" s="539"/>
      <c r="GSB4" s="539"/>
      <c r="GSC4" s="539"/>
      <c r="GSD4" s="539"/>
      <c r="GSE4" s="539"/>
      <c r="GSF4" s="539"/>
      <c r="GSG4" s="539"/>
      <c r="GSH4" s="539"/>
      <c r="GSI4" s="539"/>
      <c r="GSJ4" s="539"/>
      <c r="GSK4" s="539"/>
      <c r="GSL4" s="539"/>
      <c r="GSM4" s="539"/>
      <c r="GSN4" s="539"/>
      <c r="GSO4" s="539"/>
      <c r="GSP4" s="539"/>
      <c r="GSQ4" s="539"/>
      <c r="GSR4" s="539"/>
      <c r="GSS4" s="539"/>
      <c r="GST4" s="539"/>
      <c r="GSU4" s="539"/>
      <c r="GSV4" s="539"/>
      <c r="GSW4" s="539"/>
      <c r="GSX4" s="539"/>
      <c r="GSY4" s="539"/>
      <c r="GSZ4" s="539"/>
      <c r="GTA4" s="539"/>
      <c r="GTB4" s="539"/>
      <c r="GTC4" s="539"/>
      <c r="GTD4" s="539"/>
      <c r="GTE4" s="539"/>
      <c r="GTF4" s="539"/>
      <c r="GTG4" s="539"/>
      <c r="GTH4" s="539"/>
      <c r="GTI4" s="539"/>
      <c r="GTJ4" s="539"/>
      <c r="GTK4" s="539"/>
      <c r="GTL4" s="539"/>
      <c r="GTM4" s="539"/>
      <c r="GTN4" s="539"/>
      <c r="GTO4" s="539"/>
      <c r="GTP4" s="539"/>
      <c r="GTQ4" s="539"/>
      <c r="GTR4" s="539"/>
      <c r="GTS4" s="539"/>
      <c r="GTT4" s="539"/>
      <c r="GTU4" s="539"/>
      <c r="GTV4" s="539"/>
      <c r="GTW4" s="539"/>
      <c r="GTX4" s="539"/>
      <c r="GTY4" s="539"/>
      <c r="GTZ4" s="539"/>
      <c r="GUA4" s="539"/>
      <c r="GUB4" s="539"/>
      <c r="GUC4" s="539"/>
      <c r="GUD4" s="539"/>
      <c r="GUE4" s="539"/>
      <c r="GUF4" s="539"/>
      <c r="GUG4" s="539"/>
      <c r="GUH4" s="539"/>
      <c r="GUI4" s="539"/>
      <c r="GUJ4" s="539"/>
      <c r="GUK4" s="539"/>
      <c r="GUL4" s="539"/>
      <c r="GUM4" s="539"/>
      <c r="GUN4" s="539"/>
      <c r="GUO4" s="539"/>
      <c r="GUP4" s="539"/>
      <c r="GUQ4" s="539"/>
      <c r="GUR4" s="539"/>
      <c r="GUS4" s="539"/>
      <c r="GUT4" s="539"/>
      <c r="GUU4" s="539"/>
      <c r="GUV4" s="539"/>
      <c r="GUW4" s="539"/>
      <c r="GUX4" s="539"/>
      <c r="GUY4" s="539"/>
      <c r="GUZ4" s="539"/>
      <c r="GVA4" s="539"/>
      <c r="GVB4" s="539"/>
      <c r="GVC4" s="539"/>
      <c r="GVD4" s="539"/>
      <c r="GVE4" s="539"/>
      <c r="GVF4" s="539"/>
      <c r="GVG4" s="539"/>
      <c r="GVH4" s="539"/>
      <c r="GVI4" s="539"/>
      <c r="GVJ4" s="539"/>
      <c r="GVK4" s="539"/>
      <c r="GVL4" s="539"/>
      <c r="GVM4" s="539"/>
      <c r="GVN4" s="539"/>
      <c r="GVO4" s="539"/>
      <c r="GVP4" s="539"/>
      <c r="GVQ4" s="539"/>
      <c r="GVR4" s="539"/>
      <c r="GVS4" s="539"/>
      <c r="GVT4" s="539"/>
      <c r="GVU4" s="539"/>
      <c r="GVV4" s="539"/>
      <c r="GVW4" s="539"/>
      <c r="GVX4" s="539"/>
      <c r="GVY4" s="539"/>
      <c r="GVZ4" s="539"/>
      <c r="GWA4" s="539"/>
      <c r="GWB4" s="539"/>
      <c r="GWC4" s="539"/>
      <c r="GWD4" s="539"/>
      <c r="GWE4" s="539"/>
      <c r="GWF4" s="539"/>
      <c r="GWG4" s="539"/>
      <c r="GWH4" s="539"/>
      <c r="GWI4" s="539"/>
      <c r="GWJ4" s="539"/>
      <c r="GWK4" s="539"/>
      <c r="GWL4" s="539"/>
      <c r="GWM4" s="539"/>
      <c r="GWN4" s="539"/>
      <c r="GWO4" s="539"/>
      <c r="GWP4" s="539"/>
      <c r="GWQ4" s="539"/>
      <c r="GWR4" s="539"/>
      <c r="GWS4" s="539"/>
      <c r="GWT4" s="539"/>
      <c r="GWU4" s="539"/>
      <c r="GWV4" s="539"/>
      <c r="GWW4" s="539"/>
      <c r="GWX4" s="539"/>
      <c r="GWY4" s="539"/>
      <c r="GWZ4" s="539"/>
      <c r="GXA4" s="539"/>
      <c r="GXB4" s="539"/>
      <c r="GXC4" s="539"/>
      <c r="GXD4" s="539"/>
      <c r="GXE4" s="539"/>
      <c r="GXF4" s="539"/>
      <c r="GXG4" s="539"/>
      <c r="GXH4" s="539"/>
      <c r="GXI4" s="539"/>
      <c r="GXJ4" s="539"/>
      <c r="GXK4" s="539"/>
      <c r="GXL4" s="539"/>
      <c r="GXM4" s="539"/>
      <c r="GXN4" s="539"/>
      <c r="GXO4" s="539"/>
      <c r="GXP4" s="539"/>
      <c r="GXQ4" s="539"/>
      <c r="GXR4" s="539"/>
      <c r="GXS4" s="539"/>
      <c r="GXT4" s="539"/>
      <c r="GXU4" s="539"/>
      <c r="GXV4" s="539"/>
      <c r="GXW4" s="539"/>
      <c r="GXX4" s="539"/>
      <c r="GXY4" s="539"/>
      <c r="GXZ4" s="539"/>
      <c r="GYA4" s="539"/>
      <c r="GYB4" s="539"/>
      <c r="GYC4" s="539"/>
      <c r="GYD4" s="539"/>
      <c r="GYE4" s="539"/>
      <c r="GYF4" s="539"/>
      <c r="GYG4" s="539"/>
      <c r="GYH4" s="539"/>
      <c r="GYI4" s="539"/>
      <c r="GYJ4" s="539"/>
      <c r="GYK4" s="539"/>
      <c r="GYL4" s="539"/>
      <c r="GYM4" s="539"/>
      <c r="GYN4" s="539"/>
      <c r="GYO4" s="539"/>
      <c r="GYP4" s="539"/>
      <c r="GYQ4" s="539"/>
      <c r="GYR4" s="539"/>
      <c r="GYS4" s="539"/>
      <c r="GYT4" s="539"/>
      <c r="GYU4" s="539"/>
      <c r="GYV4" s="539"/>
      <c r="GYW4" s="539"/>
      <c r="GYX4" s="539"/>
      <c r="GYY4" s="539"/>
      <c r="GYZ4" s="539"/>
      <c r="GZA4" s="539"/>
      <c r="GZB4" s="539"/>
      <c r="GZC4" s="539"/>
      <c r="GZD4" s="539"/>
      <c r="GZE4" s="539"/>
      <c r="GZF4" s="539"/>
      <c r="GZG4" s="539"/>
      <c r="GZH4" s="539"/>
      <c r="GZI4" s="539"/>
      <c r="GZJ4" s="539"/>
      <c r="GZK4" s="539"/>
      <c r="GZL4" s="539"/>
      <c r="GZM4" s="539"/>
      <c r="GZN4" s="539"/>
      <c r="GZO4" s="539"/>
      <c r="GZP4" s="539"/>
      <c r="GZQ4" s="539"/>
      <c r="GZR4" s="539"/>
      <c r="GZS4" s="539"/>
      <c r="GZT4" s="539"/>
      <c r="GZU4" s="539"/>
      <c r="GZV4" s="539"/>
      <c r="GZW4" s="539"/>
      <c r="GZX4" s="539"/>
      <c r="GZY4" s="539"/>
      <c r="GZZ4" s="539"/>
      <c r="HAA4" s="539"/>
      <c r="HAB4" s="539"/>
      <c r="HAC4" s="539"/>
      <c r="HAD4" s="539"/>
      <c r="HAE4" s="539"/>
      <c r="HAF4" s="539"/>
      <c r="HAG4" s="539"/>
      <c r="HAH4" s="539"/>
      <c r="HAI4" s="539"/>
      <c r="HAJ4" s="539"/>
      <c r="HAK4" s="539"/>
      <c r="HAL4" s="539"/>
      <c r="HAM4" s="539"/>
      <c r="HAN4" s="539"/>
      <c r="HAO4" s="539"/>
      <c r="HAP4" s="539"/>
      <c r="HAQ4" s="539"/>
      <c r="HAR4" s="539"/>
      <c r="HAS4" s="539"/>
      <c r="HAT4" s="539"/>
      <c r="HAU4" s="539"/>
      <c r="HAV4" s="539"/>
      <c r="HAW4" s="539"/>
      <c r="HAX4" s="539"/>
      <c r="HAY4" s="539"/>
      <c r="HAZ4" s="539"/>
      <c r="HBA4" s="539"/>
      <c r="HBB4" s="539"/>
      <c r="HBC4" s="539"/>
      <c r="HBD4" s="539"/>
      <c r="HBE4" s="539"/>
      <c r="HBF4" s="539"/>
      <c r="HBG4" s="539"/>
      <c r="HBH4" s="539"/>
      <c r="HBI4" s="539"/>
      <c r="HBJ4" s="539"/>
      <c r="HBK4" s="539"/>
      <c r="HBL4" s="539"/>
      <c r="HBM4" s="539"/>
      <c r="HBN4" s="539"/>
      <c r="HBO4" s="539"/>
      <c r="HBP4" s="539"/>
      <c r="HBQ4" s="539"/>
      <c r="HBR4" s="539"/>
      <c r="HBS4" s="539"/>
      <c r="HBT4" s="539"/>
      <c r="HBU4" s="539"/>
      <c r="HBV4" s="539"/>
      <c r="HBW4" s="539"/>
      <c r="HBX4" s="539"/>
      <c r="HBY4" s="539"/>
      <c r="HBZ4" s="539"/>
      <c r="HCA4" s="539"/>
      <c r="HCB4" s="539"/>
      <c r="HCC4" s="539"/>
      <c r="HCD4" s="539"/>
      <c r="HCE4" s="539"/>
      <c r="HCF4" s="539"/>
      <c r="HCG4" s="539"/>
      <c r="HCH4" s="539"/>
      <c r="HCI4" s="539"/>
      <c r="HCJ4" s="539"/>
      <c r="HCK4" s="539"/>
      <c r="HCL4" s="539"/>
      <c r="HCM4" s="539"/>
      <c r="HCN4" s="539"/>
      <c r="HCO4" s="539"/>
      <c r="HCP4" s="539"/>
      <c r="HCQ4" s="539"/>
      <c r="HCR4" s="539"/>
      <c r="HCS4" s="539"/>
      <c r="HCT4" s="539"/>
      <c r="HCU4" s="539"/>
      <c r="HCV4" s="539"/>
      <c r="HCW4" s="539"/>
      <c r="HCX4" s="539"/>
      <c r="HCY4" s="539"/>
      <c r="HCZ4" s="539"/>
      <c r="HDA4" s="539"/>
      <c r="HDB4" s="539"/>
      <c r="HDC4" s="539"/>
      <c r="HDD4" s="539"/>
      <c r="HDE4" s="539"/>
      <c r="HDF4" s="539"/>
      <c r="HDG4" s="539"/>
      <c r="HDH4" s="539"/>
      <c r="HDI4" s="539"/>
      <c r="HDJ4" s="539"/>
      <c r="HDK4" s="539"/>
      <c r="HDL4" s="539"/>
      <c r="HDM4" s="539"/>
      <c r="HDN4" s="539"/>
      <c r="HDO4" s="539"/>
      <c r="HDP4" s="539"/>
      <c r="HDQ4" s="539"/>
      <c r="HDR4" s="539"/>
      <c r="HDS4" s="539"/>
      <c r="HDT4" s="539"/>
      <c r="HDU4" s="539"/>
      <c r="HDV4" s="539"/>
      <c r="HDW4" s="539"/>
      <c r="HDX4" s="539"/>
      <c r="HDY4" s="539"/>
      <c r="HDZ4" s="539"/>
      <c r="HEA4" s="539"/>
      <c r="HEB4" s="539"/>
      <c r="HEC4" s="539"/>
      <c r="HED4" s="539"/>
      <c r="HEE4" s="539"/>
      <c r="HEF4" s="539"/>
      <c r="HEG4" s="539"/>
      <c r="HEH4" s="539"/>
      <c r="HEI4" s="539"/>
      <c r="HEJ4" s="539"/>
      <c r="HEK4" s="539"/>
      <c r="HEL4" s="539"/>
      <c r="HEM4" s="539"/>
      <c r="HEN4" s="539"/>
      <c r="HEO4" s="539"/>
      <c r="HEP4" s="539"/>
      <c r="HEQ4" s="539"/>
      <c r="HER4" s="539"/>
      <c r="HES4" s="539"/>
      <c r="HET4" s="539"/>
      <c r="HEU4" s="539"/>
      <c r="HEV4" s="539"/>
      <c r="HEW4" s="539"/>
      <c r="HEX4" s="539"/>
      <c r="HEY4" s="539"/>
      <c r="HEZ4" s="539"/>
      <c r="HFA4" s="539"/>
      <c r="HFB4" s="539"/>
      <c r="HFC4" s="539"/>
      <c r="HFD4" s="539"/>
      <c r="HFE4" s="539"/>
      <c r="HFF4" s="539"/>
      <c r="HFG4" s="539"/>
      <c r="HFH4" s="539"/>
      <c r="HFI4" s="539"/>
      <c r="HFJ4" s="539"/>
      <c r="HFK4" s="539"/>
      <c r="HFL4" s="539"/>
      <c r="HFM4" s="539"/>
      <c r="HFN4" s="539"/>
      <c r="HFO4" s="539"/>
      <c r="HFP4" s="539"/>
      <c r="HFQ4" s="539"/>
      <c r="HFR4" s="539"/>
      <c r="HFS4" s="539"/>
      <c r="HFT4" s="539"/>
      <c r="HFU4" s="539"/>
      <c r="HFV4" s="539"/>
      <c r="HFW4" s="539"/>
      <c r="HFX4" s="539"/>
      <c r="HFY4" s="539"/>
      <c r="HFZ4" s="539"/>
      <c r="HGA4" s="539"/>
      <c r="HGB4" s="539"/>
      <c r="HGC4" s="539"/>
      <c r="HGD4" s="539"/>
      <c r="HGE4" s="539"/>
      <c r="HGF4" s="539"/>
      <c r="HGG4" s="539"/>
      <c r="HGH4" s="539"/>
      <c r="HGI4" s="539"/>
      <c r="HGJ4" s="539"/>
      <c r="HGK4" s="539"/>
      <c r="HGL4" s="539"/>
      <c r="HGM4" s="539"/>
      <c r="HGN4" s="539"/>
      <c r="HGO4" s="539"/>
      <c r="HGP4" s="539"/>
      <c r="HGQ4" s="539"/>
      <c r="HGR4" s="539"/>
      <c r="HGS4" s="539"/>
      <c r="HGT4" s="539"/>
      <c r="HGU4" s="539"/>
      <c r="HGV4" s="539"/>
      <c r="HGW4" s="539"/>
      <c r="HGX4" s="539"/>
      <c r="HGY4" s="539"/>
      <c r="HGZ4" s="539"/>
      <c r="HHA4" s="539"/>
      <c r="HHB4" s="539"/>
      <c r="HHC4" s="539"/>
      <c r="HHD4" s="539"/>
      <c r="HHE4" s="539"/>
      <c r="HHF4" s="539"/>
      <c r="HHG4" s="539"/>
      <c r="HHH4" s="539"/>
      <c r="HHI4" s="539"/>
      <c r="HHJ4" s="539"/>
      <c r="HHK4" s="539"/>
      <c r="HHL4" s="539"/>
      <c r="HHM4" s="539"/>
      <c r="HHN4" s="539"/>
      <c r="HHO4" s="539"/>
      <c r="HHP4" s="539"/>
      <c r="HHQ4" s="539"/>
      <c r="HHR4" s="539"/>
      <c r="HHS4" s="539"/>
      <c r="HHT4" s="539"/>
      <c r="HHU4" s="539"/>
      <c r="HHV4" s="539"/>
      <c r="HHW4" s="539"/>
      <c r="HHX4" s="539"/>
      <c r="HHY4" s="539"/>
      <c r="HHZ4" s="539"/>
      <c r="HIA4" s="539"/>
      <c r="HIB4" s="539"/>
      <c r="HIC4" s="539"/>
      <c r="HID4" s="539"/>
      <c r="HIE4" s="539"/>
      <c r="HIF4" s="539"/>
      <c r="HIG4" s="539"/>
      <c r="HIH4" s="539"/>
      <c r="HII4" s="539"/>
      <c r="HIJ4" s="539"/>
      <c r="HIK4" s="539"/>
      <c r="HIL4" s="539"/>
      <c r="HIM4" s="539"/>
      <c r="HIN4" s="539"/>
      <c r="HIO4" s="539"/>
      <c r="HIP4" s="539"/>
      <c r="HIQ4" s="539"/>
      <c r="HIR4" s="539"/>
      <c r="HIS4" s="539"/>
      <c r="HIT4" s="539"/>
      <c r="HIU4" s="539"/>
      <c r="HIV4" s="539"/>
      <c r="HIW4" s="539"/>
      <c r="HIX4" s="539"/>
      <c r="HIY4" s="539"/>
      <c r="HIZ4" s="539"/>
      <c r="HJA4" s="539"/>
      <c r="HJB4" s="539"/>
      <c r="HJC4" s="539"/>
      <c r="HJD4" s="539"/>
      <c r="HJE4" s="539"/>
      <c r="HJF4" s="539"/>
      <c r="HJG4" s="539"/>
      <c r="HJH4" s="539"/>
      <c r="HJI4" s="539"/>
      <c r="HJJ4" s="539"/>
      <c r="HJK4" s="539"/>
      <c r="HJL4" s="539"/>
      <c r="HJM4" s="539"/>
      <c r="HJN4" s="539"/>
      <c r="HJO4" s="539"/>
      <c r="HJP4" s="539"/>
      <c r="HJQ4" s="539"/>
      <c r="HJR4" s="539"/>
      <c r="HJS4" s="539"/>
      <c r="HJT4" s="539"/>
      <c r="HJU4" s="539"/>
      <c r="HJV4" s="539"/>
      <c r="HJW4" s="539"/>
      <c r="HJX4" s="539"/>
      <c r="HJY4" s="539"/>
      <c r="HJZ4" s="539"/>
      <c r="HKA4" s="539"/>
      <c r="HKB4" s="539"/>
      <c r="HKC4" s="539"/>
      <c r="HKD4" s="539"/>
      <c r="HKE4" s="539"/>
      <c r="HKF4" s="539"/>
      <c r="HKG4" s="539"/>
      <c r="HKH4" s="539"/>
      <c r="HKI4" s="539"/>
      <c r="HKJ4" s="539"/>
      <c r="HKK4" s="539"/>
      <c r="HKL4" s="539"/>
      <c r="HKM4" s="539"/>
      <c r="HKN4" s="539"/>
      <c r="HKO4" s="539"/>
      <c r="HKP4" s="539"/>
      <c r="HKQ4" s="539"/>
      <c r="HKR4" s="539"/>
      <c r="HKS4" s="539"/>
      <c r="HKT4" s="539"/>
      <c r="HKU4" s="539"/>
      <c r="HKV4" s="539"/>
      <c r="HKW4" s="539"/>
      <c r="HKX4" s="539"/>
      <c r="HKY4" s="539"/>
      <c r="HKZ4" s="539"/>
      <c r="HLA4" s="539"/>
      <c r="HLB4" s="539"/>
      <c r="HLC4" s="539"/>
      <c r="HLD4" s="539"/>
      <c r="HLE4" s="539"/>
      <c r="HLF4" s="539"/>
      <c r="HLG4" s="539"/>
      <c r="HLH4" s="539"/>
      <c r="HLI4" s="539"/>
      <c r="HLJ4" s="539"/>
      <c r="HLK4" s="539"/>
      <c r="HLL4" s="539"/>
      <c r="HLM4" s="539"/>
      <c r="HLN4" s="539"/>
      <c r="HLO4" s="539"/>
      <c r="HLP4" s="539"/>
      <c r="HLQ4" s="539"/>
      <c r="HLR4" s="539"/>
      <c r="HLS4" s="539"/>
      <c r="HLT4" s="539"/>
      <c r="HLU4" s="539"/>
      <c r="HLV4" s="539"/>
      <c r="HLW4" s="539"/>
      <c r="HLX4" s="539"/>
      <c r="HLY4" s="539"/>
      <c r="HLZ4" s="539"/>
      <c r="HMA4" s="539"/>
      <c r="HMB4" s="539"/>
      <c r="HMC4" s="539"/>
      <c r="HMD4" s="539"/>
      <c r="HME4" s="539"/>
      <c r="HMF4" s="539"/>
      <c r="HMG4" s="539"/>
      <c r="HMH4" s="539"/>
      <c r="HMI4" s="539"/>
      <c r="HMJ4" s="539"/>
      <c r="HMK4" s="539"/>
      <c r="HML4" s="539"/>
      <c r="HMM4" s="539"/>
      <c r="HMN4" s="539"/>
      <c r="HMO4" s="539"/>
      <c r="HMP4" s="539"/>
      <c r="HMQ4" s="539"/>
      <c r="HMR4" s="539"/>
      <c r="HMS4" s="539"/>
      <c r="HMT4" s="539"/>
      <c r="HMU4" s="539"/>
      <c r="HMV4" s="539"/>
      <c r="HMW4" s="539"/>
      <c r="HMX4" s="539"/>
      <c r="HMY4" s="539"/>
      <c r="HMZ4" s="539"/>
      <c r="HNA4" s="539"/>
      <c r="HNB4" s="539"/>
      <c r="HNC4" s="539"/>
      <c r="HND4" s="539"/>
      <c r="HNE4" s="539"/>
      <c r="HNF4" s="539"/>
      <c r="HNG4" s="539"/>
      <c r="HNH4" s="539"/>
      <c r="HNI4" s="539"/>
      <c r="HNJ4" s="539"/>
      <c r="HNK4" s="539"/>
      <c r="HNL4" s="539"/>
      <c r="HNM4" s="539"/>
      <c r="HNN4" s="539"/>
      <c r="HNO4" s="539"/>
      <c r="HNP4" s="539"/>
      <c r="HNQ4" s="539"/>
      <c r="HNR4" s="539"/>
      <c r="HNS4" s="539"/>
      <c r="HNT4" s="539"/>
      <c r="HNU4" s="539"/>
      <c r="HNV4" s="539"/>
      <c r="HNW4" s="539"/>
      <c r="HNX4" s="539"/>
      <c r="HNY4" s="539"/>
      <c r="HNZ4" s="539"/>
      <c r="HOA4" s="539"/>
      <c r="HOB4" s="539"/>
      <c r="HOC4" s="539"/>
      <c r="HOD4" s="539"/>
      <c r="HOE4" s="539"/>
      <c r="HOF4" s="539"/>
      <c r="HOG4" s="539"/>
      <c r="HOH4" s="539"/>
      <c r="HOI4" s="539"/>
      <c r="HOJ4" s="539"/>
      <c r="HOK4" s="539"/>
      <c r="HOL4" s="539"/>
      <c r="HOM4" s="539"/>
      <c r="HON4" s="539"/>
      <c r="HOO4" s="539"/>
      <c r="HOP4" s="539"/>
      <c r="HOQ4" s="539"/>
      <c r="HOR4" s="539"/>
      <c r="HOS4" s="539"/>
      <c r="HOT4" s="539"/>
      <c r="HOU4" s="539"/>
      <c r="HOV4" s="539"/>
      <c r="HOW4" s="539"/>
      <c r="HOX4" s="539"/>
      <c r="HOY4" s="539"/>
      <c r="HOZ4" s="539"/>
      <c r="HPA4" s="539"/>
      <c r="HPB4" s="539"/>
      <c r="HPC4" s="539"/>
      <c r="HPD4" s="539"/>
      <c r="HPE4" s="539"/>
      <c r="HPF4" s="539"/>
      <c r="HPG4" s="539"/>
      <c r="HPH4" s="539"/>
      <c r="HPI4" s="539"/>
      <c r="HPJ4" s="539"/>
      <c r="HPK4" s="539"/>
      <c r="HPL4" s="539"/>
      <c r="HPM4" s="539"/>
      <c r="HPN4" s="539"/>
      <c r="HPO4" s="539"/>
      <c r="HPP4" s="539"/>
      <c r="HPQ4" s="539"/>
      <c r="HPR4" s="539"/>
      <c r="HPS4" s="539"/>
      <c r="HPT4" s="539"/>
      <c r="HPU4" s="539"/>
      <c r="HPV4" s="539"/>
      <c r="HPW4" s="539"/>
      <c r="HPX4" s="539"/>
      <c r="HPY4" s="539"/>
      <c r="HPZ4" s="539"/>
      <c r="HQA4" s="539"/>
      <c r="HQB4" s="539"/>
      <c r="HQC4" s="539"/>
      <c r="HQD4" s="539"/>
      <c r="HQE4" s="539"/>
      <c r="HQF4" s="539"/>
      <c r="HQG4" s="539"/>
      <c r="HQH4" s="539"/>
      <c r="HQI4" s="539"/>
      <c r="HQJ4" s="539"/>
      <c r="HQK4" s="539"/>
      <c r="HQL4" s="539"/>
      <c r="HQM4" s="539"/>
      <c r="HQN4" s="539"/>
      <c r="HQO4" s="539"/>
      <c r="HQP4" s="539"/>
      <c r="HQQ4" s="539"/>
      <c r="HQR4" s="539"/>
      <c r="HQS4" s="539"/>
      <c r="HQT4" s="539"/>
      <c r="HQU4" s="539"/>
      <c r="HQV4" s="539"/>
      <c r="HQW4" s="539"/>
      <c r="HQX4" s="539"/>
      <c r="HQY4" s="539"/>
      <c r="HQZ4" s="539"/>
      <c r="HRA4" s="539"/>
      <c r="HRB4" s="539"/>
      <c r="HRC4" s="539"/>
      <c r="HRD4" s="539"/>
      <c r="HRE4" s="539"/>
      <c r="HRF4" s="539"/>
      <c r="HRG4" s="539"/>
      <c r="HRH4" s="539"/>
      <c r="HRI4" s="539"/>
      <c r="HRJ4" s="539"/>
      <c r="HRK4" s="539"/>
      <c r="HRL4" s="539"/>
      <c r="HRM4" s="539"/>
      <c r="HRN4" s="539"/>
      <c r="HRO4" s="539"/>
      <c r="HRP4" s="539"/>
      <c r="HRQ4" s="539"/>
      <c r="HRR4" s="539"/>
      <c r="HRS4" s="539"/>
      <c r="HRT4" s="539"/>
      <c r="HRU4" s="539"/>
      <c r="HRV4" s="539"/>
      <c r="HRW4" s="539"/>
      <c r="HRX4" s="539"/>
      <c r="HRY4" s="539"/>
      <c r="HRZ4" s="539"/>
      <c r="HSA4" s="539"/>
      <c r="HSB4" s="539"/>
      <c r="HSC4" s="539"/>
      <c r="HSD4" s="539"/>
      <c r="HSE4" s="539"/>
      <c r="HSF4" s="539"/>
      <c r="HSG4" s="539"/>
      <c r="HSH4" s="539"/>
      <c r="HSI4" s="539"/>
      <c r="HSJ4" s="539"/>
      <c r="HSK4" s="539"/>
      <c r="HSL4" s="539"/>
      <c r="HSM4" s="539"/>
      <c r="HSN4" s="539"/>
      <c r="HSO4" s="539"/>
      <c r="HSP4" s="539"/>
      <c r="HSQ4" s="539"/>
      <c r="HSR4" s="539"/>
      <c r="HSS4" s="539"/>
      <c r="HST4" s="539"/>
      <c r="HSU4" s="539"/>
      <c r="HSV4" s="539"/>
      <c r="HSW4" s="539"/>
      <c r="HSX4" s="539"/>
      <c r="HSY4" s="539"/>
      <c r="HSZ4" s="539"/>
      <c r="HTA4" s="539"/>
      <c r="HTB4" s="539"/>
      <c r="HTC4" s="539"/>
      <c r="HTD4" s="539"/>
      <c r="HTE4" s="539"/>
      <c r="HTF4" s="539"/>
      <c r="HTG4" s="539"/>
      <c r="HTH4" s="539"/>
      <c r="HTI4" s="539"/>
      <c r="HTJ4" s="539"/>
      <c r="HTK4" s="539"/>
      <c r="HTL4" s="539"/>
      <c r="HTM4" s="539"/>
      <c r="HTN4" s="539"/>
      <c r="HTO4" s="539"/>
      <c r="HTP4" s="539"/>
      <c r="HTQ4" s="539"/>
      <c r="HTR4" s="539"/>
      <c r="HTS4" s="539"/>
      <c r="HTT4" s="539"/>
      <c r="HTU4" s="539"/>
      <c r="HTV4" s="539"/>
      <c r="HTW4" s="539"/>
      <c r="HTX4" s="539"/>
      <c r="HTY4" s="539"/>
      <c r="HTZ4" s="539"/>
      <c r="HUA4" s="539"/>
      <c r="HUB4" s="539"/>
      <c r="HUC4" s="539"/>
      <c r="HUD4" s="539"/>
      <c r="HUE4" s="539"/>
      <c r="HUF4" s="539"/>
      <c r="HUG4" s="539"/>
      <c r="HUH4" s="539"/>
      <c r="HUI4" s="539"/>
      <c r="HUJ4" s="539"/>
      <c r="HUK4" s="539"/>
      <c r="HUL4" s="539"/>
      <c r="HUM4" s="539"/>
      <c r="HUN4" s="539"/>
      <c r="HUO4" s="539"/>
      <c r="HUP4" s="539"/>
      <c r="HUQ4" s="539"/>
      <c r="HUR4" s="539"/>
      <c r="HUS4" s="539"/>
      <c r="HUT4" s="539"/>
      <c r="HUU4" s="539"/>
      <c r="HUV4" s="539"/>
      <c r="HUW4" s="539"/>
      <c r="HUX4" s="539"/>
      <c r="HUY4" s="539"/>
      <c r="HUZ4" s="539"/>
      <c r="HVA4" s="539"/>
      <c r="HVB4" s="539"/>
      <c r="HVC4" s="539"/>
      <c r="HVD4" s="539"/>
      <c r="HVE4" s="539"/>
      <c r="HVF4" s="539"/>
      <c r="HVG4" s="539"/>
      <c r="HVH4" s="539"/>
      <c r="HVI4" s="539"/>
      <c r="HVJ4" s="539"/>
      <c r="HVK4" s="539"/>
      <c r="HVL4" s="539"/>
      <c r="HVM4" s="539"/>
      <c r="HVN4" s="539"/>
      <c r="HVO4" s="539"/>
      <c r="HVP4" s="539"/>
      <c r="HVQ4" s="539"/>
      <c r="HVR4" s="539"/>
      <c r="HVS4" s="539"/>
      <c r="HVT4" s="539"/>
      <c r="HVU4" s="539"/>
      <c r="HVV4" s="539"/>
      <c r="HVW4" s="539"/>
      <c r="HVX4" s="539"/>
      <c r="HVY4" s="539"/>
      <c r="HVZ4" s="539"/>
      <c r="HWA4" s="539"/>
      <c r="HWB4" s="539"/>
      <c r="HWC4" s="539"/>
      <c r="HWD4" s="539"/>
      <c r="HWE4" s="539"/>
      <c r="HWF4" s="539"/>
      <c r="HWG4" s="539"/>
      <c r="HWH4" s="539"/>
      <c r="HWI4" s="539"/>
      <c r="HWJ4" s="539"/>
      <c r="HWK4" s="539"/>
      <c r="HWL4" s="539"/>
      <c r="HWM4" s="539"/>
      <c r="HWN4" s="539"/>
      <c r="HWO4" s="539"/>
      <c r="HWP4" s="539"/>
      <c r="HWQ4" s="539"/>
      <c r="HWR4" s="539"/>
      <c r="HWS4" s="539"/>
      <c r="HWT4" s="539"/>
      <c r="HWU4" s="539"/>
      <c r="HWV4" s="539"/>
      <c r="HWW4" s="539"/>
      <c r="HWX4" s="539"/>
      <c r="HWY4" s="539"/>
      <c r="HWZ4" s="539"/>
      <c r="HXA4" s="539"/>
      <c r="HXB4" s="539"/>
      <c r="HXC4" s="539"/>
      <c r="HXD4" s="539"/>
      <c r="HXE4" s="539"/>
      <c r="HXF4" s="539"/>
      <c r="HXG4" s="539"/>
      <c r="HXH4" s="539"/>
      <c r="HXI4" s="539"/>
      <c r="HXJ4" s="539"/>
      <c r="HXK4" s="539"/>
      <c r="HXL4" s="539"/>
      <c r="HXM4" s="539"/>
      <c r="HXN4" s="539"/>
      <c r="HXO4" s="539"/>
      <c r="HXP4" s="539"/>
      <c r="HXQ4" s="539"/>
      <c r="HXR4" s="539"/>
      <c r="HXS4" s="539"/>
      <c r="HXT4" s="539"/>
      <c r="HXU4" s="539"/>
      <c r="HXV4" s="539"/>
      <c r="HXW4" s="539"/>
      <c r="HXX4" s="539"/>
      <c r="HXY4" s="539"/>
      <c r="HXZ4" s="539"/>
      <c r="HYA4" s="539"/>
      <c r="HYB4" s="539"/>
      <c r="HYC4" s="539"/>
      <c r="HYD4" s="539"/>
      <c r="HYE4" s="539"/>
      <c r="HYF4" s="539"/>
      <c r="HYG4" s="539"/>
      <c r="HYH4" s="539"/>
      <c r="HYI4" s="539"/>
      <c r="HYJ4" s="539"/>
      <c r="HYK4" s="539"/>
      <c r="HYL4" s="539"/>
      <c r="HYM4" s="539"/>
      <c r="HYN4" s="539"/>
      <c r="HYO4" s="539"/>
      <c r="HYP4" s="539"/>
      <c r="HYQ4" s="539"/>
      <c r="HYR4" s="539"/>
      <c r="HYS4" s="539"/>
      <c r="HYT4" s="539"/>
      <c r="HYU4" s="539"/>
      <c r="HYV4" s="539"/>
      <c r="HYW4" s="539"/>
      <c r="HYX4" s="539"/>
      <c r="HYY4" s="539"/>
      <c r="HYZ4" s="539"/>
      <c r="HZA4" s="539"/>
      <c r="HZB4" s="539"/>
      <c r="HZC4" s="539"/>
      <c r="HZD4" s="539"/>
      <c r="HZE4" s="539"/>
      <c r="HZF4" s="539"/>
      <c r="HZG4" s="539"/>
      <c r="HZH4" s="539"/>
      <c r="HZI4" s="539"/>
      <c r="HZJ4" s="539"/>
      <c r="HZK4" s="539"/>
      <c r="HZL4" s="539"/>
      <c r="HZM4" s="539"/>
      <c r="HZN4" s="539"/>
      <c r="HZO4" s="539"/>
      <c r="HZP4" s="539"/>
      <c r="HZQ4" s="539"/>
      <c r="HZR4" s="539"/>
      <c r="HZS4" s="539"/>
      <c r="HZT4" s="539"/>
      <c r="HZU4" s="539"/>
      <c r="HZV4" s="539"/>
      <c r="HZW4" s="539"/>
      <c r="HZX4" s="539"/>
      <c r="HZY4" s="539"/>
      <c r="HZZ4" s="539"/>
      <c r="IAA4" s="539"/>
      <c r="IAB4" s="539"/>
      <c r="IAC4" s="539"/>
      <c r="IAD4" s="539"/>
      <c r="IAE4" s="539"/>
      <c r="IAF4" s="539"/>
      <c r="IAG4" s="539"/>
      <c r="IAH4" s="539"/>
      <c r="IAI4" s="539"/>
      <c r="IAJ4" s="539"/>
      <c r="IAK4" s="539"/>
      <c r="IAL4" s="539"/>
      <c r="IAM4" s="539"/>
      <c r="IAN4" s="539"/>
      <c r="IAO4" s="539"/>
      <c r="IAP4" s="539"/>
      <c r="IAQ4" s="539"/>
      <c r="IAR4" s="539"/>
      <c r="IAS4" s="539"/>
      <c r="IAT4" s="539"/>
      <c r="IAU4" s="539"/>
      <c r="IAV4" s="539"/>
      <c r="IAW4" s="539"/>
      <c r="IAX4" s="539"/>
      <c r="IAY4" s="539"/>
      <c r="IAZ4" s="539"/>
      <c r="IBA4" s="539"/>
      <c r="IBB4" s="539"/>
      <c r="IBC4" s="539"/>
      <c r="IBD4" s="539"/>
      <c r="IBE4" s="539"/>
      <c r="IBF4" s="539"/>
      <c r="IBG4" s="539"/>
      <c r="IBH4" s="539"/>
      <c r="IBI4" s="539"/>
      <c r="IBJ4" s="539"/>
      <c r="IBK4" s="539"/>
      <c r="IBL4" s="539"/>
      <c r="IBM4" s="539"/>
      <c r="IBN4" s="539"/>
      <c r="IBO4" s="539"/>
      <c r="IBP4" s="539"/>
      <c r="IBQ4" s="539"/>
      <c r="IBR4" s="539"/>
      <c r="IBS4" s="539"/>
      <c r="IBT4" s="539"/>
      <c r="IBU4" s="539"/>
      <c r="IBV4" s="539"/>
      <c r="IBW4" s="539"/>
      <c r="IBX4" s="539"/>
      <c r="IBY4" s="539"/>
      <c r="IBZ4" s="539"/>
      <c r="ICA4" s="539"/>
      <c r="ICB4" s="539"/>
      <c r="ICC4" s="539"/>
      <c r="ICD4" s="539"/>
      <c r="ICE4" s="539"/>
      <c r="ICF4" s="539"/>
      <c r="ICG4" s="539"/>
      <c r="ICH4" s="539"/>
      <c r="ICI4" s="539"/>
      <c r="ICJ4" s="539"/>
      <c r="ICK4" s="539"/>
      <c r="ICL4" s="539"/>
      <c r="ICM4" s="539"/>
      <c r="ICN4" s="539"/>
      <c r="ICO4" s="539"/>
      <c r="ICP4" s="539"/>
      <c r="ICQ4" s="539"/>
      <c r="ICR4" s="539"/>
      <c r="ICS4" s="539"/>
      <c r="ICT4" s="539"/>
      <c r="ICU4" s="539"/>
      <c r="ICV4" s="539"/>
      <c r="ICW4" s="539"/>
      <c r="ICX4" s="539"/>
      <c r="ICY4" s="539"/>
      <c r="ICZ4" s="539"/>
      <c r="IDA4" s="539"/>
      <c r="IDB4" s="539"/>
      <c r="IDC4" s="539"/>
      <c r="IDD4" s="539"/>
      <c r="IDE4" s="539"/>
      <c r="IDF4" s="539"/>
      <c r="IDG4" s="539"/>
      <c r="IDH4" s="539"/>
      <c r="IDI4" s="539"/>
      <c r="IDJ4" s="539"/>
      <c r="IDK4" s="539"/>
      <c r="IDL4" s="539"/>
      <c r="IDM4" s="539"/>
      <c r="IDN4" s="539"/>
      <c r="IDO4" s="539"/>
      <c r="IDP4" s="539"/>
      <c r="IDQ4" s="539"/>
      <c r="IDR4" s="539"/>
      <c r="IDS4" s="539"/>
      <c r="IDT4" s="539"/>
      <c r="IDU4" s="539"/>
      <c r="IDV4" s="539"/>
      <c r="IDW4" s="539"/>
      <c r="IDX4" s="539"/>
      <c r="IDY4" s="539"/>
      <c r="IDZ4" s="539"/>
      <c r="IEA4" s="539"/>
      <c r="IEB4" s="539"/>
      <c r="IEC4" s="539"/>
      <c r="IED4" s="539"/>
      <c r="IEE4" s="539"/>
      <c r="IEF4" s="539"/>
      <c r="IEG4" s="539"/>
      <c r="IEH4" s="539"/>
      <c r="IEI4" s="539"/>
      <c r="IEJ4" s="539"/>
      <c r="IEK4" s="539"/>
      <c r="IEL4" s="539"/>
      <c r="IEM4" s="539"/>
      <c r="IEN4" s="539"/>
      <c r="IEO4" s="539"/>
      <c r="IEP4" s="539"/>
      <c r="IEQ4" s="539"/>
      <c r="IER4" s="539"/>
      <c r="IES4" s="539"/>
      <c r="IET4" s="539"/>
      <c r="IEU4" s="539"/>
      <c r="IEV4" s="539"/>
      <c r="IEW4" s="539"/>
      <c r="IEX4" s="539"/>
      <c r="IEY4" s="539"/>
      <c r="IEZ4" s="539"/>
      <c r="IFA4" s="539"/>
      <c r="IFB4" s="539"/>
      <c r="IFC4" s="539"/>
      <c r="IFD4" s="539"/>
      <c r="IFE4" s="539"/>
      <c r="IFF4" s="539"/>
      <c r="IFG4" s="539"/>
      <c r="IFH4" s="539"/>
      <c r="IFI4" s="539"/>
      <c r="IFJ4" s="539"/>
      <c r="IFK4" s="539"/>
      <c r="IFL4" s="539"/>
      <c r="IFM4" s="539"/>
      <c r="IFN4" s="539"/>
      <c r="IFO4" s="539"/>
      <c r="IFP4" s="539"/>
      <c r="IFQ4" s="539"/>
      <c r="IFR4" s="539"/>
      <c r="IFS4" s="539"/>
      <c r="IFT4" s="539"/>
      <c r="IFU4" s="539"/>
      <c r="IFV4" s="539"/>
      <c r="IFW4" s="539"/>
      <c r="IFX4" s="539"/>
      <c r="IFY4" s="539"/>
      <c r="IFZ4" s="539"/>
      <c r="IGA4" s="539"/>
      <c r="IGB4" s="539"/>
      <c r="IGC4" s="539"/>
      <c r="IGD4" s="539"/>
      <c r="IGE4" s="539"/>
      <c r="IGF4" s="539"/>
      <c r="IGG4" s="539"/>
      <c r="IGH4" s="539"/>
      <c r="IGI4" s="539"/>
      <c r="IGJ4" s="539"/>
      <c r="IGK4" s="539"/>
      <c r="IGL4" s="539"/>
      <c r="IGM4" s="539"/>
      <c r="IGN4" s="539"/>
      <c r="IGO4" s="539"/>
      <c r="IGP4" s="539"/>
      <c r="IGQ4" s="539"/>
      <c r="IGR4" s="539"/>
      <c r="IGS4" s="539"/>
      <c r="IGT4" s="539"/>
      <c r="IGU4" s="539"/>
      <c r="IGV4" s="539"/>
      <c r="IGW4" s="539"/>
      <c r="IGX4" s="539"/>
      <c r="IGY4" s="539"/>
      <c r="IGZ4" s="539"/>
      <c r="IHA4" s="539"/>
      <c r="IHB4" s="539"/>
      <c r="IHC4" s="539"/>
      <c r="IHD4" s="539"/>
      <c r="IHE4" s="539"/>
      <c r="IHF4" s="539"/>
      <c r="IHG4" s="539"/>
      <c r="IHH4" s="539"/>
      <c r="IHI4" s="539"/>
      <c r="IHJ4" s="539"/>
      <c r="IHK4" s="539"/>
      <c r="IHL4" s="539"/>
      <c r="IHM4" s="539"/>
      <c r="IHN4" s="539"/>
      <c r="IHO4" s="539"/>
      <c r="IHP4" s="539"/>
      <c r="IHQ4" s="539"/>
      <c r="IHR4" s="539"/>
      <c r="IHS4" s="539"/>
      <c r="IHT4" s="539"/>
      <c r="IHU4" s="539"/>
      <c r="IHV4" s="539"/>
      <c r="IHW4" s="539"/>
      <c r="IHX4" s="539"/>
      <c r="IHY4" s="539"/>
      <c r="IHZ4" s="539"/>
      <c r="IIA4" s="539"/>
      <c r="IIB4" s="539"/>
      <c r="IIC4" s="539"/>
      <c r="IID4" s="539"/>
      <c r="IIE4" s="539"/>
      <c r="IIF4" s="539"/>
      <c r="IIG4" s="539"/>
      <c r="IIH4" s="539"/>
      <c r="III4" s="539"/>
      <c r="IIJ4" s="539"/>
      <c r="IIK4" s="539"/>
      <c r="IIL4" s="539"/>
      <c r="IIM4" s="539"/>
      <c r="IIN4" s="539"/>
      <c r="IIO4" s="539"/>
      <c r="IIP4" s="539"/>
      <c r="IIQ4" s="539"/>
      <c r="IIR4" s="539"/>
      <c r="IIS4" s="539"/>
      <c r="IIT4" s="539"/>
      <c r="IIU4" s="539"/>
      <c r="IIV4" s="539"/>
      <c r="IIW4" s="539"/>
      <c r="IIX4" s="539"/>
      <c r="IIY4" s="539"/>
      <c r="IIZ4" s="539"/>
      <c r="IJA4" s="539"/>
      <c r="IJB4" s="539"/>
      <c r="IJC4" s="539"/>
      <c r="IJD4" s="539"/>
      <c r="IJE4" s="539"/>
      <c r="IJF4" s="539"/>
      <c r="IJG4" s="539"/>
      <c r="IJH4" s="539"/>
      <c r="IJI4" s="539"/>
      <c r="IJJ4" s="539"/>
      <c r="IJK4" s="539"/>
      <c r="IJL4" s="539"/>
      <c r="IJM4" s="539"/>
      <c r="IJN4" s="539"/>
      <c r="IJO4" s="539"/>
      <c r="IJP4" s="539"/>
      <c r="IJQ4" s="539"/>
      <c r="IJR4" s="539"/>
      <c r="IJS4" s="539"/>
      <c r="IJT4" s="539"/>
      <c r="IJU4" s="539"/>
      <c r="IJV4" s="539"/>
      <c r="IJW4" s="539"/>
      <c r="IJX4" s="539"/>
      <c r="IJY4" s="539"/>
      <c r="IJZ4" s="539"/>
      <c r="IKA4" s="539"/>
      <c r="IKB4" s="539"/>
      <c r="IKC4" s="539"/>
      <c r="IKD4" s="539"/>
      <c r="IKE4" s="539"/>
      <c r="IKF4" s="539"/>
      <c r="IKG4" s="539"/>
      <c r="IKH4" s="539"/>
      <c r="IKI4" s="539"/>
      <c r="IKJ4" s="539"/>
      <c r="IKK4" s="539"/>
      <c r="IKL4" s="539"/>
      <c r="IKM4" s="539"/>
      <c r="IKN4" s="539"/>
      <c r="IKO4" s="539"/>
      <c r="IKP4" s="539"/>
      <c r="IKQ4" s="539"/>
      <c r="IKR4" s="539"/>
      <c r="IKS4" s="539"/>
      <c r="IKT4" s="539"/>
      <c r="IKU4" s="539"/>
      <c r="IKV4" s="539"/>
      <c r="IKW4" s="539"/>
      <c r="IKX4" s="539"/>
      <c r="IKY4" s="539"/>
      <c r="IKZ4" s="539"/>
      <c r="ILA4" s="539"/>
      <c r="ILB4" s="539"/>
      <c r="ILC4" s="539"/>
      <c r="ILD4" s="539"/>
      <c r="ILE4" s="539"/>
      <c r="ILF4" s="539"/>
      <c r="ILG4" s="539"/>
      <c r="ILH4" s="539"/>
      <c r="ILI4" s="539"/>
      <c r="ILJ4" s="539"/>
      <c r="ILK4" s="539"/>
      <c r="ILL4" s="539"/>
      <c r="ILM4" s="539"/>
      <c r="ILN4" s="539"/>
      <c r="ILO4" s="539"/>
      <c r="ILP4" s="539"/>
      <c r="ILQ4" s="539"/>
      <c r="ILR4" s="539"/>
      <c r="ILS4" s="539"/>
      <c r="ILT4" s="539"/>
      <c r="ILU4" s="539"/>
      <c r="ILV4" s="539"/>
      <c r="ILW4" s="539"/>
      <c r="ILX4" s="539"/>
      <c r="ILY4" s="539"/>
      <c r="ILZ4" s="539"/>
      <c r="IMA4" s="539"/>
      <c r="IMB4" s="539"/>
      <c r="IMC4" s="539"/>
      <c r="IMD4" s="539"/>
      <c r="IME4" s="539"/>
      <c r="IMF4" s="539"/>
      <c r="IMG4" s="539"/>
      <c r="IMH4" s="539"/>
      <c r="IMI4" s="539"/>
      <c r="IMJ4" s="539"/>
      <c r="IMK4" s="539"/>
      <c r="IML4" s="539"/>
      <c r="IMM4" s="539"/>
      <c r="IMN4" s="539"/>
      <c r="IMO4" s="539"/>
      <c r="IMP4" s="539"/>
      <c r="IMQ4" s="539"/>
      <c r="IMR4" s="539"/>
      <c r="IMS4" s="539"/>
      <c r="IMT4" s="539"/>
      <c r="IMU4" s="539"/>
      <c r="IMV4" s="539"/>
      <c r="IMW4" s="539"/>
      <c r="IMX4" s="539"/>
      <c r="IMY4" s="539"/>
      <c r="IMZ4" s="539"/>
      <c r="INA4" s="539"/>
      <c r="INB4" s="539"/>
      <c r="INC4" s="539"/>
      <c r="IND4" s="539"/>
      <c r="INE4" s="539"/>
      <c r="INF4" s="539"/>
      <c r="ING4" s="539"/>
      <c r="INH4" s="539"/>
      <c r="INI4" s="539"/>
      <c r="INJ4" s="539"/>
      <c r="INK4" s="539"/>
      <c r="INL4" s="539"/>
      <c r="INM4" s="539"/>
      <c r="INN4" s="539"/>
      <c r="INO4" s="539"/>
      <c r="INP4" s="539"/>
      <c r="INQ4" s="539"/>
      <c r="INR4" s="539"/>
      <c r="INS4" s="539"/>
      <c r="INT4" s="539"/>
      <c r="INU4" s="539"/>
      <c r="INV4" s="539"/>
      <c r="INW4" s="539"/>
      <c r="INX4" s="539"/>
      <c r="INY4" s="539"/>
      <c r="INZ4" s="539"/>
      <c r="IOA4" s="539"/>
      <c r="IOB4" s="539"/>
      <c r="IOC4" s="539"/>
      <c r="IOD4" s="539"/>
      <c r="IOE4" s="539"/>
      <c r="IOF4" s="539"/>
      <c r="IOG4" s="539"/>
      <c r="IOH4" s="539"/>
      <c r="IOI4" s="539"/>
      <c r="IOJ4" s="539"/>
      <c r="IOK4" s="539"/>
      <c r="IOL4" s="539"/>
      <c r="IOM4" s="539"/>
      <c r="ION4" s="539"/>
      <c r="IOO4" s="539"/>
      <c r="IOP4" s="539"/>
      <c r="IOQ4" s="539"/>
      <c r="IOR4" s="539"/>
      <c r="IOS4" s="539"/>
      <c r="IOT4" s="539"/>
      <c r="IOU4" s="539"/>
      <c r="IOV4" s="539"/>
      <c r="IOW4" s="539"/>
      <c r="IOX4" s="539"/>
      <c r="IOY4" s="539"/>
      <c r="IOZ4" s="539"/>
      <c r="IPA4" s="539"/>
      <c r="IPB4" s="539"/>
      <c r="IPC4" s="539"/>
      <c r="IPD4" s="539"/>
      <c r="IPE4" s="539"/>
      <c r="IPF4" s="539"/>
      <c r="IPG4" s="539"/>
      <c r="IPH4" s="539"/>
      <c r="IPI4" s="539"/>
      <c r="IPJ4" s="539"/>
      <c r="IPK4" s="539"/>
      <c r="IPL4" s="539"/>
      <c r="IPM4" s="539"/>
      <c r="IPN4" s="539"/>
      <c r="IPO4" s="539"/>
      <c r="IPP4" s="539"/>
      <c r="IPQ4" s="539"/>
      <c r="IPR4" s="539"/>
      <c r="IPS4" s="539"/>
      <c r="IPT4" s="539"/>
      <c r="IPU4" s="539"/>
      <c r="IPV4" s="539"/>
      <c r="IPW4" s="539"/>
      <c r="IPX4" s="539"/>
      <c r="IPY4" s="539"/>
      <c r="IPZ4" s="539"/>
      <c r="IQA4" s="539"/>
      <c r="IQB4" s="539"/>
      <c r="IQC4" s="539"/>
      <c r="IQD4" s="539"/>
      <c r="IQE4" s="539"/>
      <c r="IQF4" s="539"/>
      <c r="IQG4" s="539"/>
      <c r="IQH4" s="539"/>
      <c r="IQI4" s="539"/>
      <c r="IQJ4" s="539"/>
      <c r="IQK4" s="539"/>
      <c r="IQL4" s="539"/>
      <c r="IQM4" s="539"/>
      <c r="IQN4" s="539"/>
      <c r="IQO4" s="539"/>
      <c r="IQP4" s="539"/>
      <c r="IQQ4" s="539"/>
      <c r="IQR4" s="539"/>
      <c r="IQS4" s="539"/>
      <c r="IQT4" s="539"/>
      <c r="IQU4" s="539"/>
      <c r="IQV4" s="539"/>
      <c r="IQW4" s="539"/>
      <c r="IQX4" s="539"/>
      <c r="IQY4" s="539"/>
      <c r="IQZ4" s="539"/>
      <c r="IRA4" s="539"/>
      <c r="IRB4" s="539"/>
      <c r="IRC4" s="539"/>
      <c r="IRD4" s="539"/>
      <c r="IRE4" s="539"/>
      <c r="IRF4" s="539"/>
      <c r="IRG4" s="539"/>
      <c r="IRH4" s="539"/>
      <c r="IRI4" s="539"/>
      <c r="IRJ4" s="539"/>
      <c r="IRK4" s="539"/>
      <c r="IRL4" s="539"/>
      <c r="IRM4" s="539"/>
      <c r="IRN4" s="539"/>
      <c r="IRO4" s="539"/>
      <c r="IRP4" s="539"/>
      <c r="IRQ4" s="539"/>
      <c r="IRR4" s="539"/>
      <c r="IRS4" s="539"/>
      <c r="IRT4" s="539"/>
      <c r="IRU4" s="539"/>
      <c r="IRV4" s="539"/>
      <c r="IRW4" s="539"/>
      <c r="IRX4" s="539"/>
      <c r="IRY4" s="539"/>
      <c r="IRZ4" s="539"/>
      <c r="ISA4" s="539"/>
      <c r="ISB4" s="539"/>
      <c r="ISC4" s="539"/>
      <c r="ISD4" s="539"/>
      <c r="ISE4" s="539"/>
      <c r="ISF4" s="539"/>
      <c r="ISG4" s="539"/>
      <c r="ISH4" s="539"/>
      <c r="ISI4" s="539"/>
      <c r="ISJ4" s="539"/>
      <c r="ISK4" s="539"/>
      <c r="ISL4" s="539"/>
      <c r="ISM4" s="539"/>
      <c r="ISN4" s="539"/>
      <c r="ISO4" s="539"/>
      <c r="ISP4" s="539"/>
      <c r="ISQ4" s="539"/>
      <c r="ISR4" s="539"/>
      <c r="ISS4" s="539"/>
      <c r="IST4" s="539"/>
      <c r="ISU4" s="539"/>
      <c r="ISV4" s="539"/>
      <c r="ISW4" s="539"/>
      <c r="ISX4" s="539"/>
      <c r="ISY4" s="539"/>
      <c r="ISZ4" s="539"/>
      <c r="ITA4" s="539"/>
      <c r="ITB4" s="539"/>
      <c r="ITC4" s="539"/>
      <c r="ITD4" s="539"/>
      <c r="ITE4" s="539"/>
      <c r="ITF4" s="539"/>
      <c r="ITG4" s="539"/>
      <c r="ITH4" s="539"/>
      <c r="ITI4" s="539"/>
      <c r="ITJ4" s="539"/>
      <c r="ITK4" s="539"/>
      <c r="ITL4" s="539"/>
      <c r="ITM4" s="539"/>
      <c r="ITN4" s="539"/>
      <c r="ITO4" s="539"/>
      <c r="ITP4" s="539"/>
      <c r="ITQ4" s="539"/>
      <c r="ITR4" s="539"/>
      <c r="ITS4" s="539"/>
      <c r="ITT4" s="539"/>
      <c r="ITU4" s="539"/>
      <c r="ITV4" s="539"/>
      <c r="ITW4" s="539"/>
      <c r="ITX4" s="539"/>
      <c r="ITY4" s="539"/>
      <c r="ITZ4" s="539"/>
      <c r="IUA4" s="539"/>
      <c r="IUB4" s="539"/>
      <c r="IUC4" s="539"/>
      <c r="IUD4" s="539"/>
      <c r="IUE4" s="539"/>
      <c r="IUF4" s="539"/>
      <c r="IUG4" s="539"/>
      <c r="IUH4" s="539"/>
      <c r="IUI4" s="539"/>
      <c r="IUJ4" s="539"/>
      <c r="IUK4" s="539"/>
      <c r="IUL4" s="539"/>
      <c r="IUM4" s="539"/>
      <c r="IUN4" s="539"/>
      <c r="IUO4" s="539"/>
      <c r="IUP4" s="539"/>
      <c r="IUQ4" s="539"/>
      <c r="IUR4" s="539"/>
      <c r="IUS4" s="539"/>
      <c r="IUT4" s="539"/>
      <c r="IUU4" s="539"/>
      <c r="IUV4" s="539"/>
      <c r="IUW4" s="539"/>
      <c r="IUX4" s="539"/>
      <c r="IUY4" s="539"/>
      <c r="IUZ4" s="539"/>
      <c r="IVA4" s="539"/>
      <c r="IVB4" s="539"/>
      <c r="IVC4" s="539"/>
      <c r="IVD4" s="539"/>
      <c r="IVE4" s="539"/>
      <c r="IVF4" s="539"/>
      <c r="IVG4" s="539"/>
      <c r="IVH4" s="539"/>
      <c r="IVI4" s="539"/>
      <c r="IVJ4" s="539"/>
      <c r="IVK4" s="539"/>
      <c r="IVL4" s="539"/>
      <c r="IVM4" s="539"/>
      <c r="IVN4" s="539"/>
      <c r="IVO4" s="539"/>
      <c r="IVP4" s="539"/>
      <c r="IVQ4" s="539"/>
      <c r="IVR4" s="539"/>
      <c r="IVS4" s="539"/>
      <c r="IVT4" s="539"/>
      <c r="IVU4" s="539"/>
      <c r="IVV4" s="539"/>
      <c r="IVW4" s="539"/>
      <c r="IVX4" s="539"/>
      <c r="IVY4" s="539"/>
      <c r="IVZ4" s="539"/>
      <c r="IWA4" s="539"/>
      <c r="IWB4" s="539"/>
      <c r="IWC4" s="539"/>
      <c r="IWD4" s="539"/>
      <c r="IWE4" s="539"/>
      <c r="IWF4" s="539"/>
      <c r="IWG4" s="539"/>
      <c r="IWH4" s="539"/>
      <c r="IWI4" s="539"/>
      <c r="IWJ4" s="539"/>
      <c r="IWK4" s="539"/>
      <c r="IWL4" s="539"/>
      <c r="IWM4" s="539"/>
      <c r="IWN4" s="539"/>
      <c r="IWO4" s="539"/>
      <c r="IWP4" s="539"/>
      <c r="IWQ4" s="539"/>
      <c r="IWR4" s="539"/>
      <c r="IWS4" s="539"/>
      <c r="IWT4" s="539"/>
      <c r="IWU4" s="539"/>
      <c r="IWV4" s="539"/>
      <c r="IWW4" s="539"/>
      <c r="IWX4" s="539"/>
      <c r="IWY4" s="539"/>
      <c r="IWZ4" s="539"/>
      <c r="IXA4" s="539"/>
      <c r="IXB4" s="539"/>
      <c r="IXC4" s="539"/>
      <c r="IXD4" s="539"/>
      <c r="IXE4" s="539"/>
      <c r="IXF4" s="539"/>
      <c r="IXG4" s="539"/>
      <c r="IXH4" s="539"/>
      <c r="IXI4" s="539"/>
      <c r="IXJ4" s="539"/>
      <c r="IXK4" s="539"/>
      <c r="IXL4" s="539"/>
      <c r="IXM4" s="539"/>
      <c r="IXN4" s="539"/>
      <c r="IXO4" s="539"/>
      <c r="IXP4" s="539"/>
      <c r="IXQ4" s="539"/>
      <c r="IXR4" s="539"/>
      <c r="IXS4" s="539"/>
      <c r="IXT4" s="539"/>
      <c r="IXU4" s="539"/>
      <c r="IXV4" s="539"/>
      <c r="IXW4" s="539"/>
      <c r="IXX4" s="539"/>
      <c r="IXY4" s="539"/>
      <c r="IXZ4" s="539"/>
      <c r="IYA4" s="539"/>
      <c r="IYB4" s="539"/>
      <c r="IYC4" s="539"/>
      <c r="IYD4" s="539"/>
      <c r="IYE4" s="539"/>
      <c r="IYF4" s="539"/>
      <c r="IYG4" s="539"/>
      <c r="IYH4" s="539"/>
      <c r="IYI4" s="539"/>
      <c r="IYJ4" s="539"/>
      <c r="IYK4" s="539"/>
      <c r="IYL4" s="539"/>
      <c r="IYM4" s="539"/>
      <c r="IYN4" s="539"/>
      <c r="IYO4" s="539"/>
      <c r="IYP4" s="539"/>
      <c r="IYQ4" s="539"/>
      <c r="IYR4" s="539"/>
      <c r="IYS4" s="539"/>
      <c r="IYT4" s="539"/>
      <c r="IYU4" s="539"/>
      <c r="IYV4" s="539"/>
      <c r="IYW4" s="539"/>
      <c r="IYX4" s="539"/>
      <c r="IYY4" s="539"/>
      <c r="IYZ4" s="539"/>
      <c r="IZA4" s="539"/>
      <c r="IZB4" s="539"/>
      <c r="IZC4" s="539"/>
      <c r="IZD4" s="539"/>
      <c r="IZE4" s="539"/>
      <c r="IZF4" s="539"/>
      <c r="IZG4" s="539"/>
      <c r="IZH4" s="539"/>
      <c r="IZI4" s="539"/>
      <c r="IZJ4" s="539"/>
      <c r="IZK4" s="539"/>
      <c r="IZL4" s="539"/>
      <c r="IZM4" s="539"/>
      <c r="IZN4" s="539"/>
      <c r="IZO4" s="539"/>
      <c r="IZP4" s="539"/>
      <c r="IZQ4" s="539"/>
      <c r="IZR4" s="539"/>
      <c r="IZS4" s="539"/>
      <c r="IZT4" s="539"/>
      <c r="IZU4" s="539"/>
      <c r="IZV4" s="539"/>
      <c r="IZW4" s="539"/>
      <c r="IZX4" s="539"/>
      <c r="IZY4" s="539"/>
      <c r="IZZ4" s="539"/>
      <c r="JAA4" s="539"/>
      <c r="JAB4" s="539"/>
      <c r="JAC4" s="539"/>
      <c r="JAD4" s="539"/>
      <c r="JAE4" s="539"/>
      <c r="JAF4" s="539"/>
      <c r="JAG4" s="539"/>
      <c r="JAH4" s="539"/>
      <c r="JAI4" s="539"/>
      <c r="JAJ4" s="539"/>
      <c r="JAK4" s="539"/>
      <c r="JAL4" s="539"/>
      <c r="JAM4" s="539"/>
      <c r="JAN4" s="539"/>
      <c r="JAO4" s="539"/>
      <c r="JAP4" s="539"/>
      <c r="JAQ4" s="539"/>
      <c r="JAR4" s="539"/>
      <c r="JAS4" s="539"/>
      <c r="JAT4" s="539"/>
      <c r="JAU4" s="539"/>
      <c r="JAV4" s="539"/>
      <c r="JAW4" s="539"/>
      <c r="JAX4" s="539"/>
      <c r="JAY4" s="539"/>
      <c r="JAZ4" s="539"/>
      <c r="JBA4" s="539"/>
      <c r="JBB4" s="539"/>
      <c r="JBC4" s="539"/>
      <c r="JBD4" s="539"/>
      <c r="JBE4" s="539"/>
      <c r="JBF4" s="539"/>
      <c r="JBG4" s="539"/>
      <c r="JBH4" s="539"/>
      <c r="JBI4" s="539"/>
      <c r="JBJ4" s="539"/>
      <c r="JBK4" s="539"/>
      <c r="JBL4" s="539"/>
      <c r="JBM4" s="539"/>
      <c r="JBN4" s="539"/>
      <c r="JBO4" s="539"/>
      <c r="JBP4" s="539"/>
      <c r="JBQ4" s="539"/>
      <c r="JBR4" s="539"/>
      <c r="JBS4" s="539"/>
      <c r="JBT4" s="539"/>
      <c r="JBU4" s="539"/>
      <c r="JBV4" s="539"/>
      <c r="JBW4" s="539"/>
      <c r="JBX4" s="539"/>
      <c r="JBY4" s="539"/>
      <c r="JBZ4" s="539"/>
      <c r="JCA4" s="539"/>
      <c r="JCB4" s="539"/>
      <c r="JCC4" s="539"/>
      <c r="JCD4" s="539"/>
      <c r="JCE4" s="539"/>
      <c r="JCF4" s="539"/>
      <c r="JCG4" s="539"/>
      <c r="JCH4" s="539"/>
      <c r="JCI4" s="539"/>
      <c r="JCJ4" s="539"/>
      <c r="JCK4" s="539"/>
      <c r="JCL4" s="539"/>
      <c r="JCM4" s="539"/>
      <c r="JCN4" s="539"/>
      <c r="JCO4" s="539"/>
      <c r="JCP4" s="539"/>
      <c r="JCQ4" s="539"/>
      <c r="JCR4" s="539"/>
      <c r="JCS4" s="539"/>
      <c r="JCT4" s="539"/>
      <c r="JCU4" s="539"/>
      <c r="JCV4" s="539"/>
      <c r="JCW4" s="539"/>
      <c r="JCX4" s="539"/>
      <c r="JCY4" s="539"/>
      <c r="JCZ4" s="539"/>
      <c r="JDA4" s="539"/>
      <c r="JDB4" s="539"/>
      <c r="JDC4" s="539"/>
      <c r="JDD4" s="539"/>
      <c r="JDE4" s="539"/>
      <c r="JDF4" s="539"/>
      <c r="JDG4" s="539"/>
      <c r="JDH4" s="539"/>
      <c r="JDI4" s="539"/>
      <c r="JDJ4" s="539"/>
      <c r="JDK4" s="539"/>
      <c r="JDL4" s="539"/>
      <c r="JDM4" s="539"/>
      <c r="JDN4" s="539"/>
      <c r="JDO4" s="539"/>
      <c r="JDP4" s="539"/>
      <c r="JDQ4" s="539"/>
      <c r="JDR4" s="539"/>
      <c r="JDS4" s="539"/>
      <c r="JDT4" s="539"/>
      <c r="JDU4" s="539"/>
      <c r="JDV4" s="539"/>
      <c r="JDW4" s="539"/>
      <c r="JDX4" s="539"/>
      <c r="JDY4" s="539"/>
      <c r="JDZ4" s="539"/>
      <c r="JEA4" s="539"/>
      <c r="JEB4" s="539"/>
      <c r="JEC4" s="539"/>
      <c r="JED4" s="539"/>
      <c r="JEE4" s="539"/>
      <c r="JEF4" s="539"/>
      <c r="JEG4" s="539"/>
      <c r="JEH4" s="539"/>
      <c r="JEI4" s="539"/>
      <c r="JEJ4" s="539"/>
      <c r="JEK4" s="539"/>
      <c r="JEL4" s="539"/>
      <c r="JEM4" s="539"/>
      <c r="JEN4" s="539"/>
      <c r="JEO4" s="539"/>
      <c r="JEP4" s="539"/>
      <c r="JEQ4" s="539"/>
      <c r="JER4" s="539"/>
      <c r="JES4" s="539"/>
      <c r="JET4" s="539"/>
      <c r="JEU4" s="539"/>
      <c r="JEV4" s="539"/>
      <c r="JEW4" s="539"/>
      <c r="JEX4" s="539"/>
      <c r="JEY4" s="539"/>
      <c r="JEZ4" s="539"/>
      <c r="JFA4" s="539"/>
      <c r="JFB4" s="539"/>
      <c r="JFC4" s="539"/>
      <c r="JFD4" s="539"/>
      <c r="JFE4" s="539"/>
      <c r="JFF4" s="539"/>
      <c r="JFG4" s="539"/>
      <c r="JFH4" s="539"/>
      <c r="JFI4" s="539"/>
      <c r="JFJ4" s="539"/>
      <c r="JFK4" s="539"/>
      <c r="JFL4" s="539"/>
      <c r="JFM4" s="539"/>
      <c r="JFN4" s="539"/>
      <c r="JFO4" s="539"/>
      <c r="JFP4" s="539"/>
      <c r="JFQ4" s="539"/>
      <c r="JFR4" s="539"/>
      <c r="JFS4" s="539"/>
      <c r="JFT4" s="539"/>
      <c r="JFU4" s="539"/>
      <c r="JFV4" s="539"/>
      <c r="JFW4" s="539"/>
      <c r="JFX4" s="539"/>
      <c r="JFY4" s="539"/>
      <c r="JFZ4" s="539"/>
      <c r="JGA4" s="539"/>
      <c r="JGB4" s="539"/>
      <c r="JGC4" s="539"/>
      <c r="JGD4" s="539"/>
      <c r="JGE4" s="539"/>
      <c r="JGF4" s="539"/>
      <c r="JGG4" s="539"/>
      <c r="JGH4" s="539"/>
      <c r="JGI4" s="539"/>
      <c r="JGJ4" s="539"/>
      <c r="JGK4" s="539"/>
      <c r="JGL4" s="539"/>
      <c r="JGM4" s="539"/>
      <c r="JGN4" s="539"/>
      <c r="JGO4" s="539"/>
      <c r="JGP4" s="539"/>
      <c r="JGQ4" s="539"/>
      <c r="JGR4" s="539"/>
      <c r="JGS4" s="539"/>
      <c r="JGT4" s="539"/>
      <c r="JGU4" s="539"/>
      <c r="JGV4" s="539"/>
      <c r="JGW4" s="539"/>
      <c r="JGX4" s="539"/>
      <c r="JGY4" s="539"/>
      <c r="JGZ4" s="539"/>
      <c r="JHA4" s="539"/>
      <c r="JHB4" s="539"/>
      <c r="JHC4" s="539"/>
      <c r="JHD4" s="539"/>
      <c r="JHE4" s="539"/>
      <c r="JHF4" s="539"/>
      <c r="JHG4" s="539"/>
      <c r="JHH4" s="539"/>
      <c r="JHI4" s="539"/>
      <c r="JHJ4" s="539"/>
      <c r="JHK4" s="539"/>
      <c r="JHL4" s="539"/>
      <c r="JHM4" s="539"/>
      <c r="JHN4" s="539"/>
      <c r="JHO4" s="539"/>
      <c r="JHP4" s="539"/>
      <c r="JHQ4" s="539"/>
      <c r="JHR4" s="539"/>
      <c r="JHS4" s="539"/>
      <c r="JHT4" s="539"/>
      <c r="JHU4" s="539"/>
      <c r="JHV4" s="539"/>
      <c r="JHW4" s="539"/>
      <c r="JHX4" s="539"/>
      <c r="JHY4" s="539"/>
      <c r="JHZ4" s="539"/>
      <c r="JIA4" s="539"/>
      <c r="JIB4" s="539"/>
      <c r="JIC4" s="539"/>
      <c r="JID4" s="539"/>
      <c r="JIE4" s="539"/>
      <c r="JIF4" s="539"/>
      <c r="JIG4" s="539"/>
      <c r="JIH4" s="539"/>
      <c r="JII4" s="539"/>
      <c r="JIJ4" s="539"/>
      <c r="JIK4" s="539"/>
      <c r="JIL4" s="539"/>
      <c r="JIM4" s="539"/>
      <c r="JIN4" s="539"/>
      <c r="JIO4" s="539"/>
      <c r="JIP4" s="539"/>
      <c r="JIQ4" s="539"/>
      <c r="JIR4" s="539"/>
      <c r="JIS4" s="539"/>
      <c r="JIT4" s="539"/>
      <c r="JIU4" s="539"/>
      <c r="JIV4" s="539"/>
      <c r="JIW4" s="539"/>
      <c r="JIX4" s="539"/>
      <c r="JIY4" s="539"/>
      <c r="JIZ4" s="539"/>
      <c r="JJA4" s="539"/>
      <c r="JJB4" s="539"/>
      <c r="JJC4" s="539"/>
      <c r="JJD4" s="539"/>
      <c r="JJE4" s="539"/>
      <c r="JJF4" s="539"/>
      <c r="JJG4" s="539"/>
      <c r="JJH4" s="539"/>
      <c r="JJI4" s="539"/>
      <c r="JJJ4" s="539"/>
      <c r="JJK4" s="539"/>
      <c r="JJL4" s="539"/>
      <c r="JJM4" s="539"/>
      <c r="JJN4" s="539"/>
      <c r="JJO4" s="539"/>
      <c r="JJP4" s="539"/>
      <c r="JJQ4" s="539"/>
      <c r="JJR4" s="539"/>
      <c r="JJS4" s="539"/>
      <c r="JJT4" s="539"/>
      <c r="JJU4" s="539"/>
      <c r="JJV4" s="539"/>
      <c r="JJW4" s="539"/>
      <c r="JJX4" s="539"/>
      <c r="JJY4" s="539"/>
      <c r="JJZ4" s="539"/>
      <c r="JKA4" s="539"/>
      <c r="JKB4" s="539"/>
      <c r="JKC4" s="539"/>
      <c r="JKD4" s="539"/>
      <c r="JKE4" s="539"/>
      <c r="JKF4" s="539"/>
      <c r="JKG4" s="539"/>
      <c r="JKH4" s="539"/>
      <c r="JKI4" s="539"/>
      <c r="JKJ4" s="539"/>
      <c r="JKK4" s="539"/>
      <c r="JKL4" s="539"/>
      <c r="JKM4" s="539"/>
      <c r="JKN4" s="539"/>
      <c r="JKO4" s="539"/>
      <c r="JKP4" s="539"/>
      <c r="JKQ4" s="539"/>
      <c r="JKR4" s="539"/>
      <c r="JKS4" s="539"/>
      <c r="JKT4" s="539"/>
      <c r="JKU4" s="539"/>
      <c r="JKV4" s="539"/>
      <c r="JKW4" s="539"/>
      <c r="JKX4" s="539"/>
      <c r="JKY4" s="539"/>
      <c r="JKZ4" s="539"/>
      <c r="JLA4" s="539"/>
      <c r="JLB4" s="539"/>
      <c r="JLC4" s="539"/>
      <c r="JLD4" s="539"/>
      <c r="JLE4" s="539"/>
      <c r="JLF4" s="539"/>
      <c r="JLG4" s="539"/>
      <c r="JLH4" s="539"/>
      <c r="JLI4" s="539"/>
      <c r="JLJ4" s="539"/>
      <c r="JLK4" s="539"/>
      <c r="JLL4" s="539"/>
      <c r="JLM4" s="539"/>
      <c r="JLN4" s="539"/>
      <c r="JLO4" s="539"/>
      <c r="JLP4" s="539"/>
      <c r="JLQ4" s="539"/>
      <c r="JLR4" s="539"/>
      <c r="JLS4" s="539"/>
      <c r="JLT4" s="539"/>
      <c r="JLU4" s="539"/>
      <c r="JLV4" s="539"/>
      <c r="JLW4" s="539"/>
      <c r="JLX4" s="539"/>
      <c r="JLY4" s="539"/>
      <c r="JLZ4" s="539"/>
      <c r="JMA4" s="539"/>
      <c r="JMB4" s="539"/>
      <c r="JMC4" s="539"/>
      <c r="JMD4" s="539"/>
      <c r="JME4" s="539"/>
      <c r="JMF4" s="539"/>
      <c r="JMG4" s="539"/>
      <c r="JMH4" s="539"/>
      <c r="JMI4" s="539"/>
      <c r="JMJ4" s="539"/>
      <c r="JMK4" s="539"/>
      <c r="JML4" s="539"/>
      <c r="JMM4" s="539"/>
      <c r="JMN4" s="539"/>
      <c r="JMO4" s="539"/>
      <c r="JMP4" s="539"/>
      <c r="JMQ4" s="539"/>
      <c r="JMR4" s="539"/>
      <c r="JMS4" s="539"/>
      <c r="JMT4" s="539"/>
      <c r="JMU4" s="539"/>
      <c r="JMV4" s="539"/>
      <c r="JMW4" s="539"/>
      <c r="JMX4" s="539"/>
      <c r="JMY4" s="539"/>
      <c r="JMZ4" s="539"/>
      <c r="JNA4" s="539"/>
      <c r="JNB4" s="539"/>
      <c r="JNC4" s="539"/>
      <c r="JND4" s="539"/>
      <c r="JNE4" s="539"/>
      <c r="JNF4" s="539"/>
      <c r="JNG4" s="539"/>
      <c r="JNH4" s="539"/>
      <c r="JNI4" s="539"/>
      <c r="JNJ4" s="539"/>
      <c r="JNK4" s="539"/>
      <c r="JNL4" s="539"/>
      <c r="JNM4" s="539"/>
      <c r="JNN4" s="539"/>
      <c r="JNO4" s="539"/>
      <c r="JNP4" s="539"/>
      <c r="JNQ4" s="539"/>
      <c r="JNR4" s="539"/>
      <c r="JNS4" s="539"/>
      <c r="JNT4" s="539"/>
      <c r="JNU4" s="539"/>
      <c r="JNV4" s="539"/>
      <c r="JNW4" s="539"/>
      <c r="JNX4" s="539"/>
      <c r="JNY4" s="539"/>
      <c r="JNZ4" s="539"/>
      <c r="JOA4" s="539"/>
      <c r="JOB4" s="539"/>
      <c r="JOC4" s="539"/>
      <c r="JOD4" s="539"/>
      <c r="JOE4" s="539"/>
      <c r="JOF4" s="539"/>
      <c r="JOG4" s="539"/>
      <c r="JOH4" s="539"/>
      <c r="JOI4" s="539"/>
      <c r="JOJ4" s="539"/>
      <c r="JOK4" s="539"/>
      <c r="JOL4" s="539"/>
      <c r="JOM4" s="539"/>
      <c r="JON4" s="539"/>
      <c r="JOO4" s="539"/>
      <c r="JOP4" s="539"/>
      <c r="JOQ4" s="539"/>
      <c r="JOR4" s="539"/>
      <c r="JOS4" s="539"/>
      <c r="JOT4" s="539"/>
      <c r="JOU4" s="539"/>
      <c r="JOV4" s="539"/>
      <c r="JOW4" s="539"/>
      <c r="JOX4" s="539"/>
      <c r="JOY4" s="539"/>
      <c r="JOZ4" s="539"/>
      <c r="JPA4" s="539"/>
      <c r="JPB4" s="539"/>
      <c r="JPC4" s="539"/>
      <c r="JPD4" s="539"/>
      <c r="JPE4" s="539"/>
      <c r="JPF4" s="539"/>
      <c r="JPG4" s="539"/>
      <c r="JPH4" s="539"/>
      <c r="JPI4" s="539"/>
      <c r="JPJ4" s="539"/>
      <c r="JPK4" s="539"/>
      <c r="JPL4" s="539"/>
      <c r="JPM4" s="539"/>
      <c r="JPN4" s="539"/>
      <c r="JPO4" s="539"/>
      <c r="JPP4" s="539"/>
      <c r="JPQ4" s="539"/>
      <c r="JPR4" s="539"/>
      <c r="JPS4" s="539"/>
      <c r="JPT4" s="539"/>
      <c r="JPU4" s="539"/>
      <c r="JPV4" s="539"/>
      <c r="JPW4" s="539"/>
      <c r="JPX4" s="539"/>
      <c r="JPY4" s="539"/>
      <c r="JPZ4" s="539"/>
      <c r="JQA4" s="539"/>
      <c r="JQB4" s="539"/>
      <c r="JQC4" s="539"/>
      <c r="JQD4" s="539"/>
      <c r="JQE4" s="539"/>
      <c r="JQF4" s="539"/>
      <c r="JQG4" s="539"/>
      <c r="JQH4" s="539"/>
      <c r="JQI4" s="539"/>
      <c r="JQJ4" s="539"/>
      <c r="JQK4" s="539"/>
      <c r="JQL4" s="539"/>
      <c r="JQM4" s="539"/>
      <c r="JQN4" s="539"/>
      <c r="JQO4" s="539"/>
      <c r="JQP4" s="539"/>
      <c r="JQQ4" s="539"/>
      <c r="JQR4" s="539"/>
      <c r="JQS4" s="539"/>
      <c r="JQT4" s="539"/>
      <c r="JQU4" s="539"/>
      <c r="JQV4" s="539"/>
      <c r="JQW4" s="539"/>
      <c r="JQX4" s="539"/>
      <c r="JQY4" s="539"/>
      <c r="JQZ4" s="539"/>
      <c r="JRA4" s="539"/>
      <c r="JRB4" s="539"/>
      <c r="JRC4" s="539"/>
      <c r="JRD4" s="539"/>
      <c r="JRE4" s="539"/>
      <c r="JRF4" s="539"/>
      <c r="JRG4" s="539"/>
      <c r="JRH4" s="539"/>
      <c r="JRI4" s="539"/>
      <c r="JRJ4" s="539"/>
      <c r="JRK4" s="539"/>
      <c r="JRL4" s="539"/>
      <c r="JRM4" s="539"/>
      <c r="JRN4" s="539"/>
      <c r="JRO4" s="539"/>
      <c r="JRP4" s="539"/>
      <c r="JRQ4" s="539"/>
      <c r="JRR4" s="539"/>
      <c r="JRS4" s="539"/>
      <c r="JRT4" s="539"/>
      <c r="JRU4" s="539"/>
      <c r="JRV4" s="539"/>
      <c r="JRW4" s="539"/>
      <c r="JRX4" s="539"/>
      <c r="JRY4" s="539"/>
      <c r="JRZ4" s="539"/>
      <c r="JSA4" s="539"/>
      <c r="JSB4" s="539"/>
      <c r="JSC4" s="539"/>
      <c r="JSD4" s="539"/>
      <c r="JSE4" s="539"/>
      <c r="JSF4" s="539"/>
      <c r="JSG4" s="539"/>
      <c r="JSH4" s="539"/>
      <c r="JSI4" s="539"/>
      <c r="JSJ4" s="539"/>
      <c r="JSK4" s="539"/>
      <c r="JSL4" s="539"/>
      <c r="JSM4" s="539"/>
      <c r="JSN4" s="539"/>
      <c r="JSO4" s="539"/>
      <c r="JSP4" s="539"/>
      <c r="JSQ4" s="539"/>
      <c r="JSR4" s="539"/>
      <c r="JSS4" s="539"/>
      <c r="JST4" s="539"/>
      <c r="JSU4" s="539"/>
      <c r="JSV4" s="539"/>
      <c r="JSW4" s="539"/>
      <c r="JSX4" s="539"/>
      <c r="JSY4" s="539"/>
      <c r="JSZ4" s="539"/>
      <c r="JTA4" s="539"/>
      <c r="JTB4" s="539"/>
      <c r="JTC4" s="539"/>
      <c r="JTD4" s="539"/>
      <c r="JTE4" s="539"/>
      <c r="JTF4" s="539"/>
      <c r="JTG4" s="539"/>
      <c r="JTH4" s="539"/>
      <c r="JTI4" s="539"/>
      <c r="JTJ4" s="539"/>
      <c r="JTK4" s="539"/>
      <c r="JTL4" s="539"/>
      <c r="JTM4" s="539"/>
      <c r="JTN4" s="539"/>
      <c r="JTO4" s="539"/>
      <c r="JTP4" s="539"/>
      <c r="JTQ4" s="539"/>
      <c r="JTR4" s="539"/>
      <c r="JTS4" s="539"/>
      <c r="JTT4" s="539"/>
      <c r="JTU4" s="539"/>
      <c r="JTV4" s="539"/>
      <c r="JTW4" s="539"/>
      <c r="JTX4" s="539"/>
      <c r="JTY4" s="539"/>
      <c r="JTZ4" s="539"/>
      <c r="JUA4" s="539"/>
      <c r="JUB4" s="539"/>
      <c r="JUC4" s="539"/>
      <c r="JUD4" s="539"/>
      <c r="JUE4" s="539"/>
      <c r="JUF4" s="539"/>
      <c r="JUG4" s="539"/>
      <c r="JUH4" s="539"/>
      <c r="JUI4" s="539"/>
      <c r="JUJ4" s="539"/>
      <c r="JUK4" s="539"/>
      <c r="JUL4" s="539"/>
      <c r="JUM4" s="539"/>
      <c r="JUN4" s="539"/>
      <c r="JUO4" s="539"/>
      <c r="JUP4" s="539"/>
      <c r="JUQ4" s="539"/>
      <c r="JUR4" s="539"/>
      <c r="JUS4" s="539"/>
      <c r="JUT4" s="539"/>
      <c r="JUU4" s="539"/>
      <c r="JUV4" s="539"/>
      <c r="JUW4" s="539"/>
      <c r="JUX4" s="539"/>
      <c r="JUY4" s="539"/>
      <c r="JUZ4" s="539"/>
      <c r="JVA4" s="539"/>
      <c r="JVB4" s="539"/>
      <c r="JVC4" s="539"/>
      <c r="JVD4" s="539"/>
      <c r="JVE4" s="539"/>
      <c r="JVF4" s="539"/>
      <c r="JVG4" s="539"/>
      <c r="JVH4" s="539"/>
      <c r="JVI4" s="539"/>
      <c r="JVJ4" s="539"/>
      <c r="JVK4" s="539"/>
      <c r="JVL4" s="539"/>
      <c r="JVM4" s="539"/>
      <c r="JVN4" s="539"/>
      <c r="JVO4" s="539"/>
      <c r="JVP4" s="539"/>
      <c r="JVQ4" s="539"/>
      <c r="JVR4" s="539"/>
      <c r="JVS4" s="539"/>
      <c r="JVT4" s="539"/>
      <c r="JVU4" s="539"/>
      <c r="JVV4" s="539"/>
      <c r="JVW4" s="539"/>
      <c r="JVX4" s="539"/>
      <c r="JVY4" s="539"/>
      <c r="JVZ4" s="539"/>
      <c r="JWA4" s="539"/>
      <c r="JWB4" s="539"/>
      <c r="JWC4" s="539"/>
      <c r="JWD4" s="539"/>
      <c r="JWE4" s="539"/>
      <c r="JWF4" s="539"/>
      <c r="JWG4" s="539"/>
      <c r="JWH4" s="539"/>
      <c r="JWI4" s="539"/>
      <c r="JWJ4" s="539"/>
      <c r="JWK4" s="539"/>
      <c r="JWL4" s="539"/>
      <c r="JWM4" s="539"/>
      <c r="JWN4" s="539"/>
      <c r="JWO4" s="539"/>
      <c r="JWP4" s="539"/>
      <c r="JWQ4" s="539"/>
      <c r="JWR4" s="539"/>
      <c r="JWS4" s="539"/>
      <c r="JWT4" s="539"/>
      <c r="JWU4" s="539"/>
      <c r="JWV4" s="539"/>
      <c r="JWW4" s="539"/>
      <c r="JWX4" s="539"/>
      <c r="JWY4" s="539"/>
      <c r="JWZ4" s="539"/>
      <c r="JXA4" s="539"/>
      <c r="JXB4" s="539"/>
      <c r="JXC4" s="539"/>
      <c r="JXD4" s="539"/>
      <c r="JXE4" s="539"/>
      <c r="JXF4" s="539"/>
      <c r="JXG4" s="539"/>
      <c r="JXH4" s="539"/>
      <c r="JXI4" s="539"/>
      <c r="JXJ4" s="539"/>
      <c r="JXK4" s="539"/>
      <c r="JXL4" s="539"/>
      <c r="JXM4" s="539"/>
      <c r="JXN4" s="539"/>
      <c r="JXO4" s="539"/>
      <c r="JXP4" s="539"/>
      <c r="JXQ4" s="539"/>
      <c r="JXR4" s="539"/>
      <c r="JXS4" s="539"/>
      <c r="JXT4" s="539"/>
      <c r="JXU4" s="539"/>
      <c r="JXV4" s="539"/>
      <c r="JXW4" s="539"/>
      <c r="JXX4" s="539"/>
      <c r="JXY4" s="539"/>
      <c r="JXZ4" s="539"/>
      <c r="JYA4" s="539"/>
      <c r="JYB4" s="539"/>
      <c r="JYC4" s="539"/>
      <c r="JYD4" s="539"/>
      <c r="JYE4" s="539"/>
      <c r="JYF4" s="539"/>
      <c r="JYG4" s="539"/>
      <c r="JYH4" s="539"/>
      <c r="JYI4" s="539"/>
      <c r="JYJ4" s="539"/>
      <c r="JYK4" s="539"/>
      <c r="JYL4" s="539"/>
      <c r="JYM4" s="539"/>
      <c r="JYN4" s="539"/>
      <c r="JYO4" s="539"/>
      <c r="JYP4" s="539"/>
      <c r="JYQ4" s="539"/>
      <c r="JYR4" s="539"/>
      <c r="JYS4" s="539"/>
      <c r="JYT4" s="539"/>
      <c r="JYU4" s="539"/>
      <c r="JYV4" s="539"/>
      <c r="JYW4" s="539"/>
      <c r="JYX4" s="539"/>
      <c r="JYY4" s="539"/>
      <c r="JYZ4" s="539"/>
      <c r="JZA4" s="539"/>
      <c r="JZB4" s="539"/>
      <c r="JZC4" s="539"/>
      <c r="JZD4" s="539"/>
      <c r="JZE4" s="539"/>
      <c r="JZF4" s="539"/>
      <c r="JZG4" s="539"/>
      <c r="JZH4" s="539"/>
      <c r="JZI4" s="539"/>
      <c r="JZJ4" s="539"/>
      <c r="JZK4" s="539"/>
      <c r="JZL4" s="539"/>
      <c r="JZM4" s="539"/>
      <c r="JZN4" s="539"/>
      <c r="JZO4" s="539"/>
      <c r="JZP4" s="539"/>
      <c r="JZQ4" s="539"/>
      <c r="JZR4" s="539"/>
      <c r="JZS4" s="539"/>
      <c r="JZT4" s="539"/>
      <c r="JZU4" s="539"/>
      <c r="JZV4" s="539"/>
      <c r="JZW4" s="539"/>
      <c r="JZX4" s="539"/>
      <c r="JZY4" s="539"/>
      <c r="JZZ4" s="539"/>
      <c r="KAA4" s="539"/>
      <c r="KAB4" s="539"/>
      <c r="KAC4" s="539"/>
      <c r="KAD4" s="539"/>
      <c r="KAE4" s="539"/>
      <c r="KAF4" s="539"/>
      <c r="KAG4" s="539"/>
      <c r="KAH4" s="539"/>
      <c r="KAI4" s="539"/>
      <c r="KAJ4" s="539"/>
      <c r="KAK4" s="539"/>
      <c r="KAL4" s="539"/>
      <c r="KAM4" s="539"/>
      <c r="KAN4" s="539"/>
      <c r="KAO4" s="539"/>
      <c r="KAP4" s="539"/>
      <c r="KAQ4" s="539"/>
      <c r="KAR4" s="539"/>
      <c r="KAS4" s="539"/>
      <c r="KAT4" s="539"/>
      <c r="KAU4" s="539"/>
      <c r="KAV4" s="539"/>
      <c r="KAW4" s="539"/>
      <c r="KAX4" s="539"/>
      <c r="KAY4" s="539"/>
      <c r="KAZ4" s="539"/>
      <c r="KBA4" s="539"/>
      <c r="KBB4" s="539"/>
      <c r="KBC4" s="539"/>
      <c r="KBD4" s="539"/>
      <c r="KBE4" s="539"/>
      <c r="KBF4" s="539"/>
      <c r="KBG4" s="539"/>
      <c r="KBH4" s="539"/>
      <c r="KBI4" s="539"/>
      <c r="KBJ4" s="539"/>
      <c r="KBK4" s="539"/>
      <c r="KBL4" s="539"/>
      <c r="KBM4" s="539"/>
      <c r="KBN4" s="539"/>
      <c r="KBO4" s="539"/>
      <c r="KBP4" s="539"/>
      <c r="KBQ4" s="539"/>
      <c r="KBR4" s="539"/>
      <c r="KBS4" s="539"/>
      <c r="KBT4" s="539"/>
      <c r="KBU4" s="539"/>
      <c r="KBV4" s="539"/>
      <c r="KBW4" s="539"/>
      <c r="KBX4" s="539"/>
      <c r="KBY4" s="539"/>
      <c r="KBZ4" s="539"/>
      <c r="KCA4" s="539"/>
      <c r="KCB4" s="539"/>
      <c r="KCC4" s="539"/>
      <c r="KCD4" s="539"/>
      <c r="KCE4" s="539"/>
      <c r="KCF4" s="539"/>
      <c r="KCG4" s="539"/>
      <c r="KCH4" s="539"/>
      <c r="KCI4" s="539"/>
      <c r="KCJ4" s="539"/>
      <c r="KCK4" s="539"/>
      <c r="KCL4" s="539"/>
      <c r="KCM4" s="539"/>
      <c r="KCN4" s="539"/>
      <c r="KCO4" s="539"/>
      <c r="KCP4" s="539"/>
      <c r="KCQ4" s="539"/>
      <c r="KCR4" s="539"/>
      <c r="KCS4" s="539"/>
      <c r="KCT4" s="539"/>
      <c r="KCU4" s="539"/>
      <c r="KCV4" s="539"/>
      <c r="KCW4" s="539"/>
      <c r="KCX4" s="539"/>
      <c r="KCY4" s="539"/>
      <c r="KCZ4" s="539"/>
      <c r="KDA4" s="539"/>
      <c r="KDB4" s="539"/>
      <c r="KDC4" s="539"/>
      <c r="KDD4" s="539"/>
      <c r="KDE4" s="539"/>
      <c r="KDF4" s="539"/>
      <c r="KDG4" s="539"/>
      <c r="KDH4" s="539"/>
      <c r="KDI4" s="539"/>
      <c r="KDJ4" s="539"/>
      <c r="KDK4" s="539"/>
      <c r="KDL4" s="539"/>
      <c r="KDM4" s="539"/>
      <c r="KDN4" s="539"/>
      <c r="KDO4" s="539"/>
      <c r="KDP4" s="539"/>
      <c r="KDQ4" s="539"/>
      <c r="KDR4" s="539"/>
      <c r="KDS4" s="539"/>
      <c r="KDT4" s="539"/>
      <c r="KDU4" s="539"/>
      <c r="KDV4" s="539"/>
      <c r="KDW4" s="539"/>
      <c r="KDX4" s="539"/>
      <c r="KDY4" s="539"/>
      <c r="KDZ4" s="539"/>
      <c r="KEA4" s="539"/>
      <c r="KEB4" s="539"/>
      <c r="KEC4" s="539"/>
      <c r="KED4" s="539"/>
      <c r="KEE4" s="539"/>
      <c r="KEF4" s="539"/>
      <c r="KEG4" s="539"/>
      <c r="KEH4" s="539"/>
      <c r="KEI4" s="539"/>
      <c r="KEJ4" s="539"/>
      <c r="KEK4" s="539"/>
      <c r="KEL4" s="539"/>
      <c r="KEM4" s="539"/>
      <c r="KEN4" s="539"/>
      <c r="KEO4" s="539"/>
      <c r="KEP4" s="539"/>
      <c r="KEQ4" s="539"/>
      <c r="KER4" s="539"/>
      <c r="KES4" s="539"/>
      <c r="KET4" s="539"/>
      <c r="KEU4" s="539"/>
      <c r="KEV4" s="539"/>
      <c r="KEW4" s="539"/>
      <c r="KEX4" s="539"/>
      <c r="KEY4" s="539"/>
      <c r="KEZ4" s="539"/>
      <c r="KFA4" s="539"/>
      <c r="KFB4" s="539"/>
      <c r="KFC4" s="539"/>
      <c r="KFD4" s="539"/>
      <c r="KFE4" s="539"/>
      <c r="KFF4" s="539"/>
      <c r="KFG4" s="539"/>
      <c r="KFH4" s="539"/>
      <c r="KFI4" s="539"/>
      <c r="KFJ4" s="539"/>
      <c r="KFK4" s="539"/>
      <c r="KFL4" s="539"/>
      <c r="KFM4" s="539"/>
      <c r="KFN4" s="539"/>
      <c r="KFO4" s="539"/>
      <c r="KFP4" s="539"/>
      <c r="KFQ4" s="539"/>
      <c r="KFR4" s="539"/>
      <c r="KFS4" s="539"/>
      <c r="KFT4" s="539"/>
      <c r="KFU4" s="539"/>
      <c r="KFV4" s="539"/>
      <c r="KFW4" s="539"/>
      <c r="KFX4" s="539"/>
      <c r="KFY4" s="539"/>
      <c r="KFZ4" s="539"/>
      <c r="KGA4" s="539"/>
      <c r="KGB4" s="539"/>
      <c r="KGC4" s="539"/>
      <c r="KGD4" s="539"/>
      <c r="KGE4" s="539"/>
      <c r="KGF4" s="539"/>
      <c r="KGG4" s="539"/>
      <c r="KGH4" s="539"/>
      <c r="KGI4" s="539"/>
      <c r="KGJ4" s="539"/>
      <c r="KGK4" s="539"/>
      <c r="KGL4" s="539"/>
      <c r="KGM4" s="539"/>
      <c r="KGN4" s="539"/>
      <c r="KGO4" s="539"/>
      <c r="KGP4" s="539"/>
      <c r="KGQ4" s="539"/>
      <c r="KGR4" s="539"/>
      <c r="KGS4" s="539"/>
      <c r="KGT4" s="539"/>
      <c r="KGU4" s="539"/>
      <c r="KGV4" s="539"/>
      <c r="KGW4" s="539"/>
      <c r="KGX4" s="539"/>
      <c r="KGY4" s="539"/>
      <c r="KGZ4" s="539"/>
      <c r="KHA4" s="539"/>
      <c r="KHB4" s="539"/>
      <c r="KHC4" s="539"/>
      <c r="KHD4" s="539"/>
      <c r="KHE4" s="539"/>
      <c r="KHF4" s="539"/>
      <c r="KHG4" s="539"/>
      <c r="KHH4" s="539"/>
      <c r="KHI4" s="539"/>
      <c r="KHJ4" s="539"/>
      <c r="KHK4" s="539"/>
      <c r="KHL4" s="539"/>
      <c r="KHM4" s="539"/>
      <c r="KHN4" s="539"/>
      <c r="KHO4" s="539"/>
      <c r="KHP4" s="539"/>
      <c r="KHQ4" s="539"/>
      <c r="KHR4" s="539"/>
      <c r="KHS4" s="539"/>
      <c r="KHT4" s="539"/>
      <c r="KHU4" s="539"/>
      <c r="KHV4" s="539"/>
      <c r="KHW4" s="539"/>
      <c r="KHX4" s="539"/>
      <c r="KHY4" s="539"/>
      <c r="KHZ4" s="539"/>
      <c r="KIA4" s="539"/>
      <c r="KIB4" s="539"/>
      <c r="KIC4" s="539"/>
      <c r="KID4" s="539"/>
      <c r="KIE4" s="539"/>
      <c r="KIF4" s="539"/>
      <c r="KIG4" s="539"/>
      <c r="KIH4" s="539"/>
      <c r="KII4" s="539"/>
      <c r="KIJ4" s="539"/>
      <c r="KIK4" s="539"/>
      <c r="KIL4" s="539"/>
      <c r="KIM4" s="539"/>
      <c r="KIN4" s="539"/>
      <c r="KIO4" s="539"/>
      <c r="KIP4" s="539"/>
      <c r="KIQ4" s="539"/>
      <c r="KIR4" s="539"/>
      <c r="KIS4" s="539"/>
      <c r="KIT4" s="539"/>
      <c r="KIU4" s="539"/>
      <c r="KIV4" s="539"/>
      <c r="KIW4" s="539"/>
      <c r="KIX4" s="539"/>
      <c r="KIY4" s="539"/>
      <c r="KIZ4" s="539"/>
      <c r="KJA4" s="539"/>
      <c r="KJB4" s="539"/>
      <c r="KJC4" s="539"/>
      <c r="KJD4" s="539"/>
      <c r="KJE4" s="539"/>
      <c r="KJF4" s="539"/>
      <c r="KJG4" s="539"/>
      <c r="KJH4" s="539"/>
      <c r="KJI4" s="539"/>
      <c r="KJJ4" s="539"/>
      <c r="KJK4" s="539"/>
      <c r="KJL4" s="539"/>
      <c r="KJM4" s="539"/>
      <c r="KJN4" s="539"/>
      <c r="KJO4" s="539"/>
      <c r="KJP4" s="539"/>
      <c r="KJQ4" s="539"/>
      <c r="KJR4" s="539"/>
      <c r="KJS4" s="539"/>
      <c r="KJT4" s="539"/>
      <c r="KJU4" s="539"/>
      <c r="KJV4" s="539"/>
      <c r="KJW4" s="539"/>
      <c r="KJX4" s="539"/>
      <c r="KJY4" s="539"/>
      <c r="KJZ4" s="539"/>
      <c r="KKA4" s="539"/>
      <c r="KKB4" s="539"/>
      <c r="KKC4" s="539"/>
      <c r="KKD4" s="539"/>
      <c r="KKE4" s="539"/>
      <c r="KKF4" s="539"/>
      <c r="KKG4" s="539"/>
      <c r="KKH4" s="539"/>
      <c r="KKI4" s="539"/>
      <c r="KKJ4" s="539"/>
      <c r="KKK4" s="539"/>
      <c r="KKL4" s="539"/>
      <c r="KKM4" s="539"/>
      <c r="KKN4" s="539"/>
      <c r="KKO4" s="539"/>
      <c r="KKP4" s="539"/>
      <c r="KKQ4" s="539"/>
      <c r="KKR4" s="539"/>
      <c r="KKS4" s="539"/>
      <c r="KKT4" s="539"/>
      <c r="KKU4" s="539"/>
      <c r="KKV4" s="539"/>
      <c r="KKW4" s="539"/>
      <c r="KKX4" s="539"/>
      <c r="KKY4" s="539"/>
      <c r="KKZ4" s="539"/>
      <c r="KLA4" s="539"/>
      <c r="KLB4" s="539"/>
      <c r="KLC4" s="539"/>
      <c r="KLD4" s="539"/>
      <c r="KLE4" s="539"/>
      <c r="KLF4" s="539"/>
      <c r="KLG4" s="539"/>
      <c r="KLH4" s="539"/>
      <c r="KLI4" s="539"/>
      <c r="KLJ4" s="539"/>
      <c r="KLK4" s="539"/>
      <c r="KLL4" s="539"/>
      <c r="KLM4" s="539"/>
      <c r="KLN4" s="539"/>
      <c r="KLO4" s="539"/>
      <c r="KLP4" s="539"/>
      <c r="KLQ4" s="539"/>
      <c r="KLR4" s="539"/>
      <c r="KLS4" s="539"/>
      <c r="KLT4" s="539"/>
      <c r="KLU4" s="539"/>
      <c r="KLV4" s="539"/>
      <c r="KLW4" s="539"/>
      <c r="KLX4" s="539"/>
      <c r="KLY4" s="539"/>
      <c r="KLZ4" s="539"/>
      <c r="KMA4" s="539"/>
      <c r="KMB4" s="539"/>
      <c r="KMC4" s="539"/>
      <c r="KMD4" s="539"/>
      <c r="KME4" s="539"/>
      <c r="KMF4" s="539"/>
      <c r="KMG4" s="539"/>
      <c r="KMH4" s="539"/>
      <c r="KMI4" s="539"/>
      <c r="KMJ4" s="539"/>
      <c r="KMK4" s="539"/>
      <c r="KML4" s="539"/>
      <c r="KMM4" s="539"/>
      <c r="KMN4" s="539"/>
      <c r="KMO4" s="539"/>
      <c r="KMP4" s="539"/>
      <c r="KMQ4" s="539"/>
      <c r="KMR4" s="539"/>
      <c r="KMS4" s="539"/>
      <c r="KMT4" s="539"/>
      <c r="KMU4" s="539"/>
      <c r="KMV4" s="539"/>
      <c r="KMW4" s="539"/>
      <c r="KMX4" s="539"/>
      <c r="KMY4" s="539"/>
      <c r="KMZ4" s="539"/>
      <c r="KNA4" s="539"/>
      <c r="KNB4" s="539"/>
      <c r="KNC4" s="539"/>
      <c r="KND4" s="539"/>
      <c r="KNE4" s="539"/>
      <c r="KNF4" s="539"/>
      <c r="KNG4" s="539"/>
      <c r="KNH4" s="539"/>
      <c r="KNI4" s="539"/>
      <c r="KNJ4" s="539"/>
      <c r="KNK4" s="539"/>
      <c r="KNL4" s="539"/>
      <c r="KNM4" s="539"/>
      <c r="KNN4" s="539"/>
      <c r="KNO4" s="539"/>
      <c r="KNP4" s="539"/>
      <c r="KNQ4" s="539"/>
      <c r="KNR4" s="539"/>
      <c r="KNS4" s="539"/>
      <c r="KNT4" s="539"/>
      <c r="KNU4" s="539"/>
      <c r="KNV4" s="539"/>
      <c r="KNW4" s="539"/>
      <c r="KNX4" s="539"/>
      <c r="KNY4" s="539"/>
      <c r="KNZ4" s="539"/>
      <c r="KOA4" s="539"/>
      <c r="KOB4" s="539"/>
      <c r="KOC4" s="539"/>
      <c r="KOD4" s="539"/>
      <c r="KOE4" s="539"/>
      <c r="KOF4" s="539"/>
      <c r="KOG4" s="539"/>
      <c r="KOH4" s="539"/>
      <c r="KOI4" s="539"/>
      <c r="KOJ4" s="539"/>
      <c r="KOK4" s="539"/>
      <c r="KOL4" s="539"/>
      <c r="KOM4" s="539"/>
      <c r="KON4" s="539"/>
      <c r="KOO4" s="539"/>
      <c r="KOP4" s="539"/>
      <c r="KOQ4" s="539"/>
      <c r="KOR4" s="539"/>
      <c r="KOS4" s="539"/>
      <c r="KOT4" s="539"/>
      <c r="KOU4" s="539"/>
      <c r="KOV4" s="539"/>
      <c r="KOW4" s="539"/>
      <c r="KOX4" s="539"/>
      <c r="KOY4" s="539"/>
      <c r="KOZ4" s="539"/>
      <c r="KPA4" s="539"/>
      <c r="KPB4" s="539"/>
      <c r="KPC4" s="539"/>
      <c r="KPD4" s="539"/>
      <c r="KPE4" s="539"/>
      <c r="KPF4" s="539"/>
      <c r="KPG4" s="539"/>
      <c r="KPH4" s="539"/>
      <c r="KPI4" s="539"/>
      <c r="KPJ4" s="539"/>
      <c r="KPK4" s="539"/>
      <c r="KPL4" s="539"/>
      <c r="KPM4" s="539"/>
      <c r="KPN4" s="539"/>
      <c r="KPO4" s="539"/>
      <c r="KPP4" s="539"/>
      <c r="KPQ4" s="539"/>
      <c r="KPR4" s="539"/>
      <c r="KPS4" s="539"/>
      <c r="KPT4" s="539"/>
      <c r="KPU4" s="539"/>
      <c r="KPV4" s="539"/>
      <c r="KPW4" s="539"/>
      <c r="KPX4" s="539"/>
      <c r="KPY4" s="539"/>
      <c r="KPZ4" s="539"/>
      <c r="KQA4" s="539"/>
      <c r="KQB4" s="539"/>
      <c r="KQC4" s="539"/>
      <c r="KQD4" s="539"/>
      <c r="KQE4" s="539"/>
      <c r="KQF4" s="539"/>
      <c r="KQG4" s="539"/>
      <c r="KQH4" s="539"/>
      <c r="KQI4" s="539"/>
      <c r="KQJ4" s="539"/>
      <c r="KQK4" s="539"/>
      <c r="KQL4" s="539"/>
      <c r="KQM4" s="539"/>
      <c r="KQN4" s="539"/>
      <c r="KQO4" s="539"/>
      <c r="KQP4" s="539"/>
      <c r="KQQ4" s="539"/>
      <c r="KQR4" s="539"/>
      <c r="KQS4" s="539"/>
      <c r="KQT4" s="539"/>
      <c r="KQU4" s="539"/>
      <c r="KQV4" s="539"/>
      <c r="KQW4" s="539"/>
      <c r="KQX4" s="539"/>
      <c r="KQY4" s="539"/>
      <c r="KQZ4" s="539"/>
      <c r="KRA4" s="539"/>
      <c r="KRB4" s="539"/>
      <c r="KRC4" s="539"/>
      <c r="KRD4" s="539"/>
      <c r="KRE4" s="539"/>
      <c r="KRF4" s="539"/>
      <c r="KRG4" s="539"/>
      <c r="KRH4" s="539"/>
      <c r="KRI4" s="539"/>
      <c r="KRJ4" s="539"/>
      <c r="KRK4" s="539"/>
      <c r="KRL4" s="539"/>
      <c r="KRM4" s="539"/>
      <c r="KRN4" s="539"/>
      <c r="KRO4" s="539"/>
      <c r="KRP4" s="539"/>
      <c r="KRQ4" s="539"/>
      <c r="KRR4" s="539"/>
      <c r="KRS4" s="539"/>
      <c r="KRT4" s="539"/>
      <c r="KRU4" s="539"/>
      <c r="KRV4" s="539"/>
      <c r="KRW4" s="539"/>
      <c r="KRX4" s="539"/>
      <c r="KRY4" s="539"/>
      <c r="KRZ4" s="539"/>
      <c r="KSA4" s="539"/>
      <c r="KSB4" s="539"/>
      <c r="KSC4" s="539"/>
      <c r="KSD4" s="539"/>
      <c r="KSE4" s="539"/>
      <c r="KSF4" s="539"/>
      <c r="KSG4" s="539"/>
      <c r="KSH4" s="539"/>
      <c r="KSI4" s="539"/>
      <c r="KSJ4" s="539"/>
      <c r="KSK4" s="539"/>
      <c r="KSL4" s="539"/>
      <c r="KSM4" s="539"/>
      <c r="KSN4" s="539"/>
      <c r="KSO4" s="539"/>
      <c r="KSP4" s="539"/>
      <c r="KSQ4" s="539"/>
      <c r="KSR4" s="539"/>
      <c r="KSS4" s="539"/>
      <c r="KST4" s="539"/>
      <c r="KSU4" s="539"/>
      <c r="KSV4" s="539"/>
      <c r="KSW4" s="539"/>
      <c r="KSX4" s="539"/>
      <c r="KSY4" s="539"/>
      <c r="KSZ4" s="539"/>
      <c r="KTA4" s="539"/>
      <c r="KTB4" s="539"/>
      <c r="KTC4" s="539"/>
      <c r="KTD4" s="539"/>
      <c r="KTE4" s="539"/>
      <c r="KTF4" s="539"/>
      <c r="KTG4" s="539"/>
      <c r="KTH4" s="539"/>
      <c r="KTI4" s="539"/>
      <c r="KTJ4" s="539"/>
      <c r="KTK4" s="539"/>
      <c r="KTL4" s="539"/>
      <c r="KTM4" s="539"/>
      <c r="KTN4" s="539"/>
      <c r="KTO4" s="539"/>
      <c r="KTP4" s="539"/>
      <c r="KTQ4" s="539"/>
      <c r="KTR4" s="539"/>
      <c r="KTS4" s="539"/>
      <c r="KTT4" s="539"/>
      <c r="KTU4" s="539"/>
      <c r="KTV4" s="539"/>
      <c r="KTW4" s="539"/>
      <c r="KTX4" s="539"/>
      <c r="KTY4" s="539"/>
      <c r="KTZ4" s="539"/>
      <c r="KUA4" s="539"/>
      <c r="KUB4" s="539"/>
      <c r="KUC4" s="539"/>
      <c r="KUD4" s="539"/>
      <c r="KUE4" s="539"/>
      <c r="KUF4" s="539"/>
      <c r="KUG4" s="539"/>
      <c r="KUH4" s="539"/>
      <c r="KUI4" s="539"/>
      <c r="KUJ4" s="539"/>
      <c r="KUK4" s="539"/>
      <c r="KUL4" s="539"/>
      <c r="KUM4" s="539"/>
      <c r="KUN4" s="539"/>
      <c r="KUO4" s="539"/>
      <c r="KUP4" s="539"/>
      <c r="KUQ4" s="539"/>
      <c r="KUR4" s="539"/>
      <c r="KUS4" s="539"/>
      <c r="KUT4" s="539"/>
      <c r="KUU4" s="539"/>
      <c r="KUV4" s="539"/>
      <c r="KUW4" s="539"/>
      <c r="KUX4" s="539"/>
      <c r="KUY4" s="539"/>
      <c r="KUZ4" s="539"/>
      <c r="KVA4" s="539"/>
      <c r="KVB4" s="539"/>
      <c r="KVC4" s="539"/>
      <c r="KVD4" s="539"/>
      <c r="KVE4" s="539"/>
      <c r="KVF4" s="539"/>
      <c r="KVG4" s="539"/>
      <c r="KVH4" s="539"/>
      <c r="KVI4" s="539"/>
      <c r="KVJ4" s="539"/>
      <c r="KVK4" s="539"/>
      <c r="KVL4" s="539"/>
      <c r="KVM4" s="539"/>
      <c r="KVN4" s="539"/>
      <c r="KVO4" s="539"/>
      <c r="KVP4" s="539"/>
      <c r="KVQ4" s="539"/>
      <c r="KVR4" s="539"/>
      <c r="KVS4" s="539"/>
      <c r="KVT4" s="539"/>
      <c r="KVU4" s="539"/>
      <c r="KVV4" s="539"/>
      <c r="KVW4" s="539"/>
      <c r="KVX4" s="539"/>
      <c r="KVY4" s="539"/>
      <c r="KVZ4" s="539"/>
      <c r="KWA4" s="539"/>
      <c r="KWB4" s="539"/>
      <c r="KWC4" s="539"/>
      <c r="KWD4" s="539"/>
      <c r="KWE4" s="539"/>
      <c r="KWF4" s="539"/>
      <c r="KWG4" s="539"/>
      <c r="KWH4" s="539"/>
      <c r="KWI4" s="539"/>
      <c r="KWJ4" s="539"/>
      <c r="KWK4" s="539"/>
      <c r="KWL4" s="539"/>
      <c r="KWM4" s="539"/>
      <c r="KWN4" s="539"/>
      <c r="KWO4" s="539"/>
      <c r="KWP4" s="539"/>
      <c r="KWQ4" s="539"/>
      <c r="KWR4" s="539"/>
      <c r="KWS4" s="539"/>
      <c r="KWT4" s="539"/>
      <c r="KWU4" s="539"/>
      <c r="KWV4" s="539"/>
      <c r="KWW4" s="539"/>
      <c r="KWX4" s="539"/>
      <c r="KWY4" s="539"/>
      <c r="KWZ4" s="539"/>
      <c r="KXA4" s="539"/>
      <c r="KXB4" s="539"/>
      <c r="KXC4" s="539"/>
      <c r="KXD4" s="539"/>
      <c r="KXE4" s="539"/>
      <c r="KXF4" s="539"/>
      <c r="KXG4" s="539"/>
      <c r="KXH4" s="539"/>
      <c r="KXI4" s="539"/>
      <c r="KXJ4" s="539"/>
      <c r="KXK4" s="539"/>
      <c r="KXL4" s="539"/>
      <c r="KXM4" s="539"/>
      <c r="KXN4" s="539"/>
      <c r="KXO4" s="539"/>
      <c r="KXP4" s="539"/>
      <c r="KXQ4" s="539"/>
      <c r="KXR4" s="539"/>
      <c r="KXS4" s="539"/>
      <c r="KXT4" s="539"/>
      <c r="KXU4" s="539"/>
      <c r="KXV4" s="539"/>
      <c r="KXW4" s="539"/>
      <c r="KXX4" s="539"/>
      <c r="KXY4" s="539"/>
      <c r="KXZ4" s="539"/>
      <c r="KYA4" s="539"/>
      <c r="KYB4" s="539"/>
      <c r="KYC4" s="539"/>
      <c r="KYD4" s="539"/>
      <c r="KYE4" s="539"/>
      <c r="KYF4" s="539"/>
      <c r="KYG4" s="539"/>
      <c r="KYH4" s="539"/>
      <c r="KYI4" s="539"/>
      <c r="KYJ4" s="539"/>
      <c r="KYK4" s="539"/>
      <c r="KYL4" s="539"/>
      <c r="KYM4" s="539"/>
      <c r="KYN4" s="539"/>
      <c r="KYO4" s="539"/>
      <c r="KYP4" s="539"/>
      <c r="KYQ4" s="539"/>
      <c r="KYR4" s="539"/>
      <c r="KYS4" s="539"/>
      <c r="KYT4" s="539"/>
      <c r="KYU4" s="539"/>
      <c r="KYV4" s="539"/>
      <c r="KYW4" s="539"/>
      <c r="KYX4" s="539"/>
      <c r="KYY4" s="539"/>
      <c r="KYZ4" s="539"/>
      <c r="KZA4" s="539"/>
      <c r="KZB4" s="539"/>
      <c r="KZC4" s="539"/>
      <c r="KZD4" s="539"/>
      <c r="KZE4" s="539"/>
      <c r="KZF4" s="539"/>
      <c r="KZG4" s="539"/>
      <c r="KZH4" s="539"/>
      <c r="KZI4" s="539"/>
      <c r="KZJ4" s="539"/>
      <c r="KZK4" s="539"/>
      <c r="KZL4" s="539"/>
      <c r="KZM4" s="539"/>
      <c r="KZN4" s="539"/>
      <c r="KZO4" s="539"/>
      <c r="KZP4" s="539"/>
      <c r="KZQ4" s="539"/>
      <c r="KZR4" s="539"/>
      <c r="KZS4" s="539"/>
      <c r="KZT4" s="539"/>
      <c r="KZU4" s="539"/>
      <c r="KZV4" s="539"/>
      <c r="KZW4" s="539"/>
      <c r="KZX4" s="539"/>
      <c r="KZY4" s="539"/>
      <c r="KZZ4" s="539"/>
      <c r="LAA4" s="539"/>
      <c r="LAB4" s="539"/>
      <c r="LAC4" s="539"/>
      <c r="LAD4" s="539"/>
      <c r="LAE4" s="539"/>
      <c r="LAF4" s="539"/>
      <c r="LAG4" s="539"/>
      <c r="LAH4" s="539"/>
      <c r="LAI4" s="539"/>
      <c r="LAJ4" s="539"/>
      <c r="LAK4" s="539"/>
      <c r="LAL4" s="539"/>
      <c r="LAM4" s="539"/>
      <c r="LAN4" s="539"/>
      <c r="LAO4" s="539"/>
      <c r="LAP4" s="539"/>
      <c r="LAQ4" s="539"/>
      <c r="LAR4" s="539"/>
      <c r="LAS4" s="539"/>
      <c r="LAT4" s="539"/>
      <c r="LAU4" s="539"/>
      <c r="LAV4" s="539"/>
      <c r="LAW4" s="539"/>
      <c r="LAX4" s="539"/>
      <c r="LAY4" s="539"/>
      <c r="LAZ4" s="539"/>
      <c r="LBA4" s="539"/>
      <c r="LBB4" s="539"/>
      <c r="LBC4" s="539"/>
      <c r="LBD4" s="539"/>
      <c r="LBE4" s="539"/>
      <c r="LBF4" s="539"/>
      <c r="LBG4" s="539"/>
      <c r="LBH4" s="539"/>
      <c r="LBI4" s="539"/>
      <c r="LBJ4" s="539"/>
      <c r="LBK4" s="539"/>
      <c r="LBL4" s="539"/>
      <c r="LBM4" s="539"/>
      <c r="LBN4" s="539"/>
      <c r="LBO4" s="539"/>
      <c r="LBP4" s="539"/>
      <c r="LBQ4" s="539"/>
      <c r="LBR4" s="539"/>
      <c r="LBS4" s="539"/>
      <c r="LBT4" s="539"/>
      <c r="LBU4" s="539"/>
      <c r="LBV4" s="539"/>
      <c r="LBW4" s="539"/>
      <c r="LBX4" s="539"/>
      <c r="LBY4" s="539"/>
      <c r="LBZ4" s="539"/>
      <c r="LCA4" s="539"/>
      <c r="LCB4" s="539"/>
      <c r="LCC4" s="539"/>
      <c r="LCD4" s="539"/>
      <c r="LCE4" s="539"/>
      <c r="LCF4" s="539"/>
      <c r="LCG4" s="539"/>
      <c r="LCH4" s="539"/>
      <c r="LCI4" s="539"/>
      <c r="LCJ4" s="539"/>
      <c r="LCK4" s="539"/>
      <c r="LCL4" s="539"/>
      <c r="LCM4" s="539"/>
      <c r="LCN4" s="539"/>
      <c r="LCO4" s="539"/>
      <c r="LCP4" s="539"/>
      <c r="LCQ4" s="539"/>
      <c r="LCR4" s="539"/>
      <c r="LCS4" s="539"/>
      <c r="LCT4" s="539"/>
      <c r="LCU4" s="539"/>
      <c r="LCV4" s="539"/>
      <c r="LCW4" s="539"/>
      <c r="LCX4" s="539"/>
      <c r="LCY4" s="539"/>
      <c r="LCZ4" s="539"/>
      <c r="LDA4" s="539"/>
      <c r="LDB4" s="539"/>
      <c r="LDC4" s="539"/>
      <c r="LDD4" s="539"/>
      <c r="LDE4" s="539"/>
      <c r="LDF4" s="539"/>
      <c r="LDG4" s="539"/>
      <c r="LDH4" s="539"/>
      <c r="LDI4" s="539"/>
      <c r="LDJ4" s="539"/>
      <c r="LDK4" s="539"/>
      <c r="LDL4" s="539"/>
      <c r="LDM4" s="539"/>
      <c r="LDN4" s="539"/>
      <c r="LDO4" s="539"/>
      <c r="LDP4" s="539"/>
      <c r="LDQ4" s="539"/>
      <c r="LDR4" s="539"/>
      <c r="LDS4" s="539"/>
      <c r="LDT4" s="539"/>
      <c r="LDU4" s="539"/>
      <c r="LDV4" s="539"/>
      <c r="LDW4" s="539"/>
      <c r="LDX4" s="539"/>
      <c r="LDY4" s="539"/>
      <c r="LDZ4" s="539"/>
      <c r="LEA4" s="539"/>
      <c r="LEB4" s="539"/>
      <c r="LEC4" s="539"/>
      <c r="LED4" s="539"/>
      <c r="LEE4" s="539"/>
      <c r="LEF4" s="539"/>
      <c r="LEG4" s="539"/>
      <c r="LEH4" s="539"/>
      <c r="LEI4" s="539"/>
      <c r="LEJ4" s="539"/>
      <c r="LEK4" s="539"/>
      <c r="LEL4" s="539"/>
      <c r="LEM4" s="539"/>
      <c r="LEN4" s="539"/>
      <c r="LEO4" s="539"/>
      <c r="LEP4" s="539"/>
      <c r="LEQ4" s="539"/>
      <c r="LER4" s="539"/>
      <c r="LES4" s="539"/>
      <c r="LET4" s="539"/>
      <c r="LEU4" s="539"/>
      <c r="LEV4" s="539"/>
      <c r="LEW4" s="539"/>
      <c r="LEX4" s="539"/>
      <c r="LEY4" s="539"/>
      <c r="LEZ4" s="539"/>
      <c r="LFA4" s="539"/>
      <c r="LFB4" s="539"/>
      <c r="LFC4" s="539"/>
      <c r="LFD4" s="539"/>
      <c r="LFE4" s="539"/>
      <c r="LFF4" s="539"/>
      <c r="LFG4" s="539"/>
      <c r="LFH4" s="539"/>
      <c r="LFI4" s="539"/>
      <c r="LFJ4" s="539"/>
      <c r="LFK4" s="539"/>
      <c r="LFL4" s="539"/>
      <c r="LFM4" s="539"/>
      <c r="LFN4" s="539"/>
      <c r="LFO4" s="539"/>
      <c r="LFP4" s="539"/>
      <c r="LFQ4" s="539"/>
      <c r="LFR4" s="539"/>
      <c r="LFS4" s="539"/>
      <c r="LFT4" s="539"/>
      <c r="LFU4" s="539"/>
      <c r="LFV4" s="539"/>
      <c r="LFW4" s="539"/>
      <c r="LFX4" s="539"/>
      <c r="LFY4" s="539"/>
      <c r="LFZ4" s="539"/>
      <c r="LGA4" s="539"/>
      <c r="LGB4" s="539"/>
      <c r="LGC4" s="539"/>
      <c r="LGD4" s="539"/>
      <c r="LGE4" s="539"/>
      <c r="LGF4" s="539"/>
      <c r="LGG4" s="539"/>
      <c r="LGH4" s="539"/>
      <c r="LGI4" s="539"/>
      <c r="LGJ4" s="539"/>
      <c r="LGK4" s="539"/>
      <c r="LGL4" s="539"/>
      <c r="LGM4" s="539"/>
      <c r="LGN4" s="539"/>
      <c r="LGO4" s="539"/>
      <c r="LGP4" s="539"/>
      <c r="LGQ4" s="539"/>
      <c r="LGR4" s="539"/>
      <c r="LGS4" s="539"/>
      <c r="LGT4" s="539"/>
      <c r="LGU4" s="539"/>
      <c r="LGV4" s="539"/>
      <c r="LGW4" s="539"/>
      <c r="LGX4" s="539"/>
      <c r="LGY4" s="539"/>
      <c r="LGZ4" s="539"/>
      <c r="LHA4" s="539"/>
      <c r="LHB4" s="539"/>
      <c r="LHC4" s="539"/>
      <c r="LHD4" s="539"/>
      <c r="LHE4" s="539"/>
      <c r="LHF4" s="539"/>
      <c r="LHG4" s="539"/>
      <c r="LHH4" s="539"/>
      <c r="LHI4" s="539"/>
      <c r="LHJ4" s="539"/>
      <c r="LHK4" s="539"/>
      <c r="LHL4" s="539"/>
      <c r="LHM4" s="539"/>
      <c r="LHN4" s="539"/>
      <c r="LHO4" s="539"/>
      <c r="LHP4" s="539"/>
      <c r="LHQ4" s="539"/>
      <c r="LHR4" s="539"/>
      <c r="LHS4" s="539"/>
      <c r="LHT4" s="539"/>
      <c r="LHU4" s="539"/>
      <c r="LHV4" s="539"/>
      <c r="LHW4" s="539"/>
      <c r="LHX4" s="539"/>
      <c r="LHY4" s="539"/>
      <c r="LHZ4" s="539"/>
      <c r="LIA4" s="539"/>
      <c r="LIB4" s="539"/>
      <c r="LIC4" s="539"/>
      <c r="LID4" s="539"/>
      <c r="LIE4" s="539"/>
      <c r="LIF4" s="539"/>
      <c r="LIG4" s="539"/>
      <c r="LIH4" s="539"/>
      <c r="LII4" s="539"/>
      <c r="LIJ4" s="539"/>
      <c r="LIK4" s="539"/>
      <c r="LIL4" s="539"/>
      <c r="LIM4" s="539"/>
      <c r="LIN4" s="539"/>
      <c r="LIO4" s="539"/>
      <c r="LIP4" s="539"/>
      <c r="LIQ4" s="539"/>
      <c r="LIR4" s="539"/>
      <c r="LIS4" s="539"/>
      <c r="LIT4" s="539"/>
      <c r="LIU4" s="539"/>
      <c r="LIV4" s="539"/>
      <c r="LIW4" s="539"/>
      <c r="LIX4" s="539"/>
      <c r="LIY4" s="539"/>
      <c r="LIZ4" s="539"/>
      <c r="LJA4" s="539"/>
      <c r="LJB4" s="539"/>
      <c r="LJC4" s="539"/>
      <c r="LJD4" s="539"/>
      <c r="LJE4" s="539"/>
      <c r="LJF4" s="539"/>
      <c r="LJG4" s="539"/>
      <c r="LJH4" s="539"/>
      <c r="LJI4" s="539"/>
      <c r="LJJ4" s="539"/>
      <c r="LJK4" s="539"/>
      <c r="LJL4" s="539"/>
      <c r="LJM4" s="539"/>
      <c r="LJN4" s="539"/>
      <c r="LJO4" s="539"/>
      <c r="LJP4" s="539"/>
      <c r="LJQ4" s="539"/>
      <c r="LJR4" s="539"/>
      <c r="LJS4" s="539"/>
      <c r="LJT4" s="539"/>
      <c r="LJU4" s="539"/>
      <c r="LJV4" s="539"/>
      <c r="LJW4" s="539"/>
      <c r="LJX4" s="539"/>
      <c r="LJY4" s="539"/>
      <c r="LJZ4" s="539"/>
      <c r="LKA4" s="539"/>
      <c r="LKB4" s="539"/>
      <c r="LKC4" s="539"/>
      <c r="LKD4" s="539"/>
      <c r="LKE4" s="539"/>
      <c r="LKF4" s="539"/>
      <c r="LKG4" s="539"/>
      <c r="LKH4" s="539"/>
      <c r="LKI4" s="539"/>
      <c r="LKJ4" s="539"/>
      <c r="LKK4" s="539"/>
      <c r="LKL4" s="539"/>
      <c r="LKM4" s="539"/>
      <c r="LKN4" s="539"/>
      <c r="LKO4" s="539"/>
      <c r="LKP4" s="539"/>
      <c r="LKQ4" s="539"/>
      <c r="LKR4" s="539"/>
      <c r="LKS4" s="539"/>
      <c r="LKT4" s="539"/>
      <c r="LKU4" s="539"/>
      <c r="LKV4" s="539"/>
      <c r="LKW4" s="539"/>
      <c r="LKX4" s="539"/>
      <c r="LKY4" s="539"/>
      <c r="LKZ4" s="539"/>
      <c r="LLA4" s="539"/>
      <c r="LLB4" s="539"/>
      <c r="LLC4" s="539"/>
      <c r="LLD4" s="539"/>
      <c r="LLE4" s="539"/>
      <c r="LLF4" s="539"/>
      <c r="LLG4" s="539"/>
      <c r="LLH4" s="539"/>
      <c r="LLI4" s="539"/>
      <c r="LLJ4" s="539"/>
      <c r="LLK4" s="539"/>
      <c r="LLL4" s="539"/>
      <c r="LLM4" s="539"/>
      <c r="LLN4" s="539"/>
      <c r="LLO4" s="539"/>
      <c r="LLP4" s="539"/>
      <c r="LLQ4" s="539"/>
      <c r="LLR4" s="539"/>
      <c r="LLS4" s="539"/>
      <c r="LLT4" s="539"/>
      <c r="LLU4" s="539"/>
      <c r="LLV4" s="539"/>
      <c r="LLW4" s="539"/>
      <c r="LLX4" s="539"/>
      <c r="LLY4" s="539"/>
      <c r="LLZ4" s="539"/>
      <c r="LMA4" s="539"/>
      <c r="LMB4" s="539"/>
      <c r="LMC4" s="539"/>
      <c r="LMD4" s="539"/>
      <c r="LME4" s="539"/>
      <c r="LMF4" s="539"/>
      <c r="LMG4" s="539"/>
      <c r="LMH4" s="539"/>
      <c r="LMI4" s="539"/>
      <c r="LMJ4" s="539"/>
      <c r="LMK4" s="539"/>
      <c r="LML4" s="539"/>
      <c r="LMM4" s="539"/>
      <c r="LMN4" s="539"/>
      <c r="LMO4" s="539"/>
      <c r="LMP4" s="539"/>
      <c r="LMQ4" s="539"/>
      <c r="LMR4" s="539"/>
      <c r="LMS4" s="539"/>
      <c r="LMT4" s="539"/>
      <c r="LMU4" s="539"/>
      <c r="LMV4" s="539"/>
      <c r="LMW4" s="539"/>
      <c r="LMX4" s="539"/>
      <c r="LMY4" s="539"/>
      <c r="LMZ4" s="539"/>
      <c r="LNA4" s="539"/>
      <c r="LNB4" s="539"/>
      <c r="LNC4" s="539"/>
      <c r="LND4" s="539"/>
      <c r="LNE4" s="539"/>
      <c r="LNF4" s="539"/>
      <c r="LNG4" s="539"/>
      <c r="LNH4" s="539"/>
      <c r="LNI4" s="539"/>
      <c r="LNJ4" s="539"/>
      <c r="LNK4" s="539"/>
      <c r="LNL4" s="539"/>
      <c r="LNM4" s="539"/>
      <c r="LNN4" s="539"/>
      <c r="LNO4" s="539"/>
      <c r="LNP4" s="539"/>
      <c r="LNQ4" s="539"/>
      <c r="LNR4" s="539"/>
      <c r="LNS4" s="539"/>
      <c r="LNT4" s="539"/>
      <c r="LNU4" s="539"/>
      <c r="LNV4" s="539"/>
      <c r="LNW4" s="539"/>
      <c r="LNX4" s="539"/>
      <c r="LNY4" s="539"/>
      <c r="LNZ4" s="539"/>
      <c r="LOA4" s="539"/>
      <c r="LOB4" s="539"/>
      <c r="LOC4" s="539"/>
      <c r="LOD4" s="539"/>
      <c r="LOE4" s="539"/>
      <c r="LOF4" s="539"/>
      <c r="LOG4" s="539"/>
      <c r="LOH4" s="539"/>
      <c r="LOI4" s="539"/>
      <c r="LOJ4" s="539"/>
      <c r="LOK4" s="539"/>
      <c r="LOL4" s="539"/>
      <c r="LOM4" s="539"/>
      <c r="LON4" s="539"/>
      <c r="LOO4" s="539"/>
      <c r="LOP4" s="539"/>
      <c r="LOQ4" s="539"/>
      <c r="LOR4" s="539"/>
      <c r="LOS4" s="539"/>
      <c r="LOT4" s="539"/>
      <c r="LOU4" s="539"/>
      <c r="LOV4" s="539"/>
      <c r="LOW4" s="539"/>
      <c r="LOX4" s="539"/>
      <c r="LOY4" s="539"/>
      <c r="LOZ4" s="539"/>
      <c r="LPA4" s="539"/>
      <c r="LPB4" s="539"/>
      <c r="LPC4" s="539"/>
      <c r="LPD4" s="539"/>
      <c r="LPE4" s="539"/>
      <c r="LPF4" s="539"/>
      <c r="LPG4" s="539"/>
      <c r="LPH4" s="539"/>
      <c r="LPI4" s="539"/>
      <c r="LPJ4" s="539"/>
      <c r="LPK4" s="539"/>
      <c r="LPL4" s="539"/>
      <c r="LPM4" s="539"/>
      <c r="LPN4" s="539"/>
      <c r="LPO4" s="539"/>
      <c r="LPP4" s="539"/>
      <c r="LPQ4" s="539"/>
      <c r="LPR4" s="539"/>
      <c r="LPS4" s="539"/>
      <c r="LPT4" s="539"/>
      <c r="LPU4" s="539"/>
      <c r="LPV4" s="539"/>
      <c r="LPW4" s="539"/>
      <c r="LPX4" s="539"/>
      <c r="LPY4" s="539"/>
      <c r="LPZ4" s="539"/>
      <c r="LQA4" s="539"/>
      <c r="LQB4" s="539"/>
      <c r="LQC4" s="539"/>
      <c r="LQD4" s="539"/>
      <c r="LQE4" s="539"/>
      <c r="LQF4" s="539"/>
      <c r="LQG4" s="539"/>
      <c r="LQH4" s="539"/>
      <c r="LQI4" s="539"/>
      <c r="LQJ4" s="539"/>
      <c r="LQK4" s="539"/>
      <c r="LQL4" s="539"/>
      <c r="LQM4" s="539"/>
      <c r="LQN4" s="539"/>
      <c r="LQO4" s="539"/>
      <c r="LQP4" s="539"/>
      <c r="LQQ4" s="539"/>
      <c r="LQR4" s="539"/>
      <c r="LQS4" s="539"/>
      <c r="LQT4" s="539"/>
      <c r="LQU4" s="539"/>
      <c r="LQV4" s="539"/>
      <c r="LQW4" s="539"/>
      <c r="LQX4" s="539"/>
      <c r="LQY4" s="539"/>
      <c r="LQZ4" s="539"/>
      <c r="LRA4" s="539"/>
      <c r="LRB4" s="539"/>
      <c r="LRC4" s="539"/>
      <c r="LRD4" s="539"/>
      <c r="LRE4" s="539"/>
      <c r="LRF4" s="539"/>
      <c r="LRG4" s="539"/>
      <c r="LRH4" s="539"/>
      <c r="LRI4" s="539"/>
      <c r="LRJ4" s="539"/>
      <c r="LRK4" s="539"/>
      <c r="LRL4" s="539"/>
      <c r="LRM4" s="539"/>
      <c r="LRN4" s="539"/>
      <c r="LRO4" s="539"/>
      <c r="LRP4" s="539"/>
      <c r="LRQ4" s="539"/>
      <c r="LRR4" s="539"/>
      <c r="LRS4" s="539"/>
      <c r="LRT4" s="539"/>
      <c r="LRU4" s="539"/>
      <c r="LRV4" s="539"/>
      <c r="LRW4" s="539"/>
      <c r="LRX4" s="539"/>
      <c r="LRY4" s="539"/>
      <c r="LRZ4" s="539"/>
      <c r="LSA4" s="539"/>
      <c r="LSB4" s="539"/>
      <c r="LSC4" s="539"/>
      <c r="LSD4" s="539"/>
      <c r="LSE4" s="539"/>
      <c r="LSF4" s="539"/>
      <c r="LSG4" s="539"/>
      <c r="LSH4" s="539"/>
      <c r="LSI4" s="539"/>
      <c r="LSJ4" s="539"/>
      <c r="LSK4" s="539"/>
      <c r="LSL4" s="539"/>
      <c r="LSM4" s="539"/>
      <c r="LSN4" s="539"/>
      <c r="LSO4" s="539"/>
      <c r="LSP4" s="539"/>
      <c r="LSQ4" s="539"/>
      <c r="LSR4" s="539"/>
      <c r="LSS4" s="539"/>
      <c r="LST4" s="539"/>
      <c r="LSU4" s="539"/>
      <c r="LSV4" s="539"/>
      <c r="LSW4" s="539"/>
      <c r="LSX4" s="539"/>
      <c r="LSY4" s="539"/>
      <c r="LSZ4" s="539"/>
      <c r="LTA4" s="539"/>
      <c r="LTB4" s="539"/>
      <c r="LTC4" s="539"/>
      <c r="LTD4" s="539"/>
      <c r="LTE4" s="539"/>
      <c r="LTF4" s="539"/>
      <c r="LTG4" s="539"/>
      <c r="LTH4" s="539"/>
      <c r="LTI4" s="539"/>
      <c r="LTJ4" s="539"/>
      <c r="LTK4" s="539"/>
      <c r="LTL4" s="539"/>
      <c r="LTM4" s="539"/>
      <c r="LTN4" s="539"/>
      <c r="LTO4" s="539"/>
      <c r="LTP4" s="539"/>
      <c r="LTQ4" s="539"/>
      <c r="LTR4" s="539"/>
      <c r="LTS4" s="539"/>
      <c r="LTT4" s="539"/>
      <c r="LTU4" s="539"/>
      <c r="LTV4" s="539"/>
      <c r="LTW4" s="539"/>
      <c r="LTX4" s="539"/>
      <c r="LTY4" s="539"/>
      <c r="LTZ4" s="539"/>
      <c r="LUA4" s="539"/>
      <c r="LUB4" s="539"/>
      <c r="LUC4" s="539"/>
      <c r="LUD4" s="539"/>
      <c r="LUE4" s="539"/>
      <c r="LUF4" s="539"/>
      <c r="LUG4" s="539"/>
      <c r="LUH4" s="539"/>
      <c r="LUI4" s="539"/>
      <c r="LUJ4" s="539"/>
      <c r="LUK4" s="539"/>
      <c r="LUL4" s="539"/>
      <c r="LUM4" s="539"/>
      <c r="LUN4" s="539"/>
      <c r="LUO4" s="539"/>
      <c r="LUP4" s="539"/>
      <c r="LUQ4" s="539"/>
      <c r="LUR4" s="539"/>
      <c r="LUS4" s="539"/>
      <c r="LUT4" s="539"/>
      <c r="LUU4" s="539"/>
      <c r="LUV4" s="539"/>
      <c r="LUW4" s="539"/>
      <c r="LUX4" s="539"/>
      <c r="LUY4" s="539"/>
      <c r="LUZ4" s="539"/>
      <c r="LVA4" s="539"/>
      <c r="LVB4" s="539"/>
      <c r="LVC4" s="539"/>
      <c r="LVD4" s="539"/>
      <c r="LVE4" s="539"/>
      <c r="LVF4" s="539"/>
      <c r="LVG4" s="539"/>
      <c r="LVH4" s="539"/>
      <c r="LVI4" s="539"/>
      <c r="LVJ4" s="539"/>
      <c r="LVK4" s="539"/>
      <c r="LVL4" s="539"/>
      <c r="LVM4" s="539"/>
      <c r="LVN4" s="539"/>
      <c r="LVO4" s="539"/>
      <c r="LVP4" s="539"/>
      <c r="LVQ4" s="539"/>
      <c r="LVR4" s="539"/>
      <c r="LVS4" s="539"/>
      <c r="LVT4" s="539"/>
      <c r="LVU4" s="539"/>
      <c r="LVV4" s="539"/>
      <c r="LVW4" s="539"/>
      <c r="LVX4" s="539"/>
      <c r="LVY4" s="539"/>
      <c r="LVZ4" s="539"/>
      <c r="LWA4" s="539"/>
      <c r="LWB4" s="539"/>
      <c r="LWC4" s="539"/>
      <c r="LWD4" s="539"/>
      <c r="LWE4" s="539"/>
      <c r="LWF4" s="539"/>
      <c r="LWG4" s="539"/>
      <c r="LWH4" s="539"/>
      <c r="LWI4" s="539"/>
      <c r="LWJ4" s="539"/>
      <c r="LWK4" s="539"/>
      <c r="LWL4" s="539"/>
      <c r="LWM4" s="539"/>
      <c r="LWN4" s="539"/>
      <c r="LWO4" s="539"/>
      <c r="LWP4" s="539"/>
      <c r="LWQ4" s="539"/>
      <c r="LWR4" s="539"/>
      <c r="LWS4" s="539"/>
      <c r="LWT4" s="539"/>
      <c r="LWU4" s="539"/>
      <c r="LWV4" s="539"/>
      <c r="LWW4" s="539"/>
      <c r="LWX4" s="539"/>
      <c r="LWY4" s="539"/>
      <c r="LWZ4" s="539"/>
      <c r="LXA4" s="539"/>
      <c r="LXB4" s="539"/>
      <c r="LXC4" s="539"/>
      <c r="LXD4" s="539"/>
      <c r="LXE4" s="539"/>
      <c r="LXF4" s="539"/>
      <c r="LXG4" s="539"/>
      <c r="LXH4" s="539"/>
      <c r="LXI4" s="539"/>
      <c r="LXJ4" s="539"/>
      <c r="LXK4" s="539"/>
      <c r="LXL4" s="539"/>
      <c r="LXM4" s="539"/>
      <c r="LXN4" s="539"/>
      <c r="LXO4" s="539"/>
      <c r="LXP4" s="539"/>
      <c r="LXQ4" s="539"/>
      <c r="LXR4" s="539"/>
      <c r="LXS4" s="539"/>
      <c r="LXT4" s="539"/>
      <c r="LXU4" s="539"/>
      <c r="LXV4" s="539"/>
      <c r="LXW4" s="539"/>
      <c r="LXX4" s="539"/>
      <c r="LXY4" s="539"/>
      <c r="LXZ4" s="539"/>
      <c r="LYA4" s="539"/>
      <c r="LYB4" s="539"/>
      <c r="LYC4" s="539"/>
      <c r="LYD4" s="539"/>
      <c r="LYE4" s="539"/>
      <c r="LYF4" s="539"/>
      <c r="LYG4" s="539"/>
      <c r="LYH4" s="539"/>
      <c r="LYI4" s="539"/>
      <c r="LYJ4" s="539"/>
      <c r="LYK4" s="539"/>
      <c r="LYL4" s="539"/>
      <c r="LYM4" s="539"/>
      <c r="LYN4" s="539"/>
      <c r="LYO4" s="539"/>
      <c r="LYP4" s="539"/>
      <c r="LYQ4" s="539"/>
      <c r="LYR4" s="539"/>
      <c r="LYS4" s="539"/>
      <c r="LYT4" s="539"/>
      <c r="LYU4" s="539"/>
      <c r="LYV4" s="539"/>
      <c r="LYW4" s="539"/>
      <c r="LYX4" s="539"/>
      <c r="LYY4" s="539"/>
      <c r="LYZ4" s="539"/>
      <c r="LZA4" s="539"/>
      <c r="LZB4" s="539"/>
      <c r="LZC4" s="539"/>
      <c r="LZD4" s="539"/>
      <c r="LZE4" s="539"/>
      <c r="LZF4" s="539"/>
      <c r="LZG4" s="539"/>
      <c r="LZH4" s="539"/>
      <c r="LZI4" s="539"/>
      <c r="LZJ4" s="539"/>
      <c r="LZK4" s="539"/>
      <c r="LZL4" s="539"/>
      <c r="LZM4" s="539"/>
      <c r="LZN4" s="539"/>
      <c r="LZO4" s="539"/>
      <c r="LZP4" s="539"/>
      <c r="LZQ4" s="539"/>
      <c r="LZR4" s="539"/>
      <c r="LZS4" s="539"/>
      <c r="LZT4" s="539"/>
      <c r="LZU4" s="539"/>
      <c r="LZV4" s="539"/>
      <c r="LZW4" s="539"/>
      <c r="LZX4" s="539"/>
      <c r="LZY4" s="539"/>
      <c r="LZZ4" s="539"/>
      <c r="MAA4" s="539"/>
      <c r="MAB4" s="539"/>
      <c r="MAC4" s="539"/>
      <c r="MAD4" s="539"/>
      <c r="MAE4" s="539"/>
      <c r="MAF4" s="539"/>
      <c r="MAG4" s="539"/>
      <c r="MAH4" s="539"/>
      <c r="MAI4" s="539"/>
      <c r="MAJ4" s="539"/>
      <c r="MAK4" s="539"/>
      <c r="MAL4" s="539"/>
      <c r="MAM4" s="539"/>
      <c r="MAN4" s="539"/>
      <c r="MAO4" s="539"/>
      <c r="MAP4" s="539"/>
      <c r="MAQ4" s="539"/>
      <c r="MAR4" s="539"/>
      <c r="MAS4" s="539"/>
      <c r="MAT4" s="539"/>
      <c r="MAU4" s="539"/>
      <c r="MAV4" s="539"/>
      <c r="MAW4" s="539"/>
      <c r="MAX4" s="539"/>
      <c r="MAY4" s="539"/>
      <c r="MAZ4" s="539"/>
      <c r="MBA4" s="539"/>
      <c r="MBB4" s="539"/>
      <c r="MBC4" s="539"/>
      <c r="MBD4" s="539"/>
      <c r="MBE4" s="539"/>
      <c r="MBF4" s="539"/>
      <c r="MBG4" s="539"/>
      <c r="MBH4" s="539"/>
      <c r="MBI4" s="539"/>
      <c r="MBJ4" s="539"/>
      <c r="MBK4" s="539"/>
      <c r="MBL4" s="539"/>
      <c r="MBM4" s="539"/>
      <c r="MBN4" s="539"/>
      <c r="MBO4" s="539"/>
      <c r="MBP4" s="539"/>
      <c r="MBQ4" s="539"/>
      <c r="MBR4" s="539"/>
      <c r="MBS4" s="539"/>
      <c r="MBT4" s="539"/>
      <c r="MBU4" s="539"/>
      <c r="MBV4" s="539"/>
      <c r="MBW4" s="539"/>
      <c r="MBX4" s="539"/>
      <c r="MBY4" s="539"/>
      <c r="MBZ4" s="539"/>
      <c r="MCA4" s="539"/>
      <c r="MCB4" s="539"/>
      <c r="MCC4" s="539"/>
      <c r="MCD4" s="539"/>
      <c r="MCE4" s="539"/>
      <c r="MCF4" s="539"/>
      <c r="MCG4" s="539"/>
      <c r="MCH4" s="539"/>
      <c r="MCI4" s="539"/>
      <c r="MCJ4" s="539"/>
      <c r="MCK4" s="539"/>
      <c r="MCL4" s="539"/>
      <c r="MCM4" s="539"/>
      <c r="MCN4" s="539"/>
      <c r="MCO4" s="539"/>
      <c r="MCP4" s="539"/>
      <c r="MCQ4" s="539"/>
      <c r="MCR4" s="539"/>
      <c r="MCS4" s="539"/>
      <c r="MCT4" s="539"/>
      <c r="MCU4" s="539"/>
      <c r="MCV4" s="539"/>
      <c r="MCW4" s="539"/>
      <c r="MCX4" s="539"/>
      <c r="MCY4" s="539"/>
      <c r="MCZ4" s="539"/>
      <c r="MDA4" s="539"/>
      <c r="MDB4" s="539"/>
      <c r="MDC4" s="539"/>
      <c r="MDD4" s="539"/>
      <c r="MDE4" s="539"/>
      <c r="MDF4" s="539"/>
      <c r="MDG4" s="539"/>
      <c r="MDH4" s="539"/>
      <c r="MDI4" s="539"/>
      <c r="MDJ4" s="539"/>
      <c r="MDK4" s="539"/>
      <c r="MDL4" s="539"/>
      <c r="MDM4" s="539"/>
      <c r="MDN4" s="539"/>
      <c r="MDO4" s="539"/>
      <c r="MDP4" s="539"/>
      <c r="MDQ4" s="539"/>
      <c r="MDR4" s="539"/>
      <c r="MDS4" s="539"/>
      <c r="MDT4" s="539"/>
      <c r="MDU4" s="539"/>
      <c r="MDV4" s="539"/>
      <c r="MDW4" s="539"/>
      <c r="MDX4" s="539"/>
      <c r="MDY4" s="539"/>
      <c r="MDZ4" s="539"/>
      <c r="MEA4" s="539"/>
      <c r="MEB4" s="539"/>
      <c r="MEC4" s="539"/>
      <c r="MED4" s="539"/>
      <c r="MEE4" s="539"/>
      <c r="MEF4" s="539"/>
      <c r="MEG4" s="539"/>
      <c r="MEH4" s="539"/>
      <c r="MEI4" s="539"/>
      <c r="MEJ4" s="539"/>
      <c r="MEK4" s="539"/>
      <c r="MEL4" s="539"/>
      <c r="MEM4" s="539"/>
      <c r="MEN4" s="539"/>
      <c r="MEO4" s="539"/>
      <c r="MEP4" s="539"/>
      <c r="MEQ4" s="539"/>
      <c r="MER4" s="539"/>
      <c r="MES4" s="539"/>
      <c r="MET4" s="539"/>
      <c r="MEU4" s="539"/>
      <c r="MEV4" s="539"/>
      <c r="MEW4" s="539"/>
      <c r="MEX4" s="539"/>
      <c r="MEY4" s="539"/>
      <c r="MEZ4" s="539"/>
      <c r="MFA4" s="539"/>
      <c r="MFB4" s="539"/>
      <c r="MFC4" s="539"/>
      <c r="MFD4" s="539"/>
      <c r="MFE4" s="539"/>
      <c r="MFF4" s="539"/>
      <c r="MFG4" s="539"/>
      <c r="MFH4" s="539"/>
      <c r="MFI4" s="539"/>
      <c r="MFJ4" s="539"/>
      <c r="MFK4" s="539"/>
      <c r="MFL4" s="539"/>
      <c r="MFM4" s="539"/>
      <c r="MFN4" s="539"/>
      <c r="MFO4" s="539"/>
      <c r="MFP4" s="539"/>
      <c r="MFQ4" s="539"/>
      <c r="MFR4" s="539"/>
      <c r="MFS4" s="539"/>
      <c r="MFT4" s="539"/>
      <c r="MFU4" s="539"/>
      <c r="MFV4" s="539"/>
      <c r="MFW4" s="539"/>
      <c r="MFX4" s="539"/>
      <c r="MFY4" s="539"/>
      <c r="MFZ4" s="539"/>
      <c r="MGA4" s="539"/>
      <c r="MGB4" s="539"/>
      <c r="MGC4" s="539"/>
      <c r="MGD4" s="539"/>
      <c r="MGE4" s="539"/>
      <c r="MGF4" s="539"/>
      <c r="MGG4" s="539"/>
      <c r="MGH4" s="539"/>
      <c r="MGI4" s="539"/>
      <c r="MGJ4" s="539"/>
      <c r="MGK4" s="539"/>
      <c r="MGL4" s="539"/>
      <c r="MGM4" s="539"/>
      <c r="MGN4" s="539"/>
      <c r="MGO4" s="539"/>
      <c r="MGP4" s="539"/>
      <c r="MGQ4" s="539"/>
      <c r="MGR4" s="539"/>
      <c r="MGS4" s="539"/>
      <c r="MGT4" s="539"/>
      <c r="MGU4" s="539"/>
      <c r="MGV4" s="539"/>
      <c r="MGW4" s="539"/>
      <c r="MGX4" s="539"/>
      <c r="MGY4" s="539"/>
      <c r="MGZ4" s="539"/>
      <c r="MHA4" s="539"/>
      <c r="MHB4" s="539"/>
      <c r="MHC4" s="539"/>
      <c r="MHD4" s="539"/>
      <c r="MHE4" s="539"/>
      <c r="MHF4" s="539"/>
      <c r="MHG4" s="539"/>
      <c r="MHH4" s="539"/>
      <c r="MHI4" s="539"/>
      <c r="MHJ4" s="539"/>
      <c r="MHK4" s="539"/>
      <c r="MHL4" s="539"/>
      <c r="MHM4" s="539"/>
      <c r="MHN4" s="539"/>
      <c r="MHO4" s="539"/>
      <c r="MHP4" s="539"/>
      <c r="MHQ4" s="539"/>
      <c r="MHR4" s="539"/>
      <c r="MHS4" s="539"/>
      <c r="MHT4" s="539"/>
      <c r="MHU4" s="539"/>
      <c r="MHV4" s="539"/>
      <c r="MHW4" s="539"/>
      <c r="MHX4" s="539"/>
      <c r="MHY4" s="539"/>
      <c r="MHZ4" s="539"/>
      <c r="MIA4" s="539"/>
      <c r="MIB4" s="539"/>
      <c r="MIC4" s="539"/>
      <c r="MID4" s="539"/>
      <c r="MIE4" s="539"/>
      <c r="MIF4" s="539"/>
      <c r="MIG4" s="539"/>
      <c r="MIH4" s="539"/>
      <c r="MII4" s="539"/>
      <c r="MIJ4" s="539"/>
      <c r="MIK4" s="539"/>
      <c r="MIL4" s="539"/>
      <c r="MIM4" s="539"/>
      <c r="MIN4" s="539"/>
      <c r="MIO4" s="539"/>
      <c r="MIP4" s="539"/>
      <c r="MIQ4" s="539"/>
      <c r="MIR4" s="539"/>
      <c r="MIS4" s="539"/>
      <c r="MIT4" s="539"/>
      <c r="MIU4" s="539"/>
      <c r="MIV4" s="539"/>
      <c r="MIW4" s="539"/>
      <c r="MIX4" s="539"/>
      <c r="MIY4" s="539"/>
      <c r="MIZ4" s="539"/>
      <c r="MJA4" s="539"/>
      <c r="MJB4" s="539"/>
      <c r="MJC4" s="539"/>
      <c r="MJD4" s="539"/>
      <c r="MJE4" s="539"/>
      <c r="MJF4" s="539"/>
      <c r="MJG4" s="539"/>
      <c r="MJH4" s="539"/>
      <c r="MJI4" s="539"/>
      <c r="MJJ4" s="539"/>
      <c r="MJK4" s="539"/>
      <c r="MJL4" s="539"/>
      <c r="MJM4" s="539"/>
      <c r="MJN4" s="539"/>
      <c r="MJO4" s="539"/>
      <c r="MJP4" s="539"/>
      <c r="MJQ4" s="539"/>
      <c r="MJR4" s="539"/>
      <c r="MJS4" s="539"/>
      <c r="MJT4" s="539"/>
      <c r="MJU4" s="539"/>
      <c r="MJV4" s="539"/>
      <c r="MJW4" s="539"/>
      <c r="MJX4" s="539"/>
      <c r="MJY4" s="539"/>
      <c r="MJZ4" s="539"/>
      <c r="MKA4" s="539"/>
      <c r="MKB4" s="539"/>
      <c r="MKC4" s="539"/>
      <c r="MKD4" s="539"/>
      <c r="MKE4" s="539"/>
      <c r="MKF4" s="539"/>
      <c r="MKG4" s="539"/>
      <c r="MKH4" s="539"/>
      <c r="MKI4" s="539"/>
      <c r="MKJ4" s="539"/>
      <c r="MKK4" s="539"/>
      <c r="MKL4" s="539"/>
      <c r="MKM4" s="539"/>
      <c r="MKN4" s="539"/>
      <c r="MKO4" s="539"/>
      <c r="MKP4" s="539"/>
      <c r="MKQ4" s="539"/>
      <c r="MKR4" s="539"/>
      <c r="MKS4" s="539"/>
      <c r="MKT4" s="539"/>
      <c r="MKU4" s="539"/>
      <c r="MKV4" s="539"/>
      <c r="MKW4" s="539"/>
      <c r="MKX4" s="539"/>
      <c r="MKY4" s="539"/>
      <c r="MKZ4" s="539"/>
      <c r="MLA4" s="539"/>
      <c r="MLB4" s="539"/>
      <c r="MLC4" s="539"/>
      <c r="MLD4" s="539"/>
      <c r="MLE4" s="539"/>
      <c r="MLF4" s="539"/>
      <c r="MLG4" s="539"/>
      <c r="MLH4" s="539"/>
      <c r="MLI4" s="539"/>
      <c r="MLJ4" s="539"/>
      <c r="MLK4" s="539"/>
      <c r="MLL4" s="539"/>
      <c r="MLM4" s="539"/>
      <c r="MLN4" s="539"/>
      <c r="MLO4" s="539"/>
      <c r="MLP4" s="539"/>
      <c r="MLQ4" s="539"/>
      <c r="MLR4" s="539"/>
      <c r="MLS4" s="539"/>
      <c r="MLT4" s="539"/>
      <c r="MLU4" s="539"/>
      <c r="MLV4" s="539"/>
      <c r="MLW4" s="539"/>
      <c r="MLX4" s="539"/>
      <c r="MLY4" s="539"/>
      <c r="MLZ4" s="539"/>
      <c r="MMA4" s="539"/>
      <c r="MMB4" s="539"/>
      <c r="MMC4" s="539"/>
      <c r="MMD4" s="539"/>
      <c r="MME4" s="539"/>
      <c r="MMF4" s="539"/>
      <c r="MMG4" s="539"/>
      <c r="MMH4" s="539"/>
      <c r="MMI4" s="539"/>
      <c r="MMJ4" s="539"/>
      <c r="MMK4" s="539"/>
      <c r="MML4" s="539"/>
      <c r="MMM4" s="539"/>
      <c r="MMN4" s="539"/>
      <c r="MMO4" s="539"/>
      <c r="MMP4" s="539"/>
      <c r="MMQ4" s="539"/>
      <c r="MMR4" s="539"/>
      <c r="MMS4" s="539"/>
      <c r="MMT4" s="539"/>
      <c r="MMU4" s="539"/>
      <c r="MMV4" s="539"/>
      <c r="MMW4" s="539"/>
      <c r="MMX4" s="539"/>
      <c r="MMY4" s="539"/>
      <c r="MMZ4" s="539"/>
      <c r="MNA4" s="539"/>
      <c r="MNB4" s="539"/>
      <c r="MNC4" s="539"/>
      <c r="MND4" s="539"/>
      <c r="MNE4" s="539"/>
      <c r="MNF4" s="539"/>
      <c r="MNG4" s="539"/>
      <c r="MNH4" s="539"/>
      <c r="MNI4" s="539"/>
      <c r="MNJ4" s="539"/>
      <c r="MNK4" s="539"/>
      <c r="MNL4" s="539"/>
      <c r="MNM4" s="539"/>
      <c r="MNN4" s="539"/>
      <c r="MNO4" s="539"/>
      <c r="MNP4" s="539"/>
      <c r="MNQ4" s="539"/>
      <c r="MNR4" s="539"/>
      <c r="MNS4" s="539"/>
      <c r="MNT4" s="539"/>
      <c r="MNU4" s="539"/>
      <c r="MNV4" s="539"/>
      <c r="MNW4" s="539"/>
      <c r="MNX4" s="539"/>
      <c r="MNY4" s="539"/>
      <c r="MNZ4" s="539"/>
      <c r="MOA4" s="539"/>
      <c r="MOB4" s="539"/>
      <c r="MOC4" s="539"/>
      <c r="MOD4" s="539"/>
      <c r="MOE4" s="539"/>
      <c r="MOF4" s="539"/>
      <c r="MOG4" s="539"/>
      <c r="MOH4" s="539"/>
      <c r="MOI4" s="539"/>
      <c r="MOJ4" s="539"/>
      <c r="MOK4" s="539"/>
      <c r="MOL4" s="539"/>
      <c r="MOM4" s="539"/>
      <c r="MON4" s="539"/>
      <c r="MOO4" s="539"/>
      <c r="MOP4" s="539"/>
      <c r="MOQ4" s="539"/>
      <c r="MOR4" s="539"/>
      <c r="MOS4" s="539"/>
      <c r="MOT4" s="539"/>
      <c r="MOU4" s="539"/>
      <c r="MOV4" s="539"/>
      <c r="MOW4" s="539"/>
      <c r="MOX4" s="539"/>
      <c r="MOY4" s="539"/>
      <c r="MOZ4" s="539"/>
      <c r="MPA4" s="539"/>
      <c r="MPB4" s="539"/>
      <c r="MPC4" s="539"/>
      <c r="MPD4" s="539"/>
      <c r="MPE4" s="539"/>
      <c r="MPF4" s="539"/>
      <c r="MPG4" s="539"/>
      <c r="MPH4" s="539"/>
      <c r="MPI4" s="539"/>
      <c r="MPJ4" s="539"/>
      <c r="MPK4" s="539"/>
      <c r="MPL4" s="539"/>
      <c r="MPM4" s="539"/>
      <c r="MPN4" s="539"/>
      <c r="MPO4" s="539"/>
      <c r="MPP4" s="539"/>
      <c r="MPQ4" s="539"/>
      <c r="MPR4" s="539"/>
      <c r="MPS4" s="539"/>
      <c r="MPT4" s="539"/>
      <c r="MPU4" s="539"/>
      <c r="MPV4" s="539"/>
      <c r="MPW4" s="539"/>
      <c r="MPX4" s="539"/>
      <c r="MPY4" s="539"/>
      <c r="MPZ4" s="539"/>
      <c r="MQA4" s="539"/>
      <c r="MQB4" s="539"/>
      <c r="MQC4" s="539"/>
      <c r="MQD4" s="539"/>
      <c r="MQE4" s="539"/>
      <c r="MQF4" s="539"/>
      <c r="MQG4" s="539"/>
      <c r="MQH4" s="539"/>
      <c r="MQI4" s="539"/>
      <c r="MQJ4" s="539"/>
      <c r="MQK4" s="539"/>
      <c r="MQL4" s="539"/>
      <c r="MQM4" s="539"/>
      <c r="MQN4" s="539"/>
      <c r="MQO4" s="539"/>
      <c r="MQP4" s="539"/>
      <c r="MQQ4" s="539"/>
      <c r="MQR4" s="539"/>
      <c r="MQS4" s="539"/>
      <c r="MQT4" s="539"/>
      <c r="MQU4" s="539"/>
      <c r="MQV4" s="539"/>
      <c r="MQW4" s="539"/>
      <c r="MQX4" s="539"/>
      <c r="MQY4" s="539"/>
      <c r="MQZ4" s="539"/>
      <c r="MRA4" s="539"/>
      <c r="MRB4" s="539"/>
      <c r="MRC4" s="539"/>
      <c r="MRD4" s="539"/>
      <c r="MRE4" s="539"/>
      <c r="MRF4" s="539"/>
      <c r="MRG4" s="539"/>
      <c r="MRH4" s="539"/>
      <c r="MRI4" s="539"/>
      <c r="MRJ4" s="539"/>
      <c r="MRK4" s="539"/>
      <c r="MRL4" s="539"/>
      <c r="MRM4" s="539"/>
      <c r="MRN4" s="539"/>
      <c r="MRO4" s="539"/>
      <c r="MRP4" s="539"/>
      <c r="MRQ4" s="539"/>
      <c r="MRR4" s="539"/>
      <c r="MRS4" s="539"/>
      <c r="MRT4" s="539"/>
      <c r="MRU4" s="539"/>
      <c r="MRV4" s="539"/>
      <c r="MRW4" s="539"/>
      <c r="MRX4" s="539"/>
      <c r="MRY4" s="539"/>
      <c r="MRZ4" s="539"/>
      <c r="MSA4" s="539"/>
      <c r="MSB4" s="539"/>
      <c r="MSC4" s="539"/>
      <c r="MSD4" s="539"/>
      <c r="MSE4" s="539"/>
      <c r="MSF4" s="539"/>
      <c r="MSG4" s="539"/>
      <c r="MSH4" s="539"/>
      <c r="MSI4" s="539"/>
      <c r="MSJ4" s="539"/>
      <c r="MSK4" s="539"/>
      <c r="MSL4" s="539"/>
      <c r="MSM4" s="539"/>
      <c r="MSN4" s="539"/>
      <c r="MSO4" s="539"/>
      <c r="MSP4" s="539"/>
      <c r="MSQ4" s="539"/>
      <c r="MSR4" s="539"/>
      <c r="MSS4" s="539"/>
      <c r="MST4" s="539"/>
      <c r="MSU4" s="539"/>
      <c r="MSV4" s="539"/>
      <c r="MSW4" s="539"/>
      <c r="MSX4" s="539"/>
      <c r="MSY4" s="539"/>
      <c r="MSZ4" s="539"/>
      <c r="MTA4" s="539"/>
      <c r="MTB4" s="539"/>
      <c r="MTC4" s="539"/>
      <c r="MTD4" s="539"/>
      <c r="MTE4" s="539"/>
      <c r="MTF4" s="539"/>
      <c r="MTG4" s="539"/>
      <c r="MTH4" s="539"/>
      <c r="MTI4" s="539"/>
      <c r="MTJ4" s="539"/>
      <c r="MTK4" s="539"/>
      <c r="MTL4" s="539"/>
      <c r="MTM4" s="539"/>
      <c r="MTN4" s="539"/>
      <c r="MTO4" s="539"/>
      <c r="MTP4" s="539"/>
      <c r="MTQ4" s="539"/>
      <c r="MTR4" s="539"/>
      <c r="MTS4" s="539"/>
      <c r="MTT4" s="539"/>
      <c r="MTU4" s="539"/>
      <c r="MTV4" s="539"/>
      <c r="MTW4" s="539"/>
      <c r="MTX4" s="539"/>
      <c r="MTY4" s="539"/>
      <c r="MTZ4" s="539"/>
      <c r="MUA4" s="539"/>
      <c r="MUB4" s="539"/>
      <c r="MUC4" s="539"/>
      <c r="MUD4" s="539"/>
      <c r="MUE4" s="539"/>
      <c r="MUF4" s="539"/>
      <c r="MUG4" s="539"/>
      <c r="MUH4" s="539"/>
      <c r="MUI4" s="539"/>
      <c r="MUJ4" s="539"/>
      <c r="MUK4" s="539"/>
      <c r="MUL4" s="539"/>
      <c r="MUM4" s="539"/>
      <c r="MUN4" s="539"/>
      <c r="MUO4" s="539"/>
      <c r="MUP4" s="539"/>
      <c r="MUQ4" s="539"/>
      <c r="MUR4" s="539"/>
      <c r="MUS4" s="539"/>
      <c r="MUT4" s="539"/>
      <c r="MUU4" s="539"/>
      <c r="MUV4" s="539"/>
      <c r="MUW4" s="539"/>
      <c r="MUX4" s="539"/>
      <c r="MUY4" s="539"/>
      <c r="MUZ4" s="539"/>
      <c r="MVA4" s="539"/>
      <c r="MVB4" s="539"/>
      <c r="MVC4" s="539"/>
      <c r="MVD4" s="539"/>
      <c r="MVE4" s="539"/>
      <c r="MVF4" s="539"/>
      <c r="MVG4" s="539"/>
      <c r="MVH4" s="539"/>
      <c r="MVI4" s="539"/>
      <c r="MVJ4" s="539"/>
      <c r="MVK4" s="539"/>
      <c r="MVL4" s="539"/>
      <c r="MVM4" s="539"/>
      <c r="MVN4" s="539"/>
      <c r="MVO4" s="539"/>
      <c r="MVP4" s="539"/>
      <c r="MVQ4" s="539"/>
      <c r="MVR4" s="539"/>
      <c r="MVS4" s="539"/>
      <c r="MVT4" s="539"/>
      <c r="MVU4" s="539"/>
      <c r="MVV4" s="539"/>
      <c r="MVW4" s="539"/>
      <c r="MVX4" s="539"/>
      <c r="MVY4" s="539"/>
      <c r="MVZ4" s="539"/>
      <c r="MWA4" s="539"/>
      <c r="MWB4" s="539"/>
      <c r="MWC4" s="539"/>
      <c r="MWD4" s="539"/>
      <c r="MWE4" s="539"/>
      <c r="MWF4" s="539"/>
      <c r="MWG4" s="539"/>
      <c r="MWH4" s="539"/>
      <c r="MWI4" s="539"/>
      <c r="MWJ4" s="539"/>
      <c r="MWK4" s="539"/>
      <c r="MWL4" s="539"/>
      <c r="MWM4" s="539"/>
      <c r="MWN4" s="539"/>
      <c r="MWO4" s="539"/>
      <c r="MWP4" s="539"/>
      <c r="MWQ4" s="539"/>
      <c r="MWR4" s="539"/>
      <c r="MWS4" s="539"/>
      <c r="MWT4" s="539"/>
      <c r="MWU4" s="539"/>
      <c r="MWV4" s="539"/>
      <c r="MWW4" s="539"/>
      <c r="MWX4" s="539"/>
      <c r="MWY4" s="539"/>
      <c r="MWZ4" s="539"/>
      <c r="MXA4" s="539"/>
      <c r="MXB4" s="539"/>
      <c r="MXC4" s="539"/>
      <c r="MXD4" s="539"/>
      <c r="MXE4" s="539"/>
      <c r="MXF4" s="539"/>
      <c r="MXG4" s="539"/>
      <c r="MXH4" s="539"/>
      <c r="MXI4" s="539"/>
      <c r="MXJ4" s="539"/>
      <c r="MXK4" s="539"/>
      <c r="MXL4" s="539"/>
      <c r="MXM4" s="539"/>
      <c r="MXN4" s="539"/>
      <c r="MXO4" s="539"/>
      <c r="MXP4" s="539"/>
      <c r="MXQ4" s="539"/>
      <c r="MXR4" s="539"/>
      <c r="MXS4" s="539"/>
      <c r="MXT4" s="539"/>
      <c r="MXU4" s="539"/>
      <c r="MXV4" s="539"/>
      <c r="MXW4" s="539"/>
      <c r="MXX4" s="539"/>
      <c r="MXY4" s="539"/>
      <c r="MXZ4" s="539"/>
      <c r="MYA4" s="539"/>
      <c r="MYB4" s="539"/>
      <c r="MYC4" s="539"/>
      <c r="MYD4" s="539"/>
      <c r="MYE4" s="539"/>
      <c r="MYF4" s="539"/>
      <c r="MYG4" s="539"/>
      <c r="MYH4" s="539"/>
      <c r="MYI4" s="539"/>
      <c r="MYJ4" s="539"/>
      <c r="MYK4" s="539"/>
      <c r="MYL4" s="539"/>
      <c r="MYM4" s="539"/>
      <c r="MYN4" s="539"/>
      <c r="MYO4" s="539"/>
      <c r="MYP4" s="539"/>
      <c r="MYQ4" s="539"/>
      <c r="MYR4" s="539"/>
      <c r="MYS4" s="539"/>
      <c r="MYT4" s="539"/>
      <c r="MYU4" s="539"/>
      <c r="MYV4" s="539"/>
      <c r="MYW4" s="539"/>
      <c r="MYX4" s="539"/>
      <c r="MYY4" s="539"/>
      <c r="MYZ4" s="539"/>
      <c r="MZA4" s="539"/>
      <c r="MZB4" s="539"/>
      <c r="MZC4" s="539"/>
      <c r="MZD4" s="539"/>
      <c r="MZE4" s="539"/>
      <c r="MZF4" s="539"/>
      <c r="MZG4" s="539"/>
      <c r="MZH4" s="539"/>
      <c r="MZI4" s="539"/>
      <c r="MZJ4" s="539"/>
      <c r="MZK4" s="539"/>
      <c r="MZL4" s="539"/>
      <c r="MZM4" s="539"/>
      <c r="MZN4" s="539"/>
      <c r="MZO4" s="539"/>
      <c r="MZP4" s="539"/>
      <c r="MZQ4" s="539"/>
      <c r="MZR4" s="539"/>
      <c r="MZS4" s="539"/>
      <c r="MZT4" s="539"/>
      <c r="MZU4" s="539"/>
      <c r="MZV4" s="539"/>
      <c r="MZW4" s="539"/>
      <c r="MZX4" s="539"/>
      <c r="MZY4" s="539"/>
      <c r="MZZ4" s="539"/>
      <c r="NAA4" s="539"/>
      <c r="NAB4" s="539"/>
      <c r="NAC4" s="539"/>
      <c r="NAD4" s="539"/>
      <c r="NAE4" s="539"/>
      <c r="NAF4" s="539"/>
      <c r="NAG4" s="539"/>
      <c r="NAH4" s="539"/>
      <c r="NAI4" s="539"/>
      <c r="NAJ4" s="539"/>
      <c r="NAK4" s="539"/>
      <c r="NAL4" s="539"/>
      <c r="NAM4" s="539"/>
      <c r="NAN4" s="539"/>
      <c r="NAO4" s="539"/>
      <c r="NAP4" s="539"/>
      <c r="NAQ4" s="539"/>
      <c r="NAR4" s="539"/>
      <c r="NAS4" s="539"/>
      <c r="NAT4" s="539"/>
      <c r="NAU4" s="539"/>
      <c r="NAV4" s="539"/>
      <c r="NAW4" s="539"/>
      <c r="NAX4" s="539"/>
      <c r="NAY4" s="539"/>
      <c r="NAZ4" s="539"/>
      <c r="NBA4" s="539"/>
      <c r="NBB4" s="539"/>
      <c r="NBC4" s="539"/>
      <c r="NBD4" s="539"/>
      <c r="NBE4" s="539"/>
      <c r="NBF4" s="539"/>
      <c r="NBG4" s="539"/>
      <c r="NBH4" s="539"/>
      <c r="NBI4" s="539"/>
      <c r="NBJ4" s="539"/>
      <c r="NBK4" s="539"/>
      <c r="NBL4" s="539"/>
      <c r="NBM4" s="539"/>
      <c r="NBN4" s="539"/>
      <c r="NBO4" s="539"/>
      <c r="NBP4" s="539"/>
      <c r="NBQ4" s="539"/>
      <c r="NBR4" s="539"/>
      <c r="NBS4" s="539"/>
      <c r="NBT4" s="539"/>
      <c r="NBU4" s="539"/>
      <c r="NBV4" s="539"/>
      <c r="NBW4" s="539"/>
      <c r="NBX4" s="539"/>
      <c r="NBY4" s="539"/>
      <c r="NBZ4" s="539"/>
      <c r="NCA4" s="539"/>
      <c r="NCB4" s="539"/>
      <c r="NCC4" s="539"/>
      <c r="NCD4" s="539"/>
      <c r="NCE4" s="539"/>
      <c r="NCF4" s="539"/>
      <c r="NCG4" s="539"/>
      <c r="NCH4" s="539"/>
      <c r="NCI4" s="539"/>
      <c r="NCJ4" s="539"/>
      <c r="NCK4" s="539"/>
      <c r="NCL4" s="539"/>
      <c r="NCM4" s="539"/>
      <c r="NCN4" s="539"/>
      <c r="NCO4" s="539"/>
      <c r="NCP4" s="539"/>
      <c r="NCQ4" s="539"/>
      <c r="NCR4" s="539"/>
      <c r="NCS4" s="539"/>
      <c r="NCT4" s="539"/>
      <c r="NCU4" s="539"/>
      <c r="NCV4" s="539"/>
      <c r="NCW4" s="539"/>
      <c r="NCX4" s="539"/>
      <c r="NCY4" s="539"/>
      <c r="NCZ4" s="539"/>
      <c r="NDA4" s="539"/>
      <c r="NDB4" s="539"/>
      <c r="NDC4" s="539"/>
      <c r="NDD4" s="539"/>
      <c r="NDE4" s="539"/>
      <c r="NDF4" s="539"/>
      <c r="NDG4" s="539"/>
      <c r="NDH4" s="539"/>
      <c r="NDI4" s="539"/>
      <c r="NDJ4" s="539"/>
      <c r="NDK4" s="539"/>
      <c r="NDL4" s="539"/>
      <c r="NDM4" s="539"/>
      <c r="NDN4" s="539"/>
      <c r="NDO4" s="539"/>
      <c r="NDP4" s="539"/>
      <c r="NDQ4" s="539"/>
      <c r="NDR4" s="539"/>
      <c r="NDS4" s="539"/>
      <c r="NDT4" s="539"/>
      <c r="NDU4" s="539"/>
      <c r="NDV4" s="539"/>
      <c r="NDW4" s="539"/>
      <c r="NDX4" s="539"/>
      <c r="NDY4" s="539"/>
      <c r="NDZ4" s="539"/>
      <c r="NEA4" s="539"/>
      <c r="NEB4" s="539"/>
      <c r="NEC4" s="539"/>
      <c r="NED4" s="539"/>
      <c r="NEE4" s="539"/>
      <c r="NEF4" s="539"/>
      <c r="NEG4" s="539"/>
      <c r="NEH4" s="539"/>
      <c r="NEI4" s="539"/>
      <c r="NEJ4" s="539"/>
      <c r="NEK4" s="539"/>
      <c r="NEL4" s="539"/>
      <c r="NEM4" s="539"/>
      <c r="NEN4" s="539"/>
      <c r="NEO4" s="539"/>
      <c r="NEP4" s="539"/>
      <c r="NEQ4" s="539"/>
      <c r="NER4" s="539"/>
      <c r="NES4" s="539"/>
      <c r="NET4" s="539"/>
      <c r="NEU4" s="539"/>
      <c r="NEV4" s="539"/>
      <c r="NEW4" s="539"/>
      <c r="NEX4" s="539"/>
      <c r="NEY4" s="539"/>
      <c r="NEZ4" s="539"/>
      <c r="NFA4" s="539"/>
      <c r="NFB4" s="539"/>
      <c r="NFC4" s="539"/>
      <c r="NFD4" s="539"/>
      <c r="NFE4" s="539"/>
      <c r="NFF4" s="539"/>
      <c r="NFG4" s="539"/>
      <c r="NFH4" s="539"/>
      <c r="NFI4" s="539"/>
      <c r="NFJ4" s="539"/>
      <c r="NFK4" s="539"/>
      <c r="NFL4" s="539"/>
      <c r="NFM4" s="539"/>
      <c r="NFN4" s="539"/>
      <c r="NFO4" s="539"/>
      <c r="NFP4" s="539"/>
      <c r="NFQ4" s="539"/>
      <c r="NFR4" s="539"/>
      <c r="NFS4" s="539"/>
      <c r="NFT4" s="539"/>
      <c r="NFU4" s="539"/>
      <c r="NFV4" s="539"/>
      <c r="NFW4" s="539"/>
      <c r="NFX4" s="539"/>
      <c r="NFY4" s="539"/>
      <c r="NFZ4" s="539"/>
      <c r="NGA4" s="539"/>
      <c r="NGB4" s="539"/>
      <c r="NGC4" s="539"/>
      <c r="NGD4" s="539"/>
      <c r="NGE4" s="539"/>
      <c r="NGF4" s="539"/>
      <c r="NGG4" s="539"/>
      <c r="NGH4" s="539"/>
      <c r="NGI4" s="539"/>
      <c r="NGJ4" s="539"/>
      <c r="NGK4" s="539"/>
      <c r="NGL4" s="539"/>
      <c r="NGM4" s="539"/>
      <c r="NGN4" s="539"/>
      <c r="NGO4" s="539"/>
      <c r="NGP4" s="539"/>
      <c r="NGQ4" s="539"/>
      <c r="NGR4" s="539"/>
      <c r="NGS4" s="539"/>
      <c r="NGT4" s="539"/>
      <c r="NGU4" s="539"/>
      <c r="NGV4" s="539"/>
      <c r="NGW4" s="539"/>
      <c r="NGX4" s="539"/>
      <c r="NGY4" s="539"/>
      <c r="NGZ4" s="539"/>
      <c r="NHA4" s="539"/>
      <c r="NHB4" s="539"/>
      <c r="NHC4" s="539"/>
      <c r="NHD4" s="539"/>
      <c r="NHE4" s="539"/>
      <c r="NHF4" s="539"/>
      <c r="NHG4" s="539"/>
      <c r="NHH4" s="539"/>
      <c r="NHI4" s="539"/>
      <c r="NHJ4" s="539"/>
      <c r="NHK4" s="539"/>
      <c r="NHL4" s="539"/>
      <c r="NHM4" s="539"/>
      <c r="NHN4" s="539"/>
      <c r="NHO4" s="539"/>
      <c r="NHP4" s="539"/>
      <c r="NHQ4" s="539"/>
      <c r="NHR4" s="539"/>
      <c r="NHS4" s="539"/>
      <c r="NHT4" s="539"/>
      <c r="NHU4" s="539"/>
      <c r="NHV4" s="539"/>
      <c r="NHW4" s="539"/>
      <c r="NHX4" s="539"/>
      <c r="NHY4" s="539"/>
      <c r="NHZ4" s="539"/>
      <c r="NIA4" s="539"/>
      <c r="NIB4" s="539"/>
      <c r="NIC4" s="539"/>
      <c r="NID4" s="539"/>
      <c r="NIE4" s="539"/>
      <c r="NIF4" s="539"/>
      <c r="NIG4" s="539"/>
      <c r="NIH4" s="539"/>
      <c r="NII4" s="539"/>
      <c r="NIJ4" s="539"/>
      <c r="NIK4" s="539"/>
      <c r="NIL4" s="539"/>
      <c r="NIM4" s="539"/>
      <c r="NIN4" s="539"/>
      <c r="NIO4" s="539"/>
      <c r="NIP4" s="539"/>
      <c r="NIQ4" s="539"/>
      <c r="NIR4" s="539"/>
      <c r="NIS4" s="539"/>
      <c r="NIT4" s="539"/>
      <c r="NIU4" s="539"/>
      <c r="NIV4" s="539"/>
      <c r="NIW4" s="539"/>
      <c r="NIX4" s="539"/>
      <c r="NIY4" s="539"/>
      <c r="NIZ4" s="539"/>
      <c r="NJA4" s="539"/>
      <c r="NJB4" s="539"/>
      <c r="NJC4" s="539"/>
      <c r="NJD4" s="539"/>
      <c r="NJE4" s="539"/>
      <c r="NJF4" s="539"/>
      <c r="NJG4" s="539"/>
      <c r="NJH4" s="539"/>
      <c r="NJI4" s="539"/>
      <c r="NJJ4" s="539"/>
      <c r="NJK4" s="539"/>
      <c r="NJL4" s="539"/>
      <c r="NJM4" s="539"/>
      <c r="NJN4" s="539"/>
      <c r="NJO4" s="539"/>
      <c r="NJP4" s="539"/>
      <c r="NJQ4" s="539"/>
      <c r="NJR4" s="539"/>
      <c r="NJS4" s="539"/>
      <c r="NJT4" s="539"/>
      <c r="NJU4" s="539"/>
      <c r="NJV4" s="539"/>
      <c r="NJW4" s="539"/>
      <c r="NJX4" s="539"/>
      <c r="NJY4" s="539"/>
      <c r="NJZ4" s="539"/>
      <c r="NKA4" s="539"/>
      <c r="NKB4" s="539"/>
      <c r="NKC4" s="539"/>
      <c r="NKD4" s="539"/>
      <c r="NKE4" s="539"/>
      <c r="NKF4" s="539"/>
      <c r="NKG4" s="539"/>
      <c r="NKH4" s="539"/>
      <c r="NKI4" s="539"/>
      <c r="NKJ4" s="539"/>
      <c r="NKK4" s="539"/>
      <c r="NKL4" s="539"/>
      <c r="NKM4" s="539"/>
      <c r="NKN4" s="539"/>
      <c r="NKO4" s="539"/>
      <c r="NKP4" s="539"/>
      <c r="NKQ4" s="539"/>
      <c r="NKR4" s="539"/>
      <c r="NKS4" s="539"/>
      <c r="NKT4" s="539"/>
      <c r="NKU4" s="539"/>
      <c r="NKV4" s="539"/>
      <c r="NKW4" s="539"/>
      <c r="NKX4" s="539"/>
      <c r="NKY4" s="539"/>
      <c r="NKZ4" s="539"/>
      <c r="NLA4" s="539"/>
      <c r="NLB4" s="539"/>
      <c r="NLC4" s="539"/>
      <c r="NLD4" s="539"/>
      <c r="NLE4" s="539"/>
      <c r="NLF4" s="539"/>
      <c r="NLG4" s="539"/>
      <c r="NLH4" s="539"/>
      <c r="NLI4" s="539"/>
      <c r="NLJ4" s="539"/>
      <c r="NLK4" s="539"/>
      <c r="NLL4" s="539"/>
      <c r="NLM4" s="539"/>
      <c r="NLN4" s="539"/>
      <c r="NLO4" s="539"/>
      <c r="NLP4" s="539"/>
      <c r="NLQ4" s="539"/>
      <c r="NLR4" s="539"/>
      <c r="NLS4" s="539"/>
      <c r="NLT4" s="539"/>
      <c r="NLU4" s="539"/>
      <c r="NLV4" s="539"/>
      <c r="NLW4" s="539"/>
      <c r="NLX4" s="539"/>
      <c r="NLY4" s="539"/>
      <c r="NLZ4" s="539"/>
      <c r="NMA4" s="539"/>
      <c r="NMB4" s="539"/>
      <c r="NMC4" s="539"/>
      <c r="NMD4" s="539"/>
      <c r="NME4" s="539"/>
      <c r="NMF4" s="539"/>
      <c r="NMG4" s="539"/>
      <c r="NMH4" s="539"/>
      <c r="NMI4" s="539"/>
      <c r="NMJ4" s="539"/>
      <c r="NMK4" s="539"/>
      <c r="NML4" s="539"/>
      <c r="NMM4" s="539"/>
      <c r="NMN4" s="539"/>
      <c r="NMO4" s="539"/>
      <c r="NMP4" s="539"/>
      <c r="NMQ4" s="539"/>
      <c r="NMR4" s="539"/>
      <c r="NMS4" s="539"/>
      <c r="NMT4" s="539"/>
      <c r="NMU4" s="539"/>
      <c r="NMV4" s="539"/>
      <c r="NMW4" s="539"/>
      <c r="NMX4" s="539"/>
      <c r="NMY4" s="539"/>
      <c r="NMZ4" s="539"/>
      <c r="NNA4" s="539"/>
      <c r="NNB4" s="539"/>
      <c r="NNC4" s="539"/>
      <c r="NND4" s="539"/>
      <c r="NNE4" s="539"/>
      <c r="NNF4" s="539"/>
      <c r="NNG4" s="539"/>
      <c r="NNH4" s="539"/>
      <c r="NNI4" s="539"/>
      <c r="NNJ4" s="539"/>
      <c r="NNK4" s="539"/>
      <c r="NNL4" s="539"/>
      <c r="NNM4" s="539"/>
      <c r="NNN4" s="539"/>
      <c r="NNO4" s="539"/>
      <c r="NNP4" s="539"/>
      <c r="NNQ4" s="539"/>
      <c r="NNR4" s="539"/>
      <c r="NNS4" s="539"/>
      <c r="NNT4" s="539"/>
      <c r="NNU4" s="539"/>
      <c r="NNV4" s="539"/>
      <c r="NNW4" s="539"/>
      <c r="NNX4" s="539"/>
      <c r="NNY4" s="539"/>
      <c r="NNZ4" s="539"/>
      <c r="NOA4" s="539"/>
      <c r="NOB4" s="539"/>
      <c r="NOC4" s="539"/>
      <c r="NOD4" s="539"/>
      <c r="NOE4" s="539"/>
      <c r="NOF4" s="539"/>
      <c r="NOG4" s="539"/>
      <c r="NOH4" s="539"/>
      <c r="NOI4" s="539"/>
      <c r="NOJ4" s="539"/>
      <c r="NOK4" s="539"/>
      <c r="NOL4" s="539"/>
      <c r="NOM4" s="539"/>
      <c r="NON4" s="539"/>
      <c r="NOO4" s="539"/>
      <c r="NOP4" s="539"/>
      <c r="NOQ4" s="539"/>
      <c r="NOR4" s="539"/>
      <c r="NOS4" s="539"/>
      <c r="NOT4" s="539"/>
      <c r="NOU4" s="539"/>
      <c r="NOV4" s="539"/>
      <c r="NOW4" s="539"/>
      <c r="NOX4" s="539"/>
      <c r="NOY4" s="539"/>
      <c r="NOZ4" s="539"/>
      <c r="NPA4" s="539"/>
      <c r="NPB4" s="539"/>
      <c r="NPC4" s="539"/>
      <c r="NPD4" s="539"/>
      <c r="NPE4" s="539"/>
      <c r="NPF4" s="539"/>
      <c r="NPG4" s="539"/>
      <c r="NPH4" s="539"/>
      <c r="NPI4" s="539"/>
      <c r="NPJ4" s="539"/>
      <c r="NPK4" s="539"/>
      <c r="NPL4" s="539"/>
      <c r="NPM4" s="539"/>
      <c r="NPN4" s="539"/>
      <c r="NPO4" s="539"/>
      <c r="NPP4" s="539"/>
      <c r="NPQ4" s="539"/>
      <c r="NPR4" s="539"/>
      <c r="NPS4" s="539"/>
      <c r="NPT4" s="539"/>
      <c r="NPU4" s="539"/>
      <c r="NPV4" s="539"/>
      <c r="NPW4" s="539"/>
      <c r="NPX4" s="539"/>
      <c r="NPY4" s="539"/>
      <c r="NPZ4" s="539"/>
      <c r="NQA4" s="539"/>
      <c r="NQB4" s="539"/>
      <c r="NQC4" s="539"/>
      <c r="NQD4" s="539"/>
      <c r="NQE4" s="539"/>
      <c r="NQF4" s="539"/>
      <c r="NQG4" s="539"/>
      <c r="NQH4" s="539"/>
      <c r="NQI4" s="539"/>
      <c r="NQJ4" s="539"/>
      <c r="NQK4" s="539"/>
      <c r="NQL4" s="539"/>
      <c r="NQM4" s="539"/>
      <c r="NQN4" s="539"/>
      <c r="NQO4" s="539"/>
      <c r="NQP4" s="539"/>
      <c r="NQQ4" s="539"/>
      <c r="NQR4" s="539"/>
      <c r="NQS4" s="539"/>
      <c r="NQT4" s="539"/>
      <c r="NQU4" s="539"/>
      <c r="NQV4" s="539"/>
      <c r="NQW4" s="539"/>
      <c r="NQX4" s="539"/>
      <c r="NQY4" s="539"/>
      <c r="NQZ4" s="539"/>
      <c r="NRA4" s="539"/>
      <c r="NRB4" s="539"/>
      <c r="NRC4" s="539"/>
      <c r="NRD4" s="539"/>
      <c r="NRE4" s="539"/>
      <c r="NRF4" s="539"/>
      <c r="NRG4" s="539"/>
      <c r="NRH4" s="539"/>
      <c r="NRI4" s="539"/>
      <c r="NRJ4" s="539"/>
      <c r="NRK4" s="539"/>
      <c r="NRL4" s="539"/>
      <c r="NRM4" s="539"/>
      <c r="NRN4" s="539"/>
      <c r="NRO4" s="539"/>
      <c r="NRP4" s="539"/>
      <c r="NRQ4" s="539"/>
      <c r="NRR4" s="539"/>
      <c r="NRS4" s="539"/>
      <c r="NRT4" s="539"/>
      <c r="NRU4" s="539"/>
      <c r="NRV4" s="539"/>
      <c r="NRW4" s="539"/>
      <c r="NRX4" s="539"/>
      <c r="NRY4" s="539"/>
      <c r="NRZ4" s="539"/>
      <c r="NSA4" s="539"/>
      <c r="NSB4" s="539"/>
      <c r="NSC4" s="539"/>
      <c r="NSD4" s="539"/>
      <c r="NSE4" s="539"/>
      <c r="NSF4" s="539"/>
      <c r="NSG4" s="539"/>
      <c r="NSH4" s="539"/>
      <c r="NSI4" s="539"/>
      <c r="NSJ4" s="539"/>
      <c r="NSK4" s="539"/>
      <c r="NSL4" s="539"/>
      <c r="NSM4" s="539"/>
      <c r="NSN4" s="539"/>
      <c r="NSO4" s="539"/>
      <c r="NSP4" s="539"/>
      <c r="NSQ4" s="539"/>
      <c r="NSR4" s="539"/>
      <c r="NSS4" s="539"/>
      <c r="NST4" s="539"/>
      <c r="NSU4" s="539"/>
      <c r="NSV4" s="539"/>
      <c r="NSW4" s="539"/>
      <c r="NSX4" s="539"/>
      <c r="NSY4" s="539"/>
      <c r="NSZ4" s="539"/>
      <c r="NTA4" s="539"/>
      <c r="NTB4" s="539"/>
      <c r="NTC4" s="539"/>
      <c r="NTD4" s="539"/>
      <c r="NTE4" s="539"/>
      <c r="NTF4" s="539"/>
      <c r="NTG4" s="539"/>
      <c r="NTH4" s="539"/>
      <c r="NTI4" s="539"/>
      <c r="NTJ4" s="539"/>
      <c r="NTK4" s="539"/>
      <c r="NTL4" s="539"/>
      <c r="NTM4" s="539"/>
      <c r="NTN4" s="539"/>
      <c r="NTO4" s="539"/>
      <c r="NTP4" s="539"/>
      <c r="NTQ4" s="539"/>
      <c r="NTR4" s="539"/>
      <c r="NTS4" s="539"/>
      <c r="NTT4" s="539"/>
      <c r="NTU4" s="539"/>
      <c r="NTV4" s="539"/>
      <c r="NTW4" s="539"/>
      <c r="NTX4" s="539"/>
      <c r="NTY4" s="539"/>
      <c r="NTZ4" s="539"/>
      <c r="NUA4" s="539"/>
      <c r="NUB4" s="539"/>
      <c r="NUC4" s="539"/>
      <c r="NUD4" s="539"/>
      <c r="NUE4" s="539"/>
      <c r="NUF4" s="539"/>
      <c r="NUG4" s="539"/>
      <c r="NUH4" s="539"/>
      <c r="NUI4" s="539"/>
      <c r="NUJ4" s="539"/>
      <c r="NUK4" s="539"/>
      <c r="NUL4" s="539"/>
      <c r="NUM4" s="539"/>
      <c r="NUN4" s="539"/>
      <c r="NUO4" s="539"/>
      <c r="NUP4" s="539"/>
      <c r="NUQ4" s="539"/>
      <c r="NUR4" s="539"/>
      <c r="NUS4" s="539"/>
      <c r="NUT4" s="539"/>
      <c r="NUU4" s="539"/>
      <c r="NUV4" s="539"/>
      <c r="NUW4" s="539"/>
      <c r="NUX4" s="539"/>
      <c r="NUY4" s="539"/>
      <c r="NUZ4" s="539"/>
      <c r="NVA4" s="539"/>
      <c r="NVB4" s="539"/>
      <c r="NVC4" s="539"/>
      <c r="NVD4" s="539"/>
      <c r="NVE4" s="539"/>
      <c r="NVF4" s="539"/>
      <c r="NVG4" s="539"/>
      <c r="NVH4" s="539"/>
      <c r="NVI4" s="539"/>
      <c r="NVJ4" s="539"/>
      <c r="NVK4" s="539"/>
      <c r="NVL4" s="539"/>
      <c r="NVM4" s="539"/>
      <c r="NVN4" s="539"/>
      <c r="NVO4" s="539"/>
      <c r="NVP4" s="539"/>
      <c r="NVQ4" s="539"/>
      <c r="NVR4" s="539"/>
      <c r="NVS4" s="539"/>
      <c r="NVT4" s="539"/>
      <c r="NVU4" s="539"/>
      <c r="NVV4" s="539"/>
      <c r="NVW4" s="539"/>
      <c r="NVX4" s="539"/>
      <c r="NVY4" s="539"/>
      <c r="NVZ4" s="539"/>
      <c r="NWA4" s="539"/>
      <c r="NWB4" s="539"/>
      <c r="NWC4" s="539"/>
      <c r="NWD4" s="539"/>
      <c r="NWE4" s="539"/>
      <c r="NWF4" s="539"/>
      <c r="NWG4" s="539"/>
      <c r="NWH4" s="539"/>
      <c r="NWI4" s="539"/>
      <c r="NWJ4" s="539"/>
      <c r="NWK4" s="539"/>
      <c r="NWL4" s="539"/>
      <c r="NWM4" s="539"/>
      <c r="NWN4" s="539"/>
      <c r="NWO4" s="539"/>
      <c r="NWP4" s="539"/>
      <c r="NWQ4" s="539"/>
      <c r="NWR4" s="539"/>
      <c r="NWS4" s="539"/>
      <c r="NWT4" s="539"/>
      <c r="NWU4" s="539"/>
      <c r="NWV4" s="539"/>
      <c r="NWW4" s="539"/>
      <c r="NWX4" s="539"/>
      <c r="NWY4" s="539"/>
      <c r="NWZ4" s="539"/>
      <c r="NXA4" s="539"/>
      <c r="NXB4" s="539"/>
      <c r="NXC4" s="539"/>
      <c r="NXD4" s="539"/>
      <c r="NXE4" s="539"/>
      <c r="NXF4" s="539"/>
      <c r="NXG4" s="539"/>
      <c r="NXH4" s="539"/>
      <c r="NXI4" s="539"/>
      <c r="NXJ4" s="539"/>
      <c r="NXK4" s="539"/>
      <c r="NXL4" s="539"/>
      <c r="NXM4" s="539"/>
      <c r="NXN4" s="539"/>
      <c r="NXO4" s="539"/>
      <c r="NXP4" s="539"/>
      <c r="NXQ4" s="539"/>
      <c r="NXR4" s="539"/>
      <c r="NXS4" s="539"/>
      <c r="NXT4" s="539"/>
      <c r="NXU4" s="539"/>
      <c r="NXV4" s="539"/>
      <c r="NXW4" s="539"/>
      <c r="NXX4" s="539"/>
      <c r="NXY4" s="539"/>
      <c r="NXZ4" s="539"/>
      <c r="NYA4" s="539"/>
      <c r="NYB4" s="539"/>
      <c r="NYC4" s="539"/>
      <c r="NYD4" s="539"/>
      <c r="NYE4" s="539"/>
      <c r="NYF4" s="539"/>
      <c r="NYG4" s="539"/>
      <c r="NYH4" s="539"/>
      <c r="NYI4" s="539"/>
      <c r="NYJ4" s="539"/>
      <c r="NYK4" s="539"/>
      <c r="NYL4" s="539"/>
      <c r="NYM4" s="539"/>
      <c r="NYN4" s="539"/>
      <c r="NYO4" s="539"/>
      <c r="NYP4" s="539"/>
      <c r="NYQ4" s="539"/>
      <c r="NYR4" s="539"/>
      <c r="NYS4" s="539"/>
      <c r="NYT4" s="539"/>
      <c r="NYU4" s="539"/>
      <c r="NYV4" s="539"/>
      <c r="NYW4" s="539"/>
      <c r="NYX4" s="539"/>
      <c r="NYY4" s="539"/>
      <c r="NYZ4" s="539"/>
      <c r="NZA4" s="539"/>
      <c r="NZB4" s="539"/>
      <c r="NZC4" s="539"/>
      <c r="NZD4" s="539"/>
      <c r="NZE4" s="539"/>
      <c r="NZF4" s="539"/>
      <c r="NZG4" s="539"/>
      <c r="NZH4" s="539"/>
      <c r="NZI4" s="539"/>
      <c r="NZJ4" s="539"/>
      <c r="NZK4" s="539"/>
      <c r="NZL4" s="539"/>
      <c r="NZM4" s="539"/>
      <c r="NZN4" s="539"/>
      <c r="NZO4" s="539"/>
      <c r="NZP4" s="539"/>
      <c r="NZQ4" s="539"/>
      <c r="NZR4" s="539"/>
      <c r="NZS4" s="539"/>
      <c r="NZT4" s="539"/>
      <c r="NZU4" s="539"/>
      <c r="NZV4" s="539"/>
      <c r="NZW4" s="539"/>
      <c r="NZX4" s="539"/>
      <c r="NZY4" s="539"/>
      <c r="NZZ4" s="539"/>
      <c r="OAA4" s="539"/>
      <c r="OAB4" s="539"/>
      <c r="OAC4" s="539"/>
      <c r="OAD4" s="539"/>
      <c r="OAE4" s="539"/>
      <c r="OAF4" s="539"/>
      <c r="OAG4" s="539"/>
      <c r="OAH4" s="539"/>
      <c r="OAI4" s="539"/>
      <c r="OAJ4" s="539"/>
      <c r="OAK4" s="539"/>
      <c r="OAL4" s="539"/>
      <c r="OAM4" s="539"/>
      <c r="OAN4" s="539"/>
      <c r="OAO4" s="539"/>
      <c r="OAP4" s="539"/>
      <c r="OAQ4" s="539"/>
      <c r="OAR4" s="539"/>
      <c r="OAS4" s="539"/>
      <c r="OAT4" s="539"/>
      <c r="OAU4" s="539"/>
      <c r="OAV4" s="539"/>
      <c r="OAW4" s="539"/>
      <c r="OAX4" s="539"/>
      <c r="OAY4" s="539"/>
      <c r="OAZ4" s="539"/>
      <c r="OBA4" s="539"/>
      <c r="OBB4" s="539"/>
      <c r="OBC4" s="539"/>
      <c r="OBD4" s="539"/>
      <c r="OBE4" s="539"/>
      <c r="OBF4" s="539"/>
      <c r="OBG4" s="539"/>
      <c r="OBH4" s="539"/>
      <c r="OBI4" s="539"/>
      <c r="OBJ4" s="539"/>
      <c r="OBK4" s="539"/>
      <c r="OBL4" s="539"/>
      <c r="OBM4" s="539"/>
      <c r="OBN4" s="539"/>
      <c r="OBO4" s="539"/>
      <c r="OBP4" s="539"/>
      <c r="OBQ4" s="539"/>
      <c r="OBR4" s="539"/>
      <c r="OBS4" s="539"/>
      <c r="OBT4" s="539"/>
      <c r="OBU4" s="539"/>
      <c r="OBV4" s="539"/>
      <c r="OBW4" s="539"/>
      <c r="OBX4" s="539"/>
      <c r="OBY4" s="539"/>
      <c r="OBZ4" s="539"/>
      <c r="OCA4" s="539"/>
      <c r="OCB4" s="539"/>
      <c r="OCC4" s="539"/>
      <c r="OCD4" s="539"/>
      <c r="OCE4" s="539"/>
      <c r="OCF4" s="539"/>
      <c r="OCG4" s="539"/>
      <c r="OCH4" s="539"/>
      <c r="OCI4" s="539"/>
      <c r="OCJ4" s="539"/>
      <c r="OCK4" s="539"/>
      <c r="OCL4" s="539"/>
      <c r="OCM4" s="539"/>
      <c r="OCN4" s="539"/>
      <c r="OCO4" s="539"/>
      <c r="OCP4" s="539"/>
      <c r="OCQ4" s="539"/>
      <c r="OCR4" s="539"/>
      <c r="OCS4" s="539"/>
      <c r="OCT4" s="539"/>
      <c r="OCU4" s="539"/>
      <c r="OCV4" s="539"/>
      <c r="OCW4" s="539"/>
      <c r="OCX4" s="539"/>
      <c r="OCY4" s="539"/>
      <c r="OCZ4" s="539"/>
      <c r="ODA4" s="539"/>
      <c r="ODB4" s="539"/>
      <c r="ODC4" s="539"/>
      <c r="ODD4" s="539"/>
      <c r="ODE4" s="539"/>
      <c r="ODF4" s="539"/>
      <c r="ODG4" s="539"/>
      <c r="ODH4" s="539"/>
      <c r="ODI4" s="539"/>
      <c r="ODJ4" s="539"/>
      <c r="ODK4" s="539"/>
      <c r="ODL4" s="539"/>
      <c r="ODM4" s="539"/>
      <c r="ODN4" s="539"/>
      <c r="ODO4" s="539"/>
      <c r="ODP4" s="539"/>
      <c r="ODQ4" s="539"/>
      <c r="ODR4" s="539"/>
      <c r="ODS4" s="539"/>
      <c r="ODT4" s="539"/>
      <c r="ODU4" s="539"/>
      <c r="ODV4" s="539"/>
      <c r="ODW4" s="539"/>
      <c r="ODX4" s="539"/>
      <c r="ODY4" s="539"/>
      <c r="ODZ4" s="539"/>
      <c r="OEA4" s="539"/>
      <c r="OEB4" s="539"/>
      <c r="OEC4" s="539"/>
      <c r="OED4" s="539"/>
      <c r="OEE4" s="539"/>
      <c r="OEF4" s="539"/>
      <c r="OEG4" s="539"/>
      <c r="OEH4" s="539"/>
      <c r="OEI4" s="539"/>
      <c r="OEJ4" s="539"/>
      <c r="OEK4" s="539"/>
      <c r="OEL4" s="539"/>
      <c r="OEM4" s="539"/>
      <c r="OEN4" s="539"/>
      <c r="OEO4" s="539"/>
      <c r="OEP4" s="539"/>
      <c r="OEQ4" s="539"/>
      <c r="OER4" s="539"/>
      <c r="OES4" s="539"/>
      <c r="OET4" s="539"/>
      <c r="OEU4" s="539"/>
      <c r="OEV4" s="539"/>
      <c r="OEW4" s="539"/>
      <c r="OEX4" s="539"/>
      <c r="OEY4" s="539"/>
      <c r="OEZ4" s="539"/>
      <c r="OFA4" s="539"/>
      <c r="OFB4" s="539"/>
      <c r="OFC4" s="539"/>
      <c r="OFD4" s="539"/>
      <c r="OFE4" s="539"/>
      <c r="OFF4" s="539"/>
      <c r="OFG4" s="539"/>
      <c r="OFH4" s="539"/>
      <c r="OFI4" s="539"/>
      <c r="OFJ4" s="539"/>
      <c r="OFK4" s="539"/>
      <c r="OFL4" s="539"/>
      <c r="OFM4" s="539"/>
      <c r="OFN4" s="539"/>
      <c r="OFO4" s="539"/>
      <c r="OFP4" s="539"/>
      <c r="OFQ4" s="539"/>
      <c r="OFR4" s="539"/>
      <c r="OFS4" s="539"/>
      <c r="OFT4" s="539"/>
      <c r="OFU4" s="539"/>
      <c r="OFV4" s="539"/>
      <c r="OFW4" s="539"/>
      <c r="OFX4" s="539"/>
      <c r="OFY4" s="539"/>
      <c r="OFZ4" s="539"/>
      <c r="OGA4" s="539"/>
      <c r="OGB4" s="539"/>
      <c r="OGC4" s="539"/>
      <c r="OGD4" s="539"/>
      <c r="OGE4" s="539"/>
      <c r="OGF4" s="539"/>
      <c r="OGG4" s="539"/>
      <c r="OGH4" s="539"/>
      <c r="OGI4" s="539"/>
      <c r="OGJ4" s="539"/>
      <c r="OGK4" s="539"/>
      <c r="OGL4" s="539"/>
      <c r="OGM4" s="539"/>
      <c r="OGN4" s="539"/>
      <c r="OGO4" s="539"/>
      <c r="OGP4" s="539"/>
      <c r="OGQ4" s="539"/>
      <c r="OGR4" s="539"/>
      <c r="OGS4" s="539"/>
      <c r="OGT4" s="539"/>
      <c r="OGU4" s="539"/>
      <c r="OGV4" s="539"/>
      <c r="OGW4" s="539"/>
      <c r="OGX4" s="539"/>
      <c r="OGY4" s="539"/>
      <c r="OGZ4" s="539"/>
      <c r="OHA4" s="539"/>
      <c r="OHB4" s="539"/>
      <c r="OHC4" s="539"/>
      <c r="OHD4" s="539"/>
      <c r="OHE4" s="539"/>
      <c r="OHF4" s="539"/>
      <c r="OHG4" s="539"/>
      <c r="OHH4" s="539"/>
      <c r="OHI4" s="539"/>
      <c r="OHJ4" s="539"/>
      <c r="OHK4" s="539"/>
      <c r="OHL4" s="539"/>
      <c r="OHM4" s="539"/>
      <c r="OHN4" s="539"/>
      <c r="OHO4" s="539"/>
      <c r="OHP4" s="539"/>
      <c r="OHQ4" s="539"/>
      <c r="OHR4" s="539"/>
      <c r="OHS4" s="539"/>
      <c r="OHT4" s="539"/>
      <c r="OHU4" s="539"/>
      <c r="OHV4" s="539"/>
      <c r="OHW4" s="539"/>
      <c r="OHX4" s="539"/>
      <c r="OHY4" s="539"/>
      <c r="OHZ4" s="539"/>
      <c r="OIA4" s="539"/>
      <c r="OIB4" s="539"/>
      <c r="OIC4" s="539"/>
      <c r="OID4" s="539"/>
      <c r="OIE4" s="539"/>
      <c r="OIF4" s="539"/>
      <c r="OIG4" s="539"/>
      <c r="OIH4" s="539"/>
      <c r="OII4" s="539"/>
      <c r="OIJ4" s="539"/>
      <c r="OIK4" s="539"/>
      <c r="OIL4" s="539"/>
      <c r="OIM4" s="539"/>
      <c r="OIN4" s="539"/>
      <c r="OIO4" s="539"/>
      <c r="OIP4" s="539"/>
      <c r="OIQ4" s="539"/>
      <c r="OIR4" s="539"/>
      <c r="OIS4" s="539"/>
      <c r="OIT4" s="539"/>
      <c r="OIU4" s="539"/>
      <c r="OIV4" s="539"/>
      <c r="OIW4" s="539"/>
      <c r="OIX4" s="539"/>
      <c r="OIY4" s="539"/>
      <c r="OIZ4" s="539"/>
      <c r="OJA4" s="539"/>
      <c r="OJB4" s="539"/>
      <c r="OJC4" s="539"/>
      <c r="OJD4" s="539"/>
      <c r="OJE4" s="539"/>
      <c r="OJF4" s="539"/>
      <c r="OJG4" s="539"/>
      <c r="OJH4" s="539"/>
      <c r="OJI4" s="539"/>
      <c r="OJJ4" s="539"/>
      <c r="OJK4" s="539"/>
      <c r="OJL4" s="539"/>
      <c r="OJM4" s="539"/>
      <c r="OJN4" s="539"/>
      <c r="OJO4" s="539"/>
      <c r="OJP4" s="539"/>
      <c r="OJQ4" s="539"/>
      <c r="OJR4" s="539"/>
      <c r="OJS4" s="539"/>
      <c r="OJT4" s="539"/>
      <c r="OJU4" s="539"/>
      <c r="OJV4" s="539"/>
      <c r="OJW4" s="539"/>
      <c r="OJX4" s="539"/>
      <c r="OJY4" s="539"/>
      <c r="OJZ4" s="539"/>
      <c r="OKA4" s="539"/>
      <c r="OKB4" s="539"/>
      <c r="OKC4" s="539"/>
      <c r="OKD4" s="539"/>
      <c r="OKE4" s="539"/>
      <c r="OKF4" s="539"/>
      <c r="OKG4" s="539"/>
      <c r="OKH4" s="539"/>
      <c r="OKI4" s="539"/>
      <c r="OKJ4" s="539"/>
      <c r="OKK4" s="539"/>
      <c r="OKL4" s="539"/>
      <c r="OKM4" s="539"/>
      <c r="OKN4" s="539"/>
      <c r="OKO4" s="539"/>
      <c r="OKP4" s="539"/>
      <c r="OKQ4" s="539"/>
      <c r="OKR4" s="539"/>
      <c r="OKS4" s="539"/>
      <c r="OKT4" s="539"/>
      <c r="OKU4" s="539"/>
      <c r="OKV4" s="539"/>
      <c r="OKW4" s="539"/>
      <c r="OKX4" s="539"/>
      <c r="OKY4" s="539"/>
      <c r="OKZ4" s="539"/>
      <c r="OLA4" s="539"/>
      <c r="OLB4" s="539"/>
      <c r="OLC4" s="539"/>
      <c r="OLD4" s="539"/>
      <c r="OLE4" s="539"/>
      <c r="OLF4" s="539"/>
      <c r="OLG4" s="539"/>
      <c r="OLH4" s="539"/>
      <c r="OLI4" s="539"/>
      <c r="OLJ4" s="539"/>
      <c r="OLK4" s="539"/>
      <c r="OLL4" s="539"/>
      <c r="OLM4" s="539"/>
      <c r="OLN4" s="539"/>
      <c r="OLO4" s="539"/>
      <c r="OLP4" s="539"/>
      <c r="OLQ4" s="539"/>
      <c r="OLR4" s="539"/>
      <c r="OLS4" s="539"/>
      <c r="OLT4" s="539"/>
      <c r="OLU4" s="539"/>
      <c r="OLV4" s="539"/>
      <c r="OLW4" s="539"/>
      <c r="OLX4" s="539"/>
      <c r="OLY4" s="539"/>
      <c r="OLZ4" s="539"/>
      <c r="OMA4" s="539"/>
      <c r="OMB4" s="539"/>
      <c r="OMC4" s="539"/>
      <c r="OMD4" s="539"/>
      <c r="OME4" s="539"/>
      <c r="OMF4" s="539"/>
      <c r="OMG4" s="539"/>
      <c r="OMH4" s="539"/>
      <c r="OMI4" s="539"/>
      <c r="OMJ4" s="539"/>
      <c r="OMK4" s="539"/>
      <c r="OML4" s="539"/>
      <c r="OMM4" s="539"/>
      <c r="OMN4" s="539"/>
      <c r="OMO4" s="539"/>
      <c r="OMP4" s="539"/>
      <c r="OMQ4" s="539"/>
      <c r="OMR4" s="539"/>
      <c r="OMS4" s="539"/>
      <c r="OMT4" s="539"/>
      <c r="OMU4" s="539"/>
      <c r="OMV4" s="539"/>
      <c r="OMW4" s="539"/>
      <c r="OMX4" s="539"/>
      <c r="OMY4" s="539"/>
      <c r="OMZ4" s="539"/>
      <c r="ONA4" s="539"/>
      <c r="ONB4" s="539"/>
      <c r="ONC4" s="539"/>
      <c r="OND4" s="539"/>
      <c r="ONE4" s="539"/>
      <c r="ONF4" s="539"/>
      <c r="ONG4" s="539"/>
      <c r="ONH4" s="539"/>
      <c r="ONI4" s="539"/>
      <c r="ONJ4" s="539"/>
      <c r="ONK4" s="539"/>
      <c r="ONL4" s="539"/>
      <c r="ONM4" s="539"/>
      <c r="ONN4" s="539"/>
      <c r="ONO4" s="539"/>
      <c r="ONP4" s="539"/>
      <c r="ONQ4" s="539"/>
      <c r="ONR4" s="539"/>
      <c r="ONS4" s="539"/>
      <c r="ONT4" s="539"/>
      <c r="ONU4" s="539"/>
      <c r="ONV4" s="539"/>
      <c r="ONW4" s="539"/>
      <c r="ONX4" s="539"/>
      <c r="ONY4" s="539"/>
      <c r="ONZ4" s="539"/>
      <c r="OOA4" s="539"/>
      <c r="OOB4" s="539"/>
      <c r="OOC4" s="539"/>
      <c r="OOD4" s="539"/>
      <c r="OOE4" s="539"/>
      <c r="OOF4" s="539"/>
      <c r="OOG4" s="539"/>
      <c r="OOH4" s="539"/>
      <c r="OOI4" s="539"/>
      <c r="OOJ4" s="539"/>
      <c r="OOK4" s="539"/>
      <c r="OOL4" s="539"/>
      <c r="OOM4" s="539"/>
      <c r="OON4" s="539"/>
      <c r="OOO4" s="539"/>
      <c r="OOP4" s="539"/>
      <c r="OOQ4" s="539"/>
      <c r="OOR4" s="539"/>
      <c r="OOS4" s="539"/>
      <c r="OOT4" s="539"/>
      <c r="OOU4" s="539"/>
      <c r="OOV4" s="539"/>
      <c r="OOW4" s="539"/>
      <c r="OOX4" s="539"/>
      <c r="OOY4" s="539"/>
      <c r="OOZ4" s="539"/>
      <c r="OPA4" s="539"/>
      <c r="OPB4" s="539"/>
      <c r="OPC4" s="539"/>
      <c r="OPD4" s="539"/>
      <c r="OPE4" s="539"/>
      <c r="OPF4" s="539"/>
      <c r="OPG4" s="539"/>
      <c r="OPH4" s="539"/>
      <c r="OPI4" s="539"/>
      <c r="OPJ4" s="539"/>
      <c r="OPK4" s="539"/>
      <c r="OPL4" s="539"/>
      <c r="OPM4" s="539"/>
      <c r="OPN4" s="539"/>
      <c r="OPO4" s="539"/>
      <c r="OPP4" s="539"/>
      <c r="OPQ4" s="539"/>
      <c r="OPR4" s="539"/>
      <c r="OPS4" s="539"/>
      <c r="OPT4" s="539"/>
      <c r="OPU4" s="539"/>
      <c r="OPV4" s="539"/>
      <c r="OPW4" s="539"/>
      <c r="OPX4" s="539"/>
      <c r="OPY4" s="539"/>
      <c r="OPZ4" s="539"/>
      <c r="OQA4" s="539"/>
      <c r="OQB4" s="539"/>
      <c r="OQC4" s="539"/>
      <c r="OQD4" s="539"/>
      <c r="OQE4" s="539"/>
      <c r="OQF4" s="539"/>
      <c r="OQG4" s="539"/>
      <c r="OQH4" s="539"/>
      <c r="OQI4" s="539"/>
      <c r="OQJ4" s="539"/>
      <c r="OQK4" s="539"/>
      <c r="OQL4" s="539"/>
      <c r="OQM4" s="539"/>
      <c r="OQN4" s="539"/>
      <c r="OQO4" s="539"/>
      <c r="OQP4" s="539"/>
      <c r="OQQ4" s="539"/>
      <c r="OQR4" s="539"/>
      <c r="OQS4" s="539"/>
      <c r="OQT4" s="539"/>
      <c r="OQU4" s="539"/>
      <c r="OQV4" s="539"/>
      <c r="OQW4" s="539"/>
      <c r="OQX4" s="539"/>
      <c r="OQY4" s="539"/>
      <c r="OQZ4" s="539"/>
      <c r="ORA4" s="539"/>
      <c r="ORB4" s="539"/>
      <c r="ORC4" s="539"/>
      <c r="ORD4" s="539"/>
      <c r="ORE4" s="539"/>
      <c r="ORF4" s="539"/>
      <c r="ORG4" s="539"/>
      <c r="ORH4" s="539"/>
      <c r="ORI4" s="539"/>
      <c r="ORJ4" s="539"/>
      <c r="ORK4" s="539"/>
      <c r="ORL4" s="539"/>
      <c r="ORM4" s="539"/>
      <c r="ORN4" s="539"/>
      <c r="ORO4" s="539"/>
      <c r="ORP4" s="539"/>
      <c r="ORQ4" s="539"/>
      <c r="ORR4" s="539"/>
      <c r="ORS4" s="539"/>
      <c r="ORT4" s="539"/>
      <c r="ORU4" s="539"/>
      <c r="ORV4" s="539"/>
      <c r="ORW4" s="539"/>
      <c r="ORX4" s="539"/>
      <c r="ORY4" s="539"/>
      <c r="ORZ4" s="539"/>
      <c r="OSA4" s="539"/>
      <c r="OSB4" s="539"/>
      <c r="OSC4" s="539"/>
      <c r="OSD4" s="539"/>
      <c r="OSE4" s="539"/>
      <c r="OSF4" s="539"/>
      <c r="OSG4" s="539"/>
      <c r="OSH4" s="539"/>
      <c r="OSI4" s="539"/>
      <c r="OSJ4" s="539"/>
      <c r="OSK4" s="539"/>
      <c r="OSL4" s="539"/>
      <c r="OSM4" s="539"/>
      <c r="OSN4" s="539"/>
      <c r="OSO4" s="539"/>
      <c r="OSP4" s="539"/>
      <c r="OSQ4" s="539"/>
      <c r="OSR4" s="539"/>
      <c r="OSS4" s="539"/>
      <c r="OST4" s="539"/>
      <c r="OSU4" s="539"/>
      <c r="OSV4" s="539"/>
      <c r="OSW4" s="539"/>
      <c r="OSX4" s="539"/>
      <c r="OSY4" s="539"/>
      <c r="OSZ4" s="539"/>
      <c r="OTA4" s="539"/>
      <c r="OTB4" s="539"/>
      <c r="OTC4" s="539"/>
      <c r="OTD4" s="539"/>
      <c r="OTE4" s="539"/>
      <c r="OTF4" s="539"/>
      <c r="OTG4" s="539"/>
      <c r="OTH4" s="539"/>
      <c r="OTI4" s="539"/>
      <c r="OTJ4" s="539"/>
      <c r="OTK4" s="539"/>
      <c r="OTL4" s="539"/>
      <c r="OTM4" s="539"/>
      <c r="OTN4" s="539"/>
      <c r="OTO4" s="539"/>
      <c r="OTP4" s="539"/>
      <c r="OTQ4" s="539"/>
      <c r="OTR4" s="539"/>
      <c r="OTS4" s="539"/>
      <c r="OTT4" s="539"/>
      <c r="OTU4" s="539"/>
      <c r="OTV4" s="539"/>
      <c r="OTW4" s="539"/>
      <c r="OTX4" s="539"/>
      <c r="OTY4" s="539"/>
      <c r="OTZ4" s="539"/>
      <c r="OUA4" s="539"/>
      <c r="OUB4" s="539"/>
      <c r="OUC4" s="539"/>
      <c r="OUD4" s="539"/>
      <c r="OUE4" s="539"/>
      <c r="OUF4" s="539"/>
      <c r="OUG4" s="539"/>
      <c r="OUH4" s="539"/>
      <c r="OUI4" s="539"/>
      <c r="OUJ4" s="539"/>
      <c r="OUK4" s="539"/>
      <c r="OUL4" s="539"/>
      <c r="OUM4" s="539"/>
      <c r="OUN4" s="539"/>
      <c r="OUO4" s="539"/>
      <c r="OUP4" s="539"/>
      <c r="OUQ4" s="539"/>
      <c r="OUR4" s="539"/>
      <c r="OUS4" s="539"/>
      <c r="OUT4" s="539"/>
      <c r="OUU4" s="539"/>
      <c r="OUV4" s="539"/>
      <c r="OUW4" s="539"/>
      <c r="OUX4" s="539"/>
      <c r="OUY4" s="539"/>
      <c r="OUZ4" s="539"/>
      <c r="OVA4" s="539"/>
      <c r="OVB4" s="539"/>
      <c r="OVC4" s="539"/>
      <c r="OVD4" s="539"/>
      <c r="OVE4" s="539"/>
      <c r="OVF4" s="539"/>
      <c r="OVG4" s="539"/>
      <c r="OVH4" s="539"/>
      <c r="OVI4" s="539"/>
      <c r="OVJ4" s="539"/>
      <c r="OVK4" s="539"/>
      <c r="OVL4" s="539"/>
      <c r="OVM4" s="539"/>
      <c r="OVN4" s="539"/>
      <c r="OVO4" s="539"/>
      <c r="OVP4" s="539"/>
      <c r="OVQ4" s="539"/>
      <c r="OVR4" s="539"/>
      <c r="OVS4" s="539"/>
      <c r="OVT4" s="539"/>
      <c r="OVU4" s="539"/>
      <c r="OVV4" s="539"/>
      <c r="OVW4" s="539"/>
      <c r="OVX4" s="539"/>
      <c r="OVY4" s="539"/>
      <c r="OVZ4" s="539"/>
      <c r="OWA4" s="539"/>
      <c r="OWB4" s="539"/>
      <c r="OWC4" s="539"/>
      <c r="OWD4" s="539"/>
      <c r="OWE4" s="539"/>
      <c r="OWF4" s="539"/>
      <c r="OWG4" s="539"/>
      <c r="OWH4" s="539"/>
      <c r="OWI4" s="539"/>
      <c r="OWJ4" s="539"/>
      <c r="OWK4" s="539"/>
      <c r="OWL4" s="539"/>
      <c r="OWM4" s="539"/>
      <c r="OWN4" s="539"/>
      <c r="OWO4" s="539"/>
      <c r="OWP4" s="539"/>
      <c r="OWQ4" s="539"/>
      <c r="OWR4" s="539"/>
      <c r="OWS4" s="539"/>
      <c r="OWT4" s="539"/>
      <c r="OWU4" s="539"/>
      <c r="OWV4" s="539"/>
      <c r="OWW4" s="539"/>
      <c r="OWX4" s="539"/>
      <c r="OWY4" s="539"/>
      <c r="OWZ4" s="539"/>
      <c r="OXA4" s="539"/>
      <c r="OXB4" s="539"/>
      <c r="OXC4" s="539"/>
      <c r="OXD4" s="539"/>
      <c r="OXE4" s="539"/>
      <c r="OXF4" s="539"/>
      <c r="OXG4" s="539"/>
      <c r="OXH4" s="539"/>
      <c r="OXI4" s="539"/>
      <c r="OXJ4" s="539"/>
      <c r="OXK4" s="539"/>
      <c r="OXL4" s="539"/>
      <c r="OXM4" s="539"/>
      <c r="OXN4" s="539"/>
      <c r="OXO4" s="539"/>
      <c r="OXP4" s="539"/>
      <c r="OXQ4" s="539"/>
      <c r="OXR4" s="539"/>
      <c r="OXS4" s="539"/>
      <c r="OXT4" s="539"/>
      <c r="OXU4" s="539"/>
      <c r="OXV4" s="539"/>
      <c r="OXW4" s="539"/>
      <c r="OXX4" s="539"/>
      <c r="OXY4" s="539"/>
      <c r="OXZ4" s="539"/>
      <c r="OYA4" s="539"/>
      <c r="OYB4" s="539"/>
      <c r="OYC4" s="539"/>
      <c r="OYD4" s="539"/>
      <c r="OYE4" s="539"/>
      <c r="OYF4" s="539"/>
      <c r="OYG4" s="539"/>
      <c r="OYH4" s="539"/>
      <c r="OYI4" s="539"/>
      <c r="OYJ4" s="539"/>
      <c r="OYK4" s="539"/>
      <c r="OYL4" s="539"/>
      <c r="OYM4" s="539"/>
      <c r="OYN4" s="539"/>
      <c r="OYO4" s="539"/>
      <c r="OYP4" s="539"/>
      <c r="OYQ4" s="539"/>
      <c r="OYR4" s="539"/>
      <c r="OYS4" s="539"/>
      <c r="OYT4" s="539"/>
      <c r="OYU4" s="539"/>
      <c r="OYV4" s="539"/>
      <c r="OYW4" s="539"/>
      <c r="OYX4" s="539"/>
      <c r="OYY4" s="539"/>
      <c r="OYZ4" s="539"/>
      <c r="OZA4" s="539"/>
      <c r="OZB4" s="539"/>
      <c r="OZC4" s="539"/>
      <c r="OZD4" s="539"/>
      <c r="OZE4" s="539"/>
      <c r="OZF4" s="539"/>
      <c r="OZG4" s="539"/>
      <c r="OZH4" s="539"/>
      <c r="OZI4" s="539"/>
      <c r="OZJ4" s="539"/>
      <c r="OZK4" s="539"/>
      <c r="OZL4" s="539"/>
      <c r="OZM4" s="539"/>
      <c r="OZN4" s="539"/>
      <c r="OZO4" s="539"/>
      <c r="OZP4" s="539"/>
      <c r="OZQ4" s="539"/>
      <c r="OZR4" s="539"/>
      <c r="OZS4" s="539"/>
      <c r="OZT4" s="539"/>
      <c r="OZU4" s="539"/>
      <c r="OZV4" s="539"/>
      <c r="OZW4" s="539"/>
      <c r="OZX4" s="539"/>
      <c r="OZY4" s="539"/>
      <c r="OZZ4" s="539"/>
      <c r="PAA4" s="539"/>
      <c r="PAB4" s="539"/>
      <c r="PAC4" s="539"/>
      <c r="PAD4" s="539"/>
      <c r="PAE4" s="539"/>
      <c r="PAF4" s="539"/>
      <c r="PAG4" s="539"/>
      <c r="PAH4" s="539"/>
      <c r="PAI4" s="539"/>
      <c r="PAJ4" s="539"/>
      <c r="PAK4" s="539"/>
      <c r="PAL4" s="539"/>
      <c r="PAM4" s="539"/>
      <c r="PAN4" s="539"/>
      <c r="PAO4" s="539"/>
      <c r="PAP4" s="539"/>
      <c r="PAQ4" s="539"/>
      <c r="PAR4" s="539"/>
      <c r="PAS4" s="539"/>
      <c r="PAT4" s="539"/>
      <c r="PAU4" s="539"/>
      <c r="PAV4" s="539"/>
      <c r="PAW4" s="539"/>
      <c r="PAX4" s="539"/>
      <c r="PAY4" s="539"/>
      <c r="PAZ4" s="539"/>
      <c r="PBA4" s="539"/>
      <c r="PBB4" s="539"/>
      <c r="PBC4" s="539"/>
      <c r="PBD4" s="539"/>
      <c r="PBE4" s="539"/>
      <c r="PBF4" s="539"/>
      <c r="PBG4" s="539"/>
      <c r="PBH4" s="539"/>
      <c r="PBI4" s="539"/>
      <c r="PBJ4" s="539"/>
      <c r="PBK4" s="539"/>
      <c r="PBL4" s="539"/>
      <c r="PBM4" s="539"/>
      <c r="PBN4" s="539"/>
      <c r="PBO4" s="539"/>
      <c r="PBP4" s="539"/>
      <c r="PBQ4" s="539"/>
      <c r="PBR4" s="539"/>
      <c r="PBS4" s="539"/>
      <c r="PBT4" s="539"/>
      <c r="PBU4" s="539"/>
      <c r="PBV4" s="539"/>
      <c r="PBW4" s="539"/>
      <c r="PBX4" s="539"/>
      <c r="PBY4" s="539"/>
      <c r="PBZ4" s="539"/>
      <c r="PCA4" s="539"/>
      <c r="PCB4" s="539"/>
      <c r="PCC4" s="539"/>
      <c r="PCD4" s="539"/>
      <c r="PCE4" s="539"/>
      <c r="PCF4" s="539"/>
      <c r="PCG4" s="539"/>
      <c r="PCH4" s="539"/>
      <c r="PCI4" s="539"/>
      <c r="PCJ4" s="539"/>
      <c r="PCK4" s="539"/>
      <c r="PCL4" s="539"/>
      <c r="PCM4" s="539"/>
      <c r="PCN4" s="539"/>
      <c r="PCO4" s="539"/>
      <c r="PCP4" s="539"/>
      <c r="PCQ4" s="539"/>
      <c r="PCR4" s="539"/>
      <c r="PCS4" s="539"/>
      <c r="PCT4" s="539"/>
      <c r="PCU4" s="539"/>
      <c r="PCV4" s="539"/>
      <c r="PCW4" s="539"/>
      <c r="PCX4" s="539"/>
      <c r="PCY4" s="539"/>
      <c r="PCZ4" s="539"/>
      <c r="PDA4" s="539"/>
      <c r="PDB4" s="539"/>
      <c r="PDC4" s="539"/>
      <c r="PDD4" s="539"/>
      <c r="PDE4" s="539"/>
      <c r="PDF4" s="539"/>
      <c r="PDG4" s="539"/>
      <c r="PDH4" s="539"/>
      <c r="PDI4" s="539"/>
      <c r="PDJ4" s="539"/>
      <c r="PDK4" s="539"/>
      <c r="PDL4" s="539"/>
      <c r="PDM4" s="539"/>
      <c r="PDN4" s="539"/>
      <c r="PDO4" s="539"/>
      <c r="PDP4" s="539"/>
      <c r="PDQ4" s="539"/>
      <c r="PDR4" s="539"/>
      <c r="PDS4" s="539"/>
      <c r="PDT4" s="539"/>
      <c r="PDU4" s="539"/>
      <c r="PDV4" s="539"/>
      <c r="PDW4" s="539"/>
      <c r="PDX4" s="539"/>
      <c r="PDY4" s="539"/>
      <c r="PDZ4" s="539"/>
      <c r="PEA4" s="539"/>
      <c r="PEB4" s="539"/>
      <c r="PEC4" s="539"/>
      <c r="PED4" s="539"/>
      <c r="PEE4" s="539"/>
      <c r="PEF4" s="539"/>
      <c r="PEG4" s="539"/>
      <c r="PEH4" s="539"/>
      <c r="PEI4" s="539"/>
      <c r="PEJ4" s="539"/>
      <c r="PEK4" s="539"/>
      <c r="PEL4" s="539"/>
      <c r="PEM4" s="539"/>
      <c r="PEN4" s="539"/>
      <c r="PEO4" s="539"/>
      <c r="PEP4" s="539"/>
      <c r="PEQ4" s="539"/>
      <c r="PER4" s="539"/>
      <c r="PES4" s="539"/>
      <c r="PET4" s="539"/>
      <c r="PEU4" s="539"/>
      <c r="PEV4" s="539"/>
      <c r="PEW4" s="539"/>
      <c r="PEX4" s="539"/>
      <c r="PEY4" s="539"/>
      <c r="PEZ4" s="539"/>
      <c r="PFA4" s="539"/>
      <c r="PFB4" s="539"/>
      <c r="PFC4" s="539"/>
      <c r="PFD4" s="539"/>
      <c r="PFE4" s="539"/>
      <c r="PFF4" s="539"/>
      <c r="PFG4" s="539"/>
      <c r="PFH4" s="539"/>
      <c r="PFI4" s="539"/>
      <c r="PFJ4" s="539"/>
      <c r="PFK4" s="539"/>
      <c r="PFL4" s="539"/>
      <c r="PFM4" s="539"/>
      <c r="PFN4" s="539"/>
      <c r="PFO4" s="539"/>
      <c r="PFP4" s="539"/>
      <c r="PFQ4" s="539"/>
      <c r="PFR4" s="539"/>
      <c r="PFS4" s="539"/>
      <c r="PFT4" s="539"/>
      <c r="PFU4" s="539"/>
      <c r="PFV4" s="539"/>
      <c r="PFW4" s="539"/>
      <c r="PFX4" s="539"/>
      <c r="PFY4" s="539"/>
      <c r="PFZ4" s="539"/>
      <c r="PGA4" s="539"/>
      <c r="PGB4" s="539"/>
      <c r="PGC4" s="539"/>
      <c r="PGD4" s="539"/>
      <c r="PGE4" s="539"/>
      <c r="PGF4" s="539"/>
      <c r="PGG4" s="539"/>
      <c r="PGH4" s="539"/>
      <c r="PGI4" s="539"/>
      <c r="PGJ4" s="539"/>
      <c r="PGK4" s="539"/>
      <c r="PGL4" s="539"/>
      <c r="PGM4" s="539"/>
      <c r="PGN4" s="539"/>
      <c r="PGO4" s="539"/>
      <c r="PGP4" s="539"/>
      <c r="PGQ4" s="539"/>
      <c r="PGR4" s="539"/>
      <c r="PGS4" s="539"/>
      <c r="PGT4" s="539"/>
      <c r="PGU4" s="539"/>
      <c r="PGV4" s="539"/>
      <c r="PGW4" s="539"/>
      <c r="PGX4" s="539"/>
      <c r="PGY4" s="539"/>
      <c r="PGZ4" s="539"/>
      <c r="PHA4" s="539"/>
      <c r="PHB4" s="539"/>
      <c r="PHC4" s="539"/>
      <c r="PHD4" s="539"/>
      <c r="PHE4" s="539"/>
      <c r="PHF4" s="539"/>
      <c r="PHG4" s="539"/>
      <c r="PHH4" s="539"/>
      <c r="PHI4" s="539"/>
      <c r="PHJ4" s="539"/>
      <c r="PHK4" s="539"/>
      <c r="PHL4" s="539"/>
      <c r="PHM4" s="539"/>
      <c r="PHN4" s="539"/>
      <c r="PHO4" s="539"/>
      <c r="PHP4" s="539"/>
      <c r="PHQ4" s="539"/>
      <c r="PHR4" s="539"/>
      <c r="PHS4" s="539"/>
      <c r="PHT4" s="539"/>
      <c r="PHU4" s="539"/>
      <c r="PHV4" s="539"/>
      <c r="PHW4" s="539"/>
      <c r="PHX4" s="539"/>
      <c r="PHY4" s="539"/>
      <c r="PHZ4" s="539"/>
      <c r="PIA4" s="539"/>
      <c r="PIB4" s="539"/>
      <c r="PIC4" s="539"/>
      <c r="PID4" s="539"/>
      <c r="PIE4" s="539"/>
      <c r="PIF4" s="539"/>
      <c r="PIG4" s="539"/>
      <c r="PIH4" s="539"/>
      <c r="PII4" s="539"/>
      <c r="PIJ4" s="539"/>
      <c r="PIK4" s="539"/>
      <c r="PIL4" s="539"/>
      <c r="PIM4" s="539"/>
      <c r="PIN4" s="539"/>
      <c r="PIO4" s="539"/>
      <c r="PIP4" s="539"/>
      <c r="PIQ4" s="539"/>
      <c r="PIR4" s="539"/>
      <c r="PIS4" s="539"/>
      <c r="PIT4" s="539"/>
      <c r="PIU4" s="539"/>
      <c r="PIV4" s="539"/>
      <c r="PIW4" s="539"/>
      <c r="PIX4" s="539"/>
      <c r="PIY4" s="539"/>
      <c r="PIZ4" s="539"/>
      <c r="PJA4" s="539"/>
      <c r="PJB4" s="539"/>
      <c r="PJC4" s="539"/>
      <c r="PJD4" s="539"/>
      <c r="PJE4" s="539"/>
      <c r="PJF4" s="539"/>
      <c r="PJG4" s="539"/>
      <c r="PJH4" s="539"/>
      <c r="PJI4" s="539"/>
      <c r="PJJ4" s="539"/>
      <c r="PJK4" s="539"/>
      <c r="PJL4" s="539"/>
      <c r="PJM4" s="539"/>
      <c r="PJN4" s="539"/>
      <c r="PJO4" s="539"/>
      <c r="PJP4" s="539"/>
      <c r="PJQ4" s="539"/>
      <c r="PJR4" s="539"/>
      <c r="PJS4" s="539"/>
      <c r="PJT4" s="539"/>
      <c r="PJU4" s="539"/>
      <c r="PJV4" s="539"/>
      <c r="PJW4" s="539"/>
      <c r="PJX4" s="539"/>
      <c r="PJY4" s="539"/>
      <c r="PJZ4" s="539"/>
      <c r="PKA4" s="539"/>
      <c r="PKB4" s="539"/>
      <c r="PKC4" s="539"/>
      <c r="PKD4" s="539"/>
      <c r="PKE4" s="539"/>
      <c r="PKF4" s="539"/>
      <c r="PKG4" s="539"/>
      <c r="PKH4" s="539"/>
      <c r="PKI4" s="539"/>
      <c r="PKJ4" s="539"/>
      <c r="PKK4" s="539"/>
      <c r="PKL4" s="539"/>
      <c r="PKM4" s="539"/>
      <c r="PKN4" s="539"/>
      <c r="PKO4" s="539"/>
      <c r="PKP4" s="539"/>
      <c r="PKQ4" s="539"/>
      <c r="PKR4" s="539"/>
      <c r="PKS4" s="539"/>
      <c r="PKT4" s="539"/>
      <c r="PKU4" s="539"/>
      <c r="PKV4" s="539"/>
      <c r="PKW4" s="539"/>
      <c r="PKX4" s="539"/>
      <c r="PKY4" s="539"/>
      <c r="PKZ4" s="539"/>
      <c r="PLA4" s="539"/>
      <c r="PLB4" s="539"/>
      <c r="PLC4" s="539"/>
      <c r="PLD4" s="539"/>
      <c r="PLE4" s="539"/>
      <c r="PLF4" s="539"/>
      <c r="PLG4" s="539"/>
      <c r="PLH4" s="539"/>
      <c r="PLI4" s="539"/>
      <c r="PLJ4" s="539"/>
      <c r="PLK4" s="539"/>
      <c r="PLL4" s="539"/>
      <c r="PLM4" s="539"/>
      <c r="PLN4" s="539"/>
      <c r="PLO4" s="539"/>
      <c r="PLP4" s="539"/>
      <c r="PLQ4" s="539"/>
      <c r="PLR4" s="539"/>
      <c r="PLS4" s="539"/>
      <c r="PLT4" s="539"/>
      <c r="PLU4" s="539"/>
      <c r="PLV4" s="539"/>
      <c r="PLW4" s="539"/>
      <c r="PLX4" s="539"/>
      <c r="PLY4" s="539"/>
      <c r="PLZ4" s="539"/>
      <c r="PMA4" s="539"/>
      <c r="PMB4" s="539"/>
      <c r="PMC4" s="539"/>
      <c r="PMD4" s="539"/>
      <c r="PME4" s="539"/>
      <c r="PMF4" s="539"/>
      <c r="PMG4" s="539"/>
      <c r="PMH4" s="539"/>
      <c r="PMI4" s="539"/>
      <c r="PMJ4" s="539"/>
      <c r="PMK4" s="539"/>
      <c r="PML4" s="539"/>
      <c r="PMM4" s="539"/>
      <c r="PMN4" s="539"/>
      <c r="PMO4" s="539"/>
      <c r="PMP4" s="539"/>
      <c r="PMQ4" s="539"/>
      <c r="PMR4" s="539"/>
      <c r="PMS4" s="539"/>
      <c r="PMT4" s="539"/>
      <c r="PMU4" s="539"/>
      <c r="PMV4" s="539"/>
      <c r="PMW4" s="539"/>
      <c r="PMX4" s="539"/>
      <c r="PMY4" s="539"/>
      <c r="PMZ4" s="539"/>
      <c r="PNA4" s="539"/>
      <c r="PNB4" s="539"/>
      <c r="PNC4" s="539"/>
      <c r="PND4" s="539"/>
      <c r="PNE4" s="539"/>
      <c r="PNF4" s="539"/>
      <c r="PNG4" s="539"/>
      <c r="PNH4" s="539"/>
      <c r="PNI4" s="539"/>
      <c r="PNJ4" s="539"/>
      <c r="PNK4" s="539"/>
      <c r="PNL4" s="539"/>
      <c r="PNM4" s="539"/>
      <c r="PNN4" s="539"/>
      <c r="PNO4" s="539"/>
      <c r="PNP4" s="539"/>
      <c r="PNQ4" s="539"/>
      <c r="PNR4" s="539"/>
      <c r="PNS4" s="539"/>
      <c r="PNT4" s="539"/>
      <c r="PNU4" s="539"/>
      <c r="PNV4" s="539"/>
      <c r="PNW4" s="539"/>
      <c r="PNX4" s="539"/>
      <c r="PNY4" s="539"/>
      <c r="PNZ4" s="539"/>
      <c r="POA4" s="539"/>
      <c r="POB4" s="539"/>
      <c r="POC4" s="539"/>
      <c r="POD4" s="539"/>
      <c r="POE4" s="539"/>
      <c r="POF4" s="539"/>
      <c r="POG4" s="539"/>
      <c r="POH4" s="539"/>
      <c r="POI4" s="539"/>
      <c r="POJ4" s="539"/>
      <c r="POK4" s="539"/>
      <c r="POL4" s="539"/>
      <c r="POM4" s="539"/>
      <c r="PON4" s="539"/>
      <c r="POO4" s="539"/>
      <c r="POP4" s="539"/>
      <c r="POQ4" s="539"/>
      <c r="POR4" s="539"/>
      <c r="POS4" s="539"/>
      <c r="POT4" s="539"/>
      <c r="POU4" s="539"/>
      <c r="POV4" s="539"/>
      <c r="POW4" s="539"/>
      <c r="POX4" s="539"/>
      <c r="POY4" s="539"/>
      <c r="POZ4" s="539"/>
      <c r="PPA4" s="539"/>
      <c r="PPB4" s="539"/>
      <c r="PPC4" s="539"/>
      <c r="PPD4" s="539"/>
      <c r="PPE4" s="539"/>
      <c r="PPF4" s="539"/>
      <c r="PPG4" s="539"/>
      <c r="PPH4" s="539"/>
      <c r="PPI4" s="539"/>
      <c r="PPJ4" s="539"/>
      <c r="PPK4" s="539"/>
      <c r="PPL4" s="539"/>
      <c r="PPM4" s="539"/>
      <c r="PPN4" s="539"/>
      <c r="PPO4" s="539"/>
      <c r="PPP4" s="539"/>
      <c r="PPQ4" s="539"/>
      <c r="PPR4" s="539"/>
      <c r="PPS4" s="539"/>
      <c r="PPT4" s="539"/>
      <c r="PPU4" s="539"/>
      <c r="PPV4" s="539"/>
      <c r="PPW4" s="539"/>
      <c r="PPX4" s="539"/>
      <c r="PPY4" s="539"/>
      <c r="PPZ4" s="539"/>
      <c r="PQA4" s="539"/>
      <c r="PQB4" s="539"/>
      <c r="PQC4" s="539"/>
      <c r="PQD4" s="539"/>
      <c r="PQE4" s="539"/>
      <c r="PQF4" s="539"/>
      <c r="PQG4" s="539"/>
      <c r="PQH4" s="539"/>
      <c r="PQI4" s="539"/>
      <c r="PQJ4" s="539"/>
      <c r="PQK4" s="539"/>
      <c r="PQL4" s="539"/>
      <c r="PQM4" s="539"/>
      <c r="PQN4" s="539"/>
      <c r="PQO4" s="539"/>
      <c r="PQP4" s="539"/>
      <c r="PQQ4" s="539"/>
      <c r="PQR4" s="539"/>
      <c r="PQS4" s="539"/>
      <c r="PQT4" s="539"/>
      <c r="PQU4" s="539"/>
      <c r="PQV4" s="539"/>
      <c r="PQW4" s="539"/>
      <c r="PQX4" s="539"/>
      <c r="PQY4" s="539"/>
      <c r="PQZ4" s="539"/>
      <c r="PRA4" s="539"/>
      <c r="PRB4" s="539"/>
      <c r="PRC4" s="539"/>
      <c r="PRD4" s="539"/>
      <c r="PRE4" s="539"/>
      <c r="PRF4" s="539"/>
      <c r="PRG4" s="539"/>
      <c r="PRH4" s="539"/>
      <c r="PRI4" s="539"/>
      <c r="PRJ4" s="539"/>
      <c r="PRK4" s="539"/>
      <c r="PRL4" s="539"/>
      <c r="PRM4" s="539"/>
      <c r="PRN4" s="539"/>
      <c r="PRO4" s="539"/>
      <c r="PRP4" s="539"/>
      <c r="PRQ4" s="539"/>
      <c r="PRR4" s="539"/>
      <c r="PRS4" s="539"/>
      <c r="PRT4" s="539"/>
      <c r="PRU4" s="539"/>
      <c r="PRV4" s="539"/>
      <c r="PRW4" s="539"/>
      <c r="PRX4" s="539"/>
      <c r="PRY4" s="539"/>
      <c r="PRZ4" s="539"/>
      <c r="PSA4" s="539"/>
      <c r="PSB4" s="539"/>
      <c r="PSC4" s="539"/>
      <c r="PSD4" s="539"/>
      <c r="PSE4" s="539"/>
      <c r="PSF4" s="539"/>
      <c r="PSG4" s="539"/>
      <c r="PSH4" s="539"/>
      <c r="PSI4" s="539"/>
      <c r="PSJ4" s="539"/>
      <c r="PSK4" s="539"/>
      <c r="PSL4" s="539"/>
      <c r="PSM4" s="539"/>
      <c r="PSN4" s="539"/>
      <c r="PSO4" s="539"/>
      <c r="PSP4" s="539"/>
      <c r="PSQ4" s="539"/>
      <c r="PSR4" s="539"/>
      <c r="PSS4" s="539"/>
      <c r="PST4" s="539"/>
      <c r="PSU4" s="539"/>
      <c r="PSV4" s="539"/>
      <c r="PSW4" s="539"/>
      <c r="PSX4" s="539"/>
      <c r="PSY4" s="539"/>
      <c r="PSZ4" s="539"/>
      <c r="PTA4" s="539"/>
      <c r="PTB4" s="539"/>
      <c r="PTC4" s="539"/>
      <c r="PTD4" s="539"/>
      <c r="PTE4" s="539"/>
      <c r="PTF4" s="539"/>
      <c r="PTG4" s="539"/>
      <c r="PTH4" s="539"/>
      <c r="PTI4" s="539"/>
      <c r="PTJ4" s="539"/>
      <c r="PTK4" s="539"/>
      <c r="PTL4" s="539"/>
      <c r="PTM4" s="539"/>
      <c r="PTN4" s="539"/>
      <c r="PTO4" s="539"/>
      <c r="PTP4" s="539"/>
      <c r="PTQ4" s="539"/>
      <c r="PTR4" s="539"/>
      <c r="PTS4" s="539"/>
      <c r="PTT4" s="539"/>
      <c r="PTU4" s="539"/>
      <c r="PTV4" s="539"/>
      <c r="PTW4" s="539"/>
      <c r="PTX4" s="539"/>
      <c r="PTY4" s="539"/>
      <c r="PTZ4" s="539"/>
      <c r="PUA4" s="539"/>
      <c r="PUB4" s="539"/>
      <c r="PUC4" s="539"/>
      <c r="PUD4" s="539"/>
      <c r="PUE4" s="539"/>
      <c r="PUF4" s="539"/>
      <c r="PUG4" s="539"/>
      <c r="PUH4" s="539"/>
      <c r="PUI4" s="539"/>
      <c r="PUJ4" s="539"/>
      <c r="PUK4" s="539"/>
      <c r="PUL4" s="539"/>
      <c r="PUM4" s="539"/>
      <c r="PUN4" s="539"/>
      <c r="PUO4" s="539"/>
      <c r="PUP4" s="539"/>
      <c r="PUQ4" s="539"/>
      <c r="PUR4" s="539"/>
      <c r="PUS4" s="539"/>
      <c r="PUT4" s="539"/>
      <c r="PUU4" s="539"/>
      <c r="PUV4" s="539"/>
      <c r="PUW4" s="539"/>
      <c r="PUX4" s="539"/>
      <c r="PUY4" s="539"/>
      <c r="PUZ4" s="539"/>
      <c r="PVA4" s="539"/>
      <c r="PVB4" s="539"/>
      <c r="PVC4" s="539"/>
      <c r="PVD4" s="539"/>
      <c r="PVE4" s="539"/>
      <c r="PVF4" s="539"/>
      <c r="PVG4" s="539"/>
      <c r="PVH4" s="539"/>
      <c r="PVI4" s="539"/>
      <c r="PVJ4" s="539"/>
      <c r="PVK4" s="539"/>
      <c r="PVL4" s="539"/>
      <c r="PVM4" s="539"/>
      <c r="PVN4" s="539"/>
      <c r="PVO4" s="539"/>
      <c r="PVP4" s="539"/>
      <c r="PVQ4" s="539"/>
      <c r="PVR4" s="539"/>
      <c r="PVS4" s="539"/>
      <c r="PVT4" s="539"/>
      <c r="PVU4" s="539"/>
      <c r="PVV4" s="539"/>
      <c r="PVW4" s="539"/>
      <c r="PVX4" s="539"/>
      <c r="PVY4" s="539"/>
      <c r="PVZ4" s="539"/>
      <c r="PWA4" s="539"/>
      <c r="PWB4" s="539"/>
      <c r="PWC4" s="539"/>
      <c r="PWD4" s="539"/>
      <c r="PWE4" s="539"/>
      <c r="PWF4" s="539"/>
      <c r="PWG4" s="539"/>
      <c r="PWH4" s="539"/>
      <c r="PWI4" s="539"/>
      <c r="PWJ4" s="539"/>
      <c r="PWK4" s="539"/>
      <c r="PWL4" s="539"/>
      <c r="PWM4" s="539"/>
      <c r="PWN4" s="539"/>
      <c r="PWO4" s="539"/>
      <c r="PWP4" s="539"/>
      <c r="PWQ4" s="539"/>
      <c r="PWR4" s="539"/>
      <c r="PWS4" s="539"/>
      <c r="PWT4" s="539"/>
      <c r="PWU4" s="539"/>
      <c r="PWV4" s="539"/>
      <c r="PWW4" s="539"/>
      <c r="PWX4" s="539"/>
      <c r="PWY4" s="539"/>
      <c r="PWZ4" s="539"/>
      <c r="PXA4" s="539"/>
      <c r="PXB4" s="539"/>
      <c r="PXC4" s="539"/>
      <c r="PXD4" s="539"/>
      <c r="PXE4" s="539"/>
      <c r="PXF4" s="539"/>
      <c r="PXG4" s="539"/>
      <c r="PXH4" s="539"/>
      <c r="PXI4" s="539"/>
      <c r="PXJ4" s="539"/>
      <c r="PXK4" s="539"/>
      <c r="PXL4" s="539"/>
      <c r="PXM4" s="539"/>
      <c r="PXN4" s="539"/>
      <c r="PXO4" s="539"/>
      <c r="PXP4" s="539"/>
      <c r="PXQ4" s="539"/>
      <c r="PXR4" s="539"/>
      <c r="PXS4" s="539"/>
      <c r="PXT4" s="539"/>
      <c r="PXU4" s="539"/>
      <c r="PXV4" s="539"/>
      <c r="PXW4" s="539"/>
      <c r="PXX4" s="539"/>
      <c r="PXY4" s="539"/>
      <c r="PXZ4" s="539"/>
      <c r="PYA4" s="539"/>
      <c r="PYB4" s="539"/>
      <c r="PYC4" s="539"/>
      <c r="PYD4" s="539"/>
      <c r="PYE4" s="539"/>
      <c r="PYF4" s="539"/>
      <c r="PYG4" s="539"/>
      <c r="PYH4" s="539"/>
      <c r="PYI4" s="539"/>
      <c r="PYJ4" s="539"/>
      <c r="PYK4" s="539"/>
      <c r="PYL4" s="539"/>
      <c r="PYM4" s="539"/>
      <c r="PYN4" s="539"/>
      <c r="PYO4" s="539"/>
      <c r="PYP4" s="539"/>
      <c r="PYQ4" s="539"/>
      <c r="PYR4" s="539"/>
      <c r="PYS4" s="539"/>
      <c r="PYT4" s="539"/>
      <c r="PYU4" s="539"/>
      <c r="PYV4" s="539"/>
      <c r="PYW4" s="539"/>
      <c r="PYX4" s="539"/>
      <c r="PYY4" s="539"/>
      <c r="PYZ4" s="539"/>
      <c r="PZA4" s="539"/>
      <c r="PZB4" s="539"/>
      <c r="PZC4" s="539"/>
      <c r="PZD4" s="539"/>
      <c r="PZE4" s="539"/>
      <c r="PZF4" s="539"/>
      <c r="PZG4" s="539"/>
      <c r="PZH4" s="539"/>
      <c r="PZI4" s="539"/>
      <c r="PZJ4" s="539"/>
      <c r="PZK4" s="539"/>
      <c r="PZL4" s="539"/>
      <c r="PZM4" s="539"/>
      <c r="PZN4" s="539"/>
      <c r="PZO4" s="539"/>
      <c r="PZP4" s="539"/>
      <c r="PZQ4" s="539"/>
      <c r="PZR4" s="539"/>
      <c r="PZS4" s="539"/>
      <c r="PZT4" s="539"/>
      <c r="PZU4" s="539"/>
      <c r="PZV4" s="539"/>
      <c r="PZW4" s="539"/>
      <c r="PZX4" s="539"/>
      <c r="PZY4" s="539"/>
      <c r="PZZ4" s="539"/>
      <c r="QAA4" s="539"/>
      <c r="QAB4" s="539"/>
      <c r="QAC4" s="539"/>
      <c r="QAD4" s="539"/>
      <c r="QAE4" s="539"/>
      <c r="QAF4" s="539"/>
      <c r="QAG4" s="539"/>
      <c r="QAH4" s="539"/>
      <c r="QAI4" s="539"/>
      <c r="QAJ4" s="539"/>
      <c r="QAK4" s="539"/>
      <c r="QAL4" s="539"/>
      <c r="QAM4" s="539"/>
      <c r="QAN4" s="539"/>
      <c r="QAO4" s="539"/>
      <c r="QAP4" s="539"/>
      <c r="QAQ4" s="539"/>
      <c r="QAR4" s="539"/>
      <c r="QAS4" s="539"/>
      <c r="QAT4" s="539"/>
      <c r="QAU4" s="539"/>
      <c r="QAV4" s="539"/>
      <c r="QAW4" s="539"/>
      <c r="QAX4" s="539"/>
      <c r="QAY4" s="539"/>
      <c r="QAZ4" s="539"/>
      <c r="QBA4" s="539"/>
      <c r="QBB4" s="539"/>
      <c r="QBC4" s="539"/>
      <c r="QBD4" s="539"/>
      <c r="QBE4" s="539"/>
      <c r="QBF4" s="539"/>
      <c r="QBG4" s="539"/>
      <c r="QBH4" s="539"/>
      <c r="QBI4" s="539"/>
      <c r="QBJ4" s="539"/>
      <c r="QBK4" s="539"/>
      <c r="QBL4" s="539"/>
      <c r="QBM4" s="539"/>
      <c r="QBN4" s="539"/>
      <c r="QBO4" s="539"/>
      <c r="QBP4" s="539"/>
      <c r="QBQ4" s="539"/>
      <c r="QBR4" s="539"/>
      <c r="QBS4" s="539"/>
      <c r="QBT4" s="539"/>
      <c r="QBU4" s="539"/>
      <c r="QBV4" s="539"/>
      <c r="QBW4" s="539"/>
      <c r="QBX4" s="539"/>
      <c r="QBY4" s="539"/>
      <c r="QBZ4" s="539"/>
      <c r="QCA4" s="539"/>
      <c r="QCB4" s="539"/>
      <c r="QCC4" s="539"/>
      <c r="QCD4" s="539"/>
      <c r="QCE4" s="539"/>
      <c r="QCF4" s="539"/>
      <c r="QCG4" s="539"/>
      <c r="QCH4" s="539"/>
      <c r="QCI4" s="539"/>
      <c r="QCJ4" s="539"/>
      <c r="QCK4" s="539"/>
      <c r="QCL4" s="539"/>
      <c r="QCM4" s="539"/>
      <c r="QCN4" s="539"/>
      <c r="QCO4" s="539"/>
      <c r="QCP4" s="539"/>
      <c r="QCQ4" s="539"/>
      <c r="QCR4" s="539"/>
      <c r="QCS4" s="539"/>
      <c r="QCT4" s="539"/>
      <c r="QCU4" s="539"/>
      <c r="QCV4" s="539"/>
      <c r="QCW4" s="539"/>
      <c r="QCX4" s="539"/>
      <c r="QCY4" s="539"/>
      <c r="QCZ4" s="539"/>
      <c r="QDA4" s="539"/>
      <c r="QDB4" s="539"/>
      <c r="QDC4" s="539"/>
      <c r="QDD4" s="539"/>
      <c r="QDE4" s="539"/>
      <c r="QDF4" s="539"/>
      <c r="QDG4" s="539"/>
      <c r="QDH4" s="539"/>
      <c r="QDI4" s="539"/>
      <c r="QDJ4" s="539"/>
      <c r="QDK4" s="539"/>
      <c r="QDL4" s="539"/>
      <c r="QDM4" s="539"/>
      <c r="QDN4" s="539"/>
      <c r="QDO4" s="539"/>
      <c r="QDP4" s="539"/>
      <c r="QDQ4" s="539"/>
      <c r="QDR4" s="539"/>
      <c r="QDS4" s="539"/>
      <c r="QDT4" s="539"/>
      <c r="QDU4" s="539"/>
      <c r="QDV4" s="539"/>
      <c r="QDW4" s="539"/>
      <c r="QDX4" s="539"/>
      <c r="QDY4" s="539"/>
      <c r="QDZ4" s="539"/>
      <c r="QEA4" s="539"/>
      <c r="QEB4" s="539"/>
      <c r="QEC4" s="539"/>
      <c r="QED4" s="539"/>
      <c r="QEE4" s="539"/>
      <c r="QEF4" s="539"/>
      <c r="QEG4" s="539"/>
      <c r="QEH4" s="539"/>
      <c r="QEI4" s="539"/>
      <c r="QEJ4" s="539"/>
      <c r="QEK4" s="539"/>
      <c r="QEL4" s="539"/>
      <c r="QEM4" s="539"/>
      <c r="QEN4" s="539"/>
      <c r="QEO4" s="539"/>
      <c r="QEP4" s="539"/>
      <c r="QEQ4" s="539"/>
      <c r="QER4" s="539"/>
      <c r="QES4" s="539"/>
      <c r="QET4" s="539"/>
      <c r="QEU4" s="539"/>
      <c r="QEV4" s="539"/>
      <c r="QEW4" s="539"/>
      <c r="QEX4" s="539"/>
      <c r="QEY4" s="539"/>
      <c r="QEZ4" s="539"/>
      <c r="QFA4" s="539"/>
      <c r="QFB4" s="539"/>
      <c r="QFC4" s="539"/>
      <c r="QFD4" s="539"/>
      <c r="QFE4" s="539"/>
      <c r="QFF4" s="539"/>
      <c r="QFG4" s="539"/>
      <c r="QFH4" s="539"/>
      <c r="QFI4" s="539"/>
      <c r="QFJ4" s="539"/>
      <c r="QFK4" s="539"/>
      <c r="QFL4" s="539"/>
      <c r="QFM4" s="539"/>
      <c r="QFN4" s="539"/>
      <c r="QFO4" s="539"/>
      <c r="QFP4" s="539"/>
      <c r="QFQ4" s="539"/>
      <c r="QFR4" s="539"/>
      <c r="QFS4" s="539"/>
      <c r="QFT4" s="539"/>
      <c r="QFU4" s="539"/>
      <c r="QFV4" s="539"/>
      <c r="QFW4" s="539"/>
      <c r="QFX4" s="539"/>
      <c r="QFY4" s="539"/>
      <c r="QFZ4" s="539"/>
      <c r="QGA4" s="539"/>
      <c r="QGB4" s="539"/>
      <c r="QGC4" s="539"/>
      <c r="QGD4" s="539"/>
      <c r="QGE4" s="539"/>
      <c r="QGF4" s="539"/>
      <c r="QGG4" s="539"/>
      <c r="QGH4" s="539"/>
      <c r="QGI4" s="539"/>
      <c r="QGJ4" s="539"/>
      <c r="QGK4" s="539"/>
      <c r="QGL4" s="539"/>
      <c r="QGM4" s="539"/>
      <c r="QGN4" s="539"/>
      <c r="QGO4" s="539"/>
      <c r="QGP4" s="539"/>
      <c r="QGQ4" s="539"/>
      <c r="QGR4" s="539"/>
      <c r="QGS4" s="539"/>
      <c r="QGT4" s="539"/>
      <c r="QGU4" s="539"/>
      <c r="QGV4" s="539"/>
      <c r="QGW4" s="539"/>
      <c r="QGX4" s="539"/>
      <c r="QGY4" s="539"/>
      <c r="QGZ4" s="539"/>
      <c r="QHA4" s="539"/>
      <c r="QHB4" s="539"/>
      <c r="QHC4" s="539"/>
      <c r="QHD4" s="539"/>
      <c r="QHE4" s="539"/>
      <c r="QHF4" s="539"/>
      <c r="QHG4" s="539"/>
      <c r="QHH4" s="539"/>
      <c r="QHI4" s="539"/>
      <c r="QHJ4" s="539"/>
      <c r="QHK4" s="539"/>
      <c r="QHL4" s="539"/>
      <c r="QHM4" s="539"/>
      <c r="QHN4" s="539"/>
      <c r="QHO4" s="539"/>
      <c r="QHP4" s="539"/>
      <c r="QHQ4" s="539"/>
      <c r="QHR4" s="539"/>
      <c r="QHS4" s="539"/>
      <c r="QHT4" s="539"/>
      <c r="QHU4" s="539"/>
      <c r="QHV4" s="539"/>
      <c r="QHW4" s="539"/>
      <c r="QHX4" s="539"/>
      <c r="QHY4" s="539"/>
      <c r="QHZ4" s="539"/>
      <c r="QIA4" s="539"/>
      <c r="QIB4" s="539"/>
      <c r="QIC4" s="539"/>
      <c r="QID4" s="539"/>
      <c r="QIE4" s="539"/>
      <c r="QIF4" s="539"/>
      <c r="QIG4" s="539"/>
      <c r="QIH4" s="539"/>
      <c r="QII4" s="539"/>
      <c r="QIJ4" s="539"/>
      <c r="QIK4" s="539"/>
      <c r="QIL4" s="539"/>
      <c r="QIM4" s="539"/>
      <c r="QIN4" s="539"/>
      <c r="QIO4" s="539"/>
      <c r="QIP4" s="539"/>
      <c r="QIQ4" s="539"/>
      <c r="QIR4" s="539"/>
      <c r="QIS4" s="539"/>
      <c r="QIT4" s="539"/>
      <c r="QIU4" s="539"/>
      <c r="QIV4" s="539"/>
      <c r="QIW4" s="539"/>
      <c r="QIX4" s="539"/>
      <c r="QIY4" s="539"/>
      <c r="QIZ4" s="539"/>
      <c r="QJA4" s="539"/>
      <c r="QJB4" s="539"/>
      <c r="QJC4" s="539"/>
      <c r="QJD4" s="539"/>
      <c r="QJE4" s="539"/>
      <c r="QJF4" s="539"/>
      <c r="QJG4" s="539"/>
      <c r="QJH4" s="539"/>
      <c r="QJI4" s="539"/>
      <c r="QJJ4" s="539"/>
      <c r="QJK4" s="539"/>
      <c r="QJL4" s="539"/>
      <c r="QJM4" s="539"/>
      <c r="QJN4" s="539"/>
      <c r="QJO4" s="539"/>
      <c r="QJP4" s="539"/>
      <c r="QJQ4" s="539"/>
      <c r="QJR4" s="539"/>
      <c r="QJS4" s="539"/>
      <c r="QJT4" s="539"/>
      <c r="QJU4" s="539"/>
      <c r="QJV4" s="539"/>
      <c r="QJW4" s="539"/>
      <c r="QJX4" s="539"/>
      <c r="QJY4" s="539"/>
      <c r="QJZ4" s="539"/>
      <c r="QKA4" s="539"/>
      <c r="QKB4" s="539"/>
      <c r="QKC4" s="539"/>
      <c r="QKD4" s="539"/>
      <c r="QKE4" s="539"/>
      <c r="QKF4" s="539"/>
      <c r="QKG4" s="539"/>
      <c r="QKH4" s="539"/>
      <c r="QKI4" s="539"/>
      <c r="QKJ4" s="539"/>
      <c r="QKK4" s="539"/>
      <c r="QKL4" s="539"/>
      <c r="QKM4" s="539"/>
      <c r="QKN4" s="539"/>
      <c r="QKO4" s="539"/>
      <c r="QKP4" s="539"/>
      <c r="QKQ4" s="539"/>
      <c r="QKR4" s="539"/>
      <c r="QKS4" s="539"/>
      <c r="QKT4" s="539"/>
      <c r="QKU4" s="539"/>
      <c r="QKV4" s="539"/>
      <c r="QKW4" s="539"/>
      <c r="QKX4" s="539"/>
      <c r="QKY4" s="539"/>
      <c r="QKZ4" s="539"/>
      <c r="QLA4" s="539"/>
      <c r="QLB4" s="539"/>
      <c r="QLC4" s="539"/>
      <c r="QLD4" s="539"/>
      <c r="QLE4" s="539"/>
      <c r="QLF4" s="539"/>
      <c r="QLG4" s="539"/>
      <c r="QLH4" s="539"/>
      <c r="QLI4" s="539"/>
      <c r="QLJ4" s="539"/>
      <c r="QLK4" s="539"/>
      <c r="QLL4" s="539"/>
      <c r="QLM4" s="539"/>
      <c r="QLN4" s="539"/>
      <c r="QLO4" s="539"/>
      <c r="QLP4" s="539"/>
      <c r="QLQ4" s="539"/>
      <c r="QLR4" s="539"/>
      <c r="QLS4" s="539"/>
      <c r="QLT4" s="539"/>
      <c r="QLU4" s="539"/>
      <c r="QLV4" s="539"/>
      <c r="QLW4" s="539"/>
      <c r="QLX4" s="539"/>
      <c r="QLY4" s="539"/>
      <c r="QLZ4" s="539"/>
      <c r="QMA4" s="539"/>
      <c r="QMB4" s="539"/>
      <c r="QMC4" s="539"/>
      <c r="QMD4" s="539"/>
      <c r="QME4" s="539"/>
      <c r="QMF4" s="539"/>
      <c r="QMG4" s="539"/>
      <c r="QMH4" s="539"/>
      <c r="QMI4" s="539"/>
      <c r="QMJ4" s="539"/>
      <c r="QMK4" s="539"/>
      <c r="QML4" s="539"/>
      <c r="QMM4" s="539"/>
      <c r="QMN4" s="539"/>
      <c r="QMO4" s="539"/>
      <c r="QMP4" s="539"/>
      <c r="QMQ4" s="539"/>
      <c r="QMR4" s="539"/>
      <c r="QMS4" s="539"/>
      <c r="QMT4" s="539"/>
      <c r="QMU4" s="539"/>
      <c r="QMV4" s="539"/>
      <c r="QMW4" s="539"/>
      <c r="QMX4" s="539"/>
      <c r="QMY4" s="539"/>
      <c r="QMZ4" s="539"/>
      <c r="QNA4" s="539"/>
      <c r="QNB4" s="539"/>
      <c r="QNC4" s="539"/>
      <c r="QND4" s="539"/>
      <c r="QNE4" s="539"/>
      <c r="QNF4" s="539"/>
      <c r="QNG4" s="539"/>
      <c r="QNH4" s="539"/>
      <c r="QNI4" s="539"/>
      <c r="QNJ4" s="539"/>
      <c r="QNK4" s="539"/>
      <c r="QNL4" s="539"/>
      <c r="QNM4" s="539"/>
      <c r="QNN4" s="539"/>
      <c r="QNO4" s="539"/>
      <c r="QNP4" s="539"/>
      <c r="QNQ4" s="539"/>
      <c r="QNR4" s="539"/>
      <c r="QNS4" s="539"/>
      <c r="QNT4" s="539"/>
      <c r="QNU4" s="539"/>
      <c r="QNV4" s="539"/>
      <c r="QNW4" s="539"/>
      <c r="QNX4" s="539"/>
      <c r="QNY4" s="539"/>
      <c r="QNZ4" s="539"/>
      <c r="QOA4" s="539"/>
      <c r="QOB4" s="539"/>
      <c r="QOC4" s="539"/>
      <c r="QOD4" s="539"/>
      <c r="QOE4" s="539"/>
      <c r="QOF4" s="539"/>
      <c r="QOG4" s="539"/>
      <c r="QOH4" s="539"/>
      <c r="QOI4" s="539"/>
      <c r="QOJ4" s="539"/>
      <c r="QOK4" s="539"/>
      <c r="QOL4" s="539"/>
      <c r="QOM4" s="539"/>
      <c r="QON4" s="539"/>
      <c r="QOO4" s="539"/>
      <c r="QOP4" s="539"/>
      <c r="QOQ4" s="539"/>
      <c r="QOR4" s="539"/>
      <c r="QOS4" s="539"/>
      <c r="QOT4" s="539"/>
      <c r="QOU4" s="539"/>
      <c r="QOV4" s="539"/>
      <c r="QOW4" s="539"/>
      <c r="QOX4" s="539"/>
      <c r="QOY4" s="539"/>
      <c r="QOZ4" s="539"/>
      <c r="QPA4" s="539"/>
      <c r="QPB4" s="539"/>
      <c r="QPC4" s="539"/>
      <c r="QPD4" s="539"/>
      <c r="QPE4" s="539"/>
      <c r="QPF4" s="539"/>
      <c r="QPG4" s="539"/>
      <c r="QPH4" s="539"/>
      <c r="QPI4" s="539"/>
      <c r="QPJ4" s="539"/>
      <c r="QPK4" s="539"/>
      <c r="QPL4" s="539"/>
      <c r="QPM4" s="539"/>
      <c r="QPN4" s="539"/>
      <c r="QPO4" s="539"/>
      <c r="QPP4" s="539"/>
      <c r="QPQ4" s="539"/>
      <c r="QPR4" s="539"/>
      <c r="QPS4" s="539"/>
      <c r="QPT4" s="539"/>
      <c r="QPU4" s="539"/>
      <c r="QPV4" s="539"/>
      <c r="QPW4" s="539"/>
      <c r="QPX4" s="539"/>
      <c r="QPY4" s="539"/>
      <c r="QPZ4" s="539"/>
      <c r="QQA4" s="539"/>
      <c r="QQB4" s="539"/>
      <c r="QQC4" s="539"/>
      <c r="QQD4" s="539"/>
      <c r="QQE4" s="539"/>
      <c r="QQF4" s="539"/>
      <c r="QQG4" s="539"/>
      <c r="QQH4" s="539"/>
      <c r="QQI4" s="539"/>
      <c r="QQJ4" s="539"/>
      <c r="QQK4" s="539"/>
      <c r="QQL4" s="539"/>
      <c r="QQM4" s="539"/>
      <c r="QQN4" s="539"/>
      <c r="QQO4" s="539"/>
      <c r="QQP4" s="539"/>
      <c r="QQQ4" s="539"/>
      <c r="QQR4" s="539"/>
      <c r="QQS4" s="539"/>
      <c r="QQT4" s="539"/>
      <c r="QQU4" s="539"/>
      <c r="QQV4" s="539"/>
      <c r="QQW4" s="539"/>
      <c r="QQX4" s="539"/>
      <c r="QQY4" s="539"/>
      <c r="QQZ4" s="539"/>
      <c r="QRA4" s="539"/>
      <c r="QRB4" s="539"/>
      <c r="QRC4" s="539"/>
      <c r="QRD4" s="539"/>
      <c r="QRE4" s="539"/>
      <c r="QRF4" s="539"/>
      <c r="QRG4" s="539"/>
      <c r="QRH4" s="539"/>
      <c r="QRI4" s="539"/>
      <c r="QRJ4" s="539"/>
      <c r="QRK4" s="539"/>
      <c r="QRL4" s="539"/>
      <c r="QRM4" s="539"/>
      <c r="QRN4" s="539"/>
      <c r="QRO4" s="539"/>
      <c r="QRP4" s="539"/>
      <c r="QRQ4" s="539"/>
      <c r="QRR4" s="539"/>
      <c r="QRS4" s="539"/>
      <c r="QRT4" s="539"/>
      <c r="QRU4" s="539"/>
      <c r="QRV4" s="539"/>
      <c r="QRW4" s="539"/>
      <c r="QRX4" s="539"/>
      <c r="QRY4" s="539"/>
      <c r="QRZ4" s="539"/>
      <c r="QSA4" s="539"/>
      <c r="QSB4" s="539"/>
      <c r="QSC4" s="539"/>
      <c r="QSD4" s="539"/>
      <c r="QSE4" s="539"/>
      <c r="QSF4" s="539"/>
      <c r="QSG4" s="539"/>
      <c r="QSH4" s="539"/>
      <c r="QSI4" s="539"/>
      <c r="QSJ4" s="539"/>
      <c r="QSK4" s="539"/>
      <c r="QSL4" s="539"/>
      <c r="QSM4" s="539"/>
      <c r="QSN4" s="539"/>
      <c r="QSO4" s="539"/>
      <c r="QSP4" s="539"/>
      <c r="QSQ4" s="539"/>
      <c r="QSR4" s="539"/>
      <c r="QSS4" s="539"/>
      <c r="QST4" s="539"/>
      <c r="QSU4" s="539"/>
      <c r="QSV4" s="539"/>
      <c r="QSW4" s="539"/>
      <c r="QSX4" s="539"/>
      <c r="QSY4" s="539"/>
      <c r="QSZ4" s="539"/>
      <c r="QTA4" s="539"/>
      <c r="QTB4" s="539"/>
      <c r="QTC4" s="539"/>
      <c r="QTD4" s="539"/>
      <c r="QTE4" s="539"/>
      <c r="QTF4" s="539"/>
      <c r="QTG4" s="539"/>
      <c r="QTH4" s="539"/>
      <c r="QTI4" s="539"/>
      <c r="QTJ4" s="539"/>
      <c r="QTK4" s="539"/>
      <c r="QTL4" s="539"/>
      <c r="QTM4" s="539"/>
      <c r="QTN4" s="539"/>
      <c r="QTO4" s="539"/>
      <c r="QTP4" s="539"/>
      <c r="QTQ4" s="539"/>
      <c r="QTR4" s="539"/>
      <c r="QTS4" s="539"/>
      <c r="QTT4" s="539"/>
      <c r="QTU4" s="539"/>
      <c r="QTV4" s="539"/>
      <c r="QTW4" s="539"/>
      <c r="QTX4" s="539"/>
      <c r="QTY4" s="539"/>
      <c r="QTZ4" s="539"/>
      <c r="QUA4" s="539"/>
      <c r="QUB4" s="539"/>
      <c r="QUC4" s="539"/>
      <c r="QUD4" s="539"/>
      <c r="QUE4" s="539"/>
      <c r="QUF4" s="539"/>
      <c r="QUG4" s="539"/>
      <c r="QUH4" s="539"/>
      <c r="QUI4" s="539"/>
      <c r="QUJ4" s="539"/>
      <c r="QUK4" s="539"/>
      <c r="QUL4" s="539"/>
      <c r="QUM4" s="539"/>
      <c r="QUN4" s="539"/>
      <c r="QUO4" s="539"/>
      <c r="QUP4" s="539"/>
      <c r="QUQ4" s="539"/>
      <c r="QUR4" s="539"/>
      <c r="QUS4" s="539"/>
      <c r="QUT4" s="539"/>
      <c r="QUU4" s="539"/>
      <c r="QUV4" s="539"/>
      <c r="QUW4" s="539"/>
      <c r="QUX4" s="539"/>
      <c r="QUY4" s="539"/>
      <c r="QUZ4" s="539"/>
      <c r="QVA4" s="539"/>
      <c r="QVB4" s="539"/>
      <c r="QVC4" s="539"/>
      <c r="QVD4" s="539"/>
      <c r="QVE4" s="539"/>
      <c r="QVF4" s="539"/>
      <c r="QVG4" s="539"/>
      <c r="QVH4" s="539"/>
      <c r="QVI4" s="539"/>
      <c r="QVJ4" s="539"/>
      <c r="QVK4" s="539"/>
      <c r="QVL4" s="539"/>
      <c r="QVM4" s="539"/>
      <c r="QVN4" s="539"/>
      <c r="QVO4" s="539"/>
      <c r="QVP4" s="539"/>
      <c r="QVQ4" s="539"/>
      <c r="QVR4" s="539"/>
      <c r="QVS4" s="539"/>
      <c r="QVT4" s="539"/>
      <c r="QVU4" s="539"/>
      <c r="QVV4" s="539"/>
      <c r="QVW4" s="539"/>
      <c r="QVX4" s="539"/>
      <c r="QVY4" s="539"/>
      <c r="QVZ4" s="539"/>
      <c r="QWA4" s="539"/>
      <c r="QWB4" s="539"/>
      <c r="QWC4" s="539"/>
      <c r="QWD4" s="539"/>
      <c r="QWE4" s="539"/>
      <c r="QWF4" s="539"/>
      <c r="QWG4" s="539"/>
      <c r="QWH4" s="539"/>
      <c r="QWI4" s="539"/>
      <c r="QWJ4" s="539"/>
      <c r="QWK4" s="539"/>
      <c r="QWL4" s="539"/>
      <c r="QWM4" s="539"/>
      <c r="QWN4" s="539"/>
      <c r="QWO4" s="539"/>
      <c r="QWP4" s="539"/>
      <c r="QWQ4" s="539"/>
      <c r="QWR4" s="539"/>
      <c r="QWS4" s="539"/>
      <c r="QWT4" s="539"/>
      <c r="QWU4" s="539"/>
      <c r="QWV4" s="539"/>
      <c r="QWW4" s="539"/>
      <c r="QWX4" s="539"/>
      <c r="QWY4" s="539"/>
      <c r="QWZ4" s="539"/>
      <c r="QXA4" s="539"/>
      <c r="QXB4" s="539"/>
      <c r="QXC4" s="539"/>
      <c r="QXD4" s="539"/>
      <c r="QXE4" s="539"/>
      <c r="QXF4" s="539"/>
      <c r="QXG4" s="539"/>
      <c r="QXH4" s="539"/>
      <c r="QXI4" s="539"/>
      <c r="QXJ4" s="539"/>
      <c r="QXK4" s="539"/>
      <c r="QXL4" s="539"/>
      <c r="QXM4" s="539"/>
      <c r="QXN4" s="539"/>
      <c r="QXO4" s="539"/>
      <c r="QXP4" s="539"/>
      <c r="QXQ4" s="539"/>
      <c r="QXR4" s="539"/>
      <c r="QXS4" s="539"/>
      <c r="QXT4" s="539"/>
      <c r="QXU4" s="539"/>
      <c r="QXV4" s="539"/>
      <c r="QXW4" s="539"/>
      <c r="QXX4" s="539"/>
      <c r="QXY4" s="539"/>
      <c r="QXZ4" s="539"/>
      <c r="QYA4" s="539"/>
      <c r="QYB4" s="539"/>
      <c r="QYC4" s="539"/>
      <c r="QYD4" s="539"/>
      <c r="QYE4" s="539"/>
      <c r="QYF4" s="539"/>
      <c r="QYG4" s="539"/>
      <c r="QYH4" s="539"/>
      <c r="QYI4" s="539"/>
      <c r="QYJ4" s="539"/>
      <c r="QYK4" s="539"/>
      <c r="QYL4" s="539"/>
      <c r="QYM4" s="539"/>
      <c r="QYN4" s="539"/>
      <c r="QYO4" s="539"/>
      <c r="QYP4" s="539"/>
      <c r="QYQ4" s="539"/>
      <c r="QYR4" s="539"/>
      <c r="QYS4" s="539"/>
      <c r="QYT4" s="539"/>
      <c r="QYU4" s="539"/>
      <c r="QYV4" s="539"/>
      <c r="QYW4" s="539"/>
      <c r="QYX4" s="539"/>
      <c r="QYY4" s="539"/>
      <c r="QYZ4" s="539"/>
      <c r="QZA4" s="539"/>
      <c r="QZB4" s="539"/>
      <c r="QZC4" s="539"/>
      <c r="QZD4" s="539"/>
      <c r="QZE4" s="539"/>
      <c r="QZF4" s="539"/>
      <c r="QZG4" s="539"/>
      <c r="QZH4" s="539"/>
      <c r="QZI4" s="539"/>
      <c r="QZJ4" s="539"/>
      <c r="QZK4" s="539"/>
      <c r="QZL4" s="539"/>
      <c r="QZM4" s="539"/>
      <c r="QZN4" s="539"/>
      <c r="QZO4" s="539"/>
      <c r="QZP4" s="539"/>
      <c r="QZQ4" s="539"/>
      <c r="QZR4" s="539"/>
      <c r="QZS4" s="539"/>
      <c r="QZT4" s="539"/>
      <c r="QZU4" s="539"/>
      <c r="QZV4" s="539"/>
      <c r="QZW4" s="539"/>
      <c r="QZX4" s="539"/>
      <c r="QZY4" s="539"/>
      <c r="QZZ4" s="539"/>
      <c r="RAA4" s="539"/>
      <c r="RAB4" s="539"/>
      <c r="RAC4" s="539"/>
      <c r="RAD4" s="539"/>
      <c r="RAE4" s="539"/>
      <c r="RAF4" s="539"/>
      <c r="RAG4" s="539"/>
      <c r="RAH4" s="539"/>
      <c r="RAI4" s="539"/>
      <c r="RAJ4" s="539"/>
      <c r="RAK4" s="539"/>
      <c r="RAL4" s="539"/>
      <c r="RAM4" s="539"/>
      <c r="RAN4" s="539"/>
      <c r="RAO4" s="539"/>
      <c r="RAP4" s="539"/>
      <c r="RAQ4" s="539"/>
      <c r="RAR4" s="539"/>
      <c r="RAS4" s="539"/>
      <c r="RAT4" s="539"/>
      <c r="RAU4" s="539"/>
      <c r="RAV4" s="539"/>
      <c r="RAW4" s="539"/>
      <c r="RAX4" s="539"/>
      <c r="RAY4" s="539"/>
      <c r="RAZ4" s="539"/>
      <c r="RBA4" s="539"/>
      <c r="RBB4" s="539"/>
      <c r="RBC4" s="539"/>
      <c r="RBD4" s="539"/>
      <c r="RBE4" s="539"/>
      <c r="RBF4" s="539"/>
      <c r="RBG4" s="539"/>
      <c r="RBH4" s="539"/>
      <c r="RBI4" s="539"/>
      <c r="RBJ4" s="539"/>
      <c r="RBK4" s="539"/>
      <c r="RBL4" s="539"/>
      <c r="RBM4" s="539"/>
      <c r="RBN4" s="539"/>
      <c r="RBO4" s="539"/>
      <c r="RBP4" s="539"/>
      <c r="RBQ4" s="539"/>
      <c r="RBR4" s="539"/>
      <c r="RBS4" s="539"/>
      <c r="RBT4" s="539"/>
      <c r="RBU4" s="539"/>
      <c r="RBV4" s="539"/>
      <c r="RBW4" s="539"/>
      <c r="RBX4" s="539"/>
      <c r="RBY4" s="539"/>
      <c r="RBZ4" s="539"/>
      <c r="RCA4" s="539"/>
      <c r="RCB4" s="539"/>
      <c r="RCC4" s="539"/>
      <c r="RCD4" s="539"/>
      <c r="RCE4" s="539"/>
      <c r="RCF4" s="539"/>
      <c r="RCG4" s="539"/>
      <c r="RCH4" s="539"/>
      <c r="RCI4" s="539"/>
      <c r="RCJ4" s="539"/>
      <c r="RCK4" s="539"/>
      <c r="RCL4" s="539"/>
      <c r="RCM4" s="539"/>
      <c r="RCN4" s="539"/>
      <c r="RCO4" s="539"/>
      <c r="RCP4" s="539"/>
      <c r="RCQ4" s="539"/>
      <c r="RCR4" s="539"/>
      <c r="RCS4" s="539"/>
      <c r="RCT4" s="539"/>
      <c r="RCU4" s="539"/>
      <c r="RCV4" s="539"/>
      <c r="RCW4" s="539"/>
      <c r="RCX4" s="539"/>
      <c r="RCY4" s="539"/>
      <c r="RCZ4" s="539"/>
      <c r="RDA4" s="539"/>
      <c r="RDB4" s="539"/>
      <c r="RDC4" s="539"/>
      <c r="RDD4" s="539"/>
      <c r="RDE4" s="539"/>
      <c r="RDF4" s="539"/>
      <c r="RDG4" s="539"/>
      <c r="RDH4" s="539"/>
      <c r="RDI4" s="539"/>
      <c r="RDJ4" s="539"/>
      <c r="RDK4" s="539"/>
      <c r="RDL4" s="539"/>
      <c r="RDM4" s="539"/>
      <c r="RDN4" s="539"/>
      <c r="RDO4" s="539"/>
      <c r="RDP4" s="539"/>
      <c r="RDQ4" s="539"/>
      <c r="RDR4" s="539"/>
      <c r="RDS4" s="539"/>
      <c r="RDT4" s="539"/>
      <c r="RDU4" s="539"/>
      <c r="RDV4" s="539"/>
      <c r="RDW4" s="539"/>
      <c r="RDX4" s="539"/>
      <c r="RDY4" s="539"/>
      <c r="RDZ4" s="539"/>
      <c r="REA4" s="539"/>
      <c r="REB4" s="539"/>
      <c r="REC4" s="539"/>
      <c r="RED4" s="539"/>
      <c r="REE4" s="539"/>
      <c r="REF4" s="539"/>
      <c r="REG4" s="539"/>
      <c r="REH4" s="539"/>
      <c r="REI4" s="539"/>
      <c r="REJ4" s="539"/>
      <c r="REK4" s="539"/>
      <c r="REL4" s="539"/>
      <c r="REM4" s="539"/>
      <c r="REN4" s="539"/>
      <c r="REO4" s="539"/>
      <c r="REP4" s="539"/>
      <c r="REQ4" s="539"/>
      <c r="RER4" s="539"/>
      <c r="RES4" s="539"/>
      <c r="RET4" s="539"/>
      <c r="REU4" s="539"/>
      <c r="REV4" s="539"/>
      <c r="REW4" s="539"/>
      <c r="REX4" s="539"/>
      <c r="REY4" s="539"/>
      <c r="REZ4" s="539"/>
      <c r="RFA4" s="539"/>
      <c r="RFB4" s="539"/>
      <c r="RFC4" s="539"/>
      <c r="RFD4" s="539"/>
      <c r="RFE4" s="539"/>
      <c r="RFF4" s="539"/>
      <c r="RFG4" s="539"/>
      <c r="RFH4" s="539"/>
      <c r="RFI4" s="539"/>
      <c r="RFJ4" s="539"/>
      <c r="RFK4" s="539"/>
      <c r="RFL4" s="539"/>
      <c r="RFM4" s="539"/>
      <c r="RFN4" s="539"/>
      <c r="RFO4" s="539"/>
      <c r="RFP4" s="539"/>
      <c r="RFQ4" s="539"/>
      <c r="RFR4" s="539"/>
      <c r="RFS4" s="539"/>
      <c r="RFT4" s="539"/>
      <c r="RFU4" s="539"/>
      <c r="RFV4" s="539"/>
      <c r="RFW4" s="539"/>
      <c r="RFX4" s="539"/>
      <c r="RFY4" s="539"/>
      <c r="RFZ4" s="539"/>
      <c r="RGA4" s="539"/>
      <c r="RGB4" s="539"/>
      <c r="RGC4" s="539"/>
      <c r="RGD4" s="539"/>
      <c r="RGE4" s="539"/>
      <c r="RGF4" s="539"/>
      <c r="RGG4" s="539"/>
      <c r="RGH4" s="539"/>
      <c r="RGI4" s="539"/>
      <c r="RGJ4" s="539"/>
      <c r="RGK4" s="539"/>
      <c r="RGL4" s="539"/>
      <c r="RGM4" s="539"/>
      <c r="RGN4" s="539"/>
      <c r="RGO4" s="539"/>
      <c r="RGP4" s="539"/>
      <c r="RGQ4" s="539"/>
      <c r="RGR4" s="539"/>
      <c r="RGS4" s="539"/>
      <c r="RGT4" s="539"/>
      <c r="RGU4" s="539"/>
      <c r="RGV4" s="539"/>
      <c r="RGW4" s="539"/>
      <c r="RGX4" s="539"/>
      <c r="RGY4" s="539"/>
      <c r="RGZ4" s="539"/>
      <c r="RHA4" s="539"/>
      <c r="RHB4" s="539"/>
      <c r="RHC4" s="539"/>
      <c r="RHD4" s="539"/>
      <c r="RHE4" s="539"/>
      <c r="RHF4" s="539"/>
      <c r="RHG4" s="539"/>
      <c r="RHH4" s="539"/>
      <c r="RHI4" s="539"/>
      <c r="RHJ4" s="539"/>
      <c r="RHK4" s="539"/>
      <c r="RHL4" s="539"/>
      <c r="RHM4" s="539"/>
      <c r="RHN4" s="539"/>
      <c r="RHO4" s="539"/>
      <c r="RHP4" s="539"/>
      <c r="RHQ4" s="539"/>
      <c r="RHR4" s="539"/>
      <c r="RHS4" s="539"/>
      <c r="RHT4" s="539"/>
      <c r="RHU4" s="539"/>
      <c r="RHV4" s="539"/>
      <c r="RHW4" s="539"/>
      <c r="RHX4" s="539"/>
      <c r="RHY4" s="539"/>
      <c r="RHZ4" s="539"/>
      <c r="RIA4" s="539"/>
      <c r="RIB4" s="539"/>
      <c r="RIC4" s="539"/>
      <c r="RID4" s="539"/>
      <c r="RIE4" s="539"/>
      <c r="RIF4" s="539"/>
      <c r="RIG4" s="539"/>
      <c r="RIH4" s="539"/>
      <c r="RII4" s="539"/>
      <c r="RIJ4" s="539"/>
      <c r="RIK4" s="539"/>
      <c r="RIL4" s="539"/>
      <c r="RIM4" s="539"/>
      <c r="RIN4" s="539"/>
      <c r="RIO4" s="539"/>
      <c r="RIP4" s="539"/>
      <c r="RIQ4" s="539"/>
      <c r="RIR4" s="539"/>
      <c r="RIS4" s="539"/>
      <c r="RIT4" s="539"/>
      <c r="RIU4" s="539"/>
      <c r="RIV4" s="539"/>
      <c r="RIW4" s="539"/>
      <c r="RIX4" s="539"/>
      <c r="RIY4" s="539"/>
      <c r="RIZ4" s="539"/>
      <c r="RJA4" s="539"/>
      <c r="RJB4" s="539"/>
      <c r="RJC4" s="539"/>
      <c r="RJD4" s="539"/>
      <c r="RJE4" s="539"/>
      <c r="RJF4" s="539"/>
      <c r="RJG4" s="539"/>
      <c r="RJH4" s="539"/>
      <c r="RJI4" s="539"/>
      <c r="RJJ4" s="539"/>
      <c r="RJK4" s="539"/>
      <c r="RJL4" s="539"/>
      <c r="RJM4" s="539"/>
      <c r="RJN4" s="539"/>
      <c r="RJO4" s="539"/>
      <c r="RJP4" s="539"/>
      <c r="RJQ4" s="539"/>
      <c r="RJR4" s="539"/>
      <c r="RJS4" s="539"/>
      <c r="RJT4" s="539"/>
      <c r="RJU4" s="539"/>
      <c r="RJV4" s="539"/>
      <c r="RJW4" s="539"/>
      <c r="RJX4" s="539"/>
      <c r="RJY4" s="539"/>
      <c r="RJZ4" s="539"/>
      <c r="RKA4" s="539"/>
      <c r="RKB4" s="539"/>
      <c r="RKC4" s="539"/>
      <c r="RKD4" s="539"/>
      <c r="RKE4" s="539"/>
      <c r="RKF4" s="539"/>
      <c r="RKG4" s="539"/>
      <c r="RKH4" s="539"/>
      <c r="RKI4" s="539"/>
      <c r="RKJ4" s="539"/>
      <c r="RKK4" s="539"/>
      <c r="RKL4" s="539"/>
      <c r="RKM4" s="539"/>
      <c r="RKN4" s="539"/>
      <c r="RKO4" s="539"/>
      <c r="RKP4" s="539"/>
      <c r="RKQ4" s="539"/>
      <c r="RKR4" s="539"/>
      <c r="RKS4" s="539"/>
      <c r="RKT4" s="539"/>
      <c r="RKU4" s="539"/>
      <c r="RKV4" s="539"/>
      <c r="RKW4" s="539"/>
      <c r="RKX4" s="539"/>
      <c r="RKY4" s="539"/>
      <c r="RKZ4" s="539"/>
      <c r="RLA4" s="539"/>
      <c r="RLB4" s="539"/>
      <c r="RLC4" s="539"/>
      <c r="RLD4" s="539"/>
      <c r="RLE4" s="539"/>
      <c r="RLF4" s="539"/>
      <c r="RLG4" s="539"/>
      <c r="RLH4" s="539"/>
      <c r="RLI4" s="539"/>
      <c r="RLJ4" s="539"/>
      <c r="RLK4" s="539"/>
      <c r="RLL4" s="539"/>
      <c r="RLM4" s="539"/>
      <c r="RLN4" s="539"/>
      <c r="RLO4" s="539"/>
      <c r="RLP4" s="539"/>
      <c r="RLQ4" s="539"/>
      <c r="RLR4" s="539"/>
      <c r="RLS4" s="539"/>
      <c r="RLT4" s="539"/>
      <c r="RLU4" s="539"/>
      <c r="RLV4" s="539"/>
      <c r="RLW4" s="539"/>
      <c r="RLX4" s="539"/>
      <c r="RLY4" s="539"/>
      <c r="RLZ4" s="539"/>
      <c r="RMA4" s="539"/>
      <c r="RMB4" s="539"/>
      <c r="RMC4" s="539"/>
      <c r="RMD4" s="539"/>
      <c r="RME4" s="539"/>
      <c r="RMF4" s="539"/>
      <c r="RMG4" s="539"/>
      <c r="RMH4" s="539"/>
      <c r="RMI4" s="539"/>
      <c r="RMJ4" s="539"/>
      <c r="RMK4" s="539"/>
      <c r="RML4" s="539"/>
      <c r="RMM4" s="539"/>
      <c r="RMN4" s="539"/>
      <c r="RMO4" s="539"/>
      <c r="RMP4" s="539"/>
      <c r="RMQ4" s="539"/>
      <c r="RMR4" s="539"/>
      <c r="RMS4" s="539"/>
      <c r="RMT4" s="539"/>
      <c r="RMU4" s="539"/>
      <c r="RMV4" s="539"/>
      <c r="RMW4" s="539"/>
      <c r="RMX4" s="539"/>
      <c r="RMY4" s="539"/>
      <c r="RMZ4" s="539"/>
      <c r="RNA4" s="539"/>
      <c r="RNB4" s="539"/>
      <c r="RNC4" s="539"/>
      <c r="RND4" s="539"/>
      <c r="RNE4" s="539"/>
      <c r="RNF4" s="539"/>
      <c r="RNG4" s="539"/>
      <c r="RNH4" s="539"/>
      <c r="RNI4" s="539"/>
      <c r="RNJ4" s="539"/>
      <c r="RNK4" s="539"/>
      <c r="RNL4" s="539"/>
      <c r="RNM4" s="539"/>
      <c r="RNN4" s="539"/>
      <c r="RNO4" s="539"/>
      <c r="RNP4" s="539"/>
      <c r="RNQ4" s="539"/>
      <c r="RNR4" s="539"/>
      <c r="RNS4" s="539"/>
      <c r="RNT4" s="539"/>
      <c r="RNU4" s="539"/>
      <c r="RNV4" s="539"/>
      <c r="RNW4" s="539"/>
      <c r="RNX4" s="539"/>
      <c r="RNY4" s="539"/>
      <c r="RNZ4" s="539"/>
      <c r="ROA4" s="539"/>
      <c r="ROB4" s="539"/>
      <c r="ROC4" s="539"/>
      <c r="ROD4" s="539"/>
      <c r="ROE4" s="539"/>
      <c r="ROF4" s="539"/>
      <c r="ROG4" s="539"/>
      <c r="ROH4" s="539"/>
      <c r="ROI4" s="539"/>
      <c r="ROJ4" s="539"/>
      <c r="ROK4" s="539"/>
      <c r="ROL4" s="539"/>
      <c r="ROM4" s="539"/>
      <c r="RON4" s="539"/>
      <c r="ROO4" s="539"/>
      <c r="ROP4" s="539"/>
      <c r="ROQ4" s="539"/>
      <c r="ROR4" s="539"/>
      <c r="ROS4" s="539"/>
      <c r="ROT4" s="539"/>
      <c r="ROU4" s="539"/>
      <c r="ROV4" s="539"/>
      <c r="ROW4" s="539"/>
      <c r="ROX4" s="539"/>
      <c r="ROY4" s="539"/>
      <c r="ROZ4" s="539"/>
      <c r="RPA4" s="539"/>
      <c r="RPB4" s="539"/>
      <c r="RPC4" s="539"/>
      <c r="RPD4" s="539"/>
      <c r="RPE4" s="539"/>
      <c r="RPF4" s="539"/>
      <c r="RPG4" s="539"/>
      <c r="RPH4" s="539"/>
      <c r="RPI4" s="539"/>
      <c r="RPJ4" s="539"/>
      <c r="RPK4" s="539"/>
      <c r="RPL4" s="539"/>
      <c r="RPM4" s="539"/>
      <c r="RPN4" s="539"/>
      <c r="RPO4" s="539"/>
      <c r="RPP4" s="539"/>
      <c r="RPQ4" s="539"/>
      <c r="RPR4" s="539"/>
      <c r="RPS4" s="539"/>
      <c r="RPT4" s="539"/>
      <c r="RPU4" s="539"/>
      <c r="RPV4" s="539"/>
      <c r="RPW4" s="539"/>
      <c r="RPX4" s="539"/>
      <c r="RPY4" s="539"/>
      <c r="RPZ4" s="539"/>
      <c r="RQA4" s="539"/>
      <c r="RQB4" s="539"/>
      <c r="RQC4" s="539"/>
      <c r="RQD4" s="539"/>
      <c r="RQE4" s="539"/>
      <c r="RQF4" s="539"/>
      <c r="RQG4" s="539"/>
      <c r="RQH4" s="539"/>
      <c r="RQI4" s="539"/>
      <c r="RQJ4" s="539"/>
      <c r="RQK4" s="539"/>
      <c r="RQL4" s="539"/>
      <c r="RQM4" s="539"/>
      <c r="RQN4" s="539"/>
      <c r="RQO4" s="539"/>
      <c r="RQP4" s="539"/>
      <c r="RQQ4" s="539"/>
      <c r="RQR4" s="539"/>
      <c r="RQS4" s="539"/>
      <c r="RQT4" s="539"/>
      <c r="RQU4" s="539"/>
      <c r="RQV4" s="539"/>
      <c r="RQW4" s="539"/>
      <c r="RQX4" s="539"/>
      <c r="RQY4" s="539"/>
      <c r="RQZ4" s="539"/>
      <c r="RRA4" s="539"/>
      <c r="RRB4" s="539"/>
      <c r="RRC4" s="539"/>
      <c r="RRD4" s="539"/>
      <c r="RRE4" s="539"/>
      <c r="RRF4" s="539"/>
      <c r="RRG4" s="539"/>
      <c r="RRH4" s="539"/>
      <c r="RRI4" s="539"/>
      <c r="RRJ4" s="539"/>
      <c r="RRK4" s="539"/>
      <c r="RRL4" s="539"/>
      <c r="RRM4" s="539"/>
      <c r="RRN4" s="539"/>
      <c r="RRO4" s="539"/>
      <c r="RRP4" s="539"/>
      <c r="RRQ4" s="539"/>
      <c r="RRR4" s="539"/>
      <c r="RRS4" s="539"/>
      <c r="RRT4" s="539"/>
      <c r="RRU4" s="539"/>
      <c r="RRV4" s="539"/>
      <c r="RRW4" s="539"/>
      <c r="RRX4" s="539"/>
      <c r="RRY4" s="539"/>
      <c r="RRZ4" s="539"/>
      <c r="RSA4" s="539"/>
      <c r="RSB4" s="539"/>
      <c r="RSC4" s="539"/>
      <c r="RSD4" s="539"/>
      <c r="RSE4" s="539"/>
      <c r="RSF4" s="539"/>
      <c r="RSG4" s="539"/>
      <c r="RSH4" s="539"/>
      <c r="RSI4" s="539"/>
      <c r="RSJ4" s="539"/>
      <c r="RSK4" s="539"/>
      <c r="RSL4" s="539"/>
      <c r="RSM4" s="539"/>
      <c r="RSN4" s="539"/>
      <c r="RSO4" s="539"/>
      <c r="RSP4" s="539"/>
      <c r="RSQ4" s="539"/>
      <c r="RSR4" s="539"/>
      <c r="RSS4" s="539"/>
      <c r="RST4" s="539"/>
      <c r="RSU4" s="539"/>
      <c r="RSV4" s="539"/>
      <c r="RSW4" s="539"/>
      <c r="RSX4" s="539"/>
      <c r="RSY4" s="539"/>
      <c r="RSZ4" s="539"/>
      <c r="RTA4" s="539"/>
      <c r="RTB4" s="539"/>
      <c r="RTC4" s="539"/>
      <c r="RTD4" s="539"/>
      <c r="RTE4" s="539"/>
      <c r="RTF4" s="539"/>
      <c r="RTG4" s="539"/>
      <c r="RTH4" s="539"/>
      <c r="RTI4" s="539"/>
      <c r="RTJ4" s="539"/>
      <c r="RTK4" s="539"/>
      <c r="RTL4" s="539"/>
      <c r="RTM4" s="539"/>
      <c r="RTN4" s="539"/>
      <c r="RTO4" s="539"/>
      <c r="RTP4" s="539"/>
      <c r="RTQ4" s="539"/>
      <c r="RTR4" s="539"/>
      <c r="RTS4" s="539"/>
      <c r="RTT4" s="539"/>
      <c r="RTU4" s="539"/>
      <c r="RTV4" s="539"/>
      <c r="RTW4" s="539"/>
      <c r="RTX4" s="539"/>
      <c r="RTY4" s="539"/>
      <c r="RTZ4" s="539"/>
      <c r="RUA4" s="539"/>
      <c r="RUB4" s="539"/>
      <c r="RUC4" s="539"/>
      <c r="RUD4" s="539"/>
      <c r="RUE4" s="539"/>
      <c r="RUF4" s="539"/>
      <c r="RUG4" s="539"/>
      <c r="RUH4" s="539"/>
      <c r="RUI4" s="539"/>
      <c r="RUJ4" s="539"/>
      <c r="RUK4" s="539"/>
      <c r="RUL4" s="539"/>
      <c r="RUM4" s="539"/>
      <c r="RUN4" s="539"/>
      <c r="RUO4" s="539"/>
      <c r="RUP4" s="539"/>
      <c r="RUQ4" s="539"/>
      <c r="RUR4" s="539"/>
      <c r="RUS4" s="539"/>
      <c r="RUT4" s="539"/>
      <c r="RUU4" s="539"/>
      <c r="RUV4" s="539"/>
      <c r="RUW4" s="539"/>
      <c r="RUX4" s="539"/>
      <c r="RUY4" s="539"/>
      <c r="RUZ4" s="539"/>
      <c r="RVA4" s="539"/>
      <c r="RVB4" s="539"/>
      <c r="RVC4" s="539"/>
      <c r="RVD4" s="539"/>
      <c r="RVE4" s="539"/>
      <c r="RVF4" s="539"/>
      <c r="RVG4" s="539"/>
      <c r="RVH4" s="539"/>
      <c r="RVI4" s="539"/>
      <c r="RVJ4" s="539"/>
      <c r="RVK4" s="539"/>
      <c r="RVL4" s="539"/>
      <c r="RVM4" s="539"/>
      <c r="RVN4" s="539"/>
      <c r="RVO4" s="539"/>
      <c r="RVP4" s="539"/>
      <c r="RVQ4" s="539"/>
      <c r="RVR4" s="539"/>
      <c r="RVS4" s="539"/>
      <c r="RVT4" s="539"/>
      <c r="RVU4" s="539"/>
      <c r="RVV4" s="539"/>
      <c r="RVW4" s="539"/>
      <c r="RVX4" s="539"/>
      <c r="RVY4" s="539"/>
      <c r="RVZ4" s="539"/>
      <c r="RWA4" s="539"/>
      <c r="RWB4" s="539"/>
      <c r="RWC4" s="539"/>
      <c r="RWD4" s="539"/>
      <c r="RWE4" s="539"/>
      <c r="RWF4" s="539"/>
      <c r="RWG4" s="539"/>
      <c r="RWH4" s="539"/>
      <c r="RWI4" s="539"/>
      <c r="RWJ4" s="539"/>
      <c r="RWK4" s="539"/>
      <c r="RWL4" s="539"/>
      <c r="RWM4" s="539"/>
      <c r="RWN4" s="539"/>
      <c r="RWO4" s="539"/>
      <c r="RWP4" s="539"/>
      <c r="RWQ4" s="539"/>
      <c r="RWR4" s="539"/>
      <c r="RWS4" s="539"/>
      <c r="RWT4" s="539"/>
      <c r="RWU4" s="539"/>
      <c r="RWV4" s="539"/>
      <c r="RWW4" s="539"/>
      <c r="RWX4" s="539"/>
      <c r="RWY4" s="539"/>
      <c r="RWZ4" s="539"/>
      <c r="RXA4" s="539"/>
      <c r="RXB4" s="539"/>
      <c r="RXC4" s="539"/>
      <c r="RXD4" s="539"/>
      <c r="RXE4" s="539"/>
      <c r="RXF4" s="539"/>
      <c r="RXG4" s="539"/>
      <c r="RXH4" s="539"/>
      <c r="RXI4" s="539"/>
      <c r="RXJ4" s="539"/>
      <c r="RXK4" s="539"/>
      <c r="RXL4" s="539"/>
      <c r="RXM4" s="539"/>
      <c r="RXN4" s="539"/>
      <c r="RXO4" s="539"/>
      <c r="RXP4" s="539"/>
      <c r="RXQ4" s="539"/>
      <c r="RXR4" s="539"/>
      <c r="RXS4" s="539"/>
      <c r="RXT4" s="539"/>
      <c r="RXU4" s="539"/>
      <c r="RXV4" s="539"/>
      <c r="RXW4" s="539"/>
      <c r="RXX4" s="539"/>
      <c r="RXY4" s="539"/>
      <c r="RXZ4" s="539"/>
      <c r="RYA4" s="539"/>
      <c r="RYB4" s="539"/>
      <c r="RYC4" s="539"/>
      <c r="RYD4" s="539"/>
      <c r="RYE4" s="539"/>
      <c r="RYF4" s="539"/>
      <c r="RYG4" s="539"/>
      <c r="RYH4" s="539"/>
      <c r="RYI4" s="539"/>
      <c r="RYJ4" s="539"/>
      <c r="RYK4" s="539"/>
      <c r="RYL4" s="539"/>
      <c r="RYM4" s="539"/>
      <c r="RYN4" s="539"/>
      <c r="RYO4" s="539"/>
      <c r="RYP4" s="539"/>
      <c r="RYQ4" s="539"/>
      <c r="RYR4" s="539"/>
      <c r="RYS4" s="539"/>
      <c r="RYT4" s="539"/>
      <c r="RYU4" s="539"/>
      <c r="RYV4" s="539"/>
      <c r="RYW4" s="539"/>
      <c r="RYX4" s="539"/>
      <c r="RYY4" s="539"/>
      <c r="RYZ4" s="539"/>
      <c r="RZA4" s="539"/>
      <c r="RZB4" s="539"/>
      <c r="RZC4" s="539"/>
      <c r="RZD4" s="539"/>
      <c r="RZE4" s="539"/>
      <c r="RZF4" s="539"/>
      <c r="RZG4" s="539"/>
      <c r="RZH4" s="539"/>
      <c r="RZI4" s="539"/>
      <c r="RZJ4" s="539"/>
      <c r="RZK4" s="539"/>
      <c r="RZL4" s="539"/>
      <c r="RZM4" s="539"/>
      <c r="RZN4" s="539"/>
      <c r="RZO4" s="539"/>
      <c r="RZP4" s="539"/>
      <c r="RZQ4" s="539"/>
      <c r="RZR4" s="539"/>
      <c r="RZS4" s="539"/>
      <c r="RZT4" s="539"/>
      <c r="RZU4" s="539"/>
      <c r="RZV4" s="539"/>
      <c r="RZW4" s="539"/>
      <c r="RZX4" s="539"/>
      <c r="RZY4" s="539"/>
      <c r="RZZ4" s="539"/>
      <c r="SAA4" s="539"/>
      <c r="SAB4" s="539"/>
      <c r="SAC4" s="539"/>
      <c r="SAD4" s="539"/>
      <c r="SAE4" s="539"/>
      <c r="SAF4" s="539"/>
      <c r="SAG4" s="539"/>
      <c r="SAH4" s="539"/>
      <c r="SAI4" s="539"/>
      <c r="SAJ4" s="539"/>
      <c r="SAK4" s="539"/>
      <c r="SAL4" s="539"/>
      <c r="SAM4" s="539"/>
      <c r="SAN4" s="539"/>
      <c r="SAO4" s="539"/>
      <c r="SAP4" s="539"/>
      <c r="SAQ4" s="539"/>
      <c r="SAR4" s="539"/>
      <c r="SAS4" s="539"/>
      <c r="SAT4" s="539"/>
      <c r="SAU4" s="539"/>
      <c r="SAV4" s="539"/>
      <c r="SAW4" s="539"/>
      <c r="SAX4" s="539"/>
      <c r="SAY4" s="539"/>
      <c r="SAZ4" s="539"/>
      <c r="SBA4" s="539"/>
      <c r="SBB4" s="539"/>
      <c r="SBC4" s="539"/>
      <c r="SBD4" s="539"/>
      <c r="SBE4" s="539"/>
      <c r="SBF4" s="539"/>
      <c r="SBG4" s="539"/>
      <c r="SBH4" s="539"/>
      <c r="SBI4" s="539"/>
      <c r="SBJ4" s="539"/>
      <c r="SBK4" s="539"/>
      <c r="SBL4" s="539"/>
      <c r="SBM4" s="539"/>
      <c r="SBN4" s="539"/>
      <c r="SBO4" s="539"/>
      <c r="SBP4" s="539"/>
      <c r="SBQ4" s="539"/>
      <c r="SBR4" s="539"/>
      <c r="SBS4" s="539"/>
      <c r="SBT4" s="539"/>
      <c r="SBU4" s="539"/>
      <c r="SBV4" s="539"/>
      <c r="SBW4" s="539"/>
      <c r="SBX4" s="539"/>
      <c r="SBY4" s="539"/>
      <c r="SBZ4" s="539"/>
      <c r="SCA4" s="539"/>
      <c r="SCB4" s="539"/>
      <c r="SCC4" s="539"/>
      <c r="SCD4" s="539"/>
      <c r="SCE4" s="539"/>
      <c r="SCF4" s="539"/>
      <c r="SCG4" s="539"/>
      <c r="SCH4" s="539"/>
      <c r="SCI4" s="539"/>
      <c r="SCJ4" s="539"/>
      <c r="SCK4" s="539"/>
      <c r="SCL4" s="539"/>
      <c r="SCM4" s="539"/>
      <c r="SCN4" s="539"/>
      <c r="SCO4" s="539"/>
      <c r="SCP4" s="539"/>
      <c r="SCQ4" s="539"/>
      <c r="SCR4" s="539"/>
      <c r="SCS4" s="539"/>
      <c r="SCT4" s="539"/>
      <c r="SCU4" s="539"/>
      <c r="SCV4" s="539"/>
      <c r="SCW4" s="539"/>
      <c r="SCX4" s="539"/>
      <c r="SCY4" s="539"/>
      <c r="SCZ4" s="539"/>
      <c r="SDA4" s="539"/>
      <c r="SDB4" s="539"/>
      <c r="SDC4" s="539"/>
      <c r="SDD4" s="539"/>
      <c r="SDE4" s="539"/>
      <c r="SDF4" s="539"/>
      <c r="SDG4" s="539"/>
      <c r="SDH4" s="539"/>
      <c r="SDI4" s="539"/>
      <c r="SDJ4" s="539"/>
      <c r="SDK4" s="539"/>
      <c r="SDL4" s="539"/>
      <c r="SDM4" s="539"/>
      <c r="SDN4" s="539"/>
      <c r="SDO4" s="539"/>
      <c r="SDP4" s="539"/>
      <c r="SDQ4" s="539"/>
      <c r="SDR4" s="539"/>
      <c r="SDS4" s="539"/>
      <c r="SDT4" s="539"/>
      <c r="SDU4" s="539"/>
      <c r="SDV4" s="539"/>
      <c r="SDW4" s="539"/>
      <c r="SDX4" s="539"/>
      <c r="SDY4" s="539"/>
      <c r="SDZ4" s="539"/>
      <c r="SEA4" s="539"/>
      <c r="SEB4" s="539"/>
      <c r="SEC4" s="539"/>
      <c r="SED4" s="539"/>
      <c r="SEE4" s="539"/>
      <c r="SEF4" s="539"/>
      <c r="SEG4" s="539"/>
      <c r="SEH4" s="539"/>
      <c r="SEI4" s="539"/>
      <c r="SEJ4" s="539"/>
      <c r="SEK4" s="539"/>
      <c r="SEL4" s="539"/>
      <c r="SEM4" s="539"/>
      <c r="SEN4" s="539"/>
      <c r="SEO4" s="539"/>
      <c r="SEP4" s="539"/>
      <c r="SEQ4" s="539"/>
      <c r="SER4" s="539"/>
      <c r="SES4" s="539"/>
      <c r="SET4" s="539"/>
      <c r="SEU4" s="539"/>
      <c r="SEV4" s="539"/>
      <c r="SEW4" s="539"/>
      <c r="SEX4" s="539"/>
      <c r="SEY4" s="539"/>
      <c r="SEZ4" s="539"/>
      <c r="SFA4" s="539"/>
      <c r="SFB4" s="539"/>
      <c r="SFC4" s="539"/>
      <c r="SFD4" s="539"/>
      <c r="SFE4" s="539"/>
      <c r="SFF4" s="539"/>
      <c r="SFG4" s="539"/>
      <c r="SFH4" s="539"/>
      <c r="SFI4" s="539"/>
      <c r="SFJ4" s="539"/>
      <c r="SFK4" s="539"/>
      <c r="SFL4" s="539"/>
      <c r="SFM4" s="539"/>
      <c r="SFN4" s="539"/>
      <c r="SFO4" s="539"/>
      <c r="SFP4" s="539"/>
      <c r="SFQ4" s="539"/>
      <c r="SFR4" s="539"/>
      <c r="SFS4" s="539"/>
      <c r="SFT4" s="539"/>
      <c r="SFU4" s="539"/>
      <c r="SFV4" s="539"/>
      <c r="SFW4" s="539"/>
      <c r="SFX4" s="539"/>
      <c r="SFY4" s="539"/>
      <c r="SFZ4" s="539"/>
      <c r="SGA4" s="539"/>
      <c r="SGB4" s="539"/>
      <c r="SGC4" s="539"/>
      <c r="SGD4" s="539"/>
      <c r="SGE4" s="539"/>
      <c r="SGF4" s="539"/>
      <c r="SGG4" s="539"/>
      <c r="SGH4" s="539"/>
      <c r="SGI4" s="539"/>
      <c r="SGJ4" s="539"/>
      <c r="SGK4" s="539"/>
      <c r="SGL4" s="539"/>
      <c r="SGM4" s="539"/>
      <c r="SGN4" s="539"/>
      <c r="SGO4" s="539"/>
      <c r="SGP4" s="539"/>
      <c r="SGQ4" s="539"/>
      <c r="SGR4" s="539"/>
      <c r="SGS4" s="539"/>
      <c r="SGT4" s="539"/>
      <c r="SGU4" s="539"/>
      <c r="SGV4" s="539"/>
      <c r="SGW4" s="539"/>
      <c r="SGX4" s="539"/>
      <c r="SGY4" s="539"/>
      <c r="SGZ4" s="539"/>
      <c r="SHA4" s="539"/>
      <c r="SHB4" s="539"/>
      <c r="SHC4" s="539"/>
      <c r="SHD4" s="539"/>
      <c r="SHE4" s="539"/>
      <c r="SHF4" s="539"/>
      <c r="SHG4" s="539"/>
      <c r="SHH4" s="539"/>
      <c r="SHI4" s="539"/>
      <c r="SHJ4" s="539"/>
      <c r="SHK4" s="539"/>
      <c r="SHL4" s="539"/>
      <c r="SHM4" s="539"/>
      <c r="SHN4" s="539"/>
      <c r="SHO4" s="539"/>
      <c r="SHP4" s="539"/>
      <c r="SHQ4" s="539"/>
      <c r="SHR4" s="539"/>
      <c r="SHS4" s="539"/>
      <c r="SHT4" s="539"/>
      <c r="SHU4" s="539"/>
      <c r="SHV4" s="539"/>
      <c r="SHW4" s="539"/>
      <c r="SHX4" s="539"/>
      <c r="SHY4" s="539"/>
      <c r="SHZ4" s="539"/>
      <c r="SIA4" s="539"/>
      <c r="SIB4" s="539"/>
      <c r="SIC4" s="539"/>
      <c r="SID4" s="539"/>
      <c r="SIE4" s="539"/>
      <c r="SIF4" s="539"/>
      <c r="SIG4" s="539"/>
      <c r="SIH4" s="539"/>
      <c r="SII4" s="539"/>
      <c r="SIJ4" s="539"/>
      <c r="SIK4" s="539"/>
      <c r="SIL4" s="539"/>
      <c r="SIM4" s="539"/>
      <c r="SIN4" s="539"/>
      <c r="SIO4" s="539"/>
      <c r="SIP4" s="539"/>
      <c r="SIQ4" s="539"/>
      <c r="SIR4" s="539"/>
      <c r="SIS4" s="539"/>
      <c r="SIT4" s="539"/>
      <c r="SIU4" s="539"/>
      <c r="SIV4" s="539"/>
      <c r="SIW4" s="539"/>
      <c r="SIX4" s="539"/>
      <c r="SIY4" s="539"/>
      <c r="SIZ4" s="539"/>
      <c r="SJA4" s="539"/>
      <c r="SJB4" s="539"/>
      <c r="SJC4" s="539"/>
      <c r="SJD4" s="539"/>
      <c r="SJE4" s="539"/>
      <c r="SJF4" s="539"/>
      <c r="SJG4" s="539"/>
      <c r="SJH4" s="539"/>
      <c r="SJI4" s="539"/>
      <c r="SJJ4" s="539"/>
      <c r="SJK4" s="539"/>
      <c r="SJL4" s="539"/>
      <c r="SJM4" s="539"/>
      <c r="SJN4" s="539"/>
      <c r="SJO4" s="539"/>
      <c r="SJP4" s="539"/>
      <c r="SJQ4" s="539"/>
      <c r="SJR4" s="539"/>
      <c r="SJS4" s="539"/>
      <c r="SJT4" s="539"/>
      <c r="SJU4" s="539"/>
      <c r="SJV4" s="539"/>
      <c r="SJW4" s="539"/>
      <c r="SJX4" s="539"/>
      <c r="SJY4" s="539"/>
      <c r="SJZ4" s="539"/>
      <c r="SKA4" s="539"/>
      <c r="SKB4" s="539"/>
      <c r="SKC4" s="539"/>
      <c r="SKD4" s="539"/>
      <c r="SKE4" s="539"/>
      <c r="SKF4" s="539"/>
      <c r="SKG4" s="539"/>
      <c r="SKH4" s="539"/>
      <c r="SKI4" s="539"/>
      <c r="SKJ4" s="539"/>
      <c r="SKK4" s="539"/>
      <c r="SKL4" s="539"/>
      <c r="SKM4" s="539"/>
      <c r="SKN4" s="539"/>
      <c r="SKO4" s="539"/>
      <c r="SKP4" s="539"/>
      <c r="SKQ4" s="539"/>
      <c r="SKR4" s="539"/>
      <c r="SKS4" s="539"/>
      <c r="SKT4" s="539"/>
      <c r="SKU4" s="539"/>
      <c r="SKV4" s="539"/>
      <c r="SKW4" s="539"/>
      <c r="SKX4" s="539"/>
      <c r="SKY4" s="539"/>
      <c r="SKZ4" s="539"/>
      <c r="SLA4" s="539"/>
      <c r="SLB4" s="539"/>
      <c r="SLC4" s="539"/>
      <c r="SLD4" s="539"/>
      <c r="SLE4" s="539"/>
      <c r="SLF4" s="539"/>
      <c r="SLG4" s="539"/>
      <c r="SLH4" s="539"/>
      <c r="SLI4" s="539"/>
      <c r="SLJ4" s="539"/>
      <c r="SLK4" s="539"/>
      <c r="SLL4" s="539"/>
      <c r="SLM4" s="539"/>
      <c r="SLN4" s="539"/>
      <c r="SLO4" s="539"/>
      <c r="SLP4" s="539"/>
      <c r="SLQ4" s="539"/>
      <c r="SLR4" s="539"/>
      <c r="SLS4" s="539"/>
      <c r="SLT4" s="539"/>
      <c r="SLU4" s="539"/>
      <c r="SLV4" s="539"/>
      <c r="SLW4" s="539"/>
      <c r="SLX4" s="539"/>
      <c r="SLY4" s="539"/>
      <c r="SLZ4" s="539"/>
      <c r="SMA4" s="539"/>
      <c r="SMB4" s="539"/>
      <c r="SMC4" s="539"/>
      <c r="SMD4" s="539"/>
      <c r="SME4" s="539"/>
      <c r="SMF4" s="539"/>
      <c r="SMG4" s="539"/>
      <c r="SMH4" s="539"/>
      <c r="SMI4" s="539"/>
      <c r="SMJ4" s="539"/>
      <c r="SMK4" s="539"/>
      <c r="SML4" s="539"/>
      <c r="SMM4" s="539"/>
      <c r="SMN4" s="539"/>
      <c r="SMO4" s="539"/>
      <c r="SMP4" s="539"/>
      <c r="SMQ4" s="539"/>
      <c r="SMR4" s="539"/>
      <c r="SMS4" s="539"/>
      <c r="SMT4" s="539"/>
      <c r="SMU4" s="539"/>
      <c r="SMV4" s="539"/>
      <c r="SMW4" s="539"/>
      <c r="SMX4" s="539"/>
      <c r="SMY4" s="539"/>
      <c r="SMZ4" s="539"/>
      <c r="SNA4" s="539"/>
      <c r="SNB4" s="539"/>
      <c r="SNC4" s="539"/>
      <c r="SND4" s="539"/>
      <c r="SNE4" s="539"/>
      <c r="SNF4" s="539"/>
      <c r="SNG4" s="539"/>
      <c r="SNH4" s="539"/>
      <c r="SNI4" s="539"/>
      <c r="SNJ4" s="539"/>
      <c r="SNK4" s="539"/>
      <c r="SNL4" s="539"/>
      <c r="SNM4" s="539"/>
      <c r="SNN4" s="539"/>
      <c r="SNO4" s="539"/>
      <c r="SNP4" s="539"/>
      <c r="SNQ4" s="539"/>
      <c r="SNR4" s="539"/>
      <c r="SNS4" s="539"/>
      <c r="SNT4" s="539"/>
      <c r="SNU4" s="539"/>
      <c r="SNV4" s="539"/>
      <c r="SNW4" s="539"/>
      <c r="SNX4" s="539"/>
      <c r="SNY4" s="539"/>
      <c r="SNZ4" s="539"/>
      <c r="SOA4" s="539"/>
      <c r="SOB4" s="539"/>
      <c r="SOC4" s="539"/>
      <c r="SOD4" s="539"/>
      <c r="SOE4" s="539"/>
      <c r="SOF4" s="539"/>
      <c r="SOG4" s="539"/>
      <c r="SOH4" s="539"/>
      <c r="SOI4" s="539"/>
      <c r="SOJ4" s="539"/>
      <c r="SOK4" s="539"/>
      <c r="SOL4" s="539"/>
      <c r="SOM4" s="539"/>
      <c r="SON4" s="539"/>
      <c r="SOO4" s="539"/>
      <c r="SOP4" s="539"/>
      <c r="SOQ4" s="539"/>
      <c r="SOR4" s="539"/>
      <c r="SOS4" s="539"/>
      <c r="SOT4" s="539"/>
      <c r="SOU4" s="539"/>
      <c r="SOV4" s="539"/>
      <c r="SOW4" s="539"/>
      <c r="SOX4" s="539"/>
      <c r="SOY4" s="539"/>
      <c r="SOZ4" s="539"/>
      <c r="SPA4" s="539"/>
      <c r="SPB4" s="539"/>
      <c r="SPC4" s="539"/>
      <c r="SPD4" s="539"/>
      <c r="SPE4" s="539"/>
      <c r="SPF4" s="539"/>
      <c r="SPG4" s="539"/>
      <c r="SPH4" s="539"/>
      <c r="SPI4" s="539"/>
      <c r="SPJ4" s="539"/>
      <c r="SPK4" s="539"/>
      <c r="SPL4" s="539"/>
      <c r="SPM4" s="539"/>
      <c r="SPN4" s="539"/>
      <c r="SPO4" s="539"/>
      <c r="SPP4" s="539"/>
      <c r="SPQ4" s="539"/>
      <c r="SPR4" s="539"/>
      <c r="SPS4" s="539"/>
      <c r="SPT4" s="539"/>
      <c r="SPU4" s="539"/>
      <c r="SPV4" s="539"/>
      <c r="SPW4" s="539"/>
      <c r="SPX4" s="539"/>
      <c r="SPY4" s="539"/>
      <c r="SPZ4" s="539"/>
      <c r="SQA4" s="539"/>
      <c r="SQB4" s="539"/>
      <c r="SQC4" s="539"/>
      <c r="SQD4" s="539"/>
      <c r="SQE4" s="539"/>
      <c r="SQF4" s="539"/>
      <c r="SQG4" s="539"/>
      <c r="SQH4" s="539"/>
      <c r="SQI4" s="539"/>
      <c r="SQJ4" s="539"/>
      <c r="SQK4" s="539"/>
      <c r="SQL4" s="539"/>
      <c r="SQM4" s="539"/>
      <c r="SQN4" s="539"/>
      <c r="SQO4" s="539"/>
      <c r="SQP4" s="539"/>
      <c r="SQQ4" s="539"/>
      <c r="SQR4" s="539"/>
      <c r="SQS4" s="539"/>
      <c r="SQT4" s="539"/>
      <c r="SQU4" s="539"/>
      <c r="SQV4" s="539"/>
      <c r="SQW4" s="539"/>
      <c r="SQX4" s="539"/>
      <c r="SQY4" s="539"/>
      <c r="SQZ4" s="539"/>
      <c r="SRA4" s="539"/>
      <c r="SRB4" s="539"/>
      <c r="SRC4" s="539"/>
      <c r="SRD4" s="539"/>
      <c r="SRE4" s="539"/>
      <c r="SRF4" s="539"/>
      <c r="SRG4" s="539"/>
      <c r="SRH4" s="539"/>
      <c r="SRI4" s="539"/>
      <c r="SRJ4" s="539"/>
      <c r="SRK4" s="539"/>
      <c r="SRL4" s="539"/>
      <c r="SRM4" s="539"/>
      <c r="SRN4" s="539"/>
      <c r="SRO4" s="539"/>
      <c r="SRP4" s="539"/>
      <c r="SRQ4" s="539"/>
      <c r="SRR4" s="539"/>
      <c r="SRS4" s="539"/>
      <c r="SRT4" s="539"/>
      <c r="SRU4" s="539"/>
      <c r="SRV4" s="539"/>
      <c r="SRW4" s="539"/>
      <c r="SRX4" s="539"/>
      <c r="SRY4" s="539"/>
      <c r="SRZ4" s="539"/>
      <c r="SSA4" s="539"/>
      <c r="SSB4" s="539"/>
      <c r="SSC4" s="539"/>
      <c r="SSD4" s="539"/>
      <c r="SSE4" s="539"/>
      <c r="SSF4" s="539"/>
      <c r="SSG4" s="539"/>
      <c r="SSH4" s="539"/>
      <c r="SSI4" s="539"/>
      <c r="SSJ4" s="539"/>
      <c r="SSK4" s="539"/>
      <c r="SSL4" s="539"/>
      <c r="SSM4" s="539"/>
      <c r="SSN4" s="539"/>
      <c r="SSO4" s="539"/>
      <c r="SSP4" s="539"/>
      <c r="SSQ4" s="539"/>
      <c r="SSR4" s="539"/>
      <c r="SSS4" s="539"/>
      <c r="SST4" s="539"/>
      <c r="SSU4" s="539"/>
      <c r="SSV4" s="539"/>
      <c r="SSW4" s="539"/>
      <c r="SSX4" s="539"/>
      <c r="SSY4" s="539"/>
      <c r="SSZ4" s="539"/>
      <c r="STA4" s="539"/>
      <c r="STB4" s="539"/>
      <c r="STC4" s="539"/>
      <c r="STD4" s="539"/>
      <c r="STE4" s="539"/>
      <c r="STF4" s="539"/>
      <c r="STG4" s="539"/>
      <c r="STH4" s="539"/>
      <c r="STI4" s="539"/>
      <c r="STJ4" s="539"/>
      <c r="STK4" s="539"/>
      <c r="STL4" s="539"/>
      <c r="STM4" s="539"/>
      <c r="STN4" s="539"/>
      <c r="STO4" s="539"/>
      <c r="STP4" s="539"/>
      <c r="STQ4" s="539"/>
      <c r="STR4" s="539"/>
      <c r="STS4" s="539"/>
      <c r="STT4" s="539"/>
      <c r="STU4" s="539"/>
      <c r="STV4" s="539"/>
      <c r="STW4" s="539"/>
      <c r="STX4" s="539"/>
      <c r="STY4" s="539"/>
      <c r="STZ4" s="539"/>
      <c r="SUA4" s="539"/>
      <c r="SUB4" s="539"/>
      <c r="SUC4" s="539"/>
      <c r="SUD4" s="539"/>
      <c r="SUE4" s="539"/>
      <c r="SUF4" s="539"/>
      <c r="SUG4" s="539"/>
      <c r="SUH4" s="539"/>
      <c r="SUI4" s="539"/>
      <c r="SUJ4" s="539"/>
      <c r="SUK4" s="539"/>
      <c r="SUL4" s="539"/>
      <c r="SUM4" s="539"/>
      <c r="SUN4" s="539"/>
      <c r="SUO4" s="539"/>
      <c r="SUP4" s="539"/>
      <c r="SUQ4" s="539"/>
      <c r="SUR4" s="539"/>
      <c r="SUS4" s="539"/>
      <c r="SUT4" s="539"/>
      <c r="SUU4" s="539"/>
      <c r="SUV4" s="539"/>
      <c r="SUW4" s="539"/>
      <c r="SUX4" s="539"/>
      <c r="SUY4" s="539"/>
      <c r="SUZ4" s="539"/>
      <c r="SVA4" s="539"/>
      <c r="SVB4" s="539"/>
      <c r="SVC4" s="539"/>
      <c r="SVD4" s="539"/>
      <c r="SVE4" s="539"/>
      <c r="SVF4" s="539"/>
      <c r="SVG4" s="539"/>
      <c r="SVH4" s="539"/>
      <c r="SVI4" s="539"/>
      <c r="SVJ4" s="539"/>
      <c r="SVK4" s="539"/>
      <c r="SVL4" s="539"/>
      <c r="SVM4" s="539"/>
      <c r="SVN4" s="539"/>
      <c r="SVO4" s="539"/>
      <c r="SVP4" s="539"/>
      <c r="SVQ4" s="539"/>
      <c r="SVR4" s="539"/>
      <c r="SVS4" s="539"/>
      <c r="SVT4" s="539"/>
      <c r="SVU4" s="539"/>
      <c r="SVV4" s="539"/>
      <c r="SVW4" s="539"/>
      <c r="SVX4" s="539"/>
      <c r="SVY4" s="539"/>
      <c r="SVZ4" s="539"/>
      <c r="SWA4" s="539"/>
      <c r="SWB4" s="539"/>
      <c r="SWC4" s="539"/>
      <c r="SWD4" s="539"/>
      <c r="SWE4" s="539"/>
      <c r="SWF4" s="539"/>
      <c r="SWG4" s="539"/>
      <c r="SWH4" s="539"/>
      <c r="SWI4" s="539"/>
      <c r="SWJ4" s="539"/>
      <c r="SWK4" s="539"/>
      <c r="SWL4" s="539"/>
      <c r="SWM4" s="539"/>
      <c r="SWN4" s="539"/>
      <c r="SWO4" s="539"/>
      <c r="SWP4" s="539"/>
      <c r="SWQ4" s="539"/>
      <c r="SWR4" s="539"/>
      <c r="SWS4" s="539"/>
      <c r="SWT4" s="539"/>
      <c r="SWU4" s="539"/>
      <c r="SWV4" s="539"/>
      <c r="SWW4" s="539"/>
      <c r="SWX4" s="539"/>
      <c r="SWY4" s="539"/>
      <c r="SWZ4" s="539"/>
      <c r="SXA4" s="539"/>
      <c r="SXB4" s="539"/>
      <c r="SXC4" s="539"/>
      <c r="SXD4" s="539"/>
      <c r="SXE4" s="539"/>
      <c r="SXF4" s="539"/>
      <c r="SXG4" s="539"/>
      <c r="SXH4" s="539"/>
      <c r="SXI4" s="539"/>
      <c r="SXJ4" s="539"/>
      <c r="SXK4" s="539"/>
      <c r="SXL4" s="539"/>
      <c r="SXM4" s="539"/>
      <c r="SXN4" s="539"/>
      <c r="SXO4" s="539"/>
      <c r="SXP4" s="539"/>
      <c r="SXQ4" s="539"/>
      <c r="SXR4" s="539"/>
      <c r="SXS4" s="539"/>
      <c r="SXT4" s="539"/>
      <c r="SXU4" s="539"/>
      <c r="SXV4" s="539"/>
      <c r="SXW4" s="539"/>
      <c r="SXX4" s="539"/>
      <c r="SXY4" s="539"/>
      <c r="SXZ4" s="539"/>
      <c r="SYA4" s="539"/>
      <c r="SYB4" s="539"/>
      <c r="SYC4" s="539"/>
      <c r="SYD4" s="539"/>
      <c r="SYE4" s="539"/>
      <c r="SYF4" s="539"/>
      <c r="SYG4" s="539"/>
      <c r="SYH4" s="539"/>
      <c r="SYI4" s="539"/>
      <c r="SYJ4" s="539"/>
      <c r="SYK4" s="539"/>
      <c r="SYL4" s="539"/>
      <c r="SYM4" s="539"/>
      <c r="SYN4" s="539"/>
      <c r="SYO4" s="539"/>
      <c r="SYP4" s="539"/>
      <c r="SYQ4" s="539"/>
      <c r="SYR4" s="539"/>
      <c r="SYS4" s="539"/>
      <c r="SYT4" s="539"/>
      <c r="SYU4" s="539"/>
      <c r="SYV4" s="539"/>
      <c r="SYW4" s="539"/>
      <c r="SYX4" s="539"/>
      <c r="SYY4" s="539"/>
      <c r="SYZ4" s="539"/>
      <c r="SZA4" s="539"/>
      <c r="SZB4" s="539"/>
      <c r="SZC4" s="539"/>
      <c r="SZD4" s="539"/>
      <c r="SZE4" s="539"/>
      <c r="SZF4" s="539"/>
      <c r="SZG4" s="539"/>
      <c r="SZH4" s="539"/>
      <c r="SZI4" s="539"/>
      <c r="SZJ4" s="539"/>
      <c r="SZK4" s="539"/>
      <c r="SZL4" s="539"/>
      <c r="SZM4" s="539"/>
      <c r="SZN4" s="539"/>
      <c r="SZO4" s="539"/>
      <c r="SZP4" s="539"/>
      <c r="SZQ4" s="539"/>
      <c r="SZR4" s="539"/>
      <c r="SZS4" s="539"/>
      <c r="SZT4" s="539"/>
      <c r="SZU4" s="539"/>
      <c r="SZV4" s="539"/>
      <c r="SZW4" s="539"/>
      <c r="SZX4" s="539"/>
      <c r="SZY4" s="539"/>
      <c r="SZZ4" s="539"/>
      <c r="TAA4" s="539"/>
      <c r="TAB4" s="539"/>
      <c r="TAC4" s="539"/>
      <c r="TAD4" s="539"/>
      <c r="TAE4" s="539"/>
      <c r="TAF4" s="539"/>
      <c r="TAG4" s="539"/>
      <c r="TAH4" s="539"/>
      <c r="TAI4" s="539"/>
      <c r="TAJ4" s="539"/>
      <c r="TAK4" s="539"/>
      <c r="TAL4" s="539"/>
      <c r="TAM4" s="539"/>
      <c r="TAN4" s="539"/>
      <c r="TAO4" s="539"/>
      <c r="TAP4" s="539"/>
      <c r="TAQ4" s="539"/>
      <c r="TAR4" s="539"/>
      <c r="TAS4" s="539"/>
      <c r="TAT4" s="539"/>
      <c r="TAU4" s="539"/>
      <c r="TAV4" s="539"/>
      <c r="TAW4" s="539"/>
      <c r="TAX4" s="539"/>
      <c r="TAY4" s="539"/>
      <c r="TAZ4" s="539"/>
      <c r="TBA4" s="539"/>
      <c r="TBB4" s="539"/>
      <c r="TBC4" s="539"/>
      <c r="TBD4" s="539"/>
      <c r="TBE4" s="539"/>
      <c r="TBF4" s="539"/>
      <c r="TBG4" s="539"/>
      <c r="TBH4" s="539"/>
      <c r="TBI4" s="539"/>
      <c r="TBJ4" s="539"/>
      <c r="TBK4" s="539"/>
      <c r="TBL4" s="539"/>
      <c r="TBM4" s="539"/>
      <c r="TBN4" s="539"/>
      <c r="TBO4" s="539"/>
      <c r="TBP4" s="539"/>
      <c r="TBQ4" s="539"/>
      <c r="TBR4" s="539"/>
      <c r="TBS4" s="539"/>
      <c r="TBT4" s="539"/>
      <c r="TBU4" s="539"/>
      <c r="TBV4" s="539"/>
      <c r="TBW4" s="539"/>
      <c r="TBX4" s="539"/>
      <c r="TBY4" s="539"/>
      <c r="TBZ4" s="539"/>
      <c r="TCA4" s="539"/>
      <c r="TCB4" s="539"/>
      <c r="TCC4" s="539"/>
      <c r="TCD4" s="539"/>
      <c r="TCE4" s="539"/>
      <c r="TCF4" s="539"/>
      <c r="TCG4" s="539"/>
      <c r="TCH4" s="539"/>
      <c r="TCI4" s="539"/>
      <c r="TCJ4" s="539"/>
      <c r="TCK4" s="539"/>
      <c r="TCL4" s="539"/>
      <c r="TCM4" s="539"/>
      <c r="TCN4" s="539"/>
      <c r="TCO4" s="539"/>
      <c r="TCP4" s="539"/>
      <c r="TCQ4" s="539"/>
      <c r="TCR4" s="539"/>
      <c r="TCS4" s="539"/>
      <c r="TCT4" s="539"/>
      <c r="TCU4" s="539"/>
      <c r="TCV4" s="539"/>
      <c r="TCW4" s="539"/>
      <c r="TCX4" s="539"/>
      <c r="TCY4" s="539"/>
      <c r="TCZ4" s="539"/>
      <c r="TDA4" s="539"/>
      <c r="TDB4" s="539"/>
      <c r="TDC4" s="539"/>
      <c r="TDD4" s="539"/>
      <c r="TDE4" s="539"/>
      <c r="TDF4" s="539"/>
      <c r="TDG4" s="539"/>
      <c r="TDH4" s="539"/>
      <c r="TDI4" s="539"/>
      <c r="TDJ4" s="539"/>
      <c r="TDK4" s="539"/>
      <c r="TDL4" s="539"/>
      <c r="TDM4" s="539"/>
      <c r="TDN4" s="539"/>
      <c r="TDO4" s="539"/>
      <c r="TDP4" s="539"/>
      <c r="TDQ4" s="539"/>
      <c r="TDR4" s="539"/>
      <c r="TDS4" s="539"/>
      <c r="TDT4" s="539"/>
      <c r="TDU4" s="539"/>
      <c r="TDV4" s="539"/>
      <c r="TDW4" s="539"/>
      <c r="TDX4" s="539"/>
      <c r="TDY4" s="539"/>
      <c r="TDZ4" s="539"/>
      <c r="TEA4" s="539"/>
      <c r="TEB4" s="539"/>
      <c r="TEC4" s="539"/>
      <c r="TED4" s="539"/>
      <c r="TEE4" s="539"/>
      <c r="TEF4" s="539"/>
      <c r="TEG4" s="539"/>
      <c r="TEH4" s="539"/>
      <c r="TEI4" s="539"/>
      <c r="TEJ4" s="539"/>
      <c r="TEK4" s="539"/>
      <c r="TEL4" s="539"/>
      <c r="TEM4" s="539"/>
      <c r="TEN4" s="539"/>
      <c r="TEO4" s="539"/>
      <c r="TEP4" s="539"/>
      <c r="TEQ4" s="539"/>
      <c r="TER4" s="539"/>
      <c r="TES4" s="539"/>
      <c r="TET4" s="539"/>
      <c r="TEU4" s="539"/>
      <c r="TEV4" s="539"/>
      <c r="TEW4" s="539"/>
      <c r="TEX4" s="539"/>
      <c r="TEY4" s="539"/>
      <c r="TEZ4" s="539"/>
      <c r="TFA4" s="539"/>
      <c r="TFB4" s="539"/>
      <c r="TFC4" s="539"/>
      <c r="TFD4" s="539"/>
      <c r="TFE4" s="539"/>
      <c r="TFF4" s="539"/>
      <c r="TFG4" s="539"/>
      <c r="TFH4" s="539"/>
      <c r="TFI4" s="539"/>
      <c r="TFJ4" s="539"/>
      <c r="TFK4" s="539"/>
      <c r="TFL4" s="539"/>
      <c r="TFM4" s="539"/>
      <c r="TFN4" s="539"/>
      <c r="TFO4" s="539"/>
      <c r="TFP4" s="539"/>
      <c r="TFQ4" s="539"/>
      <c r="TFR4" s="539"/>
      <c r="TFS4" s="539"/>
      <c r="TFT4" s="539"/>
      <c r="TFU4" s="539"/>
      <c r="TFV4" s="539"/>
      <c r="TFW4" s="539"/>
      <c r="TFX4" s="539"/>
      <c r="TFY4" s="539"/>
      <c r="TFZ4" s="539"/>
      <c r="TGA4" s="539"/>
      <c r="TGB4" s="539"/>
      <c r="TGC4" s="539"/>
      <c r="TGD4" s="539"/>
      <c r="TGE4" s="539"/>
      <c r="TGF4" s="539"/>
      <c r="TGG4" s="539"/>
      <c r="TGH4" s="539"/>
      <c r="TGI4" s="539"/>
      <c r="TGJ4" s="539"/>
      <c r="TGK4" s="539"/>
      <c r="TGL4" s="539"/>
      <c r="TGM4" s="539"/>
      <c r="TGN4" s="539"/>
      <c r="TGO4" s="539"/>
      <c r="TGP4" s="539"/>
      <c r="TGQ4" s="539"/>
      <c r="TGR4" s="539"/>
      <c r="TGS4" s="539"/>
      <c r="TGT4" s="539"/>
      <c r="TGU4" s="539"/>
      <c r="TGV4" s="539"/>
      <c r="TGW4" s="539"/>
      <c r="TGX4" s="539"/>
      <c r="TGY4" s="539"/>
      <c r="TGZ4" s="539"/>
      <c r="THA4" s="539"/>
      <c r="THB4" s="539"/>
      <c r="THC4" s="539"/>
      <c r="THD4" s="539"/>
      <c r="THE4" s="539"/>
      <c r="THF4" s="539"/>
      <c r="THG4" s="539"/>
      <c r="THH4" s="539"/>
      <c r="THI4" s="539"/>
      <c r="THJ4" s="539"/>
      <c r="THK4" s="539"/>
      <c r="THL4" s="539"/>
      <c r="THM4" s="539"/>
      <c r="THN4" s="539"/>
      <c r="THO4" s="539"/>
      <c r="THP4" s="539"/>
      <c r="THQ4" s="539"/>
      <c r="THR4" s="539"/>
      <c r="THS4" s="539"/>
      <c r="THT4" s="539"/>
      <c r="THU4" s="539"/>
      <c r="THV4" s="539"/>
      <c r="THW4" s="539"/>
      <c r="THX4" s="539"/>
      <c r="THY4" s="539"/>
      <c r="THZ4" s="539"/>
      <c r="TIA4" s="539"/>
      <c r="TIB4" s="539"/>
      <c r="TIC4" s="539"/>
      <c r="TID4" s="539"/>
      <c r="TIE4" s="539"/>
      <c r="TIF4" s="539"/>
      <c r="TIG4" s="539"/>
      <c r="TIH4" s="539"/>
      <c r="TII4" s="539"/>
      <c r="TIJ4" s="539"/>
      <c r="TIK4" s="539"/>
      <c r="TIL4" s="539"/>
      <c r="TIM4" s="539"/>
      <c r="TIN4" s="539"/>
      <c r="TIO4" s="539"/>
      <c r="TIP4" s="539"/>
      <c r="TIQ4" s="539"/>
      <c r="TIR4" s="539"/>
      <c r="TIS4" s="539"/>
      <c r="TIT4" s="539"/>
      <c r="TIU4" s="539"/>
      <c r="TIV4" s="539"/>
      <c r="TIW4" s="539"/>
      <c r="TIX4" s="539"/>
      <c r="TIY4" s="539"/>
      <c r="TIZ4" s="539"/>
      <c r="TJA4" s="539"/>
      <c r="TJB4" s="539"/>
      <c r="TJC4" s="539"/>
      <c r="TJD4" s="539"/>
      <c r="TJE4" s="539"/>
      <c r="TJF4" s="539"/>
      <c r="TJG4" s="539"/>
      <c r="TJH4" s="539"/>
      <c r="TJI4" s="539"/>
      <c r="TJJ4" s="539"/>
      <c r="TJK4" s="539"/>
      <c r="TJL4" s="539"/>
      <c r="TJM4" s="539"/>
      <c r="TJN4" s="539"/>
      <c r="TJO4" s="539"/>
      <c r="TJP4" s="539"/>
      <c r="TJQ4" s="539"/>
      <c r="TJR4" s="539"/>
      <c r="TJS4" s="539"/>
      <c r="TJT4" s="539"/>
      <c r="TJU4" s="539"/>
      <c r="TJV4" s="539"/>
      <c r="TJW4" s="539"/>
      <c r="TJX4" s="539"/>
      <c r="TJY4" s="539"/>
      <c r="TJZ4" s="539"/>
      <c r="TKA4" s="539"/>
      <c r="TKB4" s="539"/>
      <c r="TKC4" s="539"/>
      <c r="TKD4" s="539"/>
      <c r="TKE4" s="539"/>
      <c r="TKF4" s="539"/>
      <c r="TKG4" s="539"/>
      <c r="TKH4" s="539"/>
      <c r="TKI4" s="539"/>
      <c r="TKJ4" s="539"/>
      <c r="TKK4" s="539"/>
      <c r="TKL4" s="539"/>
      <c r="TKM4" s="539"/>
      <c r="TKN4" s="539"/>
      <c r="TKO4" s="539"/>
      <c r="TKP4" s="539"/>
      <c r="TKQ4" s="539"/>
      <c r="TKR4" s="539"/>
      <c r="TKS4" s="539"/>
      <c r="TKT4" s="539"/>
      <c r="TKU4" s="539"/>
      <c r="TKV4" s="539"/>
      <c r="TKW4" s="539"/>
      <c r="TKX4" s="539"/>
      <c r="TKY4" s="539"/>
      <c r="TKZ4" s="539"/>
      <c r="TLA4" s="539"/>
      <c r="TLB4" s="539"/>
      <c r="TLC4" s="539"/>
      <c r="TLD4" s="539"/>
      <c r="TLE4" s="539"/>
      <c r="TLF4" s="539"/>
      <c r="TLG4" s="539"/>
      <c r="TLH4" s="539"/>
      <c r="TLI4" s="539"/>
      <c r="TLJ4" s="539"/>
      <c r="TLK4" s="539"/>
      <c r="TLL4" s="539"/>
      <c r="TLM4" s="539"/>
      <c r="TLN4" s="539"/>
      <c r="TLO4" s="539"/>
      <c r="TLP4" s="539"/>
      <c r="TLQ4" s="539"/>
      <c r="TLR4" s="539"/>
      <c r="TLS4" s="539"/>
      <c r="TLT4" s="539"/>
      <c r="TLU4" s="539"/>
      <c r="TLV4" s="539"/>
      <c r="TLW4" s="539"/>
      <c r="TLX4" s="539"/>
      <c r="TLY4" s="539"/>
      <c r="TLZ4" s="539"/>
      <c r="TMA4" s="539"/>
      <c r="TMB4" s="539"/>
      <c r="TMC4" s="539"/>
      <c r="TMD4" s="539"/>
      <c r="TME4" s="539"/>
      <c r="TMF4" s="539"/>
      <c r="TMG4" s="539"/>
      <c r="TMH4" s="539"/>
      <c r="TMI4" s="539"/>
      <c r="TMJ4" s="539"/>
      <c r="TMK4" s="539"/>
      <c r="TML4" s="539"/>
      <c r="TMM4" s="539"/>
      <c r="TMN4" s="539"/>
      <c r="TMO4" s="539"/>
      <c r="TMP4" s="539"/>
      <c r="TMQ4" s="539"/>
      <c r="TMR4" s="539"/>
      <c r="TMS4" s="539"/>
      <c r="TMT4" s="539"/>
      <c r="TMU4" s="539"/>
      <c r="TMV4" s="539"/>
      <c r="TMW4" s="539"/>
      <c r="TMX4" s="539"/>
      <c r="TMY4" s="539"/>
      <c r="TMZ4" s="539"/>
      <c r="TNA4" s="539"/>
      <c r="TNB4" s="539"/>
      <c r="TNC4" s="539"/>
      <c r="TND4" s="539"/>
      <c r="TNE4" s="539"/>
      <c r="TNF4" s="539"/>
      <c r="TNG4" s="539"/>
      <c r="TNH4" s="539"/>
      <c r="TNI4" s="539"/>
      <c r="TNJ4" s="539"/>
      <c r="TNK4" s="539"/>
      <c r="TNL4" s="539"/>
      <c r="TNM4" s="539"/>
      <c r="TNN4" s="539"/>
      <c r="TNO4" s="539"/>
      <c r="TNP4" s="539"/>
      <c r="TNQ4" s="539"/>
      <c r="TNR4" s="539"/>
      <c r="TNS4" s="539"/>
      <c r="TNT4" s="539"/>
      <c r="TNU4" s="539"/>
      <c r="TNV4" s="539"/>
      <c r="TNW4" s="539"/>
      <c r="TNX4" s="539"/>
      <c r="TNY4" s="539"/>
      <c r="TNZ4" s="539"/>
      <c r="TOA4" s="539"/>
      <c r="TOB4" s="539"/>
      <c r="TOC4" s="539"/>
      <c r="TOD4" s="539"/>
      <c r="TOE4" s="539"/>
      <c r="TOF4" s="539"/>
      <c r="TOG4" s="539"/>
      <c r="TOH4" s="539"/>
      <c r="TOI4" s="539"/>
      <c r="TOJ4" s="539"/>
      <c r="TOK4" s="539"/>
      <c r="TOL4" s="539"/>
      <c r="TOM4" s="539"/>
      <c r="TON4" s="539"/>
      <c r="TOO4" s="539"/>
      <c r="TOP4" s="539"/>
      <c r="TOQ4" s="539"/>
      <c r="TOR4" s="539"/>
      <c r="TOS4" s="539"/>
      <c r="TOT4" s="539"/>
      <c r="TOU4" s="539"/>
      <c r="TOV4" s="539"/>
      <c r="TOW4" s="539"/>
      <c r="TOX4" s="539"/>
      <c r="TOY4" s="539"/>
      <c r="TOZ4" s="539"/>
      <c r="TPA4" s="539"/>
      <c r="TPB4" s="539"/>
      <c r="TPC4" s="539"/>
      <c r="TPD4" s="539"/>
      <c r="TPE4" s="539"/>
      <c r="TPF4" s="539"/>
      <c r="TPG4" s="539"/>
      <c r="TPH4" s="539"/>
      <c r="TPI4" s="539"/>
      <c r="TPJ4" s="539"/>
      <c r="TPK4" s="539"/>
      <c r="TPL4" s="539"/>
      <c r="TPM4" s="539"/>
      <c r="TPN4" s="539"/>
      <c r="TPO4" s="539"/>
      <c r="TPP4" s="539"/>
      <c r="TPQ4" s="539"/>
      <c r="TPR4" s="539"/>
      <c r="TPS4" s="539"/>
      <c r="TPT4" s="539"/>
      <c r="TPU4" s="539"/>
      <c r="TPV4" s="539"/>
      <c r="TPW4" s="539"/>
      <c r="TPX4" s="539"/>
      <c r="TPY4" s="539"/>
      <c r="TPZ4" s="539"/>
      <c r="TQA4" s="539"/>
      <c r="TQB4" s="539"/>
      <c r="TQC4" s="539"/>
      <c r="TQD4" s="539"/>
      <c r="TQE4" s="539"/>
      <c r="TQF4" s="539"/>
      <c r="TQG4" s="539"/>
      <c r="TQH4" s="539"/>
      <c r="TQI4" s="539"/>
      <c r="TQJ4" s="539"/>
      <c r="TQK4" s="539"/>
      <c r="TQL4" s="539"/>
      <c r="TQM4" s="539"/>
      <c r="TQN4" s="539"/>
      <c r="TQO4" s="539"/>
      <c r="TQP4" s="539"/>
      <c r="TQQ4" s="539"/>
      <c r="TQR4" s="539"/>
      <c r="TQS4" s="539"/>
      <c r="TQT4" s="539"/>
      <c r="TQU4" s="539"/>
      <c r="TQV4" s="539"/>
      <c r="TQW4" s="539"/>
      <c r="TQX4" s="539"/>
      <c r="TQY4" s="539"/>
      <c r="TQZ4" s="539"/>
      <c r="TRA4" s="539"/>
      <c r="TRB4" s="539"/>
      <c r="TRC4" s="539"/>
      <c r="TRD4" s="539"/>
      <c r="TRE4" s="539"/>
      <c r="TRF4" s="539"/>
      <c r="TRG4" s="539"/>
      <c r="TRH4" s="539"/>
      <c r="TRI4" s="539"/>
      <c r="TRJ4" s="539"/>
      <c r="TRK4" s="539"/>
      <c r="TRL4" s="539"/>
      <c r="TRM4" s="539"/>
      <c r="TRN4" s="539"/>
      <c r="TRO4" s="539"/>
      <c r="TRP4" s="539"/>
      <c r="TRQ4" s="539"/>
      <c r="TRR4" s="539"/>
      <c r="TRS4" s="539"/>
      <c r="TRT4" s="539"/>
      <c r="TRU4" s="539"/>
      <c r="TRV4" s="539"/>
      <c r="TRW4" s="539"/>
      <c r="TRX4" s="539"/>
      <c r="TRY4" s="539"/>
      <c r="TRZ4" s="539"/>
      <c r="TSA4" s="539"/>
      <c r="TSB4" s="539"/>
      <c r="TSC4" s="539"/>
      <c r="TSD4" s="539"/>
      <c r="TSE4" s="539"/>
      <c r="TSF4" s="539"/>
      <c r="TSG4" s="539"/>
      <c r="TSH4" s="539"/>
      <c r="TSI4" s="539"/>
      <c r="TSJ4" s="539"/>
      <c r="TSK4" s="539"/>
      <c r="TSL4" s="539"/>
      <c r="TSM4" s="539"/>
      <c r="TSN4" s="539"/>
      <c r="TSO4" s="539"/>
      <c r="TSP4" s="539"/>
      <c r="TSQ4" s="539"/>
      <c r="TSR4" s="539"/>
      <c r="TSS4" s="539"/>
      <c r="TST4" s="539"/>
      <c r="TSU4" s="539"/>
      <c r="TSV4" s="539"/>
      <c r="TSW4" s="539"/>
      <c r="TSX4" s="539"/>
      <c r="TSY4" s="539"/>
      <c r="TSZ4" s="539"/>
      <c r="TTA4" s="539"/>
      <c r="TTB4" s="539"/>
      <c r="TTC4" s="539"/>
      <c r="TTD4" s="539"/>
      <c r="TTE4" s="539"/>
      <c r="TTF4" s="539"/>
      <c r="TTG4" s="539"/>
      <c r="TTH4" s="539"/>
      <c r="TTI4" s="539"/>
      <c r="TTJ4" s="539"/>
      <c r="TTK4" s="539"/>
      <c r="TTL4" s="539"/>
      <c r="TTM4" s="539"/>
      <c r="TTN4" s="539"/>
      <c r="TTO4" s="539"/>
      <c r="TTP4" s="539"/>
      <c r="TTQ4" s="539"/>
      <c r="TTR4" s="539"/>
      <c r="TTS4" s="539"/>
      <c r="TTT4" s="539"/>
      <c r="TTU4" s="539"/>
      <c r="TTV4" s="539"/>
      <c r="TTW4" s="539"/>
      <c r="TTX4" s="539"/>
      <c r="TTY4" s="539"/>
      <c r="TTZ4" s="539"/>
      <c r="TUA4" s="539"/>
      <c r="TUB4" s="539"/>
      <c r="TUC4" s="539"/>
      <c r="TUD4" s="539"/>
      <c r="TUE4" s="539"/>
      <c r="TUF4" s="539"/>
      <c r="TUG4" s="539"/>
      <c r="TUH4" s="539"/>
      <c r="TUI4" s="539"/>
      <c r="TUJ4" s="539"/>
      <c r="TUK4" s="539"/>
      <c r="TUL4" s="539"/>
      <c r="TUM4" s="539"/>
      <c r="TUN4" s="539"/>
      <c r="TUO4" s="539"/>
      <c r="TUP4" s="539"/>
      <c r="TUQ4" s="539"/>
      <c r="TUR4" s="539"/>
      <c r="TUS4" s="539"/>
      <c r="TUT4" s="539"/>
      <c r="TUU4" s="539"/>
      <c r="TUV4" s="539"/>
      <c r="TUW4" s="539"/>
      <c r="TUX4" s="539"/>
      <c r="TUY4" s="539"/>
      <c r="TUZ4" s="539"/>
      <c r="TVA4" s="539"/>
      <c r="TVB4" s="539"/>
      <c r="TVC4" s="539"/>
      <c r="TVD4" s="539"/>
      <c r="TVE4" s="539"/>
      <c r="TVF4" s="539"/>
      <c r="TVG4" s="539"/>
      <c r="TVH4" s="539"/>
      <c r="TVI4" s="539"/>
      <c r="TVJ4" s="539"/>
      <c r="TVK4" s="539"/>
      <c r="TVL4" s="539"/>
      <c r="TVM4" s="539"/>
      <c r="TVN4" s="539"/>
      <c r="TVO4" s="539"/>
      <c r="TVP4" s="539"/>
      <c r="TVQ4" s="539"/>
      <c r="TVR4" s="539"/>
      <c r="TVS4" s="539"/>
      <c r="TVT4" s="539"/>
      <c r="TVU4" s="539"/>
      <c r="TVV4" s="539"/>
      <c r="TVW4" s="539"/>
      <c r="TVX4" s="539"/>
      <c r="TVY4" s="539"/>
      <c r="TVZ4" s="539"/>
      <c r="TWA4" s="539"/>
      <c r="TWB4" s="539"/>
      <c r="TWC4" s="539"/>
      <c r="TWD4" s="539"/>
      <c r="TWE4" s="539"/>
      <c r="TWF4" s="539"/>
      <c r="TWG4" s="539"/>
      <c r="TWH4" s="539"/>
      <c r="TWI4" s="539"/>
      <c r="TWJ4" s="539"/>
      <c r="TWK4" s="539"/>
      <c r="TWL4" s="539"/>
      <c r="TWM4" s="539"/>
      <c r="TWN4" s="539"/>
      <c r="TWO4" s="539"/>
      <c r="TWP4" s="539"/>
      <c r="TWQ4" s="539"/>
      <c r="TWR4" s="539"/>
      <c r="TWS4" s="539"/>
      <c r="TWT4" s="539"/>
      <c r="TWU4" s="539"/>
      <c r="TWV4" s="539"/>
      <c r="TWW4" s="539"/>
      <c r="TWX4" s="539"/>
      <c r="TWY4" s="539"/>
      <c r="TWZ4" s="539"/>
      <c r="TXA4" s="539"/>
      <c r="TXB4" s="539"/>
      <c r="TXC4" s="539"/>
      <c r="TXD4" s="539"/>
      <c r="TXE4" s="539"/>
      <c r="TXF4" s="539"/>
      <c r="TXG4" s="539"/>
      <c r="TXH4" s="539"/>
      <c r="TXI4" s="539"/>
      <c r="TXJ4" s="539"/>
      <c r="TXK4" s="539"/>
      <c r="TXL4" s="539"/>
      <c r="TXM4" s="539"/>
      <c r="TXN4" s="539"/>
      <c r="TXO4" s="539"/>
      <c r="TXP4" s="539"/>
      <c r="TXQ4" s="539"/>
      <c r="TXR4" s="539"/>
      <c r="TXS4" s="539"/>
      <c r="TXT4" s="539"/>
      <c r="TXU4" s="539"/>
      <c r="TXV4" s="539"/>
      <c r="TXW4" s="539"/>
      <c r="TXX4" s="539"/>
      <c r="TXY4" s="539"/>
      <c r="TXZ4" s="539"/>
      <c r="TYA4" s="539"/>
      <c r="TYB4" s="539"/>
      <c r="TYC4" s="539"/>
      <c r="TYD4" s="539"/>
      <c r="TYE4" s="539"/>
      <c r="TYF4" s="539"/>
      <c r="TYG4" s="539"/>
      <c r="TYH4" s="539"/>
      <c r="TYI4" s="539"/>
      <c r="TYJ4" s="539"/>
      <c r="TYK4" s="539"/>
      <c r="TYL4" s="539"/>
      <c r="TYM4" s="539"/>
      <c r="TYN4" s="539"/>
      <c r="TYO4" s="539"/>
      <c r="TYP4" s="539"/>
      <c r="TYQ4" s="539"/>
      <c r="TYR4" s="539"/>
      <c r="TYS4" s="539"/>
      <c r="TYT4" s="539"/>
      <c r="TYU4" s="539"/>
      <c r="TYV4" s="539"/>
      <c r="TYW4" s="539"/>
      <c r="TYX4" s="539"/>
      <c r="TYY4" s="539"/>
      <c r="TYZ4" s="539"/>
      <c r="TZA4" s="539"/>
      <c r="TZB4" s="539"/>
      <c r="TZC4" s="539"/>
      <c r="TZD4" s="539"/>
      <c r="TZE4" s="539"/>
      <c r="TZF4" s="539"/>
      <c r="TZG4" s="539"/>
      <c r="TZH4" s="539"/>
      <c r="TZI4" s="539"/>
      <c r="TZJ4" s="539"/>
      <c r="TZK4" s="539"/>
      <c r="TZL4" s="539"/>
      <c r="TZM4" s="539"/>
      <c r="TZN4" s="539"/>
      <c r="TZO4" s="539"/>
      <c r="TZP4" s="539"/>
      <c r="TZQ4" s="539"/>
      <c r="TZR4" s="539"/>
      <c r="TZS4" s="539"/>
      <c r="TZT4" s="539"/>
      <c r="TZU4" s="539"/>
      <c r="TZV4" s="539"/>
      <c r="TZW4" s="539"/>
      <c r="TZX4" s="539"/>
      <c r="TZY4" s="539"/>
      <c r="TZZ4" s="539"/>
      <c r="UAA4" s="539"/>
      <c r="UAB4" s="539"/>
      <c r="UAC4" s="539"/>
      <c r="UAD4" s="539"/>
      <c r="UAE4" s="539"/>
      <c r="UAF4" s="539"/>
      <c r="UAG4" s="539"/>
      <c r="UAH4" s="539"/>
      <c r="UAI4" s="539"/>
      <c r="UAJ4" s="539"/>
      <c r="UAK4" s="539"/>
      <c r="UAL4" s="539"/>
      <c r="UAM4" s="539"/>
      <c r="UAN4" s="539"/>
      <c r="UAO4" s="539"/>
      <c r="UAP4" s="539"/>
      <c r="UAQ4" s="539"/>
      <c r="UAR4" s="539"/>
      <c r="UAS4" s="539"/>
      <c r="UAT4" s="539"/>
      <c r="UAU4" s="539"/>
      <c r="UAV4" s="539"/>
      <c r="UAW4" s="539"/>
      <c r="UAX4" s="539"/>
      <c r="UAY4" s="539"/>
      <c r="UAZ4" s="539"/>
      <c r="UBA4" s="539"/>
      <c r="UBB4" s="539"/>
      <c r="UBC4" s="539"/>
      <c r="UBD4" s="539"/>
      <c r="UBE4" s="539"/>
      <c r="UBF4" s="539"/>
      <c r="UBG4" s="539"/>
      <c r="UBH4" s="539"/>
      <c r="UBI4" s="539"/>
      <c r="UBJ4" s="539"/>
      <c r="UBK4" s="539"/>
      <c r="UBL4" s="539"/>
      <c r="UBM4" s="539"/>
      <c r="UBN4" s="539"/>
      <c r="UBO4" s="539"/>
      <c r="UBP4" s="539"/>
      <c r="UBQ4" s="539"/>
      <c r="UBR4" s="539"/>
      <c r="UBS4" s="539"/>
      <c r="UBT4" s="539"/>
      <c r="UBU4" s="539"/>
      <c r="UBV4" s="539"/>
      <c r="UBW4" s="539"/>
      <c r="UBX4" s="539"/>
      <c r="UBY4" s="539"/>
      <c r="UBZ4" s="539"/>
      <c r="UCA4" s="539"/>
      <c r="UCB4" s="539"/>
      <c r="UCC4" s="539"/>
      <c r="UCD4" s="539"/>
      <c r="UCE4" s="539"/>
      <c r="UCF4" s="539"/>
      <c r="UCG4" s="539"/>
      <c r="UCH4" s="539"/>
      <c r="UCI4" s="539"/>
      <c r="UCJ4" s="539"/>
      <c r="UCK4" s="539"/>
      <c r="UCL4" s="539"/>
      <c r="UCM4" s="539"/>
      <c r="UCN4" s="539"/>
      <c r="UCO4" s="539"/>
      <c r="UCP4" s="539"/>
      <c r="UCQ4" s="539"/>
      <c r="UCR4" s="539"/>
      <c r="UCS4" s="539"/>
      <c r="UCT4" s="539"/>
      <c r="UCU4" s="539"/>
      <c r="UCV4" s="539"/>
      <c r="UCW4" s="539"/>
      <c r="UCX4" s="539"/>
      <c r="UCY4" s="539"/>
      <c r="UCZ4" s="539"/>
      <c r="UDA4" s="539"/>
      <c r="UDB4" s="539"/>
      <c r="UDC4" s="539"/>
      <c r="UDD4" s="539"/>
      <c r="UDE4" s="539"/>
      <c r="UDF4" s="539"/>
      <c r="UDG4" s="539"/>
      <c r="UDH4" s="539"/>
      <c r="UDI4" s="539"/>
      <c r="UDJ4" s="539"/>
      <c r="UDK4" s="539"/>
      <c r="UDL4" s="539"/>
      <c r="UDM4" s="539"/>
      <c r="UDN4" s="539"/>
      <c r="UDO4" s="539"/>
      <c r="UDP4" s="539"/>
      <c r="UDQ4" s="539"/>
      <c r="UDR4" s="539"/>
      <c r="UDS4" s="539"/>
      <c r="UDT4" s="539"/>
      <c r="UDU4" s="539"/>
      <c r="UDV4" s="539"/>
      <c r="UDW4" s="539"/>
      <c r="UDX4" s="539"/>
      <c r="UDY4" s="539"/>
      <c r="UDZ4" s="539"/>
      <c r="UEA4" s="539"/>
      <c r="UEB4" s="539"/>
      <c r="UEC4" s="539"/>
      <c r="UED4" s="539"/>
      <c r="UEE4" s="539"/>
      <c r="UEF4" s="539"/>
      <c r="UEG4" s="539"/>
      <c r="UEH4" s="539"/>
      <c r="UEI4" s="539"/>
      <c r="UEJ4" s="539"/>
      <c r="UEK4" s="539"/>
      <c r="UEL4" s="539"/>
      <c r="UEM4" s="539"/>
      <c r="UEN4" s="539"/>
      <c r="UEO4" s="539"/>
      <c r="UEP4" s="539"/>
      <c r="UEQ4" s="539"/>
      <c r="UER4" s="539"/>
      <c r="UES4" s="539"/>
      <c r="UET4" s="539"/>
      <c r="UEU4" s="539"/>
      <c r="UEV4" s="539"/>
      <c r="UEW4" s="539"/>
      <c r="UEX4" s="539"/>
      <c r="UEY4" s="539"/>
      <c r="UEZ4" s="539"/>
      <c r="UFA4" s="539"/>
      <c r="UFB4" s="539"/>
      <c r="UFC4" s="539"/>
      <c r="UFD4" s="539"/>
      <c r="UFE4" s="539"/>
      <c r="UFF4" s="539"/>
      <c r="UFG4" s="539"/>
      <c r="UFH4" s="539"/>
      <c r="UFI4" s="539"/>
      <c r="UFJ4" s="539"/>
      <c r="UFK4" s="539"/>
      <c r="UFL4" s="539"/>
      <c r="UFM4" s="539"/>
      <c r="UFN4" s="539"/>
      <c r="UFO4" s="539"/>
      <c r="UFP4" s="539"/>
      <c r="UFQ4" s="539"/>
      <c r="UFR4" s="539"/>
      <c r="UFS4" s="539"/>
      <c r="UFT4" s="539"/>
      <c r="UFU4" s="539"/>
      <c r="UFV4" s="539"/>
      <c r="UFW4" s="539"/>
      <c r="UFX4" s="539"/>
      <c r="UFY4" s="539"/>
      <c r="UFZ4" s="539"/>
      <c r="UGA4" s="539"/>
      <c r="UGB4" s="539"/>
      <c r="UGC4" s="539"/>
      <c r="UGD4" s="539"/>
      <c r="UGE4" s="539"/>
      <c r="UGF4" s="539"/>
      <c r="UGG4" s="539"/>
      <c r="UGH4" s="539"/>
      <c r="UGI4" s="539"/>
      <c r="UGJ4" s="539"/>
      <c r="UGK4" s="539"/>
      <c r="UGL4" s="539"/>
      <c r="UGM4" s="539"/>
      <c r="UGN4" s="539"/>
      <c r="UGO4" s="539"/>
      <c r="UGP4" s="539"/>
      <c r="UGQ4" s="539"/>
      <c r="UGR4" s="539"/>
      <c r="UGS4" s="539"/>
      <c r="UGT4" s="539"/>
      <c r="UGU4" s="539"/>
      <c r="UGV4" s="539"/>
      <c r="UGW4" s="539"/>
      <c r="UGX4" s="539"/>
      <c r="UGY4" s="539"/>
      <c r="UGZ4" s="539"/>
      <c r="UHA4" s="539"/>
      <c r="UHB4" s="539"/>
      <c r="UHC4" s="539"/>
      <c r="UHD4" s="539"/>
      <c r="UHE4" s="539"/>
      <c r="UHF4" s="539"/>
      <c r="UHG4" s="539"/>
      <c r="UHH4" s="539"/>
      <c r="UHI4" s="539"/>
      <c r="UHJ4" s="539"/>
      <c r="UHK4" s="539"/>
      <c r="UHL4" s="539"/>
      <c r="UHM4" s="539"/>
      <c r="UHN4" s="539"/>
      <c r="UHO4" s="539"/>
      <c r="UHP4" s="539"/>
      <c r="UHQ4" s="539"/>
      <c r="UHR4" s="539"/>
      <c r="UHS4" s="539"/>
      <c r="UHT4" s="539"/>
      <c r="UHU4" s="539"/>
      <c r="UHV4" s="539"/>
      <c r="UHW4" s="539"/>
      <c r="UHX4" s="539"/>
      <c r="UHY4" s="539"/>
      <c r="UHZ4" s="539"/>
      <c r="UIA4" s="539"/>
      <c r="UIB4" s="539"/>
      <c r="UIC4" s="539"/>
      <c r="UID4" s="539"/>
      <c r="UIE4" s="539"/>
      <c r="UIF4" s="539"/>
      <c r="UIG4" s="539"/>
      <c r="UIH4" s="539"/>
      <c r="UII4" s="539"/>
      <c r="UIJ4" s="539"/>
      <c r="UIK4" s="539"/>
      <c r="UIL4" s="539"/>
      <c r="UIM4" s="539"/>
      <c r="UIN4" s="539"/>
      <c r="UIO4" s="539"/>
      <c r="UIP4" s="539"/>
      <c r="UIQ4" s="539"/>
      <c r="UIR4" s="539"/>
      <c r="UIS4" s="539"/>
      <c r="UIT4" s="539"/>
      <c r="UIU4" s="539"/>
      <c r="UIV4" s="539"/>
      <c r="UIW4" s="539"/>
      <c r="UIX4" s="539"/>
      <c r="UIY4" s="539"/>
      <c r="UIZ4" s="539"/>
      <c r="UJA4" s="539"/>
      <c r="UJB4" s="539"/>
      <c r="UJC4" s="539"/>
      <c r="UJD4" s="539"/>
      <c r="UJE4" s="539"/>
      <c r="UJF4" s="539"/>
      <c r="UJG4" s="539"/>
      <c r="UJH4" s="539"/>
      <c r="UJI4" s="539"/>
      <c r="UJJ4" s="539"/>
      <c r="UJK4" s="539"/>
      <c r="UJL4" s="539"/>
      <c r="UJM4" s="539"/>
      <c r="UJN4" s="539"/>
      <c r="UJO4" s="539"/>
      <c r="UJP4" s="539"/>
      <c r="UJQ4" s="539"/>
      <c r="UJR4" s="539"/>
      <c r="UJS4" s="539"/>
      <c r="UJT4" s="539"/>
      <c r="UJU4" s="539"/>
      <c r="UJV4" s="539"/>
      <c r="UJW4" s="539"/>
      <c r="UJX4" s="539"/>
      <c r="UJY4" s="539"/>
      <c r="UJZ4" s="539"/>
      <c r="UKA4" s="539"/>
      <c r="UKB4" s="539"/>
      <c r="UKC4" s="539"/>
      <c r="UKD4" s="539"/>
      <c r="UKE4" s="539"/>
      <c r="UKF4" s="539"/>
      <c r="UKG4" s="539"/>
      <c r="UKH4" s="539"/>
      <c r="UKI4" s="539"/>
      <c r="UKJ4" s="539"/>
      <c r="UKK4" s="539"/>
      <c r="UKL4" s="539"/>
      <c r="UKM4" s="539"/>
      <c r="UKN4" s="539"/>
      <c r="UKO4" s="539"/>
      <c r="UKP4" s="539"/>
      <c r="UKQ4" s="539"/>
      <c r="UKR4" s="539"/>
      <c r="UKS4" s="539"/>
      <c r="UKT4" s="539"/>
      <c r="UKU4" s="539"/>
      <c r="UKV4" s="539"/>
      <c r="UKW4" s="539"/>
      <c r="UKX4" s="539"/>
      <c r="UKY4" s="539"/>
      <c r="UKZ4" s="539"/>
      <c r="ULA4" s="539"/>
      <c r="ULB4" s="539"/>
      <c r="ULC4" s="539"/>
      <c r="ULD4" s="539"/>
      <c r="ULE4" s="539"/>
      <c r="ULF4" s="539"/>
      <c r="ULG4" s="539"/>
      <c r="ULH4" s="539"/>
      <c r="ULI4" s="539"/>
      <c r="ULJ4" s="539"/>
      <c r="ULK4" s="539"/>
      <c r="ULL4" s="539"/>
      <c r="ULM4" s="539"/>
      <c r="ULN4" s="539"/>
      <c r="ULO4" s="539"/>
      <c r="ULP4" s="539"/>
      <c r="ULQ4" s="539"/>
      <c r="ULR4" s="539"/>
      <c r="ULS4" s="539"/>
      <c r="ULT4" s="539"/>
      <c r="ULU4" s="539"/>
      <c r="ULV4" s="539"/>
      <c r="ULW4" s="539"/>
      <c r="ULX4" s="539"/>
      <c r="ULY4" s="539"/>
      <c r="ULZ4" s="539"/>
      <c r="UMA4" s="539"/>
      <c r="UMB4" s="539"/>
      <c r="UMC4" s="539"/>
      <c r="UMD4" s="539"/>
      <c r="UME4" s="539"/>
      <c r="UMF4" s="539"/>
      <c r="UMG4" s="539"/>
      <c r="UMH4" s="539"/>
      <c r="UMI4" s="539"/>
      <c r="UMJ4" s="539"/>
      <c r="UMK4" s="539"/>
      <c r="UML4" s="539"/>
      <c r="UMM4" s="539"/>
      <c r="UMN4" s="539"/>
      <c r="UMO4" s="539"/>
      <c r="UMP4" s="539"/>
      <c r="UMQ4" s="539"/>
      <c r="UMR4" s="539"/>
      <c r="UMS4" s="539"/>
      <c r="UMT4" s="539"/>
      <c r="UMU4" s="539"/>
      <c r="UMV4" s="539"/>
      <c r="UMW4" s="539"/>
      <c r="UMX4" s="539"/>
      <c r="UMY4" s="539"/>
      <c r="UMZ4" s="539"/>
      <c r="UNA4" s="539"/>
      <c r="UNB4" s="539"/>
      <c r="UNC4" s="539"/>
      <c r="UND4" s="539"/>
      <c r="UNE4" s="539"/>
      <c r="UNF4" s="539"/>
      <c r="UNG4" s="539"/>
      <c r="UNH4" s="539"/>
      <c r="UNI4" s="539"/>
      <c r="UNJ4" s="539"/>
      <c r="UNK4" s="539"/>
      <c r="UNL4" s="539"/>
      <c r="UNM4" s="539"/>
      <c r="UNN4" s="539"/>
      <c r="UNO4" s="539"/>
      <c r="UNP4" s="539"/>
      <c r="UNQ4" s="539"/>
      <c r="UNR4" s="539"/>
      <c r="UNS4" s="539"/>
      <c r="UNT4" s="539"/>
      <c r="UNU4" s="539"/>
      <c r="UNV4" s="539"/>
      <c r="UNW4" s="539"/>
      <c r="UNX4" s="539"/>
      <c r="UNY4" s="539"/>
      <c r="UNZ4" s="539"/>
      <c r="UOA4" s="539"/>
      <c r="UOB4" s="539"/>
      <c r="UOC4" s="539"/>
      <c r="UOD4" s="539"/>
      <c r="UOE4" s="539"/>
      <c r="UOF4" s="539"/>
      <c r="UOG4" s="539"/>
      <c r="UOH4" s="539"/>
      <c r="UOI4" s="539"/>
      <c r="UOJ4" s="539"/>
      <c r="UOK4" s="539"/>
      <c r="UOL4" s="539"/>
      <c r="UOM4" s="539"/>
      <c r="UON4" s="539"/>
      <c r="UOO4" s="539"/>
      <c r="UOP4" s="539"/>
      <c r="UOQ4" s="539"/>
      <c r="UOR4" s="539"/>
      <c r="UOS4" s="539"/>
      <c r="UOT4" s="539"/>
      <c r="UOU4" s="539"/>
      <c r="UOV4" s="539"/>
      <c r="UOW4" s="539"/>
      <c r="UOX4" s="539"/>
      <c r="UOY4" s="539"/>
      <c r="UOZ4" s="539"/>
      <c r="UPA4" s="539"/>
      <c r="UPB4" s="539"/>
      <c r="UPC4" s="539"/>
      <c r="UPD4" s="539"/>
      <c r="UPE4" s="539"/>
      <c r="UPF4" s="539"/>
      <c r="UPG4" s="539"/>
      <c r="UPH4" s="539"/>
      <c r="UPI4" s="539"/>
      <c r="UPJ4" s="539"/>
      <c r="UPK4" s="539"/>
      <c r="UPL4" s="539"/>
      <c r="UPM4" s="539"/>
      <c r="UPN4" s="539"/>
      <c r="UPO4" s="539"/>
      <c r="UPP4" s="539"/>
      <c r="UPQ4" s="539"/>
      <c r="UPR4" s="539"/>
      <c r="UPS4" s="539"/>
      <c r="UPT4" s="539"/>
      <c r="UPU4" s="539"/>
      <c r="UPV4" s="539"/>
      <c r="UPW4" s="539"/>
      <c r="UPX4" s="539"/>
      <c r="UPY4" s="539"/>
      <c r="UPZ4" s="539"/>
      <c r="UQA4" s="539"/>
      <c r="UQB4" s="539"/>
      <c r="UQC4" s="539"/>
      <c r="UQD4" s="539"/>
      <c r="UQE4" s="539"/>
      <c r="UQF4" s="539"/>
      <c r="UQG4" s="539"/>
      <c r="UQH4" s="539"/>
      <c r="UQI4" s="539"/>
      <c r="UQJ4" s="539"/>
      <c r="UQK4" s="539"/>
      <c r="UQL4" s="539"/>
      <c r="UQM4" s="539"/>
      <c r="UQN4" s="539"/>
      <c r="UQO4" s="539"/>
      <c r="UQP4" s="539"/>
      <c r="UQQ4" s="539"/>
      <c r="UQR4" s="539"/>
      <c r="UQS4" s="539"/>
      <c r="UQT4" s="539"/>
      <c r="UQU4" s="539"/>
      <c r="UQV4" s="539"/>
      <c r="UQW4" s="539"/>
      <c r="UQX4" s="539"/>
      <c r="UQY4" s="539"/>
      <c r="UQZ4" s="539"/>
      <c r="URA4" s="539"/>
      <c r="URB4" s="539"/>
      <c r="URC4" s="539"/>
      <c r="URD4" s="539"/>
      <c r="URE4" s="539"/>
      <c r="URF4" s="539"/>
      <c r="URG4" s="539"/>
      <c r="URH4" s="539"/>
      <c r="URI4" s="539"/>
      <c r="URJ4" s="539"/>
      <c r="URK4" s="539"/>
      <c r="URL4" s="539"/>
      <c r="URM4" s="539"/>
      <c r="URN4" s="539"/>
      <c r="URO4" s="539"/>
      <c r="URP4" s="539"/>
      <c r="URQ4" s="539"/>
      <c r="URR4" s="539"/>
      <c r="URS4" s="539"/>
      <c r="URT4" s="539"/>
      <c r="URU4" s="539"/>
      <c r="URV4" s="539"/>
      <c r="URW4" s="539"/>
      <c r="URX4" s="539"/>
      <c r="URY4" s="539"/>
      <c r="URZ4" s="539"/>
      <c r="USA4" s="539"/>
      <c r="USB4" s="539"/>
      <c r="USC4" s="539"/>
      <c r="USD4" s="539"/>
      <c r="USE4" s="539"/>
      <c r="USF4" s="539"/>
      <c r="USG4" s="539"/>
      <c r="USH4" s="539"/>
      <c r="USI4" s="539"/>
      <c r="USJ4" s="539"/>
      <c r="USK4" s="539"/>
      <c r="USL4" s="539"/>
      <c r="USM4" s="539"/>
      <c r="USN4" s="539"/>
      <c r="USO4" s="539"/>
      <c r="USP4" s="539"/>
      <c r="USQ4" s="539"/>
      <c r="USR4" s="539"/>
      <c r="USS4" s="539"/>
      <c r="UST4" s="539"/>
      <c r="USU4" s="539"/>
      <c r="USV4" s="539"/>
      <c r="USW4" s="539"/>
      <c r="USX4" s="539"/>
      <c r="USY4" s="539"/>
      <c r="USZ4" s="539"/>
      <c r="UTA4" s="539"/>
      <c r="UTB4" s="539"/>
      <c r="UTC4" s="539"/>
      <c r="UTD4" s="539"/>
      <c r="UTE4" s="539"/>
      <c r="UTF4" s="539"/>
      <c r="UTG4" s="539"/>
      <c r="UTH4" s="539"/>
      <c r="UTI4" s="539"/>
      <c r="UTJ4" s="539"/>
      <c r="UTK4" s="539"/>
      <c r="UTL4" s="539"/>
      <c r="UTM4" s="539"/>
      <c r="UTN4" s="539"/>
      <c r="UTO4" s="539"/>
      <c r="UTP4" s="539"/>
      <c r="UTQ4" s="539"/>
      <c r="UTR4" s="539"/>
      <c r="UTS4" s="539"/>
      <c r="UTT4" s="539"/>
      <c r="UTU4" s="539"/>
      <c r="UTV4" s="539"/>
      <c r="UTW4" s="539"/>
      <c r="UTX4" s="539"/>
      <c r="UTY4" s="539"/>
      <c r="UTZ4" s="539"/>
      <c r="UUA4" s="539"/>
      <c r="UUB4" s="539"/>
      <c r="UUC4" s="539"/>
      <c r="UUD4" s="539"/>
      <c r="UUE4" s="539"/>
      <c r="UUF4" s="539"/>
      <c r="UUG4" s="539"/>
      <c r="UUH4" s="539"/>
      <c r="UUI4" s="539"/>
      <c r="UUJ4" s="539"/>
      <c r="UUK4" s="539"/>
      <c r="UUL4" s="539"/>
      <c r="UUM4" s="539"/>
      <c r="UUN4" s="539"/>
      <c r="UUO4" s="539"/>
      <c r="UUP4" s="539"/>
      <c r="UUQ4" s="539"/>
      <c r="UUR4" s="539"/>
      <c r="UUS4" s="539"/>
      <c r="UUT4" s="539"/>
      <c r="UUU4" s="539"/>
      <c r="UUV4" s="539"/>
      <c r="UUW4" s="539"/>
      <c r="UUX4" s="539"/>
      <c r="UUY4" s="539"/>
      <c r="UUZ4" s="539"/>
      <c r="UVA4" s="539"/>
      <c r="UVB4" s="539"/>
      <c r="UVC4" s="539"/>
      <c r="UVD4" s="539"/>
      <c r="UVE4" s="539"/>
      <c r="UVF4" s="539"/>
      <c r="UVG4" s="539"/>
      <c r="UVH4" s="539"/>
      <c r="UVI4" s="539"/>
      <c r="UVJ4" s="539"/>
      <c r="UVK4" s="539"/>
      <c r="UVL4" s="539"/>
      <c r="UVM4" s="539"/>
      <c r="UVN4" s="539"/>
      <c r="UVO4" s="539"/>
      <c r="UVP4" s="539"/>
      <c r="UVQ4" s="539"/>
      <c r="UVR4" s="539"/>
      <c r="UVS4" s="539"/>
      <c r="UVT4" s="539"/>
      <c r="UVU4" s="539"/>
      <c r="UVV4" s="539"/>
      <c r="UVW4" s="539"/>
      <c r="UVX4" s="539"/>
      <c r="UVY4" s="539"/>
      <c r="UVZ4" s="539"/>
      <c r="UWA4" s="539"/>
      <c r="UWB4" s="539"/>
      <c r="UWC4" s="539"/>
      <c r="UWD4" s="539"/>
      <c r="UWE4" s="539"/>
      <c r="UWF4" s="539"/>
      <c r="UWG4" s="539"/>
      <c r="UWH4" s="539"/>
      <c r="UWI4" s="539"/>
      <c r="UWJ4" s="539"/>
      <c r="UWK4" s="539"/>
      <c r="UWL4" s="539"/>
      <c r="UWM4" s="539"/>
      <c r="UWN4" s="539"/>
      <c r="UWO4" s="539"/>
      <c r="UWP4" s="539"/>
      <c r="UWQ4" s="539"/>
      <c r="UWR4" s="539"/>
      <c r="UWS4" s="539"/>
      <c r="UWT4" s="539"/>
      <c r="UWU4" s="539"/>
      <c r="UWV4" s="539"/>
      <c r="UWW4" s="539"/>
      <c r="UWX4" s="539"/>
      <c r="UWY4" s="539"/>
      <c r="UWZ4" s="539"/>
      <c r="UXA4" s="539"/>
      <c r="UXB4" s="539"/>
      <c r="UXC4" s="539"/>
      <c r="UXD4" s="539"/>
      <c r="UXE4" s="539"/>
      <c r="UXF4" s="539"/>
      <c r="UXG4" s="539"/>
      <c r="UXH4" s="539"/>
      <c r="UXI4" s="539"/>
      <c r="UXJ4" s="539"/>
      <c r="UXK4" s="539"/>
      <c r="UXL4" s="539"/>
      <c r="UXM4" s="539"/>
      <c r="UXN4" s="539"/>
      <c r="UXO4" s="539"/>
      <c r="UXP4" s="539"/>
      <c r="UXQ4" s="539"/>
      <c r="UXR4" s="539"/>
      <c r="UXS4" s="539"/>
      <c r="UXT4" s="539"/>
      <c r="UXU4" s="539"/>
      <c r="UXV4" s="539"/>
      <c r="UXW4" s="539"/>
      <c r="UXX4" s="539"/>
      <c r="UXY4" s="539"/>
      <c r="UXZ4" s="539"/>
      <c r="UYA4" s="539"/>
      <c r="UYB4" s="539"/>
      <c r="UYC4" s="539"/>
      <c r="UYD4" s="539"/>
      <c r="UYE4" s="539"/>
      <c r="UYF4" s="539"/>
      <c r="UYG4" s="539"/>
      <c r="UYH4" s="539"/>
      <c r="UYI4" s="539"/>
      <c r="UYJ4" s="539"/>
      <c r="UYK4" s="539"/>
      <c r="UYL4" s="539"/>
      <c r="UYM4" s="539"/>
      <c r="UYN4" s="539"/>
      <c r="UYO4" s="539"/>
      <c r="UYP4" s="539"/>
      <c r="UYQ4" s="539"/>
      <c r="UYR4" s="539"/>
      <c r="UYS4" s="539"/>
      <c r="UYT4" s="539"/>
      <c r="UYU4" s="539"/>
      <c r="UYV4" s="539"/>
      <c r="UYW4" s="539"/>
      <c r="UYX4" s="539"/>
      <c r="UYY4" s="539"/>
      <c r="UYZ4" s="539"/>
      <c r="UZA4" s="539"/>
      <c r="UZB4" s="539"/>
      <c r="UZC4" s="539"/>
      <c r="UZD4" s="539"/>
      <c r="UZE4" s="539"/>
      <c r="UZF4" s="539"/>
      <c r="UZG4" s="539"/>
      <c r="UZH4" s="539"/>
      <c r="UZI4" s="539"/>
      <c r="UZJ4" s="539"/>
      <c r="UZK4" s="539"/>
      <c r="UZL4" s="539"/>
      <c r="UZM4" s="539"/>
      <c r="UZN4" s="539"/>
      <c r="UZO4" s="539"/>
      <c r="UZP4" s="539"/>
      <c r="UZQ4" s="539"/>
      <c r="UZR4" s="539"/>
      <c r="UZS4" s="539"/>
      <c r="UZT4" s="539"/>
      <c r="UZU4" s="539"/>
      <c r="UZV4" s="539"/>
      <c r="UZW4" s="539"/>
      <c r="UZX4" s="539"/>
      <c r="UZY4" s="539"/>
      <c r="UZZ4" s="539"/>
      <c r="VAA4" s="539"/>
      <c r="VAB4" s="539"/>
      <c r="VAC4" s="539"/>
      <c r="VAD4" s="539"/>
      <c r="VAE4" s="539"/>
      <c r="VAF4" s="539"/>
      <c r="VAG4" s="539"/>
      <c r="VAH4" s="539"/>
      <c r="VAI4" s="539"/>
      <c r="VAJ4" s="539"/>
      <c r="VAK4" s="539"/>
      <c r="VAL4" s="539"/>
      <c r="VAM4" s="539"/>
      <c r="VAN4" s="539"/>
      <c r="VAO4" s="539"/>
      <c r="VAP4" s="539"/>
      <c r="VAQ4" s="539"/>
      <c r="VAR4" s="539"/>
      <c r="VAS4" s="539"/>
      <c r="VAT4" s="539"/>
      <c r="VAU4" s="539"/>
      <c r="VAV4" s="539"/>
      <c r="VAW4" s="539"/>
      <c r="VAX4" s="539"/>
      <c r="VAY4" s="539"/>
      <c r="VAZ4" s="539"/>
      <c r="VBA4" s="539"/>
      <c r="VBB4" s="539"/>
      <c r="VBC4" s="539"/>
      <c r="VBD4" s="539"/>
      <c r="VBE4" s="539"/>
      <c r="VBF4" s="539"/>
      <c r="VBG4" s="539"/>
      <c r="VBH4" s="539"/>
      <c r="VBI4" s="539"/>
      <c r="VBJ4" s="539"/>
      <c r="VBK4" s="539"/>
      <c r="VBL4" s="539"/>
      <c r="VBM4" s="539"/>
      <c r="VBN4" s="539"/>
      <c r="VBO4" s="539"/>
      <c r="VBP4" s="539"/>
      <c r="VBQ4" s="539"/>
      <c r="VBR4" s="539"/>
      <c r="VBS4" s="539"/>
      <c r="VBT4" s="539"/>
      <c r="VBU4" s="539"/>
      <c r="VBV4" s="539"/>
      <c r="VBW4" s="539"/>
      <c r="VBX4" s="539"/>
      <c r="VBY4" s="539"/>
      <c r="VBZ4" s="539"/>
      <c r="VCA4" s="539"/>
      <c r="VCB4" s="539"/>
      <c r="VCC4" s="539"/>
      <c r="VCD4" s="539"/>
      <c r="VCE4" s="539"/>
      <c r="VCF4" s="539"/>
      <c r="VCG4" s="539"/>
      <c r="VCH4" s="539"/>
      <c r="VCI4" s="539"/>
      <c r="VCJ4" s="539"/>
      <c r="VCK4" s="539"/>
      <c r="VCL4" s="539"/>
      <c r="VCM4" s="539"/>
      <c r="VCN4" s="539"/>
      <c r="VCO4" s="539"/>
      <c r="VCP4" s="539"/>
      <c r="VCQ4" s="539"/>
      <c r="VCR4" s="539"/>
      <c r="VCS4" s="539"/>
      <c r="VCT4" s="539"/>
      <c r="VCU4" s="539"/>
      <c r="VCV4" s="539"/>
      <c r="VCW4" s="539"/>
      <c r="VCX4" s="539"/>
      <c r="VCY4" s="539"/>
      <c r="VCZ4" s="539"/>
      <c r="VDA4" s="539"/>
      <c r="VDB4" s="539"/>
      <c r="VDC4" s="539"/>
      <c r="VDD4" s="539"/>
      <c r="VDE4" s="539"/>
      <c r="VDF4" s="539"/>
      <c r="VDG4" s="539"/>
      <c r="VDH4" s="539"/>
      <c r="VDI4" s="539"/>
      <c r="VDJ4" s="539"/>
      <c r="VDK4" s="539"/>
      <c r="VDL4" s="539"/>
      <c r="VDM4" s="539"/>
      <c r="VDN4" s="539"/>
      <c r="VDO4" s="539"/>
      <c r="VDP4" s="539"/>
      <c r="VDQ4" s="539"/>
      <c r="VDR4" s="539"/>
      <c r="VDS4" s="539"/>
      <c r="VDT4" s="539"/>
      <c r="VDU4" s="539"/>
      <c r="VDV4" s="539"/>
      <c r="VDW4" s="539"/>
      <c r="VDX4" s="539"/>
      <c r="VDY4" s="539"/>
      <c r="VDZ4" s="539"/>
      <c r="VEA4" s="539"/>
      <c r="VEB4" s="539"/>
      <c r="VEC4" s="539"/>
      <c r="VED4" s="539"/>
      <c r="VEE4" s="539"/>
      <c r="VEF4" s="539"/>
      <c r="VEG4" s="539"/>
      <c r="VEH4" s="539"/>
      <c r="VEI4" s="539"/>
      <c r="VEJ4" s="539"/>
      <c r="VEK4" s="539"/>
      <c r="VEL4" s="539"/>
      <c r="VEM4" s="539"/>
      <c r="VEN4" s="539"/>
      <c r="VEO4" s="539"/>
      <c r="VEP4" s="539"/>
      <c r="VEQ4" s="539"/>
      <c r="VER4" s="539"/>
      <c r="VES4" s="539"/>
      <c r="VET4" s="539"/>
      <c r="VEU4" s="539"/>
      <c r="VEV4" s="539"/>
      <c r="VEW4" s="539"/>
      <c r="VEX4" s="539"/>
      <c r="VEY4" s="539"/>
      <c r="VEZ4" s="539"/>
      <c r="VFA4" s="539"/>
      <c r="VFB4" s="539"/>
      <c r="VFC4" s="539"/>
      <c r="VFD4" s="539"/>
      <c r="VFE4" s="539"/>
      <c r="VFF4" s="539"/>
      <c r="VFG4" s="539"/>
      <c r="VFH4" s="539"/>
      <c r="VFI4" s="539"/>
      <c r="VFJ4" s="539"/>
      <c r="VFK4" s="539"/>
      <c r="VFL4" s="539"/>
      <c r="VFM4" s="539"/>
      <c r="VFN4" s="539"/>
      <c r="VFO4" s="539"/>
      <c r="VFP4" s="539"/>
      <c r="VFQ4" s="539"/>
      <c r="VFR4" s="539"/>
      <c r="VFS4" s="539"/>
      <c r="VFT4" s="539"/>
      <c r="VFU4" s="539"/>
      <c r="VFV4" s="539"/>
      <c r="VFW4" s="539"/>
      <c r="VFX4" s="539"/>
      <c r="VFY4" s="539"/>
      <c r="VFZ4" s="539"/>
      <c r="VGA4" s="539"/>
      <c r="VGB4" s="539"/>
      <c r="VGC4" s="539"/>
      <c r="VGD4" s="539"/>
      <c r="VGE4" s="539"/>
      <c r="VGF4" s="539"/>
      <c r="VGG4" s="539"/>
      <c r="VGH4" s="539"/>
      <c r="VGI4" s="539"/>
      <c r="VGJ4" s="539"/>
      <c r="VGK4" s="539"/>
      <c r="VGL4" s="539"/>
      <c r="VGM4" s="539"/>
      <c r="VGN4" s="539"/>
      <c r="VGO4" s="539"/>
      <c r="VGP4" s="539"/>
      <c r="VGQ4" s="539"/>
      <c r="VGR4" s="539"/>
      <c r="VGS4" s="539"/>
      <c r="VGT4" s="539"/>
      <c r="VGU4" s="539"/>
      <c r="VGV4" s="539"/>
      <c r="VGW4" s="539"/>
      <c r="VGX4" s="539"/>
      <c r="VGY4" s="539"/>
      <c r="VGZ4" s="539"/>
      <c r="VHA4" s="539"/>
      <c r="VHB4" s="539"/>
      <c r="VHC4" s="539"/>
      <c r="VHD4" s="539"/>
      <c r="VHE4" s="539"/>
      <c r="VHF4" s="539"/>
      <c r="VHG4" s="539"/>
      <c r="VHH4" s="539"/>
      <c r="VHI4" s="539"/>
      <c r="VHJ4" s="539"/>
      <c r="VHK4" s="539"/>
      <c r="VHL4" s="539"/>
      <c r="VHM4" s="539"/>
      <c r="VHN4" s="539"/>
      <c r="VHO4" s="539"/>
      <c r="VHP4" s="539"/>
      <c r="VHQ4" s="539"/>
      <c r="VHR4" s="539"/>
      <c r="VHS4" s="539"/>
      <c r="VHT4" s="539"/>
      <c r="VHU4" s="539"/>
      <c r="VHV4" s="539"/>
      <c r="VHW4" s="539"/>
      <c r="VHX4" s="539"/>
      <c r="VHY4" s="539"/>
      <c r="VHZ4" s="539"/>
      <c r="VIA4" s="539"/>
      <c r="VIB4" s="539"/>
      <c r="VIC4" s="539"/>
      <c r="VID4" s="539"/>
      <c r="VIE4" s="539"/>
      <c r="VIF4" s="539"/>
      <c r="VIG4" s="539"/>
      <c r="VIH4" s="539"/>
      <c r="VII4" s="539"/>
      <c r="VIJ4" s="539"/>
      <c r="VIK4" s="539"/>
      <c r="VIL4" s="539"/>
      <c r="VIM4" s="539"/>
      <c r="VIN4" s="539"/>
      <c r="VIO4" s="539"/>
      <c r="VIP4" s="539"/>
      <c r="VIQ4" s="539"/>
      <c r="VIR4" s="539"/>
      <c r="VIS4" s="539"/>
      <c r="VIT4" s="539"/>
      <c r="VIU4" s="539"/>
      <c r="VIV4" s="539"/>
      <c r="VIW4" s="539"/>
      <c r="VIX4" s="539"/>
      <c r="VIY4" s="539"/>
      <c r="VIZ4" s="539"/>
      <c r="VJA4" s="539"/>
      <c r="VJB4" s="539"/>
      <c r="VJC4" s="539"/>
      <c r="VJD4" s="539"/>
      <c r="VJE4" s="539"/>
      <c r="VJF4" s="539"/>
      <c r="VJG4" s="539"/>
      <c r="VJH4" s="539"/>
      <c r="VJI4" s="539"/>
      <c r="VJJ4" s="539"/>
      <c r="VJK4" s="539"/>
      <c r="VJL4" s="539"/>
      <c r="VJM4" s="539"/>
      <c r="VJN4" s="539"/>
      <c r="VJO4" s="539"/>
      <c r="VJP4" s="539"/>
      <c r="VJQ4" s="539"/>
      <c r="VJR4" s="539"/>
      <c r="VJS4" s="539"/>
      <c r="VJT4" s="539"/>
      <c r="VJU4" s="539"/>
      <c r="VJV4" s="539"/>
      <c r="VJW4" s="539"/>
      <c r="VJX4" s="539"/>
      <c r="VJY4" s="539"/>
      <c r="VJZ4" s="539"/>
      <c r="VKA4" s="539"/>
      <c r="VKB4" s="539"/>
      <c r="VKC4" s="539"/>
      <c r="VKD4" s="539"/>
      <c r="VKE4" s="539"/>
      <c r="VKF4" s="539"/>
      <c r="VKG4" s="539"/>
      <c r="VKH4" s="539"/>
      <c r="VKI4" s="539"/>
      <c r="VKJ4" s="539"/>
      <c r="VKK4" s="539"/>
      <c r="VKL4" s="539"/>
      <c r="VKM4" s="539"/>
      <c r="VKN4" s="539"/>
      <c r="VKO4" s="539"/>
      <c r="VKP4" s="539"/>
      <c r="VKQ4" s="539"/>
      <c r="VKR4" s="539"/>
      <c r="VKS4" s="539"/>
      <c r="VKT4" s="539"/>
      <c r="VKU4" s="539"/>
      <c r="VKV4" s="539"/>
      <c r="VKW4" s="539"/>
      <c r="VKX4" s="539"/>
      <c r="VKY4" s="539"/>
      <c r="VKZ4" s="539"/>
      <c r="VLA4" s="539"/>
      <c r="VLB4" s="539"/>
      <c r="VLC4" s="539"/>
      <c r="VLD4" s="539"/>
      <c r="VLE4" s="539"/>
      <c r="VLF4" s="539"/>
      <c r="VLG4" s="539"/>
      <c r="VLH4" s="539"/>
      <c r="VLI4" s="539"/>
      <c r="VLJ4" s="539"/>
      <c r="VLK4" s="539"/>
      <c r="VLL4" s="539"/>
      <c r="VLM4" s="539"/>
      <c r="VLN4" s="539"/>
      <c r="VLO4" s="539"/>
      <c r="VLP4" s="539"/>
      <c r="VLQ4" s="539"/>
      <c r="VLR4" s="539"/>
      <c r="VLS4" s="539"/>
      <c r="VLT4" s="539"/>
      <c r="VLU4" s="539"/>
      <c r="VLV4" s="539"/>
      <c r="VLW4" s="539"/>
      <c r="VLX4" s="539"/>
      <c r="VLY4" s="539"/>
      <c r="VLZ4" s="539"/>
      <c r="VMA4" s="539"/>
      <c r="VMB4" s="539"/>
      <c r="VMC4" s="539"/>
      <c r="VMD4" s="539"/>
      <c r="VME4" s="539"/>
      <c r="VMF4" s="539"/>
      <c r="VMG4" s="539"/>
      <c r="VMH4" s="539"/>
      <c r="VMI4" s="539"/>
      <c r="VMJ4" s="539"/>
      <c r="VMK4" s="539"/>
      <c r="VML4" s="539"/>
      <c r="VMM4" s="539"/>
      <c r="VMN4" s="539"/>
      <c r="VMO4" s="539"/>
      <c r="VMP4" s="539"/>
      <c r="VMQ4" s="539"/>
      <c r="VMR4" s="539"/>
      <c r="VMS4" s="539"/>
      <c r="VMT4" s="539"/>
      <c r="VMU4" s="539"/>
      <c r="VMV4" s="539"/>
      <c r="VMW4" s="539"/>
      <c r="VMX4" s="539"/>
      <c r="VMY4" s="539"/>
      <c r="VMZ4" s="539"/>
      <c r="VNA4" s="539"/>
      <c r="VNB4" s="539"/>
      <c r="VNC4" s="539"/>
      <c r="VND4" s="539"/>
      <c r="VNE4" s="539"/>
      <c r="VNF4" s="539"/>
      <c r="VNG4" s="539"/>
      <c r="VNH4" s="539"/>
      <c r="VNI4" s="539"/>
      <c r="VNJ4" s="539"/>
      <c r="VNK4" s="539"/>
      <c r="VNL4" s="539"/>
      <c r="VNM4" s="539"/>
      <c r="VNN4" s="539"/>
      <c r="VNO4" s="539"/>
      <c r="VNP4" s="539"/>
      <c r="VNQ4" s="539"/>
      <c r="VNR4" s="539"/>
      <c r="VNS4" s="539"/>
      <c r="VNT4" s="539"/>
      <c r="VNU4" s="539"/>
      <c r="VNV4" s="539"/>
      <c r="VNW4" s="539"/>
      <c r="VNX4" s="539"/>
      <c r="VNY4" s="539"/>
      <c r="VNZ4" s="539"/>
      <c r="VOA4" s="539"/>
      <c r="VOB4" s="539"/>
      <c r="VOC4" s="539"/>
      <c r="VOD4" s="539"/>
      <c r="VOE4" s="539"/>
      <c r="VOF4" s="539"/>
      <c r="VOG4" s="539"/>
      <c r="VOH4" s="539"/>
      <c r="VOI4" s="539"/>
      <c r="VOJ4" s="539"/>
      <c r="VOK4" s="539"/>
      <c r="VOL4" s="539"/>
      <c r="VOM4" s="539"/>
      <c r="VON4" s="539"/>
      <c r="VOO4" s="539"/>
      <c r="VOP4" s="539"/>
      <c r="VOQ4" s="539"/>
      <c r="VOR4" s="539"/>
      <c r="VOS4" s="539"/>
      <c r="VOT4" s="539"/>
      <c r="VOU4" s="539"/>
      <c r="VOV4" s="539"/>
      <c r="VOW4" s="539"/>
      <c r="VOX4" s="539"/>
      <c r="VOY4" s="539"/>
      <c r="VOZ4" s="539"/>
      <c r="VPA4" s="539"/>
      <c r="VPB4" s="539"/>
      <c r="VPC4" s="539"/>
      <c r="VPD4" s="539"/>
      <c r="VPE4" s="539"/>
      <c r="VPF4" s="539"/>
      <c r="VPG4" s="539"/>
      <c r="VPH4" s="539"/>
      <c r="VPI4" s="539"/>
      <c r="VPJ4" s="539"/>
      <c r="VPK4" s="539"/>
      <c r="VPL4" s="539"/>
      <c r="VPM4" s="539"/>
      <c r="VPN4" s="539"/>
      <c r="VPO4" s="539"/>
      <c r="VPP4" s="539"/>
      <c r="VPQ4" s="539"/>
      <c r="VPR4" s="539"/>
      <c r="VPS4" s="539"/>
      <c r="VPT4" s="539"/>
      <c r="VPU4" s="539"/>
      <c r="VPV4" s="539"/>
      <c r="VPW4" s="539"/>
      <c r="VPX4" s="539"/>
      <c r="VPY4" s="539"/>
      <c r="VPZ4" s="539"/>
      <c r="VQA4" s="539"/>
      <c r="VQB4" s="539"/>
      <c r="VQC4" s="539"/>
      <c r="VQD4" s="539"/>
      <c r="VQE4" s="539"/>
      <c r="VQF4" s="539"/>
      <c r="VQG4" s="539"/>
      <c r="VQH4" s="539"/>
      <c r="VQI4" s="539"/>
      <c r="VQJ4" s="539"/>
      <c r="VQK4" s="539"/>
      <c r="VQL4" s="539"/>
      <c r="VQM4" s="539"/>
      <c r="VQN4" s="539"/>
      <c r="VQO4" s="539"/>
      <c r="VQP4" s="539"/>
      <c r="VQQ4" s="539"/>
      <c r="VQR4" s="539"/>
      <c r="VQS4" s="539"/>
      <c r="VQT4" s="539"/>
      <c r="VQU4" s="539"/>
      <c r="VQV4" s="539"/>
      <c r="VQW4" s="539"/>
      <c r="VQX4" s="539"/>
      <c r="VQY4" s="539"/>
      <c r="VQZ4" s="539"/>
      <c r="VRA4" s="539"/>
      <c r="VRB4" s="539"/>
      <c r="VRC4" s="539"/>
      <c r="VRD4" s="539"/>
      <c r="VRE4" s="539"/>
      <c r="VRF4" s="539"/>
      <c r="VRG4" s="539"/>
      <c r="VRH4" s="539"/>
      <c r="VRI4" s="539"/>
      <c r="VRJ4" s="539"/>
      <c r="VRK4" s="539"/>
      <c r="VRL4" s="539"/>
      <c r="VRM4" s="539"/>
      <c r="VRN4" s="539"/>
      <c r="VRO4" s="539"/>
      <c r="VRP4" s="539"/>
      <c r="VRQ4" s="539"/>
      <c r="VRR4" s="539"/>
      <c r="VRS4" s="539"/>
      <c r="VRT4" s="539"/>
      <c r="VRU4" s="539"/>
      <c r="VRV4" s="539"/>
      <c r="VRW4" s="539"/>
      <c r="VRX4" s="539"/>
      <c r="VRY4" s="539"/>
      <c r="VRZ4" s="539"/>
      <c r="VSA4" s="539"/>
      <c r="VSB4" s="539"/>
      <c r="VSC4" s="539"/>
      <c r="VSD4" s="539"/>
      <c r="VSE4" s="539"/>
      <c r="VSF4" s="539"/>
      <c r="VSG4" s="539"/>
      <c r="VSH4" s="539"/>
      <c r="VSI4" s="539"/>
      <c r="VSJ4" s="539"/>
      <c r="VSK4" s="539"/>
      <c r="VSL4" s="539"/>
      <c r="VSM4" s="539"/>
      <c r="VSN4" s="539"/>
      <c r="VSO4" s="539"/>
      <c r="VSP4" s="539"/>
      <c r="VSQ4" s="539"/>
      <c r="VSR4" s="539"/>
      <c r="VSS4" s="539"/>
      <c r="VST4" s="539"/>
      <c r="VSU4" s="539"/>
      <c r="VSV4" s="539"/>
      <c r="VSW4" s="539"/>
      <c r="VSX4" s="539"/>
      <c r="VSY4" s="539"/>
      <c r="VSZ4" s="539"/>
      <c r="VTA4" s="539"/>
      <c r="VTB4" s="539"/>
      <c r="VTC4" s="539"/>
      <c r="VTD4" s="539"/>
      <c r="VTE4" s="539"/>
      <c r="VTF4" s="539"/>
      <c r="VTG4" s="539"/>
      <c r="VTH4" s="539"/>
      <c r="VTI4" s="539"/>
      <c r="VTJ4" s="539"/>
      <c r="VTK4" s="539"/>
      <c r="VTL4" s="539"/>
      <c r="VTM4" s="539"/>
      <c r="VTN4" s="539"/>
      <c r="VTO4" s="539"/>
      <c r="VTP4" s="539"/>
      <c r="VTQ4" s="539"/>
      <c r="VTR4" s="539"/>
      <c r="VTS4" s="539"/>
      <c r="VTT4" s="539"/>
      <c r="VTU4" s="539"/>
      <c r="VTV4" s="539"/>
      <c r="VTW4" s="539"/>
      <c r="VTX4" s="539"/>
      <c r="VTY4" s="539"/>
      <c r="VTZ4" s="539"/>
      <c r="VUA4" s="539"/>
      <c r="VUB4" s="539"/>
      <c r="VUC4" s="539"/>
      <c r="VUD4" s="539"/>
      <c r="VUE4" s="539"/>
      <c r="VUF4" s="539"/>
      <c r="VUG4" s="539"/>
      <c r="VUH4" s="539"/>
      <c r="VUI4" s="539"/>
      <c r="VUJ4" s="539"/>
      <c r="VUK4" s="539"/>
      <c r="VUL4" s="539"/>
      <c r="VUM4" s="539"/>
      <c r="VUN4" s="539"/>
      <c r="VUO4" s="539"/>
      <c r="VUP4" s="539"/>
      <c r="VUQ4" s="539"/>
      <c r="VUR4" s="539"/>
      <c r="VUS4" s="539"/>
      <c r="VUT4" s="539"/>
      <c r="VUU4" s="539"/>
      <c r="VUV4" s="539"/>
      <c r="VUW4" s="539"/>
      <c r="VUX4" s="539"/>
      <c r="VUY4" s="539"/>
      <c r="VUZ4" s="539"/>
      <c r="VVA4" s="539"/>
      <c r="VVB4" s="539"/>
      <c r="VVC4" s="539"/>
      <c r="VVD4" s="539"/>
      <c r="VVE4" s="539"/>
      <c r="VVF4" s="539"/>
      <c r="VVG4" s="539"/>
      <c r="VVH4" s="539"/>
      <c r="VVI4" s="539"/>
      <c r="VVJ4" s="539"/>
      <c r="VVK4" s="539"/>
      <c r="VVL4" s="539"/>
      <c r="VVM4" s="539"/>
      <c r="VVN4" s="539"/>
      <c r="VVO4" s="539"/>
      <c r="VVP4" s="539"/>
      <c r="VVQ4" s="539"/>
      <c r="VVR4" s="539"/>
      <c r="VVS4" s="539"/>
      <c r="VVT4" s="539"/>
      <c r="VVU4" s="539"/>
      <c r="VVV4" s="539"/>
      <c r="VVW4" s="539"/>
      <c r="VVX4" s="539"/>
      <c r="VVY4" s="539"/>
      <c r="VVZ4" s="539"/>
      <c r="VWA4" s="539"/>
      <c r="VWB4" s="539"/>
      <c r="VWC4" s="539"/>
      <c r="VWD4" s="539"/>
      <c r="VWE4" s="539"/>
      <c r="VWF4" s="539"/>
      <c r="VWG4" s="539"/>
      <c r="VWH4" s="539"/>
      <c r="VWI4" s="539"/>
      <c r="VWJ4" s="539"/>
      <c r="VWK4" s="539"/>
      <c r="VWL4" s="539"/>
      <c r="VWM4" s="539"/>
      <c r="VWN4" s="539"/>
      <c r="VWO4" s="539"/>
      <c r="VWP4" s="539"/>
      <c r="VWQ4" s="539"/>
      <c r="VWR4" s="539"/>
      <c r="VWS4" s="539"/>
      <c r="VWT4" s="539"/>
      <c r="VWU4" s="539"/>
      <c r="VWV4" s="539"/>
      <c r="VWW4" s="539"/>
      <c r="VWX4" s="539"/>
      <c r="VWY4" s="539"/>
      <c r="VWZ4" s="539"/>
      <c r="VXA4" s="539"/>
      <c r="VXB4" s="539"/>
      <c r="VXC4" s="539"/>
      <c r="VXD4" s="539"/>
      <c r="VXE4" s="539"/>
      <c r="VXF4" s="539"/>
      <c r="VXG4" s="539"/>
      <c r="VXH4" s="539"/>
      <c r="VXI4" s="539"/>
      <c r="VXJ4" s="539"/>
      <c r="VXK4" s="539"/>
      <c r="VXL4" s="539"/>
      <c r="VXM4" s="539"/>
      <c r="VXN4" s="539"/>
      <c r="VXO4" s="539"/>
      <c r="VXP4" s="539"/>
      <c r="VXQ4" s="539"/>
      <c r="VXR4" s="539"/>
      <c r="VXS4" s="539"/>
      <c r="VXT4" s="539"/>
      <c r="VXU4" s="539"/>
      <c r="VXV4" s="539"/>
      <c r="VXW4" s="539"/>
      <c r="VXX4" s="539"/>
      <c r="VXY4" s="539"/>
      <c r="VXZ4" s="539"/>
      <c r="VYA4" s="539"/>
      <c r="VYB4" s="539"/>
      <c r="VYC4" s="539"/>
      <c r="VYD4" s="539"/>
      <c r="VYE4" s="539"/>
      <c r="VYF4" s="539"/>
      <c r="VYG4" s="539"/>
      <c r="VYH4" s="539"/>
      <c r="VYI4" s="539"/>
      <c r="VYJ4" s="539"/>
      <c r="VYK4" s="539"/>
      <c r="VYL4" s="539"/>
      <c r="VYM4" s="539"/>
      <c r="VYN4" s="539"/>
      <c r="VYO4" s="539"/>
      <c r="VYP4" s="539"/>
      <c r="VYQ4" s="539"/>
      <c r="VYR4" s="539"/>
      <c r="VYS4" s="539"/>
      <c r="VYT4" s="539"/>
      <c r="VYU4" s="539"/>
      <c r="VYV4" s="539"/>
      <c r="VYW4" s="539"/>
      <c r="VYX4" s="539"/>
      <c r="VYY4" s="539"/>
      <c r="VYZ4" s="539"/>
      <c r="VZA4" s="539"/>
      <c r="VZB4" s="539"/>
      <c r="VZC4" s="539"/>
      <c r="VZD4" s="539"/>
      <c r="VZE4" s="539"/>
      <c r="VZF4" s="539"/>
      <c r="VZG4" s="539"/>
      <c r="VZH4" s="539"/>
      <c r="VZI4" s="539"/>
      <c r="VZJ4" s="539"/>
      <c r="VZK4" s="539"/>
      <c r="VZL4" s="539"/>
      <c r="VZM4" s="539"/>
      <c r="VZN4" s="539"/>
      <c r="VZO4" s="539"/>
      <c r="VZP4" s="539"/>
      <c r="VZQ4" s="539"/>
      <c r="VZR4" s="539"/>
      <c r="VZS4" s="539"/>
      <c r="VZT4" s="539"/>
      <c r="VZU4" s="539"/>
      <c r="VZV4" s="539"/>
      <c r="VZW4" s="539"/>
      <c r="VZX4" s="539"/>
      <c r="VZY4" s="539"/>
      <c r="VZZ4" s="539"/>
      <c r="WAA4" s="539"/>
      <c r="WAB4" s="539"/>
      <c r="WAC4" s="539"/>
      <c r="WAD4" s="539"/>
      <c r="WAE4" s="539"/>
      <c r="WAF4" s="539"/>
      <c r="WAG4" s="539"/>
      <c r="WAH4" s="539"/>
      <c r="WAI4" s="539"/>
      <c r="WAJ4" s="539"/>
      <c r="WAK4" s="539"/>
      <c r="WAL4" s="539"/>
      <c r="WAM4" s="539"/>
      <c r="WAN4" s="539"/>
      <c r="WAO4" s="539"/>
      <c r="WAP4" s="539"/>
      <c r="WAQ4" s="539"/>
      <c r="WAR4" s="539"/>
      <c r="WAS4" s="539"/>
      <c r="WAT4" s="539"/>
      <c r="WAU4" s="539"/>
      <c r="WAV4" s="539"/>
      <c r="WAW4" s="539"/>
      <c r="WAX4" s="539"/>
      <c r="WAY4" s="539"/>
      <c r="WAZ4" s="539"/>
      <c r="WBA4" s="539"/>
      <c r="WBB4" s="539"/>
      <c r="WBC4" s="539"/>
      <c r="WBD4" s="539"/>
      <c r="WBE4" s="539"/>
      <c r="WBF4" s="539"/>
      <c r="WBG4" s="539"/>
      <c r="WBH4" s="539"/>
      <c r="WBI4" s="539"/>
      <c r="WBJ4" s="539"/>
      <c r="WBK4" s="539"/>
      <c r="WBL4" s="539"/>
      <c r="WBM4" s="539"/>
      <c r="WBN4" s="539"/>
      <c r="WBO4" s="539"/>
      <c r="WBP4" s="539"/>
      <c r="WBQ4" s="539"/>
      <c r="WBR4" s="539"/>
      <c r="WBS4" s="539"/>
      <c r="WBT4" s="539"/>
      <c r="WBU4" s="539"/>
      <c r="WBV4" s="539"/>
      <c r="WBW4" s="539"/>
      <c r="WBX4" s="539"/>
      <c r="WBY4" s="539"/>
      <c r="WBZ4" s="539"/>
      <c r="WCA4" s="539"/>
      <c r="WCB4" s="539"/>
      <c r="WCC4" s="539"/>
      <c r="WCD4" s="539"/>
      <c r="WCE4" s="539"/>
      <c r="WCF4" s="539"/>
      <c r="WCG4" s="539"/>
      <c r="WCH4" s="539"/>
      <c r="WCI4" s="539"/>
      <c r="WCJ4" s="539"/>
      <c r="WCK4" s="539"/>
      <c r="WCL4" s="539"/>
      <c r="WCM4" s="539"/>
      <c r="WCN4" s="539"/>
      <c r="WCO4" s="539"/>
      <c r="WCP4" s="539"/>
      <c r="WCQ4" s="539"/>
      <c r="WCR4" s="539"/>
      <c r="WCS4" s="539"/>
      <c r="WCT4" s="539"/>
      <c r="WCU4" s="539"/>
      <c r="WCV4" s="539"/>
      <c r="WCW4" s="539"/>
      <c r="WCX4" s="539"/>
      <c r="WCY4" s="539"/>
      <c r="WCZ4" s="539"/>
      <c r="WDA4" s="539"/>
      <c r="WDB4" s="539"/>
      <c r="WDC4" s="539"/>
      <c r="WDD4" s="539"/>
      <c r="WDE4" s="539"/>
      <c r="WDF4" s="539"/>
      <c r="WDG4" s="539"/>
      <c r="WDH4" s="539"/>
      <c r="WDI4" s="539"/>
      <c r="WDJ4" s="539"/>
      <c r="WDK4" s="539"/>
      <c r="WDL4" s="539"/>
      <c r="WDM4" s="539"/>
      <c r="WDN4" s="539"/>
      <c r="WDO4" s="539"/>
      <c r="WDP4" s="539"/>
      <c r="WDQ4" s="539"/>
      <c r="WDR4" s="539"/>
      <c r="WDS4" s="539"/>
      <c r="WDT4" s="539"/>
      <c r="WDU4" s="539"/>
      <c r="WDV4" s="539"/>
      <c r="WDW4" s="539"/>
      <c r="WDX4" s="539"/>
      <c r="WDY4" s="539"/>
      <c r="WDZ4" s="539"/>
      <c r="WEA4" s="539"/>
      <c r="WEB4" s="539"/>
      <c r="WEC4" s="539"/>
      <c r="WED4" s="539"/>
      <c r="WEE4" s="539"/>
      <c r="WEF4" s="539"/>
      <c r="WEG4" s="539"/>
      <c r="WEH4" s="539"/>
      <c r="WEI4" s="539"/>
      <c r="WEJ4" s="539"/>
      <c r="WEK4" s="539"/>
      <c r="WEL4" s="539"/>
      <c r="WEM4" s="539"/>
      <c r="WEN4" s="539"/>
      <c r="WEO4" s="539"/>
      <c r="WEP4" s="539"/>
      <c r="WEQ4" s="539"/>
      <c r="WER4" s="539"/>
      <c r="WES4" s="539"/>
      <c r="WET4" s="539"/>
      <c r="WEU4" s="539"/>
      <c r="WEV4" s="539"/>
      <c r="WEW4" s="539"/>
      <c r="WEX4" s="539"/>
      <c r="WEY4" s="539"/>
      <c r="WEZ4" s="539"/>
      <c r="WFA4" s="539"/>
      <c r="WFB4" s="539"/>
      <c r="WFC4" s="539"/>
      <c r="WFD4" s="539"/>
      <c r="WFE4" s="539"/>
      <c r="WFF4" s="539"/>
      <c r="WFG4" s="539"/>
      <c r="WFH4" s="539"/>
      <c r="WFI4" s="539"/>
      <c r="WFJ4" s="539"/>
      <c r="WFK4" s="539"/>
      <c r="WFL4" s="539"/>
      <c r="WFM4" s="539"/>
      <c r="WFN4" s="539"/>
      <c r="WFO4" s="539"/>
      <c r="WFP4" s="539"/>
      <c r="WFQ4" s="539"/>
      <c r="WFR4" s="539"/>
      <c r="WFS4" s="539"/>
      <c r="WFT4" s="539"/>
      <c r="WFU4" s="539"/>
      <c r="WFV4" s="539"/>
      <c r="WFW4" s="539"/>
      <c r="WFX4" s="539"/>
      <c r="WFY4" s="539"/>
      <c r="WFZ4" s="539"/>
      <c r="WGA4" s="539"/>
      <c r="WGB4" s="539"/>
      <c r="WGC4" s="539"/>
      <c r="WGD4" s="539"/>
      <c r="WGE4" s="539"/>
      <c r="WGF4" s="539"/>
      <c r="WGG4" s="539"/>
      <c r="WGH4" s="539"/>
      <c r="WGI4" s="539"/>
      <c r="WGJ4" s="539"/>
      <c r="WGK4" s="539"/>
      <c r="WGL4" s="539"/>
      <c r="WGM4" s="539"/>
      <c r="WGN4" s="539"/>
      <c r="WGO4" s="539"/>
      <c r="WGP4" s="539"/>
      <c r="WGQ4" s="539"/>
      <c r="WGR4" s="539"/>
      <c r="WGS4" s="539"/>
      <c r="WGT4" s="539"/>
      <c r="WGU4" s="539"/>
      <c r="WGV4" s="539"/>
      <c r="WGW4" s="539"/>
      <c r="WGX4" s="539"/>
      <c r="WGY4" s="539"/>
      <c r="WGZ4" s="539"/>
      <c r="WHA4" s="539"/>
      <c r="WHB4" s="539"/>
      <c r="WHC4" s="539"/>
      <c r="WHD4" s="539"/>
      <c r="WHE4" s="539"/>
      <c r="WHF4" s="539"/>
      <c r="WHG4" s="539"/>
      <c r="WHH4" s="539"/>
      <c r="WHI4" s="539"/>
      <c r="WHJ4" s="539"/>
      <c r="WHK4" s="539"/>
      <c r="WHL4" s="539"/>
      <c r="WHM4" s="539"/>
      <c r="WHN4" s="539"/>
      <c r="WHO4" s="539"/>
      <c r="WHP4" s="539"/>
      <c r="WHQ4" s="539"/>
      <c r="WHR4" s="539"/>
      <c r="WHS4" s="539"/>
      <c r="WHT4" s="539"/>
      <c r="WHU4" s="539"/>
      <c r="WHV4" s="539"/>
      <c r="WHW4" s="539"/>
      <c r="WHX4" s="539"/>
      <c r="WHY4" s="539"/>
      <c r="WHZ4" s="539"/>
      <c r="WIA4" s="539"/>
      <c r="WIB4" s="539"/>
      <c r="WIC4" s="539"/>
      <c r="WID4" s="539"/>
      <c r="WIE4" s="539"/>
      <c r="WIF4" s="539"/>
      <c r="WIG4" s="539"/>
      <c r="WIH4" s="539"/>
      <c r="WII4" s="539"/>
      <c r="WIJ4" s="539"/>
      <c r="WIK4" s="539"/>
      <c r="WIL4" s="539"/>
      <c r="WIM4" s="539"/>
      <c r="WIN4" s="539"/>
      <c r="WIO4" s="539"/>
      <c r="WIP4" s="539"/>
      <c r="WIQ4" s="539"/>
      <c r="WIR4" s="539"/>
      <c r="WIS4" s="539"/>
      <c r="WIT4" s="539"/>
      <c r="WIU4" s="539"/>
      <c r="WIV4" s="539"/>
      <c r="WIW4" s="539"/>
      <c r="WIX4" s="539"/>
      <c r="WIY4" s="539"/>
      <c r="WIZ4" s="539"/>
      <c r="WJA4" s="539"/>
      <c r="WJB4" s="539"/>
      <c r="WJC4" s="539"/>
      <c r="WJD4" s="539"/>
      <c r="WJE4" s="539"/>
      <c r="WJF4" s="539"/>
      <c r="WJG4" s="539"/>
      <c r="WJH4" s="539"/>
      <c r="WJI4" s="539"/>
      <c r="WJJ4" s="539"/>
      <c r="WJK4" s="539"/>
      <c r="WJL4" s="539"/>
      <c r="WJM4" s="539"/>
      <c r="WJN4" s="539"/>
      <c r="WJO4" s="539"/>
      <c r="WJP4" s="539"/>
      <c r="WJQ4" s="539"/>
      <c r="WJR4" s="539"/>
      <c r="WJS4" s="539"/>
      <c r="WJT4" s="539"/>
      <c r="WJU4" s="539"/>
      <c r="WJV4" s="539"/>
      <c r="WJW4" s="539"/>
      <c r="WJX4" s="539"/>
      <c r="WJY4" s="539"/>
      <c r="WJZ4" s="539"/>
      <c r="WKA4" s="539"/>
      <c r="WKB4" s="539"/>
      <c r="WKC4" s="539"/>
      <c r="WKD4" s="539"/>
      <c r="WKE4" s="539"/>
      <c r="WKF4" s="539"/>
      <c r="WKG4" s="539"/>
      <c r="WKH4" s="539"/>
      <c r="WKI4" s="539"/>
      <c r="WKJ4" s="539"/>
      <c r="WKK4" s="539"/>
      <c r="WKL4" s="539"/>
      <c r="WKM4" s="539"/>
      <c r="WKN4" s="539"/>
      <c r="WKO4" s="539"/>
      <c r="WKP4" s="539"/>
      <c r="WKQ4" s="539"/>
      <c r="WKR4" s="539"/>
      <c r="WKS4" s="539"/>
      <c r="WKT4" s="539"/>
      <c r="WKU4" s="539"/>
      <c r="WKV4" s="539"/>
      <c r="WKW4" s="539"/>
      <c r="WKX4" s="539"/>
      <c r="WKY4" s="539"/>
      <c r="WKZ4" s="539"/>
      <c r="WLA4" s="539"/>
      <c r="WLB4" s="539"/>
      <c r="WLC4" s="539"/>
      <c r="WLD4" s="539"/>
      <c r="WLE4" s="539"/>
      <c r="WLF4" s="539"/>
      <c r="WLG4" s="539"/>
      <c r="WLH4" s="539"/>
      <c r="WLI4" s="539"/>
      <c r="WLJ4" s="539"/>
      <c r="WLK4" s="539"/>
      <c r="WLL4" s="539"/>
      <c r="WLM4" s="539"/>
      <c r="WLN4" s="539"/>
      <c r="WLO4" s="539"/>
      <c r="WLP4" s="539"/>
      <c r="WLQ4" s="539"/>
      <c r="WLR4" s="539"/>
      <c r="WLS4" s="539"/>
      <c r="WLT4" s="539"/>
      <c r="WLU4" s="539"/>
      <c r="WLV4" s="539"/>
      <c r="WLW4" s="539"/>
      <c r="WLX4" s="539"/>
      <c r="WLY4" s="539"/>
      <c r="WLZ4" s="539"/>
      <c r="WMA4" s="539"/>
      <c r="WMB4" s="539"/>
      <c r="WMC4" s="539"/>
      <c r="WMD4" s="539"/>
      <c r="WME4" s="539"/>
      <c r="WMF4" s="539"/>
      <c r="WMG4" s="539"/>
      <c r="WMH4" s="539"/>
      <c r="WMI4" s="539"/>
      <c r="WMJ4" s="539"/>
      <c r="WMK4" s="539"/>
      <c r="WML4" s="539"/>
      <c r="WMM4" s="539"/>
      <c r="WMN4" s="539"/>
      <c r="WMO4" s="539"/>
      <c r="WMP4" s="539"/>
      <c r="WMQ4" s="539"/>
      <c r="WMR4" s="539"/>
      <c r="WMS4" s="539"/>
      <c r="WMT4" s="539"/>
      <c r="WMU4" s="539"/>
      <c r="WMV4" s="539"/>
      <c r="WMW4" s="539"/>
      <c r="WMX4" s="539"/>
      <c r="WMY4" s="539"/>
      <c r="WMZ4" s="539"/>
      <c r="WNA4" s="539"/>
      <c r="WNB4" s="539"/>
      <c r="WNC4" s="539"/>
      <c r="WND4" s="539"/>
      <c r="WNE4" s="539"/>
      <c r="WNF4" s="539"/>
      <c r="WNG4" s="539"/>
      <c r="WNH4" s="539"/>
      <c r="WNI4" s="539"/>
      <c r="WNJ4" s="539"/>
      <c r="WNK4" s="539"/>
      <c r="WNL4" s="539"/>
      <c r="WNM4" s="539"/>
      <c r="WNN4" s="539"/>
      <c r="WNO4" s="539"/>
      <c r="WNP4" s="539"/>
      <c r="WNQ4" s="539"/>
      <c r="WNR4" s="539"/>
      <c r="WNS4" s="539"/>
      <c r="WNT4" s="539"/>
      <c r="WNU4" s="539"/>
      <c r="WNV4" s="539"/>
      <c r="WNW4" s="539"/>
      <c r="WNX4" s="539"/>
      <c r="WNY4" s="539"/>
      <c r="WNZ4" s="539"/>
      <c r="WOA4" s="539"/>
      <c r="WOB4" s="539"/>
      <c r="WOC4" s="539"/>
      <c r="WOD4" s="539"/>
      <c r="WOE4" s="539"/>
      <c r="WOF4" s="539"/>
      <c r="WOG4" s="539"/>
      <c r="WOH4" s="539"/>
      <c r="WOI4" s="539"/>
      <c r="WOJ4" s="539"/>
      <c r="WOK4" s="539"/>
      <c r="WOL4" s="539"/>
      <c r="WOM4" s="539"/>
      <c r="WON4" s="539"/>
      <c r="WOO4" s="539"/>
      <c r="WOP4" s="539"/>
      <c r="WOQ4" s="539"/>
      <c r="WOR4" s="539"/>
      <c r="WOS4" s="539"/>
      <c r="WOT4" s="539"/>
      <c r="WOU4" s="539"/>
      <c r="WOV4" s="539"/>
      <c r="WOW4" s="539"/>
      <c r="WOX4" s="539"/>
      <c r="WOY4" s="539"/>
      <c r="WOZ4" s="539"/>
      <c r="WPA4" s="539"/>
      <c r="WPB4" s="539"/>
      <c r="WPC4" s="539"/>
      <c r="WPD4" s="539"/>
      <c r="WPE4" s="539"/>
      <c r="WPF4" s="539"/>
      <c r="WPG4" s="539"/>
      <c r="WPH4" s="539"/>
      <c r="WPI4" s="539"/>
      <c r="WPJ4" s="539"/>
      <c r="WPK4" s="539"/>
      <c r="WPL4" s="539"/>
      <c r="WPM4" s="539"/>
      <c r="WPN4" s="539"/>
      <c r="WPO4" s="539"/>
      <c r="WPP4" s="539"/>
      <c r="WPQ4" s="539"/>
      <c r="WPR4" s="539"/>
      <c r="WPS4" s="539"/>
      <c r="WPT4" s="539"/>
      <c r="WPU4" s="539"/>
      <c r="WPV4" s="539"/>
      <c r="WPW4" s="539"/>
      <c r="WPX4" s="539"/>
      <c r="WPY4" s="539"/>
      <c r="WPZ4" s="539"/>
      <c r="WQA4" s="539"/>
      <c r="WQB4" s="539"/>
      <c r="WQC4" s="539"/>
      <c r="WQD4" s="539"/>
      <c r="WQE4" s="539"/>
      <c r="WQF4" s="539"/>
      <c r="WQG4" s="539"/>
      <c r="WQH4" s="539"/>
      <c r="WQI4" s="539"/>
      <c r="WQJ4" s="539"/>
      <c r="WQK4" s="539"/>
      <c r="WQL4" s="539"/>
      <c r="WQM4" s="539"/>
      <c r="WQN4" s="539"/>
      <c r="WQO4" s="539"/>
      <c r="WQP4" s="539"/>
      <c r="WQQ4" s="539"/>
      <c r="WQR4" s="539"/>
      <c r="WQS4" s="539"/>
      <c r="WQT4" s="539"/>
      <c r="WQU4" s="539"/>
      <c r="WQV4" s="539"/>
      <c r="WQW4" s="539"/>
      <c r="WQX4" s="539"/>
      <c r="WQY4" s="539"/>
      <c r="WQZ4" s="539"/>
      <c r="WRA4" s="539"/>
      <c r="WRB4" s="539"/>
      <c r="WRC4" s="539"/>
      <c r="WRD4" s="539"/>
      <c r="WRE4" s="539"/>
      <c r="WRF4" s="539"/>
      <c r="WRG4" s="539"/>
      <c r="WRH4" s="539"/>
      <c r="WRI4" s="539"/>
      <c r="WRJ4" s="539"/>
      <c r="WRK4" s="539"/>
      <c r="WRL4" s="539"/>
      <c r="WRM4" s="539"/>
      <c r="WRN4" s="539"/>
      <c r="WRO4" s="539"/>
      <c r="WRP4" s="539"/>
      <c r="WRQ4" s="539"/>
      <c r="WRR4" s="539"/>
      <c r="WRS4" s="539"/>
      <c r="WRT4" s="539"/>
      <c r="WRU4" s="539"/>
      <c r="WRV4" s="539"/>
      <c r="WRW4" s="539"/>
      <c r="WRX4" s="539"/>
      <c r="WRY4" s="539"/>
      <c r="WRZ4" s="539"/>
      <c r="WSA4" s="539"/>
      <c r="WSB4" s="539"/>
      <c r="WSC4" s="539"/>
      <c r="WSD4" s="539"/>
      <c r="WSE4" s="539"/>
      <c r="WSF4" s="539"/>
      <c r="WSG4" s="539"/>
      <c r="WSH4" s="539"/>
      <c r="WSI4" s="539"/>
      <c r="WSJ4" s="539"/>
      <c r="WSK4" s="539"/>
      <c r="WSL4" s="539"/>
      <c r="WSM4" s="539"/>
      <c r="WSN4" s="539"/>
      <c r="WSO4" s="539"/>
      <c r="WSP4" s="539"/>
      <c r="WSQ4" s="539"/>
      <c r="WSR4" s="539"/>
      <c r="WSS4" s="539"/>
      <c r="WST4" s="539"/>
      <c r="WSU4" s="539"/>
      <c r="WSV4" s="539"/>
      <c r="WSW4" s="539"/>
      <c r="WSX4" s="539"/>
      <c r="WSY4" s="539"/>
      <c r="WSZ4" s="539"/>
      <c r="WTA4" s="539"/>
      <c r="WTB4" s="539"/>
      <c r="WTC4" s="539"/>
      <c r="WTD4" s="539"/>
      <c r="WTE4" s="539"/>
      <c r="WTF4" s="539"/>
      <c r="WTG4" s="539"/>
      <c r="WTH4" s="539"/>
      <c r="WTI4" s="539"/>
      <c r="WTJ4" s="539"/>
      <c r="WTK4" s="539"/>
      <c r="WTL4" s="539"/>
      <c r="WTM4" s="539"/>
      <c r="WTN4" s="539"/>
      <c r="WTO4" s="539"/>
      <c r="WTP4" s="539"/>
      <c r="WTQ4" s="539"/>
      <c r="WTR4" s="539"/>
      <c r="WTS4" s="539"/>
      <c r="WTT4" s="539"/>
      <c r="WTU4" s="539"/>
      <c r="WTV4" s="539"/>
      <c r="WTW4" s="539"/>
      <c r="WTX4" s="539"/>
      <c r="WTY4" s="539"/>
      <c r="WTZ4" s="539"/>
      <c r="WUA4" s="539"/>
      <c r="WUB4" s="539"/>
      <c r="WUC4" s="539"/>
      <c r="WUD4" s="539"/>
      <c r="WUE4" s="539"/>
      <c r="WUF4" s="539"/>
      <c r="WUG4" s="539"/>
      <c r="WUH4" s="539"/>
      <c r="WUI4" s="539"/>
      <c r="WUJ4" s="539"/>
      <c r="WUK4" s="539"/>
      <c r="WUL4" s="539"/>
      <c r="WUM4" s="539"/>
      <c r="WUN4" s="539"/>
      <c r="WUO4" s="539"/>
      <c r="WUP4" s="539"/>
      <c r="WUQ4" s="539"/>
      <c r="WUR4" s="539"/>
      <c r="WUS4" s="539"/>
      <c r="WUT4" s="539"/>
      <c r="WUU4" s="539"/>
      <c r="WUV4" s="539"/>
      <c r="WUW4" s="539"/>
      <c r="WUX4" s="539"/>
      <c r="WUY4" s="539"/>
      <c r="WUZ4" s="539"/>
      <c r="WVA4" s="539"/>
      <c r="WVB4" s="539"/>
      <c r="WVC4" s="539"/>
      <c r="WVD4" s="539"/>
      <c r="WVE4" s="539"/>
      <c r="WVF4" s="539"/>
      <c r="WVG4" s="539"/>
      <c r="WVH4" s="539"/>
      <c r="WVI4" s="539"/>
      <c r="WVJ4" s="539"/>
      <c r="WVK4" s="539"/>
      <c r="WVL4" s="539"/>
      <c r="WVM4" s="539"/>
      <c r="WVN4" s="539"/>
      <c r="WVO4" s="539"/>
      <c r="WVP4" s="539"/>
      <c r="WVQ4" s="539"/>
      <c r="WVR4" s="539"/>
      <c r="WVS4" s="539"/>
      <c r="WVT4" s="539"/>
      <c r="WVU4" s="539"/>
      <c r="WVV4" s="539"/>
      <c r="WVW4" s="539"/>
      <c r="WVX4" s="539"/>
      <c r="WVY4" s="539"/>
      <c r="WVZ4" s="539"/>
      <c r="WWA4" s="539"/>
      <c r="WWB4" s="539"/>
      <c r="WWC4" s="539"/>
      <c r="WWD4" s="539"/>
      <c r="WWE4" s="539"/>
      <c r="WWF4" s="539"/>
      <c r="WWG4" s="539"/>
      <c r="WWH4" s="539"/>
      <c r="WWI4" s="539"/>
      <c r="WWJ4" s="539"/>
      <c r="WWK4" s="539"/>
      <c r="WWL4" s="539"/>
      <c r="WWM4" s="539"/>
      <c r="WWN4" s="539"/>
      <c r="WWO4" s="539"/>
      <c r="WWP4" s="539"/>
      <c r="WWQ4" s="539"/>
      <c r="WWR4" s="539"/>
      <c r="WWS4" s="539"/>
      <c r="WWT4" s="539"/>
      <c r="WWU4" s="539"/>
      <c r="WWV4" s="539"/>
      <c r="WWW4" s="539"/>
      <c r="WWX4" s="539"/>
      <c r="WWY4" s="539"/>
      <c r="WWZ4" s="539"/>
      <c r="WXA4" s="539"/>
      <c r="WXB4" s="539"/>
      <c r="WXC4" s="539"/>
      <c r="WXD4" s="539"/>
      <c r="WXE4" s="539"/>
      <c r="WXF4" s="539"/>
      <c r="WXG4" s="539"/>
      <c r="WXH4" s="539"/>
      <c r="WXI4" s="539"/>
      <c r="WXJ4" s="539"/>
      <c r="WXK4" s="539"/>
      <c r="WXL4" s="539"/>
      <c r="WXM4" s="539"/>
      <c r="WXN4" s="539"/>
      <c r="WXO4" s="539"/>
      <c r="WXP4" s="539"/>
      <c r="WXQ4" s="539"/>
      <c r="WXR4" s="539"/>
      <c r="WXS4" s="539"/>
      <c r="WXT4" s="539"/>
      <c r="WXU4" s="539"/>
      <c r="WXV4" s="539"/>
      <c r="WXW4" s="539"/>
      <c r="WXX4" s="539"/>
      <c r="WXY4" s="539"/>
      <c r="WXZ4" s="539"/>
      <c r="WYA4" s="539"/>
      <c r="WYB4" s="539"/>
      <c r="WYC4" s="539"/>
      <c r="WYD4" s="539"/>
      <c r="WYE4" s="539"/>
      <c r="WYF4" s="539"/>
      <c r="WYG4" s="539"/>
      <c r="WYH4" s="539"/>
      <c r="WYI4" s="539"/>
      <c r="WYJ4" s="539"/>
      <c r="WYK4" s="539"/>
      <c r="WYL4" s="539"/>
      <c r="WYM4" s="539"/>
      <c r="WYN4" s="539"/>
      <c r="WYO4" s="539"/>
      <c r="WYP4" s="539"/>
      <c r="WYQ4" s="539"/>
      <c r="WYR4" s="539"/>
      <c r="WYS4" s="539"/>
      <c r="WYT4" s="539"/>
      <c r="WYU4" s="539"/>
      <c r="WYV4" s="539"/>
      <c r="WYW4" s="539"/>
      <c r="WYX4" s="539"/>
      <c r="WYY4" s="539"/>
      <c r="WYZ4" s="539"/>
      <c r="WZA4" s="539"/>
      <c r="WZB4" s="539"/>
      <c r="WZC4" s="539"/>
      <c r="WZD4" s="539"/>
      <c r="WZE4" s="539"/>
      <c r="WZF4" s="539"/>
      <c r="WZG4" s="539"/>
      <c r="WZH4" s="539"/>
      <c r="WZI4" s="539"/>
      <c r="WZJ4" s="539"/>
      <c r="WZK4" s="539"/>
      <c r="WZL4" s="539"/>
      <c r="WZM4" s="539"/>
      <c r="WZN4" s="539"/>
      <c r="WZO4" s="539"/>
      <c r="WZP4" s="539"/>
      <c r="WZQ4" s="539"/>
      <c r="WZR4" s="539"/>
      <c r="WZS4" s="539"/>
      <c r="WZT4" s="539"/>
      <c r="WZU4" s="539"/>
      <c r="WZV4" s="539"/>
      <c r="WZW4" s="539"/>
      <c r="WZX4" s="539"/>
      <c r="WZY4" s="539"/>
      <c r="WZZ4" s="539"/>
      <c r="XAA4" s="539"/>
      <c r="XAB4" s="539"/>
      <c r="XAC4" s="539"/>
      <c r="XAD4" s="539"/>
      <c r="XAE4" s="539"/>
      <c r="XAF4" s="539"/>
      <c r="XAG4" s="539"/>
      <c r="XAH4" s="539"/>
      <c r="XAI4" s="539"/>
      <c r="XAJ4" s="539"/>
      <c r="XAK4" s="539"/>
      <c r="XAL4" s="539"/>
      <c r="XAM4" s="539"/>
      <c r="XAN4" s="539"/>
      <c r="XAO4" s="539"/>
      <c r="XAP4" s="539"/>
      <c r="XAQ4" s="539"/>
      <c r="XAR4" s="539"/>
      <c r="XAS4" s="539"/>
      <c r="XAT4" s="539"/>
      <c r="XAU4" s="539"/>
      <c r="XAV4" s="539"/>
      <c r="XAW4" s="539"/>
      <c r="XAX4" s="539"/>
      <c r="XAY4" s="539"/>
      <c r="XAZ4" s="539"/>
      <c r="XBA4" s="539"/>
      <c r="XBB4" s="539"/>
      <c r="XBC4" s="539"/>
      <c r="XBD4" s="539"/>
      <c r="XBE4" s="539"/>
      <c r="XBF4" s="539"/>
      <c r="XBG4" s="539"/>
      <c r="XBH4" s="539"/>
      <c r="XBI4" s="539"/>
      <c r="XBJ4" s="539"/>
      <c r="XBK4" s="539"/>
      <c r="XBL4" s="539"/>
      <c r="XBM4" s="539"/>
      <c r="XBN4" s="539"/>
      <c r="XBO4" s="539"/>
      <c r="XBP4" s="539"/>
      <c r="XBQ4" s="539"/>
      <c r="XBR4" s="539"/>
      <c r="XBS4" s="539"/>
      <c r="XBT4" s="539"/>
      <c r="XBU4" s="539"/>
      <c r="XBV4" s="539"/>
      <c r="XBW4" s="539"/>
      <c r="XBX4" s="539"/>
      <c r="XBY4" s="539"/>
      <c r="XBZ4" s="539"/>
      <c r="XCA4" s="539"/>
      <c r="XCB4" s="539"/>
      <c r="XCC4" s="539"/>
      <c r="XCD4" s="539"/>
      <c r="XCE4" s="539"/>
      <c r="XCF4" s="539"/>
      <c r="XCG4" s="539"/>
      <c r="XCH4" s="539"/>
      <c r="XCI4" s="539"/>
      <c r="XCJ4" s="539"/>
      <c r="XCK4" s="539"/>
      <c r="XCL4" s="539"/>
      <c r="XCM4" s="539"/>
      <c r="XCN4" s="539"/>
      <c r="XCO4" s="539"/>
      <c r="XCP4" s="539"/>
      <c r="XCQ4" s="539"/>
      <c r="XCR4" s="539"/>
      <c r="XCS4" s="539"/>
      <c r="XCT4" s="539"/>
      <c r="XCU4" s="539"/>
      <c r="XCV4" s="539"/>
      <c r="XCW4" s="539"/>
      <c r="XCX4" s="539"/>
      <c r="XCY4" s="539"/>
      <c r="XCZ4" s="539"/>
      <c r="XDA4" s="539"/>
      <c r="XDB4" s="539"/>
      <c r="XDC4" s="539"/>
      <c r="XDD4" s="539"/>
      <c r="XDE4" s="539"/>
      <c r="XDF4" s="539"/>
      <c r="XDG4" s="539"/>
      <c r="XDH4" s="539"/>
      <c r="XDI4" s="539"/>
      <c r="XDJ4" s="539"/>
      <c r="XDK4" s="539"/>
      <c r="XDL4" s="539"/>
      <c r="XDM4" s="539"/>
      <c r="XDN4" s="539"/>
      <c r="XDO4" s="539"/>
      <c r="XDP4" s="539"/>
      <c r="XDQ4" s="539"/>
      <c r="XDR4" s="539"/>
      <c r="XDS4" s="539"/>
      <c r="XDT4" s="539"/>
      <c r="XDU4" s="539"/>
      <c r="XDV4" s="539"/>
      <c r="XDW4" s="539"/>
      <c r="XDX4" s="539"/>
      <c r="XDY4" s="539"/>
      <c r="XDZ4" s="539"/>
      <c r="XEA4" s="539"/>
      <c r="XEB4" s="539"/>
      <c r="XEC4" s="539"/>
      <c r="XED4" s="539"/>
      <c r="XEE4" s="539"/>
      <c r="XEF4" s="539"/>
      <c r="XEG4" s="539"/>
      <c r="XEH4" s="539"/>
      <c r="XEI4" s="539"/>
      <c r="XEJ4" s="539"/>
      <c r="XEK4" s="539"/>
      <c r="XEL4" s="539"/>
      <c r="XEM4" s="539"/>
      <c r="XEN4" s="539"/>
      <c r="XEO4" s="539"/>
      <c r="XEP4" s="539"/>
      <c r="XEQ4" s="539"/>
      <c r="XER4" s="539"/>
      <c r="XES4" s="539"/>
      <c r="XET4" s="539"/>
      <c r="XEU4" s="539"/>
      <c r="XEV4" s="539"/>
      <c r="XEW4" s="539"/>
      <c r="XEX4" s="539"/>
      <c r="XEY4" s="539"/>
      <c r="XEZ4" s="539"/>
      <c r="XFA4" s="539"/>
      <c r="XFB4" s="539"/>
      <c r="XFC4" s="539"/>
      <c r="XFD4" s="539"/>
    </row>
    <row r="5" spans="1:16384" x14ac:dyDescent="0.25">
      <c r="B5" s="541"/>
      <c r="C5" s="542"/>
      <c r="D5" s="543" t="s">
        <v>11</v>
      </c>
      <c r="E5" s="544"/>
      <c r="F5" s="545"/>
      <c r="G5" s="545"/>
      <c r="H5" s="545"/>
      <c r="I5" s="545"/>
      <c r="J5" s="545"/>
      <c r="K5" s="545"/>
      <c r="L5" s="545"/>
      <c r="M5" s="545"/>
      <c r="N5" s="546"/>
      <c r="O5" s="546"/>
      <c r="P5" s="546"/>
      <c r="Q5" s="547"/>
      <c r="R5" s="548"/>
    </row>
    <row r="6" spans="1:16384" x14ac:dyDescent="0.25">
      <c r="B6" s="329"/>
      <c r="C6" s="329"/>
      <c r="D6" s="329"/>
      <c r="E6" s="329"/>
      <c r="F6" s="328"/>
      <c r="G6" s="328"/>
      <c r="H6" s="327"/>
      <c r="I6" s="328"/>
      <c r="J6" s="328"/>
      <c r="K6" s="328"/>
      <c r="L6" s="328"/>
      <c r="M6" s="328"/>
      <c r="N6" s="328"/>
      <c r="O6" s="329"/>
      <c r="P6" s="329"/>
      <c r="Q6" s="329"/>
      <c r="R6" s="326"/>
    </row>
    <row r="7" spans="1:16384" x14ac:dyDescent="0.25">
      <c r="B7" s="328"/>
      <c r="C7" s="330" t="s">
        <v>12</v>
      </c>
      <c r="D7" s="695" t="s">
        <v>13</v>
      </c>
      <c r="E7" s="696"/>
      <c r="F7" s="697"/>
      <c r="G7" s="328"/>
      <c r="H7" s="636" t="s">
        <v>434</v>
      </c>
      <c r="I7" s="637"/>
      <c r="J7" s="637"/>
      <c r="K7" s="637"/>
      <c r="L7" s="637"/>
      <c r="M7" s="637"/>
      <c r="N7" s="637"/>
      <c r="O7" s="637"/>
      <c r="P7" s="637"/>
      <c r="Q7" s="638"/>
      <c r="R7" s="326"/>
    </row>
    <row r="8" spans="1:16384" x14ac:dyDescent="0.25">
      <c r="B8" s="328"/>
      <c r="C8" s="330"/>
      <c r="D8" s="331"/>
      <c r="E8" s="332"/>
      <c r="F8" s="333"/>
      <c r="G8" s="328"/>
      <c r="H8" s="333"/>
      <c r="I8" s="333"/>
      <c r="J8" s="333"/>
      <c r="K8" s="333"/>
      <c r="L8" s="333"/>
      <c r="M8" s="333"/>
      <c r="N8" s="333"/>
      <c r="O8" s="334"/>
      <c r="P8" s="334"/>
      <c r="Q8" s="334"/>
      <c r="R8" s="326"/>
    </row>
    <row r="9" spans="1:16384" x14ac:dyDescent="0.25">
      <c r="B9" s="328"/>
      <c r="C9" s="330" t="s">
        <v>14</v>
      </c>
      <c r="D9" s="695" t="s">
        <v>15</v>
      </c>
      <c r="E9" s="696"/>
      <c r="F9" s="697"/>
      <c r="G9" s="328"/>
      <c r="H9" s="636" t="s">
        <v>433</v>
      </c>
      <c r="I9" s="637"/>
      <c r="J9" s="637"/>
      <c r="K9" s="637"/>
      <c r="L9" s="637"/>
      <c r="M9" s="637"/>
      <c r="N9" s="637"/>
      <c r="O9" s="637"/>
      <c r="P9" s="637"/>
      <c r="Q9" s="638"/>
      <c r="R9" s="326"/>
    </row>
    <row r="10" spans="1:16384" x14ac:dyDescent="0.25">
      <c r="B10" s="328"/>
      <c r="C10" s="330"/>
      <c r="D10" s="331"/>
      <c r="E10" s="332"/>
      <c r="F10" s="333"/>
      <c r="G10" s="328"/>
      <c r="H10" s="333"/>
      <c r="I10" s="333"/>
      <c r="J10" s="333"/>
      <c r="K10" s="333"/>
      <c r="L10" s="333"/>
      <c r="M10" s="333"/>
      <c r="N10" s="333"/>
      <c r="O10" s="333"/>
      <c r="P10" s="333"/>
      <c r="Q10" s="333"/>
      <c r="R10" s="326"/>
    </row>
    <row r="11" spans="1:16384" x14ac:dyDescent="0.25">
      <c r="B11" s="328"/>
      <c r="C11" s="330" t="s">
        <v>16</v>
      </c>
      <c r="D11" s="695" t="s">
        <v>66</v>
      </c>
      <c r="E11" s="696"/>
      <c r="F11" s="697"/>
      <c r="G11" s="328"/>
      <c r="H11" s="636"/>
      <c r="I11" s="637"/>
      <c r="J11" s="637"/>
      <c r="K11" s="637"/>
      <c r="L11" s="637"/>
      <c r="M11" s="637"/>
      <c r="N11" s="637"/>
      <c r="O11" s="637"/>
      <c r="P11" s="637"/>
      <c r="Q11" s="638"/>
      <c r="R11" s="326"/>
    </row>
    <row r="12" spans="1:16384" x14ac:dyDescent="0.25">
      <c r="B12" s="328"/>
      <c r="C12" s="330"/>
      <c r="D12" s="331"/>
      <c r="E12" s="332"/>
      <c r="F12" s="333"/>
      <c r="G12" s="328"/>
      <c r="H12" s="333"/>
      <c r="I12" s="333"/>
      <c r="J12" s="333"/>
      <c r="K12" s="333"/>
      <c r="L12" s="333"/>
      <c r="M12" s="333"/>
      <c r="N12" s="333"/>
      <c r="O12" s="333"/>
      <c r="P12" s="333"/>
      <c r="Q12" s="333"/>
      <c r="R12" s="326"/>
    </row>
    <row r="13" spans="1:16384" x14ac:dyDescent="0.25">
      <c r="B13" s="328"/>
      <c r="C13" s="330" t="s">
        <v>18</v>
      </c>
      <c r="D13" s="695" t="s">
        <v>19</v>
      </c>
      <c r="E13" s="696"/>
      <c r="F13" s="697"/>
      <c r="G13" s="328"/>
      <c r="H13" s="636"/>
      <c r="I13" s="637"/>
      <c r="J13" s="637"/>
      <c r="K13" s="637"/>
      <c r="L13" s="637"/>
      <c r="M13" s="637"/>
      <c r="N13" s="637"/>
      <c r="O13" s="637"/>
      <c r="P13" s="637"/>
      <c r="Q13" s="638"/>
      <c r="R13" s="326"/>
    </row>
    <row r="14" spans="1:16384" x14ac:dyDescent="0.25">
      <c r="B14" s="328"/>
      <c r="C14" s="330"/>
      <c r="D14" s="331"/>
      <c r="E14" s="332"/>
      <c r="F14" s="333"/>
      <c r="G14" s="328"/>
      <c r="H14" s="333"/>
      <c r="I14" s="333"/>
      <c r="J14" s="333"/>
      <c r="K14" s="333"/>
      <c r="L14" s="333"/>
      <c r="M14" s="333"/>
      <c r="N14" s="333"/>
      <c r="O14" s="333"/>
      <c r="P14" s="333"/>
      <c r="Q14" s="333"/>
      <c r="R14" s="326"/>
    </row>
    <row r="15" spans="1:16384" x14ac:dyDescent="0.25">
      <c r="B15" s="328"/>
      <c r="C15" s="330" t="s">
        <v>20</v>
      </c>
      <c r="D15" s="695" t="s">
        <v>21</v>
      </c>
      <c r="E15" s="696"/>
      <c r="F15" s="697"/>
      <c r="G15" s="328"/>
      <c r="H15" s="636"/>
      <c r="I15" s="637"/>
      <c r="J15" s="637"/>
      <c r="K15" s="637"/>
      <c r="L15" s="637"/>
      <c r="M15" s="637"/>
      <c r="N15" s="637"/>
      <c r="O15" s="637"/>
      <c r="P15" s="637"/>
      <c r="Q15" s="638"/>
      <c r="R15" s="326"/>
    </row>
    <row r="16" spans="1:16384" x14ac:dyDescent="0.25">
      <c r="B16" s="328"/>
      <c r="C16" s="330"/>
      <c r="D16" s="331"/>
      <c r="E16" s="332"/>
      <c r="F16" s="333"/>
      <c r="G16" s="328"/>
      <c r="H16" s="333"/>
      <c r="I16" s="333"/>
      <c r="J16" s="333"/>
      <c r="K16" s="333"/>
      <c r="L16" s="333"/>
      <c r="M16" s="333"/>
      <c r="N16" s="333"/>
      <c r="O16" s="333"/>
      <c r="P16" s="333"/>
      <c r="Q16" s="333"/>
      <c r="R16" s="326"/>
    </row>
    <row r="17" spans="2:18" x14ac:dyDescent="0.25">
      <c r="B17" s="328"/>
      <c r="C17" s="330" t="s">
        <v>22</v>
      </c>
      <c r="D17" s="695" t="s">
        <v>23</v>
      </c>
      <c r="E17" s="696"/>
      <c r="F17" s="697"/>
      <c r="G17" s="328"/>
      <c r="H17" s="773" t="s">
        <v>435</v>
      </c>
      <c r="I17" s="637"/>
      <c r="J17" s="637"/>
      <c r="K17" s="637"/>
      <c r="L17" s="637"/>
      <c r="M17" s="637"/>
      <c r="N17" s="637"/>
      <c r="O17" s="637"/>
      <c r="P17" s="637"/>
      <c r="Q17" s="638"/>
      <c r="R17" s="326"/>
    </row>
    <row r="18" spans="2:18" x14ac:dyDescent="0.25">
      <c r="B18" s="328"/>
      <c r="C18" s="328"/>
      <c r="D18" s="333"/>
      <c r="E18" s="333"/>
      <c r="F18" s="333"/>
      <c r="G18" s="328"/>
      <c r="H18" s="333"/>
      <c r="I18" s="333"/>
      <c r="J18" s="333"/>
      <c r="K18" s="333"/>
      <c r="L18" s="333"/>
      <c r="M18" s="333"/>
      <c r="N18" s="333"/>
      <c r="O18" s="333"/>
      <c r="P18" s="333"/>
      <c r="Q18" s="333"/>
      <c r="R18" s="327"/>
    </row>
    <row r="19" spans="2:18" x14ac:dyDescent="0.25">
      <c r="B19" s="330"/>
      <c r="C19" s="330" t="s">
        <v>24</v>
      </c>
      <c r="D19" s="695" t="s">
        <v>25</v>
      </c>
      <c r="E19" s="696"/>
      <c r="F19" s="697"/>
      <c r="G19" s="335" t="s">
        <v>26</v>
      </c>
      <c r="H19" s="698">
        <v>44135</v>
      </c>
      <c r="I19" s="699"/>
      <c r="J19" s="699"/>
      <c r="K19" s="699"/>
      <c r="L19" s="699"/>
      <c r="M19" s="699"/>
      <c r="N19" s="699"/>
      <c r="O19" s="699"/>
      <c r="P19" s="699"/>
      <c r="Q19" s="700"/>
      <c r="R19" s="326"/>
    </row>
    <row r="20" spans="2:18" x14ac:dyDescent="0.25">
      <c r="B20" s="328"/>
      <c r="C20" s="328"/>
      <c r="D20" s="333"/>
      <c r="E20" s="333"/>
      <c r="F20" s="333"/>
      <c r="G20" s="328"/>
      <c r="H20" s="333"/>
      <c r="I20" s="333"/>
      <c r="J20" s="333"/>
      <c r="K20" s="333"/>
      <c r="L20" s="333"/>
      <c r="M20" s="333"/>
      <c r="N20" s="333"/>
      <c r="O20" s="333"/>
      <c r="P20" s="333"/>
      <c r="Q20" s="333"/>
      <c r="R20" s="327"/>
    </row>
    <row r="21" spans="2:18" x14ac:dyDescent="0.25">
      <c r="B21" s="336"/>
      <c r="C21" s="330" t="s">
        <v>67</v>
      </c>
      <c r="D21" s="695" t="s">
        <v>68</v>
      </c>
      <c r="E21" s="696"/>
      <c r="F21" s="697"/>
      <c r="G21" s="337" t="s">
        <v>26</v>
      </c>
      <c r="H21" s="651" t="s">
        <v>183</v>
      </c>
      <c r="I21" s="652"/>
      <c r="J21" s="652"/>
      <c r="K21" s="652"/>
      <c r="L21" s="652"/>
      <c r="M21" s="652"/>
      <c r="N21" s="652"/>
      <c r="O21" s="652"/>
      <c r="P21" s="652"/>
      <c r="Q21" s="653"/>
      <c r="R21" s="326"/>
    </row>
    <row r="22" spans="2:18" x14ac:dyDescent="0.25">
      <c r="B22" s="328"/>
      <c r="C22" s="330"/>
      <c r="D22" s="331"/>
      <c r="E22" s="332"/>
      <c r="F22" s="333"/>
      <c r="G22" s="328"/>
      <c r="H22" s="338"/>
      <c r="I22" s="333"/>
      <c r="J22" s="333"/>
      <c r="K22" s="333"/>
      <c r="L22" s="333"/>
      <c r="M22" s="333"/>
      <c r="N22" s="333"/>
      <c r="O22" s="333"/>
      <c r="P22" s="333"/>
      <c r="Q22" s="333"/>
      <c r="R22" s="327"/>
    </row>
    <row r="23" spans="2:18" hidden="1" x14ac:dyDescent="0.25">
      <c r="B23" s="328"/>
      <c r="C23" s="330" t="s">
        <v>69</v>
      </c>
      <c r="D23" s="695" t="s">
        <v>70</v>
      </c>
      <c r="E23" s="696"/>
      <c r="F23" s="697"/>
      <c r="G23" s="328"/>
      <c r="H23" s="636"/>
      <c r="I23" s="637"/>
      <c r="J23" s="637"/>
      <c r="K23" s="637"/>
      <c r="L23" s="637"/>
      <c r="M23" s="637"/>
      <c r="N23" s="637"/>
      <c r="O23" s="637"/>
      <c r="P23" s="637"/>
      <c r="Q23" s="638"/>
      <c r="R23" s="327"/>
    </row>
    <row r="24" spans="2:18" hidden="1" x14ac:dyDescent="0.25">
      <c r="B24" s="328"/>
      <c r="C24" s="330"/>
      <c r="D24" s="331"/>
      <c r="E24" s="332"/>
      <c r="F24" s="333"/>
      <c r="G24" s="328"/>
      <c r="H24" s="333"/>
      <c r="I24" s="333"/>
      <c r="J24" s="333"/>
      <c r="K24" s="333"/>
      <c r="L24" s="333"/>
      <c r="M24" s="333"/>
      <c r="N24" s="333"/>
      <c r="O24" s="333"/>
      <c r="P24" s="333"/>
      <c r="Q24" s="333"/>
      <c r="R24" s="327"/>
    </row>
    <row r="25" spans="2:18" hidden="1" x14ac:dyDescent="0.25">
      <c r="B25" s="328"/>
      <c r="C25" s="330" t="s">
        <v>71</v>
      </c>
      <c r="D25" s="695" t="s">
        <v>72</v>
      </c>
      <c r="E25" s="696"/>
      <c r="F25" s="697"/>
      <c r="G25" s="328"/>
      <c r="H25" s="636"/>
      <c r="I25" s="637"/>
      <c r="J25" s="637"/>
      <c r="K25" s="637"/>
      <c r="L25" s="637"/>
      <c r="M25" s="637"/>
      <c r="N25" s="637"/>
      <c r="O25" s="637"/>
      <c r="P25" s="637"/>
      <c r="Q25" s="638"/>
      <c r="R25" s="327"/>
    </row>
    <row r="26" spans="2:18" hidden="1" x14ac:dyDescent="0.25">
      <c r="B26" s="339"/>
      <c r="C26" s="339"/>
      <c r="D26" s="340"/>
      <c r="E26" s="340"/>
      <c r="F26" s="340"/>
      <c r="G26" s="339"/>
      <c r="H26" s="340"/>
      <c r="I26" s="340"/>
      <c r="J26" s="340"/>
      <c r="K26" s="340"/>
      <c r="L26" s="340"/>
      <c r="M26" s="340"/>
      <c r="N26" s="340"/>
      <c r="O26" s="340"/>
      <c r="P26" s="340"/>
      <c r="Q26" s="340"/>
      <c r="R26" s="339"/>
    </row>
    <row r="27" spans="2:18" hidden="1" x14ac:dyDescent="0.25">
      <c r="B27" s="328"/>
      <c r="C27" s="330" t="s">
        <v>73</v>
      </c>
      <c r="D27" s="695" t="s">
        <v>74</v>
      </c>
      <c r="E27" s="696"/>
      <c r="F27" s="697"/>
      <c r="G27" s="328"/>
      <c r="H27" s="636"/>
      <c r="I27" s="637"/>
      <c r="J27" s="637"/>
      <c r="K27" s="637"/>
      <c r="L27" s="637"/>
      <c r="M27" s="637"/>
      <c r="N27" s="637"/>
      <c r="O27" s="637"/>
      <c r="P27" s="637"/>
      <c r="Q27" s="638"/>
      <c r="R27" s="327"/>
    </row>
    <row r="28" spans="2:18" hidden="1" x14ac:dyDescent="0.25">
      <c r="B28" s="328"/>
      <c r="C28" s="328"/>
      <c r="D28" s="333"/>
      <c r="E28" s="333"/>
      <c r="F28" s="333"/>
      <c r="G28" s="328"/>
      <c r="H28" s="333"/>
      <c r="I28" s="333"/>
      <c r="J28" s="333"/>
      <c r="K28" s="333"/>
      <c r="L28" s="333"/>
      <c r="M28" s="333"/>
      <c r="N28" s="333"/>
      <c r="O28" s="333"/>
      <c r="P28" s="333"/>
      <c r="Q28" s="333"/>
      <c r="R28" s="327"/>
    </row>
    <row r="29" spans="2:18" hidden="1" x14ac:dyDescent="0.25">
      <c r="B29" s="328"/>
      <c r="C29" s="330" t="s">
        <v>75</v>
      </c>
      <c r="D29" s="692" t="s">
        <v>76</v>
      </c>
      <c r="E29" s="693"/>
      <c r="F29" s="694"/>
      <c r="G29" s="328"/>
      <c r="H29" s="636"/>
      <c r="I29" s="637"/>
      <c r="J29" s="637"/>
      <c r="K29" s="637"/>
      <c r="L29" s="637"/>
      <c r="M29" s="637"/>
      <c r="N29" s="637"/>
      <c r="O29" s="637"/>
      <c r="P29" s="637"/>
      <c r="Q29" s="638"/>
      <c r="R29" s="327"/>
    </row>
    <row r="30" spans="2:18" hidden="1" x14ac:dyDescent="0.25">
      <c r="B30" s="328"/>
      <c r="C30" s="328"/>
      <c r="D30" s="333"/>
      <c r="E30" s="333"/>
      <c r="F30" s="333"/>
      <c r="G30" s="328"/>
      <c r="H30" s="333"/>
      <c r="I30" s="333"/>
      <c r="J30" s="333"/>
      <c r="K30" s="333"/>
      <c r="L30" s="333"/>
      <c r="M30" s="333"/>
      <c r="N30" s="333"/>
      <c r="O30" s="333"/>
      <c r="P30" s="333"/>
      <c r="Q30" s="333"/>
      <c r="R30" s="327"/>
    </row>
    <row r="31" spans="2:18" hidden="1" x14ac:dyDescent="0.25">
      <c r="B31" s="328"/>
      <c r="C31" s="330" t="s">
        <v>77</v>
      </c>
      <c r="D31" s="692" t="s">
        <v>78</v>
      </c>
      <c r="E31" s="693"/>
      <c r="F31" s="694"/>
      <c r="G31" s="328"/>
      <c r="H31" s="636"/>
      <c r="I31" s="637"/>
      <c r="J31" s="637"/>
      <c r="K31" s="637"/>
      <c r="L31" s="637"/>
      <c r="M31" s="637"/>
      <c r="N31" s="637"/>
      <c r="O31" s="637"/>
      <c r="P31" s="637"/>
      <c r="Q31" s="638"/>
      <c r="R31" s="327"/>
    </row>
    <row r="32" spans="2:18" hidden="1" x14ac:dyDescent="0.25">
      <c r="B32" s="328"/>
      <c r="C32" s="330"/>
      <c r="D32" s="331"/>
      <c r="E32" s="333"/>
      <c r="F32" s="333"/>
      <c r="G32" s="328"/>
      <c r="H32" s="333"/>
      <c r="I32" s="333"/>
      <c r="J32" s="333"/>
      <c r="K32" s="333"/>
      <c r="L32" s="333"/>
      <c r="M32" s="333"/>
      <c r="N32" s="341"/>
      <c r="O32" s="333"/>
      <c r="P32" s="333"/>
      <c r="Q32" s="333"/>
      <c r="R32" s="327"/>
    </row>
    <row r="33" spans="1:20" hidden="1" x14ac:dyDescent="0.25">
      <c r="B33" s="328"/>
      <c r="C33" s="330" t="s">
        <v>79</v>
      </c>
      <c r="D33" s="692" t="s">
        <v>80</v>
      </c>
      <c r="E33" s="693"/>
      <c r="F33" s="694"/>
      <c r="G33" s="328"/>
      <c r="H33" s="636"/>
      <c r="I33" s="637"/>
      <c r="J33" s="637"/>
      <c r="K33" s="637"/>
      <c r="L33" s="637"/>
      <c r="M33" s="637"/>
      <c r="N33" s="637"/>
      <c r="O33" s="637"/>
      <c r="P33" s="637"/>
      <c r="Q33" s="638"/>
      <c r="R33" s="327"/>
    </row>
    <row r="34" spans="1:20" hidden="1" x14ac:dyDescent="0.25">
      <c r="B34" s="328"/>
      <c r="C34" s="328"/>
      <c r="D34" s="328"/>
      <c r="E34" s="328"/>
      <c r="F34" s="328"/>
      <c r="G34" s="328"/>
      <c r="H34" s="333"/>
      <c r="I34" s="333"/>
      <c r="J34" s="333"/>
      <c r="K34" s="333"/>
      <c r="L34" s="333"/>
      <c r="M34" s="333"/>
      <c r="N34" s="333"/>
      <c r="O34" s="333"/>
      <c r="P34" s="333"/>
      <c r="Q34" s="333"/>
      <c r="R34" s="327"/>
    </row>
    <row r="35" spans="1:20" x14ac:dyDescent="0.25">
      <c r="A35" s="342"/>
      <c r="B35" s="342"/>
      <c r="C35" s="342"/>
      <c r="D35" s="456" t="s">
        <v>27</v>
      </c>
      <c r="E35" s="344"/>
      <c r="F35" s="343"/>
      <c r="G35" s="343"/>
      <c r="H35" s="342"/>
      <c r="I35" s="342"/>
      <c r="J35" s="342"/>
      <c r="K35" s="342"/>
      <c r="L35" s="342"/>
      <c r="M35" s="342"/>
      <c r="N35" s="342"/>
      <c r="O35" s="342"/>
      <c r="P35" s="342"/>
      <c r="Q35" s="342"/>
      <c r="R35" s="342" t="s">
        <v>184</v>
      </c>
    </row>
    <row r="36" spans="1:20" x14ac:dyDescent="0.25">
      <c r="B36" s="328"/>
      <c r="C36" s="328"/>
      <c r="D36" s="328"/>
      <c r="E36" s="328"/>
      <c r="F36" s="328"/>
      <c r="G36" s="328"/>
      <c r="H36" s="333"/>
      <c r="I36" s="333"/>
      <c r="J36" s="333"/>
      <c r="K36" s="333"/>
      <c r="L36" s="333"/>
      <c r="M36" s="333"/>
      <c r="N36" s="333"/>
      <c r="O36" s="333"/>
      <c r="P36" s="333"/>
      <c r="Q36" s="333"/>
      <c r="R36" s="327"/>
    </row>
    <row r="37" spans="1:20" x14ac:dyDescent="0.25">
      <c r="B37" s="336"/>
      <c r="C37" s="330" t="s">
        <v>28</v>
      </c>
      <c r="D37" s="686" t="s">
        <v>29</v>
      </c>
      <c r="E37" s="687"/>
      <c r="F37" s="688"/>
      <c r="G37" s="337" t="s">
        <v>26</v>
      </c>
      <c r="H37" s="636" t="s">
        <v>436</v>
      </c>
      <c r="I37" s="637"/>
      <c r="J37" s="637"/>
      <c r="K37" s="637"/>
      <c r="L37" s="637"/>
      <c r="M37" s="637"/>
      <c r="N37" s="637"/>
      <c r="O37" s="637"/>
      <c r="P37" s="637"/>
      <c r="Q37" s="638"/>
      <c r="R37" s="330"/>
    </row>
    <row r="38" spans="1:20" x14ac:dyDescent="0.25">
      <c r="B38" s="328"/>
      <c r="C38" s="336"/>
      <c r="D38" s="333"/>
      <c r="E38" s="333"/>
      <c r="F38" s="333"/>
      <c r="G38" s="328"/>
      <c r="H38" s="333"/>
      <c r="I38" s="333"/>
      <c r="J38" s="333"/>
      <c r="K38" s="333"/>
      <c r="L38" s="333"/>
      <c r="M38" s="333"/>
      <c r="N38" s="333"/>
      <c r="O38" s="333"/>
      <c r="P38" s="333"/>
      <c r="Q38" s="333"/>
      <c r="R38" s="327"/>
    </row>
    <row r="39" spans="1:20" ht="33.75" x14ac:dyDescent="0.5">
      <c r="B39" s="328"/>
      <c r="C39" s="336" t="s">
        <v>30</v>
      </c>
      <c r="D39" s="689" t="s">
        <v>31</v>
      </c>
      <c r="E39" s="690"/>
      <c r="F39" s="691"/>
      <c r="G39" s="328"/>
      <c r="H39" s="773" t="s">
        <v>437</v>
      </c>
      <c r="I39" s="637"/>
      <c r="J39" s="637"/>
      <c r="K39" s="637"/>
      <c r="L39" s="637"/>
      <c r="M39" s="637"/>
      <c r="N39" s="637"/>
      <c r="O39" s="637"/>
      <c r="P39" s="637"/>
      <c r="Q39" s="638"/>
      <c r="R39" s="327"/>
      <c r="T39" s="442" t="s">
        <v>32</v>
      </c>
    </row>
    <row r="40" spans="1:20" x14ac:dyDescent="0.25">
      <c r="B40" s="328"/>
      <c r="C40" s="330"/>
      <c r="D40" s="333"/>
      <c r="E40" s="333"/>
      <c r="F40" s="333"/>
      <c r="G40" s="328"/>
      <c r="H40" s="333"/>
      <c r="I40" s="333"/>
      <c r="J40" s="333"/>
      <c r="K40" s="333"/>
      <c r="L40" s="333"/>
      <c r="M40" s="333"/>
      <c r="N40" s="333"/>
      <c r="O40" s="333"/>
      <c r="P40" s="333"/>
      <c r="Q40" s="333"/>
      <c r="R40" s="327"/>
    </row>
    <row r="41" spans="1:20" ht="51" x14ac:dyDescent="0.75">
      <c r="B41" s="336"/>
      <c r="C41" s="336" t="s">
        <v>33</v>
      </c>
      <c r="D41" s="689" t="s">
        <v>81</v>
      </c>
      <c r="E41" s="690"/>
      <c r="F41" s="691"/>
      <c r="G41" s="345" t="s">
        <v>26</v>
      </c>
      <c r="H41" s="636" t="s">
        <v>438</v>
      </c>
      <c r="I41" s="637"/>
      <c r="J41" s="637"/>
      <c r="K41" s="637"/>
      <c r="L41" s="637"/>
      <c r="M41" s="637"/>
      <c r="N41" s="637"/>
      <c r="O41" s="637"/>
      <c r="P41" s="637"/>
      <c r="Q41" s="638"/>
      <c r="R41" s="330"/>
      <c r="T41" s="446" t="s">
        <v>32</v>
      </c>
    </row>
    <row r="42" spans="1:20" x14ac:dyDescent="0.25">
      <c r="B42" s="328"/>
      <c r="C42" s="336"/>
      <c r="D42" s="333"/>
      <c r="E42" s="333"/>
      <c r="F42" s="333"/>
      <c r="G42" s="328"/>
      <c r="H42" s="333"/>
      <c r="I42" s="333"/>
      <c r="J42" s="333"/>
      <c r="K42" s="333"/>
      <c r="L42" s="333"/>
      <c r="M42" s="333"/>
      <c r="N42" s="333"/>
      <c r="O42" s="333"/>
      <c r="P42" s="333"/>
      <c r="Q42" s="333"/>
      <c r="R42" s="327"/>
    </row>
    <row r="43" spans="1:20" ht="58.5" customHeight="1" x14ac:dyDescent="0.75">
      <c r="B43" s="328"/>
      <c r="C43" s="330" t="s">
        <v>35</v>
      </c>
      <c r="D43" s="689" t="s">
        <v>36</v>
      </c>
      <c r="E43" s="690"/>
      <c r="F43" s="691"/>
      <c r="G43" s="328"/>
      <c r="H43" s="636"/>
      <c r="I43" s="637"/>
      <c r="J43" s="637"/>
      <c r="K43" s="637"/>
      <c r="L43" s="637"/>
      <c r="M43" s="637"/>
      <c r="N43" s="637"/>
      <c r="O43" s="637"/>
      <c r="P43" s="637"/>
      <c r="Q43" s="638"/>
      <c r="R43" s="327"/>
      <c r="T43" s="446" t="s">
        <v>32</v>
      </c>
    </row>
    <row r="44" spans="1:20" x14ac:dyDescent="0.25">
      <c r="B44" s="336"/>
      <c r="C44" s="336"/>
      <c r="D44" s="336"/>
      <c r="E44" s="336"/>
      <c r="F44" s="336"/>
      <c r="G44" s="336"/>
      <c r="H44" s="336"/>
      <c r="I44" s="336"/>
      <c r="J44" s="336"/>
      <c r="K44" s="336"/>
      <c r="L44" s="336"/>
      <c r="M44" s="336"/>
      <c r="N44" s="336"/>
      <c r="O44" s="336"/>
      <c r="P44" s="336"/>
      <c r="Q44" s="336"/>
      <c r="R44" s="336"/>
    </row>
    <row r="45" spans="1:20" ht="57" x14ac:dyDescent="0.85">
      <c r="B45" s="328"/>
      <c r="C45" s="336" t="s">
        <v>37</v>
      </c>
      <c r="D45" s="689" t="s">
        <v>38</v>
      </c>
      <c r="E45" s="690"/>
      <c r="F45" s="691"/>
      <c r="G45" s="328"/>
      <c r="H45" s="636"/>
      <c r="I45" s="637"/>
      <c r="J45" s="637"/>
      <c r="K45" s="637"/>
      <c r="L45" s="637"/>
      <c r="M45" s="637"/>
      <c r="N45" s="637"/>
      <c r="O45" s="637"/>
      <c r="P45" s="637"/>
      <c r="Q45" s="638"/>
      <c r="R45" s="327"/>
      <c r="T45" s="444" t="s">
        <v>32</v>
      </c>
    </row>
    <row r="46" spans="1:20" x14ac:dyDescent="0.25">
      <c r="B46" s="336"/>
      <c r="C46" s="336"/>
      <c r="D46" s="336"/>
      <c r="E46" s="336"/>
      <c r="F46" s="336"/>
      <c r="G46" s="336"/>
      <c r="H46" s="336"/>
      <c r="I46" s="336"/>
      <c r="J46" s="336"/>
      <c r="K46" s="336"/>
      <c r="L46" s="336"/>
      <c r="M46" s="336"/>
      <c r="N46" s="336"/>
      <c r="O46" s="336"/>
      <c r="P46" s="336"/>
      <c r="Q46" s="336"/>
      <c r="R46" s="336"/>
    </row>
    <row r="47" spans="1:20" ht="81" customHeight="1" x14ac:dyDescent="1.25">
      <c r="B47" s="328"/>
      <c r="C47" s="336" t="s">
        <v>39</v>
      </c>
      <c r="D47" s="689" t="s">
        <v>40</v>
      </c>
      <c r="E47" s="690"/>
      <c r="F47" s="691"/>
      <c r="G47" s="328"/>
      <c r="H47" s="636"/>
      <c r="I47" s="637"/>
      <c r="J47" s="637"/>
      <c r="K47" s="637"/>
      <c r="L47" s="637"/>
      <c r="M47" s="637"/>
      <c r="N47" s="637"/>
      <c r="O47" s="637"/>
      <c r="P47" s="637"/>
      <c r="Q47" s="638"/>
      <c r="R47" s="327"/>
      <c r="T47" s="445" t="s">
        <v>32</v>
      </c>
    </row>
    <row r="48" spans="1:20" x14ac:dyDescent="0.25">
      <c r="B48" s="336"/>
      <c r="C48" s="336"/>
      <c r="D48" s="336"/>
      <c r="E48" s="336"/>
      <c r="F48" s="336"/>
      <c r="G48" s="336"/>
      <c r="H48" s="336"/>
      <c r="I48" s="336"/>
      <c r="J48" s="336"/>
      <c r="K48" s="336"/>
      <c r="L48" s="336"/>
      <c r="M48" s="336"/>
      <c r="N48" s="336"/>
      <c r="O48" s="336"/>
      <c r="P48" s="336"/>
      <c r="Q48" s="336"/>
      <c r="R48" s="336"/>
    </row>
    <row r="49" spans="2:20" ht="140.25" hidden="1" x14ac:dyDescent="2">
      <c r="B49" s="328"/>
      <c r="C49" s="330" t="s">
        <v>41</v>
      </c>
      <c r="D49" s="689" t="s">
        <v>42</v>
      </c>
      <c r="E49" s="690"/>
      <c r="F49" s="691"/>
      <c r="G49" s="328"/>
      <c r="H49" s="636"/>
      <c r="I49" s="637"/>
      <c r="J49" s="637"/>
      <c r="K49" s="637"/>
      <c r="L49" s="637"/>
      <c r="M49" s="637"/>
      <c r="N49" s="637"/>
      <c r="O49" s="637"/>
      <c r="P49" s="637"/>
      <c r="Q49" s="638"/>
      <c r="R49" s="327"/>
      <c r="T49" s="447" t="s">
        <v>32</v>
      </c>
    </row>
    <row r="50" spans="2:20" hidden="1" x14ac:dyDescent="0.25">
      <c r="B50" s="328"/>
      <c r="C50" s="328"/>
      <c r="D50" s="328"/>
      <c r="E50" s="328"/>
      <c r="F50" s="328"/>
      <c r="G50" s="328"/>
      <c r="H50" s="336"/>
      <c r="I50" s="336"/>
      <c r="J50" s="336"/>
      <c r="K50" s="336"/>
      <c r="L50" s="336"/>
      <c r="M50" s="336"/>
      <c r="N50" s="336"/>
      <c r="O50" s="336"/>
      <c r="P50" s="336"/>
      <c r="Q50" s="336"/>
      <c r="R50" s="327"/>
    </row>
    <row r="51" spans="2:20" ht="61.5" hidden="1" x14ac:dyDescent="0.9">
      <c r="B51" s="328"/>
      <c r="C51" s="336" t="s">
        <v>43</v>
      </c>
      <c r="D51" s="689" t="s">
        <v>44</v>
      </c>
      <c r="E51" s="690"/>
      <c r="F51" s="691"/>
      <c r="G51" s="328"/>
      <c r="H51" s="636"/>
      <c r="I51" s="637"/>
      <c r="J51" s="637"/>
      <c r="K51" s="637"/>
      <c r="L51" s="637"/>
      <c r="M51" s="637"/>
      <c r="N51" s="637"/>
      <c r="O51" s="637"/>
      <c r="P51" s="637"/>
      <c r="Q51" s="638"/>
      <c r="R51" s="327"/>
      <c r="T51" s="443" t="s">
        <v>32</v>
      </c>
    </row>
    <row r="52" spans="2:20" hidden="1" x14ac:dyDescent="0.25">
      <c r="B52" s="328"/>
      <c r="C52" s="330"/>
      <c r="D52" s="328"/>
      <c r="E52" s="328"/>
      <c r="F52" s="328"/>
      <c r="G52" s="328"/>
      <c r="H52" s="336"/>
      <c r="I52" s="336"/>
      <c r="J52" s="336"/>
      <c r="K52" s="336"/>
      <c r="L52" s="336"/>
      <c r="M52" s="336"/>
      <c r="N52" s="336"/>
      <c r="O52" s="336"/>
      <c r="P52" s="336"/>
      <c r="Q52" s="336"/>
      <c r="R52" s="327"/>
    </row>
    <row r="53" spans="2:20" ht="84.75" hidden="1" x14ac:dyDescent="1.25">
      <c r="B53" s="328"/>
      <c r="C53" s="336" t="s">
        <v>45</v>
      </c>
      <c r="D53" s="689" t="s">
        <v>46</v>
      </c>
      <c r="E53" s="690"/>
      <c r="F53" s="691"/>
      <c r="G53" s="328"/>
      <c r="H53" s="636"/>
      <c r="I53" s="637"/>
      <c r="J53" s="637"/>
      <c r="K53" s="637"/>
      <c r="L53" s="637"/>
      <c r="M53" s="637"/>
      <c r="N53" s="637"/>
      <c r="O53" s="637"/>
      <c r="P53" s="637"/>
      <c r="Q53" s="638"/>
      <c r="R53" s="327"/>
      <c r="T53" s="448" t="s">
        <v>32</v>
      </c>
    </row>
    <row r="54" spans="2:20" hidden="1" x14ac:dyDescent="0.25">
      <c r="B54" s="328"/>
      <c r="C54" s="336"/>
      <c r="D54" s="328"/>
      <c r="E54" s="328"/>
      <c r="F54" s="328"/>
      <c r="G54" s="328"/>
      <c r="H54" s="336"/>
      <c r="I54" s="336"/>
      <c r="J54" s="336"/>
      <c r="K54" s="336"/>
      <c r="L54" s="336"/>
      <c r="M54" s="336"/>
      <c r="N54" s="336"/>
      <c r="O54" s="336"/>
      <c r="P54" s="336"/>
      <c r="Q54" s="336"/>
      <c r="R54" s="327"/>
    </row>
    <row r="55" spans="2:20" ht="153" hidden="1" x14ac:dyDescent="2.2000000000000002">
      <c r="B55" s="328"/>
      <c r="C55" s="336" t="s">
        <v>47</v>
      </c>
      <c r="D55" s="689" t="s">
        <v>82</v>
      </c>
      <c r="E55" s="690"/>
      <c r="F55" s="691"/>
      <c r="G55" s="328"/>
      <c r="H55" s="636"/>
      <c r="I55" s="637"/>
      <c r="J55" s="637"/>
      <c r="K55" s="637"/>
      <c r="L55" s="637"/>
      <c r="M55" s="637"/>
      <c r="N55" s="637"/>
      <c r="O55" s="637"/>
      <c r="P55" s="637"/>
      <c r="Q55" s="638"/>
      <c r="R55" s="327"/>
      <c r="T55" s="449" t="s">
        <v>32</v>
      </c>
    </row>
    <row r="56" spans="2:20" hidden="1" x14ac:dyDescent="0.25">
      <c r="B56" s="328"/>
      <c r="C56" s="328"/>
      <c r="D56" s="328"/>
      <c r="E56" s="328"/>
      <c r="F56" s="328"/>
      <c r="G56" s="328"/>
      <c r="H56" s="336"/>
      <c r="I56" s="336"/>
      <c r="J56" s="336"/>
      <c r="K56" s="336"/>
      <c r="L56" s="336"/>
      <c r="M56" s="336"/>
      <c r="N56" s="336"/>
      <c r="O56" s="336"/>
      <c r="P56" s="336"/>
      <c r="Q56" s="336"/>
      <c r="R56" s="327"/>
    </row>
    <row r="57" spans="2:20" hidden="1" x14ac:dyDescent="0.25">
      <c r="B57" s="328"/>
      <c r="C57" s="336" t="s">
        <v>83</v>
      </c>
      <c r="D57" s="686" t="s">
        <v>84</v>
      </c>
      <c r="E57" s="687"/>
      <c r="F57" s="688"/>
      <c r="G57" s="328"/>
      <c r="H57" s="636"/>
      <c r="I57" s="637"/>
      <c r="J57" s="637"/>
      <c r="K57" s="637"/>
      <c r="L57" s="637"/>
      <c r="M57" s="637"/>
      <c r="N57" s="637"/>
      <c r="O57" s="637"/>
      <c r="P57" s="637"/>
      <c r="Q57" s="638"/>
      <c r="R57" s="327"/>
    </row>
    <row r="58" spans="2:20" hidden="1" x14ac:dyDescent="0.25">
      <c r="B58" s="328"/>
      <c r="C58" s="328"/>
      <c r="D58" s="328"/>
      <c r="E58" s="328"/>
      <c r="F58" s="328"/>
      <c r="G58" s="328"/>
      <c r="H58" s="336"/>
      <c r="I58" s="336"/>
      <c r="J58" s="336"/>
      <c r="K58" s="336"/>
      <c r="L58" s="336"/>
      <c r="M58" s="336"/>
      <c r="N58" s="336"/>
      <c r="O58" s="336"/>
      <c r="P58" s="336"/>
      <c r="Q58" s="336"/>
      <c r="R58" s="327"/>
    </row>
    <row r="59" spans="2:20" hidden="1" x14ac:dyDescent="0.25">
      <c r="B59" s="328"/>
      <c r="C59" s="336" t="s">
        <v>85</v>
      </c>
      <c r="D59" s="686" t="s">
        <v>86</v>
      </c>
      <c r="E59" s="687"/>
      <c r="F59" s="688"/>
      <c r="G59" s="328"/>
      <c r="H59" s="636"/>
      <c r="I59" s="637"/>
      <c r="J59" s="637"/>
      <c r="K59" s="637"/>
      <c r="L59" s="637"/>
      <c r="M59" s="637"/>
      <c r="N59" s="637"/>
      <c r="O59" s="637"/>
      <c r="P59" s="637"/>
      <c r="Q59" s="638"/>
      <c r="R59" s="327"/>
    </row>
    <row r="60" spans="2:20" hidden="1" x14ac:dyDescent="0.25">
      <c r="B60" s="328"/>
      <c r="C60" s="328"/>
      <c r="D60" s="328"/>
      <c r="E60" s="328"/>
      <c r="F60" s="328"/>
      <c r="G60" s="328"/>
      <c r="H60" s="336"/>
      <c r="I60" s="336"/>
      <c r="J60" s="336"/>
      <c r="K60" s="336"/>
      <c r="L60" s="336"/>
      <c r="M60" s="336"/>
      <c r="N60" s="336"/>
      <c r="O60" s="336"/>
      <c r="P60" s="336"/>
      <c r="Q60" s="336"/>
      <c r="R60" s="327"/>
    </row>
    <row r="61" spans="2:20" hidden="1" x14ac:dyDescent="0.25">
      <c r="B61" s="328"/>
      <c r="C61" s="336" t="s">
        <v>87</v>
      </c>
      <c r="D61" s="686" t="s">
        <v>88</v>
      </c>
      <c r="E61" s="687"/>
      <c r="F61" s="688"/>
      <c r="G61" s="328"/>
      <c r="H61" s="636"/>
      <c r="I61" s="637"/>
      <c r="J61" s="637"/>
      <c r="K61" s="637"/>
      <c r="L61" s="637"/>
      <c r="M61" s="637"/>
      <c r="N61" s="637"/>
      <c r="O61" s="637"/>
      <c r="P61" s="637"/>
      <c r="Q61" s="638"/>
      <c r="R61" s="327"/>
    </row>
    <row r="62" spans="2:20" hidden="1" x14ac:dyDescent="0.25">
      <c r="B62" s="328"/>
      <c r="C62" s="328"/>
      <c r="D62" s="328"/>
      <c r="E62" s="328"/>
      <c r="F62" s="328"/>
      <c r="G62" s="328"/>
      <c r="H62" s="336"/>
      <c r="I62" s="336"/>
      <c r="J62" s="336"/>
      <c r="K62" s="336"/>
      <c r="L62" s="336"/>
      <c r="M62" s="336"/>
      <c r="N62" s="336"/>
      <c r="O62" s="336"/>
      <c r="P62" s="336"/>
      <c r="Q62" s="336"/>
      <c r="R62" s="327"/>
    </row>
    <row r="63" spans="2:20" hidden="1" x14ac:dyDescent="0.25">
      <c r="B63" s="328"/>
      <c r="C63" s="336" t="s">
        <v>89</v>
      </c>
      <c r="D63" s="686" t="s">
        <v>90</v>
      </c>
      <c r="E63" s="687"/>
      <c r="F63" s="688"/>
      <c r="G63" s="328"/>
      <c r="H63" s="636"/>
      <c r="I63" s="637"/>
      <c r="J63" s="637"/>
      <c r="K63" s="637"/>
      <c r="L63" s="637"/>
      <c r="M63" s="637"/>
      <c r="N63" s="637"/>
      <c r="O63" s="637"/>
      <c r="P63" s="637"/>
      <c r="Q63" s="638"/>
      <c r="R63" s="327"/>
    </row>
    <row r="64" spans="2:20" hidden="1" x14ac:dyDescent="0.25">
      <c r="B64" s="328"/>
      <c r="C64" s="328"/>
      <c r="D64" s="328"/>
      <c r="E64" s="328"/>
      <c r="F64" s="328"/>
      <c r="G64" s="328"/>
      <c r="H64" s="336"/>
      <c r="I64" s="336"/>
      <c r="J64" s="336"/>
      <c r="K64" s="336"/>
      <c r="L64" s="336"/>
      <c r="M64" s="336"/>
      <c r="N64" s="336"/>
      <c r="O64" s="336"/>
      <c r="P64" s="336"/>
      <c r="Q64" s="336"/>
      <c r="R64" s="327"/>
    </row>
    <row r="65" spans="2:18" hidden="1" x14ac:dyDescent="0.25">
      <c r="B65" s="328"/>
      <c r="C65" s="336" t="s">
        <v>91</v>
      </c>
      <c r="D65" s="686" t="s">
        <v>185</v>
      </c>
      <c r="E65" s="687"/>
      <c r="F65" s="688"/>
      <c r="G65" s="328"/>
      <c r="H65" s="636"/>
      <c r="I65" s="637"/>
      <c r="J65" s="637"/>
      <c r="K65" s="637"/>
      <c r="L65" s="637"/>
      <c r="M65" s="637"/>
      <c r="N65" s="637"/>
      <c r="O65" s="637"/>
      <c r="P65" s="637"/>
      <c r="Q65" s="638"/>
      <c r="R65" s="327"/>
    </row>
    <row r="66" spans="2:18" hidden="1" x14ac:dyDescent="0.25">
      <c r="B66" s="328"/>
      <c r="C66" s="328"/>
      <c r="D66" s="328"/>
      <c r="E66" s="328"/>
      <c r="F66" s="328"/>
      <c r="G66" s="328"/>
      <c r="H66" s="336"/>
      <c r="I66" s="336"/>
      <c r="J66" s="336"/>
      <c r="K66" s="336"/>
      <c r="L66" s="336"/>
      <c r="M66" s="336"/>
      <c r="N66" s="336"/>
      <c r="O66" s="336"/>
      <c r="P66" s="336"/>
      <c r="Q66" s="336"/>
      <c r="R66" s="327"/>
    </row>
    <row r="67" spans="2:18" hidden="1" x14ac:dyDescent="0.25">
      <c r="B67" s="328"/>
      <c r="C67" s="336" t="s">
        <v>93</v>
      </c>
      <c r="D67" s="686" t="s">
        <v>94</v>
      </c>
      <c r="E67" s="687"/>
      <c r="F67" s="688"/>
      <c r="G67" s="328"/>
      <c r="H67" s="636"/>
      <c r="I67" s="637"/>
      <c r="J67" s="637"/>
      <c r="K67" s="637"/>
      <c r="L67" s="637"/>
      <c r="M67" s="637"/>
      <c r="N67" s="637"/>
      <c r="O67" s="637"/>
      <c r="P67" s="637"/>
      <c r="Q67" s="638"/>
      <c r="R67" s="327"/>
    </row>
    <row r="68" spans="2:18" hidden="1" x14ac:dyDescent="0.25">
      <c r="B68" s="328"/>
      <c r="C68" s="328"/>
      <c r="D68" s="328"/>
      <c r="E68" s="328"/>
      <c r="F68" s="328"/>
      <c r="G68" s="328"/>
      <c r="H68" s="336"/>
      <c r="I68" s="336"/>
      <c r="J68" s="336"/>
      <c r="K68" s="336"/>
      <c r="L68" s="336"/>
      <c r="M68" s="336"/>
      <c r="N68" s="336"/>
      <c r="O68" s="336"/>
      <c r="P68" s="336"/>
      <c r="Q68" s="336"/>
      <c r="R68" s="327"/>
    </row>
    <row r="69" spans="2:18" hidden="1" x14ac:dyDescent="0.25">
      <c r="B69" s="328"/>
      <c r="C69" s="336" t="s">
        <v>95</v>
      </c>
      <c r="D69" s="686" t="s">
        <v>96</v>
      </c>
      <c r="E69" s="687"/>
      <c r="F69" s="688"/>
      <c r="G69" s="328"/>
      <c r="H69" s="636"/>
      <c r="I69" s="637"/>
      <c r="J69" s="637"/>
      <c r="K69" s="637"/>
      <c r="L69" s="637"/>
      <c r="M69" s="637"/>
      <c r="N69" s="637"/>
      <c r="O69" s="637"/>
      <c r="P69" s="637"/>
      <c r="Q69" s="638"/>
      <c r="R69" s="327"/>
    </row>
    <row r="70" spans="2:18" hidden="1" x14ac:dyDescent="0.25">
      <c r="B70" s="328"/>
      <c r="C70" s="328"/>
      <c r="D70" s="328"/>
      <c r="E70" s="328"/>
      <c r="F70" s="328"/>
      <c r="G70" s="328"/>
      <c r="H70" s="336"/>
      <c r="I70" s="336"/>
      <c r="J70" s="336"/>
      <c r="K70" s="336"/>
      <c r="L70" s="336"/>
      <c r="M70" s="336"/>
      <c r="N70" s="336"/>
      <c r="O70" s="336"/>
      <c r="P70" s="336"/>
      <c r="Q70" s="336"/>
      <c r="R70" s="327"/>
    </row>
    <row r="71" spans="2:18" hidden="1" x14ac:dyDescent="0.25">
      <c r="B71" s="328"/>
      <c r="C71" s="336" t="s">
        <v>97</v>
      </c>
      <c r="D71" s="686" t="s">
        <v>98</v>
      </c>
      <c r="E71" s="687"/>
      <c r="F71" s="688"/>
      <c r="G71" s="328"/>
      <c r="H71" s="636"/>
      <c r="I71" s="637"/>
      <c r="J71" s="637"/>
      <c r="K71" s="637"/>
      <c r="L71" s="637"/>
      <c r="M71" s="637"/>
      <c r="N71" s="637"/>
      <c r="O71" s="637"/>
      <c r="P71" s="637"/>
      <c r="Q71" s="638"/>
      <c r="R71" s="327"/>
    </row>
    <row r="72" spans="2:18" hidden="1" x14ac:dyDescent="0.25">
      <c r="B72" s="328"/>
      <c r="C72" s="328"/>
      <c r="D72" s="328"/>
      <c r="E72" s="328"/>
      <c r="F72" s="328"/>
      <c r="G72" s="328"/>
      <c r="H72" s="336"/>
      <c r="I72" s="336"/>
      <c r="J72" s="336"/>
      <c r="K72" s="336"/>
      <c r="L72" s="336"/>
      <c r="M72" s="336"/>
      <c r="N72" s="336"/>
      <c r="O72" s="336"/>
      <c r="P72" s="336"/>
      <c r="Q72" s="336"/>
      <c r="R72" s="327"/>
    </row>
    <row r="73" spans="2:18" hidden="1" x14ac:dyDescent="0.25">
      <c r="B73" s="328"/>
      <c r="C73" s="336" t="s">
        <v>99</v>
      </c>
      <c r="D73" s="686" t="s">
        <v>100</v>
      </c>
      <c r="E73" s="687"/>
      <c r="F73" s="688"/>
      <c r="G73" s="328"/>
      <c r="H73" s="636"/>
      <c r="I73" s="637"/>
      <c r="J73" s="637"/>
      <c r="K73" s="637"/>
      <c r="L73" s="637"/>
      <c r="M73" s="637"/>
      <c r="N73" s="637"/>
      <c r="O73" s="637"/>
      <c r="P73" s="637"/>
      <c r="Q73" s="638"/>
      <c r="R73" s="327"/>
    </row>
    <row r="74" spans="2:18" hidden="1" x14ac:dyDescent="0.25">
      <c r="B74" s="328"/>
      <c r="C74" s="328"/>
      <c r="D74" s="328"/>
      <c r="E74" s="328"/>
      <c r="F74" s="328"/>
      <c r="G74" s="328"/>
      <c r="H74" s="336"/>
      <c r="I74" s="336"/>
      <c r="J74" s="336"/>
      <c r="K74" s="336"/>
      <c r="L74" s="336"/>
      <c r="M74" s="336"/>
      <c r="N74" s="336"/>
      <c r="O74" s="336"/>
      <c r="P74" s="336"/>
      <c r="Q74" s="336"/>
      <c r="R74" s="327"/>
    </row>
    <row r="75" spans="2:18" hidden="1" x14ac:dyDescent="0.25">
      <c r="B75" s="328"/>
      <c r="C75" s="336" t="s">
        <v>101</v>
      </c>
      <c r="D75" s="686" t="s">
        <v>102</v>
      </c>
      <c r="E75" s="687"/>
      <c r="F75" s="688"/>
      <c r="G75" s="328"/>
      <c r="H75" s="636"/>
      <c r="I75" s="637"/>
      <c r="J75" s="637"/>
      <c r="K75" s="637"/>
      <c r="L75" s="637"/>
      <c r="M75" s="637"/>
      <c r="N75" s="637"/>
      <c r="O75" s="637"/>
      <c r="P75" s="637"/>
      <c r="Q75" s="638"/>
      <c r="R75" s="327"/>
    </row>
    <row r="76" spans="2:18" hidden="1" x14ac:dyDescent="0.25">
      <c r="B76" s="328"/>
      <c r="C76" s="328"/>
      <c r="D76" s="328"/>
      <c r="E76" s="328"/>
      <c r="F76" s="328"/>
      <c r="G76" s="328"/>
      <c r="H76" s="336"/>
      <c r="I76" s="336"/>
      <c r="J76" s="336"/>
      <c r="K76" s="336"/>
      <c r="L76" s="336"/>
      <c r="M76" s="336"/>
      <c r="N76" s="336"/>
      <c r="O76" s="336"/>
      <c r="P76" s="336"/>
      <c r="Q76" s="336"/>
      <c r="R76" s="327"/>
    </row>
    <row r="77" spans="2:18" hidden="1" x14ac:dyDescent="0.25">
      <c r="B77" s="328"/>
      <c r="C77" s="336" t="s">
        <v>103</v>
      </c>
      <c r="D77" s="686" t="s">
        <v>104</v>
      </c>
      <c r="E77" s="687"/>
      <c r="F77" s="688"/>
      <c r="G77" s="328"/>
      <c r="H77" s="636"/>
      <c r="I77" s="637"/>
      <c r="J77" s="637"/>
      <c r="K77" s="637"/>
      <c r="L77" s="637"/>
      <c r="M77" s="637"/>
      <c r="N77" s="637"/>
      <c r="O77" s="637"/>
      <c r="P77" s="637"/>
      <c r="Q77" s="638"/>
      <c r="R77" s="327"/>
    </row>
    <row r="78" spans="2:18" hidden="1" x14ac:dyDescent="0.25">
      <c r="B78" s="328"/>
      <c r="C78" s="328"/>
      <c r="D78" s="328"/>
      <c r="E78" s="328"/>
      <c r="F78" s="328"/>
      <c r="G78" s="328"/>
      <c r="H78" s="336"/>
      <c r="I78" s="336"/>
      <c r="J78" s="336"/>
      <c r="K78" s="336"/>
      <c r="L78" s="336"/>
      <c r="M78" s="336"/>
      <c r="N78" s="336"/>
      <c r="O78" s="336"/>
      <c r="P78" s="336"/>
      <c r="Q78" s="336"/>
      <c r="R78" s="327"/>
    </row>
    <row r="79" spans="2:18" hidden="1" x14ac:dyDescent="0.25">
      <c r="B79" s="328"/>
      <c r="C79" s="336" t="s">
        <v>105</v>
      </c>
      <c r="D79" s="686" t="s">
        <v>106</v>
      </c>
      <c r="E79" s="687"/>
      <c r="F79" s="688"/>
      <c r="G79" s="328"/>
      <c r="H79" s="636"/>
      <c r="I79" s="637"/>
      <c r="J79" s="637"/>
      <c r="K79" s="637"/>
      <c r="L79" s="637"/>
      <c r="M79" s="637"/>
      <c r="N79" s="637"/>
      <c r="O79" s="637"/>
      <c r="P79" s="637"/>
      <c r="Q79" s="638"/>
      <c r="R79" s="327"/>
    </row>
    <row r="80" spans="2:18" hidden="1" x14ac:dyDescent="0.25">
      <c r="B80" s="328"/>
      <c r="C80" s="328"/>
      <c r="D80" s="328"/>
      <c r="E80" s="328"/>
      <c r="F80" s="328"/>
      <c r="G80" s="328"/>
      <c r="H80" s="336"/>
      <c r="I80" s="336"/>
      <c r="J80" s="336"/>
      <c r="K80" s="336"/>
      <c r="L80" s="336"/>
      <c r="M80" s="336"/>
      <c r="N80" s="336"/>
      <c r="O80" s="336"/>
      <c r="P80" s="336"/>
      <c r="Q80" s="336"/>
      <c r="R80" s="327"/>
    </row>
    <row r="81" spans="1:18" hidden="1" x14ac:dyDescent="0.25">
      <c r="B81" s="328"/>
      <c r="C81" s="336" t="s">
        <v>107</v>
      </c>
      <c r="D81" s="686" t="s">
        <v>108</v>
      </c>
      <c r="E81" s="687"/>
      <c r="F81" s="688"/>
      <c r="G81" s="328"/>
      <c r="H81" s="636"/>
      <c r="I81" s="637"/>
      <c r="J81" s="637"/>
      <c r="K81" s="637"/>
      <c r="L81" s="637"/>
      <c r="M81" s="637"/>
      <c r="N81" s="637"/>
      <c r="O81" s="637"/>
      <c r="P81" s="637"/>
      <c r="Q81" s="638"/>
      <c r="R81" s="327"/>
    </row>
    <row r="82" spans="1:18" hidden="1" x14ac:dyDescent="0.25">
      <c r="B82" s="328"/>
      <c r="C82" s="328"/>
      <c r="D82" s="328"/>
      <c r="E82" s="328"/>
      <c r="F82" s="328"/>
      <c r="G82" s="328"/>
      <c r="H82" s="336"/>
      <c r="I82" s="336"/>
      <c r="J82" s="336"/>
      <c r="K82" s="336"/>
      <c r="L82" s="336"/>
      <c r="M82" s="336"/>
      <c r="N82" s="336"/>
      <c r="O82" s="336"/>
      <c r="P82" s="336"/>
      <c r="Q82" s="336"/>
      <c r="R82" s="327"/>
    </row>
    <row r="83" spans="1:18" hidden="1" x14ac:dyDescent="0.25">
      <c r="B83" s="328"/>
      <c r="C83" s="336" t="s">
        <v>109</v>
      </c>
      <c r="D83" s="686" t="s">
        <v>110</v>
      </c>
      <c r="E83" s="687"/>
      <c r="F83" s="688"/>
      <c r="G83" s="328"/>
      <c r="H83" s="636"/>
      <c r="I83" s="637"/>
      <c r="J83" s="637"/>
      <c r="K83" s="637"/>
      <c r="L83" s="637"/>
      <c r="M83" s="637"/>
      <c r="N83" s="637"/>
      <c r="O83" s="637"/>
      <c r="P83" s="637"/>
      <c r="Q83" s="638"/>
      <c r="R83" s="327"/>
    </row>
    <row r="84" spans="1:18" hidden="1" x14ac:dyDescent="0.25">
      <c r="B84" s="328"/>
      <c r="C84" s="328"/>
      <c r="D84" s="328"/>
      <c r="E84" s="328"/>
      <c r="F84" s="328"/>
      <c r="G84" s="328"/>
      <c r="H84" s="336"/>
      <c r="I84" s="336"/>
      <c r="J84" s="336"/>
      <c r="K84" s="336"/>
      <c r="L84" s="336"/>
      <c r="M84" s="336"/>
      <c r="N84" s="336"/>
      <c r="O84" s="336"/>
      <c r="P84" s="336"/>
      <c r="Q84" s="336"/>
      <c r="R84" s="327"/>
    </row>
    <row r="85" spans="1:18" hidden="1" x14ac:dyDescent="0.25">
      <c r="B85" s="328"/>
      <c r="C85" s="336" t="s">
        <v>111</v>
      </c>
      <c r="D85" s="686" t="s">
        <v>112</v>
      </c>
      <c r="E85" s="687"/>
      <c r="F85" s="688"/>
      <c r="G85" s="328"/>
      <c r="H85" s="636"/>
      <c r="I85" s="637"/>
      <c r="J85" s="637"/>
      <c r="K85" s="637"/>
      <c r="L85" s="637"/>
      <c r="M85" s="637"/>
      <c r="N85" s="637"/>
      <c r="O85" s="637"/>
      <c r="P85" s="637"/>
      <c r="Q85" s="638"/>
      <c r="R85" s="327"/>
    </row>
    <row r="86" spans="1:18" hidden="1" x14ac:dyDescent="0.25">
      <c r="B86" s="328"/>
      <c r="C86" s="328"/>
      <c r="D86" s="328"/>
      <c r="E86" s="328"/>
      <c r="F86" s="328"/>
      <c r="G86" s="328"/>
      <c r="H86" s="336"/>
      <c r="I86" s="336"/>
      <c r="J86" s="336"/>
      <c r="K86" s="336"/>
      <c r="L86" s="336"/>
      <c r="M86" s="336"/>
      <c r="N86" s="336"/>
      <c r="O86" s="336"/>
      <c r="P86" s="336"/>
      <c r="Q86" s="336"/>
      <c r="R86" s="327"/>
    </row>
    <row r="87" spans="1:18" hidden="1" x14ac:dyDescent="0.25">
      <c r="B87" s="328"/>
      <c r="C87" s="336" t="s">
        <v>113</v>
      </c>
      <c r="D87" s="686" t="s">
        <v>114</v>
      </c>
      <c r="E87" s="687"/>
      <c r="F87" s="688"/>
      <c r="G87" s="328"/>
      <c r="H87" s="636"/>
      <c r="I87" s="637"/>
      <c r="J87" s="637"/>
      <c r="K87" s="637"/>
      <c r="L87" s="637"/>
      <c r="M87" s="637"/>
      <c r="N87" s="637"/>
      <c r="O87" s="637"/>
      <c r="P87" s="637"/>
      <c r="Q87" s="638"/>
      <c r="R87" s="327"/>
    </row>
    <row r="88" spans="1:18" hidden="1" x14ac:dyDescent="0.25">
      <c r="B88" s="328"/>
      <c r="C88" s="328"/>
      <c r="D88" s="328"/>
      <c r="E88" s="328"/>
      <c r="F88" s="328"/>
      <c r="G88" s="328"/>
      <c r="H88" s="336"/>
      <c r="I88" s="336"/>
      <c r="J88" s="336"/>
      <c r="K88" s="336"/>
      <c r="L88" s="336"/>
      <c r="M88" s="336"/>
      <c r="N88" s="336"/>
      <c r="O88" s="336"/>
      <c r="P88" s="336"/>
      <c r="Q88" s="336"/>
      <c r="R88" s="327"/>
    </row>
    <row r="89" spans="1:18" hidden="1" x14ac:dyDescent="0.25">
      <c r="B89" s="328"/>
      <c r="C89" s="336" t="s">
        <v>115</v>
      </c>
      <c r="D89" s="686" t="s">
        <v>116</v>
      </c>
      <c r="E89" s="687"/>
      <c r="F89" s="688"/>
      <c r="G89" s="328"/>
      <c r="H89" s="636"/>
      <c r="I89" s="637"/>
      <c r="J89" s="637"/>
      <c r="K89" s="637"/>
      <c r="L89" s="637"/>
      <c r="M89" s="637"/>
      <c r="N89" s="637"/>
      <c r="O89" s="637"/>
      <c r="P89" s="637"/>
      <c r="Q89" s="638"/>
      <c r="R89" s="327"/>
    </row>
    <row r="90" spans="1:18" x14ac:dyDescent="0.25">
      <c r="B90" s="328"/>
      <c r="C90" s="328"/>
      <c r="D90" s="328"/>
      <c r="E90" s="328"/>
      <c r="F90" s="328"/>
      <c r="G90" s="328"/>
      <c r="H90" s="336"/>
      <c r="I90" s="336"/>
      <c r="J90" s="336"/>
      <c r="K90" s="336"/>
      <c r="L90" s="336"/>
      <c r="M90" s="336"/>
      <c r="N90" s="336"/>
      <c r="O90" s="336"/>
      <c r="P90" s="336"/>
      <c r="Q90" s="336"/>
      <c r="R90" s="327"/>
    </row>
    <row r="91" spans="1:18" x14ac:dyDescent="0.25">
      <c r="A91" s="346"/>
      <c r="B91" s="346"/>
      <c r="C91" s="346"/>
      <c r="D91" s="455" t="s">
        <v>49</v>
      </c>
      <c r="E91" s="346"/>
      <c r="F91" s="346"/>
      <c r="G91" s="347"/>
      <c r="H91" s="346"/>
      <c r="I91" s="346"/>
      <c r="J91" s="346"/>
      <c r="K91" s="346"/>
      <c r="L91" s="346"/>
      <c r="M91" s="346"/>
      <c r="N91" s="346"/>
      <c r="O91" s="346"/>
      <c r="P91" s="346"/>
      <c r="Q91" s="346"/>
      <c r="R91" s="346"/>
    </row>
    <row r="92" spans="1:18" hidden="1" x14ac:dyDescent="0.25">
      <c r="B92" s="328"/>
      <c r="C92" s="336" t="s">
        <v>90</v>
      </c>
      <c r="D92" s="336" t="s">
        <v>118</v>
      </c>
      <c r="E92" s="336"/>
      <c r="F92" s="336"/>
      <c r="G92" s="336"/>
      <c r="H92" s="336"/>
      <c r="I92" s="336"/>
      <c r="J92" s="336"/>
      <c r="K92" s="328"/>
      <c r="L92" s="334" t="s">
        <v>119</v>
      </c>
      <c r="M92" s="328"/>
      <c r="N92" s="334" t="s">
        <v>120</v>
      </c>
      <c r="O92" s="334"/>
      <c r="P92" s="334"/>
      <c r="Q92" s="329" t="s">
        <v>120</v>
      </c>
      <c r="R92" s="327"/>
    </row>
    <row r="93" spans="1:18" hidden="1" x14ac:dyDescent="0.25">
      <c r="B93" s="348"/>
      <c r="C93" s="349"/>
      <c r="D93" s="350" t="s">
        <v>50</v>
      </c>
      <c r="E93" s="351"/>
      <c r="F93" s="351"/>
      <c r="G93" s="351"/>
      <c r="H93" s="351"/>
      <c r="I93" s="351"/>
      <c r="J93" s="351"/>
      <c r="K93" s="351"/>
      <c r="L93" s="351"/>
      <c r="M93" s="351"/>
      <c r="N93" s="351"/>
      <c r="O93" s="351"/>
      <c r="P93" s="351"/>
      <c r="Q93" s="351"/>
      <c r="R93" s="329"/>
    </row>
    <row r="94" spans="1:18" x14ac:dyDescent="0.25">
      <c r="B94" s="328"/>
      <c r="C94" s="329"/>
      <c r="D94" s="329"/>
      <c r="E94" s="328"/>
      <c r="F94" s="328"/>
      <c r="G94" s="328"/>
      <c r="H94" s="329"/>
      <c r="I94" s="328"/>
      <c r="J94" s="328"/>
      <c r="K94" s="328"/>
      <c r="L94" s="329"/>
      <c r="M94" s="328"/>
      <c r="N94" s="329"/>
      <c r="O94" s="328"/>
      <c r="P94" s="328"/>
      <c r="Q94" s="328"/>
      <c r="R94" s="327"/>
    </row>
    <row r="95" spans="1:18" x14ac:dyDescent="0.25">
      <c r="B95" s="328"/>
      <c r="C95" s="330" t="s">
        <v>51</v>
      </c>
      <c r="D95" s="680" t="s">
        <v>52</v>
      </c>
      <c r="E95" s="681"/>
      <c r="F95" s="681"/>
      <c r="G95" s="681"/>
      <c r="H95" s="681"/>
      <c r="I95" s="681"/>
      <c r="J95" s="682"/>
      <c r="K95" s="328"/>
      <c r="L95" s="21"/>
      <c r="M95" s="328"/>
      <c r="N95" s="352"/>
      <c r="O95" s="352"/>
      <c r="P95" s="352"/>
      <c r="Q95" s="475"/>
      <c r="R95" s="328"/>
    </row>
    <row r="96" spans="1:18" x14ac:dyDescent="0.25">
      <c r="B96" s="328"/>
      <c r="C96" s="353"/>
      <c r="D96" s="328"/>
      <c r="E96" s="328"/>
      <c r="F96" s="333"/>
      <c r="G96" s="328"/>
      <c r="H96" s="333"/>
      <c r="I96" s="328"/>
      <c r="J96" s="328"/>
      <c r="K96" s="328"/>
      <c r="L96" s="328"/>
      <c r="M96" s="328"/>
      <c r="N96" s="328"/>
      <c r="O96" s="328"/>
      <c r="P96" s="327"/>
      <c r="Q96" s="328"/>
      <c r="R96" s="328"/>
    </row>
    <row r="97" spans="2:20" x14ac:dyDescent="0.25">
      <c r="B97" s="328"/>
      <c r="C97" s="336" t="s">
        <v>53</v>
      </c>
      <c r="D97" s="680" t="s">
        <v>54</v>
      </c>
      <c r="E97" s="681"/>
      <c r="F97" s="681"/>
      <c r="G97" s="681"/>
      <c r="H97" s="681"/>
      <c r="I97" s="681"/>
      <c r="J97" s="682"/>
      <c r="K97" s="328"/>
      <c r="L97" s="21"/>
      <c r="M97" s="328"/>
      <c r="N97" s="352"/>
      <c r="O97" s="352"/>
      <c r="P97" s="352"/>
      <c r="Q97" s="475"/>
      <c r="R97" s="328"/>
    </row>
    <row r="98" spans="2:20" x14ac:dyDescent="0.25">
      <c r="B98" s="328"/>
      <c r="C98" s="354"/>
      <c r="D98" s="355"/>
      <c r="E98" s="328"/>
      <c r="F98" s="328"/>
      <c r="G98" s="328"/>
      <c r="H98" s="333"/>
      <c r="I98" s="333"/>
      <c r="J98" s="333"/>
      <c r="K98" s="328"/>
      <c r="L98" s="328"/>
      <c r="M98" s="328"/>
      <c r="N98" s="328"/>
      <c r="O98" s="328"/>
      <c r="P98" s="328"/>
      <c r="Q98" s="328"/>
      <c r="R98" s="327"/>
    </row>
    <row r="99" spans="2:20" ht="33.75" x14ac:dyDescent="0.5">
      <c r="B99" s="328"/>
      <c r="C99" s="336" t="s">
        <v>56</v>
      </c>
      <c r="D99" s="680" t="s">
        <v>186</v>
      </c>
      <c r="E99" s="681"/>
      <c r="F99" s="681"/>
      <c r="G99" s="681"/>
      <c r="H99" s="681"/>
      <c r="I99" s="681"/>
      <c r="J99" s="682"/>
      <c r="K99" s="328"/>
      <c r="L99" s="21"/>
      <c r="M99" s="328"/>
      <c r="N99" s="352"/>
      <c r="O99" s="352"/>
      <c r="P99" s="352"/>
      <c r="Q99" s="475"/>
      <c r="R99" s="328"/>
      <c r="T99" s="442" t="s">
        <v>32</v>
      </c>
    </row>
    <row r="100" spans="2:20" x14ac:dyDescent="0.25">
      <c r="B100" s="328"/>
      <c r="C100" s="354"/>
      <c r="D100" s="355"/>
      <c r="E100" s="328"/>
      <c r="F100" s="328"/>
      <c r="G100" s="328"/>
      <c r="H100" s="333"/>
      <c r="I100" s="333"/>
      <c r="J100" s="333"/>
      <c r="K100" s="328"/>
      <c r="L100" s="328"/>
      <c r="M100" s="328"/>
      <c r="N100" s="328"/>
      <c r="O100" s="328"/>
      <c r="P100" s="328"/>
      <c r="Q100" s="328"/>
      <c r="R100" s="327"/>
    </row>
    <row r="101" spans="2:20" hidden="1" x14ac:dyDescent="0.25">
      <c r="B101" s="328"/>
      <c r="C101" s="328"/>
      <c r="D101" s="328"/>
      <c r="E101" s="328"/>
      <c r="F101" s="328"/>
      <c r="G101" s="328"/>
      <c r="H101" s="328"/>
      <c r="I101" s="328"/>
      <c r="J101" s="328"/>
      <c r="K101" s="328"/>
      <c r="L101" s="328"/>
      <c r="M101" s="328"/>
      <c r="N101" s="328"/>
      <c r="O101" s="328"/>
      <c r="P101" s="328"/>
      <c r="Q101" s="328"/>
      <c r="R101" s="327"/>
    </row>
    <row r="102" spans="2:20" ht="20.25" customHeight="1" x14ac:dyDescent="0.25">
      <c r="B102" s="683" t="s">
        <v>187</v>
      </c>
      <c r="C102" s="684"/>
      <c r="D102" s="684"/>
      <c r="E102" s="684"/>
      <c r="F102" s="684"/>
      <c r="G102" s="684"/>
      <c r="H102" s="684"/>
      <c r="I102" s="684"/>
      <c r="J102" s="684"/>
      <c r="K102" s="684"/>
      <c r="L102" s="684"/>
      <c r="M102" s="684"/>
      <c r="N102" s="684"/>
      <c r="O102" s="684"/>
      <c r="P102" s="684"/>
      <c r="Q102" s="684"/>
      <c r="R102" s="685"/>
    </row>
    <row r="103" spans="2:20" hidden="1" x14ac:dyDescent="0.25"/>
    <row r="104" spans="2:20" hidden="1" x14ac:dyDescent="0.25"/>
    <row r="105" spans="2:20" hidden="1" x14ac:dyDescent="0.25"/>
    <row r="106" spans="2:20" hidden="1" x14ac:dyDescent="0.25"/>
    <row r="107" spans="2:20" hidden="1" x14ac:dyDescent="0.25"/>
  </sheetData>
  <sheetProtection formatCells="0" formatColumns="0" formatRows="0" insertColumns="0" insertRows="0" insertHyperlinks="0" deleteColumns="0" deleteRows="0"/>
  <mergeCells count="91">
    <mergeCell ref="D11:F11"/>
    <mergeCell ref="H11:Q11"/>
    <mergeCell ref="D7:F7"/>
    <mergeCell ref="H7:Q7"/>
    <mergeCell ref="D9:F9"/>
    <mergeCell ref="H9:Q9"/>
    <mergeCell ref="D13:F13"/>
    <mergeCell ref="H13:Q13"/>
    <mergeCell ref="D15:F15"/>
    <mergeCell ref="H15:Q15"/>
    <mergeCell ref="D17:F17"/>
    <mergeCell ref="H17:Q17"/>
    <mergeCell ref="D19:F19"/>
    <mergeCell ref="H19:Q19"/>
    <mergeCell ref="D21:F21"/>
    <mergeCell ref="H21:Q21"/>
    <mergeCell ref="D23:F23"/>
    <mergeCell ref="H23:Q23"/>
    <mergeCell ref="D25:F25"/>
    <mergeCell ref="H25:Q25"/>
    <mergeCell ref="D27:F27"/>
    <mergeCell ref="H27:Q27"/>
    <mergeCell ref="D29:F29"/>
    <mergeCell ref="H29:Q29"/>
    <mergeCell ref="D31:F31"/>
    <mergeCell ref="H31:Q31"/>
    <mergeCell ref="D33:F33"/>
    <mergeCell ref="H33:Q33"/>
    <mergeCell ref="D37:F37"/>
    <mergeCell ref="H37:Q37"/>
    <mergeCell ref="D39:F39"/>
    <mergeCell ref="H39:Q39"/>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1:F71"/>
    <mergeCell ref="H71:Q71"/>
    <mergeCell ref="D73:F73"/>
    <mergeCell ref="H73:Q73"/>
    <mergeCell ref="D75:F75"/>
    <mergeCell ref="H75:Q75"/>
    <mergeCell ref="D77:F77"/>
    <mergeCell ref="H77:Q77"/>
    <mergeCell ref="D79:F79"/>
    <mergeCell ref="H79:Q79"/>
    <mergeCell ref="D81:F81"/>
    <mergeCell ref="H81:Q81"/>
    <mergeCell ref="D83:F83"/>
    <mergeCell ref="H83:Q83"/>
    <mergeCell ref="D85:F85"/>
    <mergeCell ref="H85:Q85"/>
    <mergeCell ref="D99:J99"/>
    <mergeCell ref="B102:R102"/>
    <mergeCell ref="D87:F87"/>
    <mergeCell ref="H87:Q87"/>
    <mergeCell ref="D89:F89"/>
    <mergeCell ref="H89:Q89"/>
    <mergeCell ref="D95:J95"/>
    <mergeCell ref="D97:J97"/>
    <mergeCell ref="B1:XFD1"/>
    <mergeCell ref="B4:R4"/>
    <mergeCell ref="B2:B3"/>
    <mergeCell ref="D3:Q3"/>
    <mergeCell ref="D2:Q2"/>
  </mergeCells>
  <dataValidations count="4">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 type="list" allowBlank="1" showInputMessage="1" showErrorMessage="1" sqref="C2:C3">
      <formula1>"✓, X"</formula1>
    </dataValidation>
  </dataValidations>
  <hyperlinks>
    <hyperlink ref="D2:Q2" r:id="rId1" display="* I have read and agreed to the following CAMSS Privacy Statement: LINK."/>
    <hyperlink ref="H17" r:id="rId2"/>
    <hyperlink ref="H39" r:id="rId3"/>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RowHeight="15" x14ac:dyDescent="0.25"/>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defaultRowHeight="15" x14ac:dyDescent="0.25"/>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73"/>
  <sheetViews>
    <sheetView showGridLines="0" showRowColHeaders="0" workbookViewId="0">
      <selection activeCell="C18" sqref="C18:E18"/>
    </sheetView>
  </sheetViews>
  <sheetFormatPr defaultColWidth="0" defaultRowHeight="15" zeroHeight="1" x14ac:dyDescent="0.25"/>
  <cols>
    <col min="1" max="1" width="2.5703125" style="325" customWidth="1"/>
    <col min="2" max="2" width="5.28515625" style="325" customWidth="1"/>
    <col min="3" max="3" width="46.7109375" style="325" customWidth="1"/>
    <col min="4" max="4" width="2.7109375" style="325" customWidth="1"/>
    <col min="5" max="5" width="38.7109375" style="325" customWidth="1"/>
    <col min="6" max="6" width="2.7109375" style="325" customWidth="1"/>
    <col min="7" max="7" width="8.28515625" style="325" customWidth="1"/>
    <col min="8" max="8" width="2.7109375" style="325" customWidth="1"/>
    <col min="9" max="9" width="66" style="325" customWidth="1"/>
    <col min="10" max="10" width="2.7109375" style="325" customWidth="1"/>
    <col min="11" max="12" width="11.7109375" style="325" hidden="1" customWidth="1"/>
    <col min="13" max="16384" width="9" style="325" hidden="1"/>
  </cols>
  <sheetData>
    <row r="1" spans="1:10" x14ac:dyDescent="0.25">
      <c r="A1" s="357"/>
      <c r="B1" s="357"/>
      <c r="C1" s="358"/>
      <c r="D1" s="359"/>
      <c r="E1" s="359"/>
      <c r="F1" s="359"/>
      <c r="G1" s="357"/>
      <c r="H1" s="357"/>
      <c r="I1" s="360"/>
      <c r="J1" s="361"/>
    </row>
    <row r="2" spans="1:10" x14ac:dyDescent="0.25">
      <c r="A2" s="362"/>
      <c r="B2" s="362"/>
      <c r="C2" s="418" t="s">
        <v>125</v>
      </c>
      <c r="D2" s="363"/>
      <c r="E2" s="704">
        <v>44135</v>
      </c>
      <c r="F2" s="705"/>
      <c r="G2" s="705"/>
      <c r="H2" s="706"/>
      <c r="I2" s="364"/>
      <c r="J2" s="365"/>
    </row>
    <row r="3" spans="1:10" ht="5.25" customHeight="1" x14ac:dyDescent="0.25">
      <c r="A3" s="362"/>
      <c r="B3" s="362"/>
      <c r="C3" s="377"/>
      <c r="D3" s="363"/>
      <c r="E3" s="368"/>
      <c r="F3" s="368"/>
      <c r="G3" s="368"/>
      <c r="H3" s="368"/>
      <c r="I3" s="364"/>
      <c r="J3" s="365"/>
    </row>
    <row r="4" spans="1:10" x14ac:dyDescent="0.25">
      <c r="A4" s="362"/>
      <c r="B4" s="362"/>
      <c r="C4" s="418" t="s">
        <v>126</v>
      </c>
      <c r="D4" s="363"/>
      <c r="E4" s="774"/>
      <c r="F4" s="775"/>
      <c r="G4" s="775"/>
      <c r="H4" s="776"/>
      <c r="I4" s="364"/>
      <c r="J4" s="365"/>
    </row>
    <row r="5" spans="1:10" ht="5.25" customHeight="1" x14ac:dyDescent="0.25">
      <c r="A5" s="362"/>
      <c r="B5" s="362"/>
      <c r="C5" s="377"/>
      <c r="D5" s="363"/>
      <c r="E5" s="368"/>
      <c r="F5" s="368"/>
      <c r="G5" s="368"/>
      <c r="H5" s="368"/>
      <c r="I5" s="364"/>
      <c r="J5" s="365"/>
    </row>
    <row r="6" spans="1:10" hidden="1" x14ac:dyDescent="0.25">
      <c r="A6" s="362"/>
      <c r="B6" s="362"/>
      <c r="C6" s="377"/>
      <c r="D6" s="363"/>
      <c r="E6" s="707"/>
      <c r="F6" s="708"/>
      <c r="G6" s="708"/>
      <c r="H6" s="709"/>
      <c r="I6" s="364"/>
      <c r="J6" s="365"/>
    </row>
    <row r="7" spans="1:10" ht="5.25" hidden="1" customHeight="1" x14ac:dyDescent="0.25">
      <c r="A7" s="362"/>
      <c r="B7" s="362"/>
      <c r="C7" s="377"/>
      <c r="D7" s="363"/>
      <c r="E7" s="368"/>
      <c r="F7" s="368"/>
      <c r="G7" s="368"/>
      <c r="H7" s="368"/>
      <c r="I7" s="364"/>
      <c r="J7" s="365"/>
    </row>
    <row r="8" spans="1:10" ht="30" customHeight="1" x14ac:dyDescent="0.25">
      <c r="A8" s="362"/>
      <c r="B8" s="362"/>
      <c r="C8" s="418" t="s">
        <v>188</v>
      </c>
      <c r="D8" s="363"/>
      <c r="E8" s="710" t="s">
        <v>436</v>
      </c>
      <c r="F8" s="711"/>
      <c r="G8" s="711"/>
      <c r="H8" s="712"/>
      <c r="I8" s="364"/>
      <c r="J8" s="365"/>
    </row>
    <row r="9" spans="1:10" ht="5.25" customHeight="1" x14ac:dyDescent="0.25">
      <c r="A9" s="362"/>
      <c r="B9" s="362"/>
      <c r="C9" s="377"/>
      <c r="D9" s="363"/>
      <c r="E9" s="368"/>
      <c r="F9" s="368"/>
      <c r="G9" s="368"/>
      <c r="H9" s="368"/>
      <c r="I9" s="364"/>
      <c r="J9" s="365"/>
    </row>
    <row r="10" spans="1:10" x14ac:dyDescent="0.25">
      <c r="A10" s="362"/>
      <c r="B10" s="369"/>
      <c r="C10" s="418" t="s">
        <v>189</v>
      </c>
      <c r="D10" s="363"/>
      <c r="E10" s="777" t="s">
        <v>439</v>
      </c>
      <c r="F10" s="778"/>
      <c r="G10" s="778"/>
      <c r="H10" s="779"/>
      <c r="I10" s="364"/>
      <c r="J10" s="365"/>
    </row>
    <row r="11" spans="1:10" x14ac:dyDescent="0.25">
      <c r="A11" s="370"/>
      <c r="B11" s="370"/>
      <c r="C11" s="370"/>
      <c r="D11" s="371"/>
      <c r="E11" s="371"/>
      <c r="F11" s="371"/>
      <c r="G11" s="372"/>
      <c r="H11" s="370"/>
      <c r="I11" s="373"/>
      <c r="J11" s="374"/>
    </row>
    <row r="12" spans="1:10" ht="15.75" x14ac:dyDescent="0.25">
      <c r="A12" s="375"/>
      <c r="B12" s="376" t="s">
        <v>90</v>
      </c>
      <c r="C12" s="377" t="s">
        <v>118</v>
      </c>
      <c r="D12" s="378"/>
      <c r="E12" s="378"/>
      <c r="F12" s="378"/>
      <c r="G12" s="377" t="s">
        <v>119</v>
      </c>
      <c r="H12" s="378"/>
      <c r="I12" s="379" t="s">
        <v>120</v>
      </c>
      <c r="J12" s="380"/>
    </row>
    <row r="13" spans="1:10" ht="15.75" hidden="1" x14ac:dyDescent="0.25">
      <c r="A13" s="375"/>
      <c r="B13" s="376"/>
      <c r="C13" s="377"/>
      <c r="D13" s="378"/>
      <c r="E13" s="378"/>
      <c r="F13" s="378"/>
      <c r="G13" s="377"/>
      <c r="H13" s="378"/>
      <c r="I13" s="379"/>
      <c r="J13" s="381"/>
    </row>
    <row r="14" spans="1:10" ht="15" customHeight="1" x14ac:dyDescent="0.25">
      <c r="A14" s="453"/>
      <c r="B14" s="453"/>
      <c r="C14" s="713" t="s">
        <v>190</v>
      </c>
      <c r="D14" s="713"/>
      <c r="E14" s="713"/>
      <c r="F14" s="453"/>
      <c r="G14" s="453"/>
      <c r="H14" s="453"/>
      <c r="I14" s="453"/>
      <c r="J14" s="453"/>
    </row>
    <row r="15" spans="1:10" ht="15.75" x14ac:dyDescent="0.25">
      <c r="A15" s="375"/>
      <c r="B15" s="376"/>
      <c r="C15" s="377"/>
      <c r="D15" s="378"/>
      <c r="E15" s="378"/>
      <c r="F15" s="378"/>
      <c r="G15" s="377"/>
      <c r="H15" s="378"/>
      <c r="I15" s="379"/>
      <c r="J15" s="381"/>
    </row>
    <row r="16" spans="1:10" ht="15.75" x14ac:dyDescent="0.25">
      <c r="A16" s="375"/>
      <c r="B16" s="453"/>
      <c r="C16" s="454" t="s">
        <v>191</v>
      </c>
      <c r="D16" s="453"/>
      <c r="E16" s="453"/>
      <c r="F16" s="453"/>
      <c r="G16" s="453"/>
      <c r="H16" s="453"/>
      <c r="I16" s="453"/>
      <c r="J16" s="375"/>
    </row>
    <row r="17" spans="1:12" ht="15.75" x14ac:dyDescent="0.25">
      <c r="A17" s="375"/>
      <c r="B17" s="376"/>
      <c r="C17" s="377"/>
      <c r="D17" s="378"/>
      <c r="E17" s="378"/>
      <c r="F17" s="378"/>
      <c r="G17" s="377"/>
      <c r="H17" s="378"/>
      <c r="I17" s="379"/>
      <c r="J17" s="381"/>
    </row>
    <row r="18" spans="1:12" ht="135" x14ac:dyDescent="0.45">
      <c r="A18" s="375"/>
      <c r="B18" s="384" t="s">
        <v>128</v>
      </c>
      <c r="C18" s="701" t="s">
        <v>373</v>
      </c>
      <c r="D18" s="702"/>
      <c r="E18" s="703"/>
      <c r="F18" s="367"/>
      <c r="G18" s="780" t="s">
        <v>230</v>
      </c>
      <c r="H18" s="367"/>
      <c r="I18" s="781" t="s">
        <v>440</v>
      </c>
      <c r="J18" s="381"/>
      <c r="L18" s="385" t="s">
        <v>32</v>
      </c>
    </row>
    <row r="19" spans="1:12" x14ac:dyDescent="0.25">
      <c r="A19" s="377"/>
      <c r="B19" s="377"/>
      <c r="C19" s="377"/>
      <c r="D19" s="377"/>
      <c r="E19" s="377"/>
      <c r="F19" s="377"/>
      <c r="G19" s="377"/>
      <c r="H19" s="377"/>
      <c r="I19" s="377"/>
      <c r="J19" s="377"/>
    </row>
    <row r="20" spans="1:12" ht="15" customHeight="1" x14ac:dyDescent="0.25">
      <c r="A20" s="382"/>
      <c r="B20" s="452"/>
      <c r="C20" s="382" t="s">
        <v>192</v>
      </c>
      <c r="D20" s="382"/>
      <c r="E20" s="382"/>
      <c r="F20" s="382"/>
      <c r="G20" s="382"/>
      <c r="H20" s="382"/>
      <c r="I20" s="382"/>
      <c r="J20" s="382"/>
    </row>
    <row r="21" spans="1:12" ht="15" customHeight="1" x14ac:dyDescent="0.25">
      <c r="A21" s="386"/>
      <c r="B21" s="387"/>
      <c r="C21" s="386"/>
      <c r="D21" s="386"/>
      <c r="E21" s="386"/>
      <c r="F21" s="386"/>
      <c r="G21" s="388"/>
      <c r="H21" s="386"/>
      <c r="I21" s="389"/>
      <c r="J21" s="390"/>
    </row>
    <row r="22" spans="1:12" ht="15" customHeight="1" x14ac:dyDescent="0.25">
      <c r="A22" s="367"/>
      <c r="B22" s="382"/>
      <c r="C22" s="383" t="s">
        <v>193</v>
      </c>
      <c r="D22" s="382"/>
      <c r="E22" s="382"/>
      <c r="F22" s="382"/>
      <c r="G22" s="382"/>
      <c r="H22" s="382"/>
      <c r="I22" s="382"/>
      <c r="J22" s="391"/>
    </row>
    <row r="23" spans="1:12" ht="15" customHeight="1" x14ac:dyDescent="0.25">
      <c r="A23" s="367"/>
      <c r="B23" s="384"/>
      <c r="C23" s="386"/>
      <c r="D23" s="386"/>
      <c r="E23" s="386"/>
      <c r="F23" s="367"/>
      <c r="G23" s="368"/>
      <c r="H23" s="367"/>
      <c r="I23" s="389"/>
      <c r="J23" s="391"/>
    </row>
    <row r="24" spans="1:12" ht="183" customHeight="1" x14ac:dyDescent="0.25">
      <c r="A24" s="367"/>
      <c r="B24" s="384" t="s">
        <v>130</v>
      </c>
      <c r="C24" s="701" t="s">
        <v>374</v>
      </c>
      <c r="D24" s="702"/>
      <c r="E24" s="703"/>
      <c r="F24" s="367"/>
      <c r="G24" s="780" t="s">
        <v>231</v>
      </c>
      <c r="H24" s="367"/>
      <c r="I24" s="781" t="s">
        <v>441</v>
      </c>
      <c r="J24" s="391"/>
    </row>
    <row r="25" spans="1:12" ht="15" customHeight="1" x14ac:dyDescent="0.25">
      <c r="A25" s="367"/>
      <c r="B25" s="384"/>
      <c r="C25" s="386"/>
      <c r="D25" s="386"/>
      <c r="E25" s="386"/>
      <c r="F25" s="367"/>
      <c r="G25" s="368"/>
      <c r="H25" s="367"/>
      <c r="I25" s="389"/>
      <c r="J25" s="391"/>
    </row>
    <row r="26" spans="1:12" ht="195" x14ac:dyDescent="0.45">
      <c r="A26" s="367"/>
      <c r="B26" s="384" t="s">
        <v>132</v>
      </c>
      <c r="C26" s="701" t="s">
        <v>194</v>
      </c>
      <c r="D26" s="702"/>
      <c r="E26" s="703"/>
      <c r="F26" s="367"/>
      <c r="G26" s="780" t="s">
        <v>229</v>
      </c>
      <c r="H26" s="367"/>
      <c r="I26" s="781" t="s">
        <v>442</v>
      </c>
      <c r="J26" s="391"/>
      <c r="L26" s="385" t="s">
        <v>32</v>
      </c>
    </row>
    <row r="27" spans="1:12" ht="15" customHeight="1" x14ac:dyDescent="0.25">
      <c r="A27" s="367"/>
      <c r="B27" s="384"/>
      <c r="C27" s="392"/>
      <c r="D27" s="366"/>
      <c r="E27" s="366"/>
      <c r="F27" s="367"/>
      <c r="G27" s="368"/>
      <c r="H27" s="367"/>
      <c r="I27" s="389"/>
      <c r="J27" s="391"/>
    </row>
    <row r="28" spans="1:12" ht="135" x14ac:dyDescent="0.25">
      <c r="A28" s="367"/>
      <c r="B28" s="384" t="s">
        <v>135</v>
      </c>
      <c r="C28" s="701" t="s">
        <v>195</v>
      </c>
      <c r="D28" s="702"/>
      <c r="E28" s="703"/>
      <c r="F28" s="367"/>
      <c r="G28" s="780" t="s">
        <v>230</v>
      </c>
      <c r="H28" s="367"/>
      <c r="I28" s="781" t="s">
        <v>443</v>
      </c>
      <c r="J28" s="391"/>
    </row>
    <row r="29" spans="1:12" ht="15" customHeight="1" x14ac:dyDescent="0.25">
      <c r="A29" s="367"/>
      <c r="B29" s="384"/>
      <c r="C29" s="392"/>
      <c r="D29" s="366"/>
      <c r="E29" s="366"/>
      <c r="F29" s="367"/>
      <c r="G29" s="368"/>
      <c r="H29" s="367"/>
      <c r="I29" s="389"/>
      <c r="J29" s="391"/>
    </row>
    <row r="30" spans="1:12" ht="75" x14ac:dyDescent="0.25">
      <c r="A30" s="367"/>
      <c r="B30" s="384" t="s">
        <v>137</v>
      </c>
      <c r="C30" s="701" t="s">
        <v>375</v>
      </c>
      <c r="D30" s="702"/>
      <c r="E30" s="703"/>
      <c r="F30" s="367"/>
      <c r="G30" s="780" t="s">
        <v>230</v>
      </c>
      <c r="H30" s="367"/>
      <c r="I30" s="781" t="s">
        <v>444</v>
      </c>
      <c r="J30" s="391"/>
    </row>
    <row r="31" spans="1:12" ht="15" customHeight="1" x14ac:dyDescent="0.25">
      <c r="A31" s="367"/>
      <c r="B31" s="384"/>
      <c r="C31" s="392"/>
      <c r="D31" s="366"/>
      <c r="E31" s="366"/>
      <c r="F31" s="367"/>
      <c r="G31" s="368"/>
      <c r="H31" s="367"/>
      <c r="I31" s="389"/>
      <c r="J31" s="391"/>
    </row>
    <row r="32" spans="1:12" ht="165" x14ac:dyDescent="0.25">
      <c r="A32" s="367"/>
      <c r="B32" s="384" t="s">
        <v>145</v>
      </c>
      <c r="C32" s="701" t="s">
        <v>376</v>
      </c>
      <c r="D32" s="702"/>
      <c r="E32" s="703"/>
      <c r="F32" s="367"/>
      <c r="G32" s="780" t="s">
        <v>230</v>
      </c>
      <c r="H32" s="367"/>
      <c r="I32" s="781" t="s">
        <v>445</v>
      </c>
      <c r="J32" s="391"/>
    </row>
    <row r="33" spans="1:12" ht="15" customHeight="1" x14ac:dyDescent="0.25">
      <c r="A33" s="367"/>
      <c r="B33" s="393"/>
      <c r="C33" s="392"/>
      <c r="D33" s="366"/>
      <c r="E33" s="366"/>
      <c r="F33" s="367"/>
      <c r="G33" s="368"/>
      <c r="H33" s="367"/>
      <c r="I33" s="389"/>
      <c r="J33" s="391"/>
    </row>
    <row r="34" spans="1:12" ht="165" x14ac:dyDescent="0.25">
      <c r="A34" s="367"/>
      <c r="B34" s="384" t="s">
        <v>148</v>
      </c>
      <c r="C34" s="701" t="s">
        <v>377</v>
      </c>
      <c r="D34" s="702"/>
      <c r="E34" s="703"/>
      <c r="F34" s="367"/>
      <c r="G34" s="780" t="s">
        <v>230</v>
      </c>
      <c r="H34" s="367"/>
      <c r="I34" s="781" t="s">
        <v>446</v>
      </c>
      <c r="J34" s="391"/>
    </row>
    <row r="35" spans="1:12" ht="15" customHeight="1" x14ac:dyDescent="0.25">
      <c r="A35" s="367"/>
      <c r="B35" s="367"/>
      <c r="C35" s="392"/>
      <c r="D35" s="366"/>
      <c r="E35" s="366"/>
      <c r="F35" s="367"/>
      <c r="G35" s="368"/>
      <c r="H35" s="367"/>
      <c r="I35" s="389"/>
      <c r="J35" s="391"/>
    </row>
    <row r="36" spans="1:12" ht="180" x14ac:dyDescent="0.45">
      <c r="A36" s="367"/>
      <c r="B36" s="368" t="s">
        <v>151</v>
      </c>
      <c r="C36" s="701" t="s">
        <v>412</v>
      </c>
      <c r="D36" s="702"/>
      <c r="E36" s="703"/>
      <c r="F36" s="367"/>
      <c r="G36" s="780" t="s">
        <v>229</v>
      </c>
      <c r="H36" s="367"/>
      <c r="I36" s="781" t="s">
        <v>447</v>
      </c>
      <c r="J36" s="391"/>
      <c r="L36" s="385" t="s">
        <v>32</v>
      </c>
    </row>
    <row r="37" spans="1:12" ht="15" customHeight="1" x14ac:dyDescent="0.45">
      <c r="A37" s="367"/>
      <c r="B37" s="368"/>
      <c r="C37" s="399"/>
      <c r="D37" s="399"/>
      <c r="E37" s="399"/>
      <c r="F37" s="367"/>
      <c r="G37" s="400"/>
      <c r="H37" s="367"/>
      <c r="I37" s="389"/>
      <c r="J37" s="391"/>
      <c r="L37" s="385"/>
    </row>
    <row r="38" spans="1:12" ht="240" x14ac:dyDescent="0.45">
      <c r="A38" s="367"/>
      <c r="B38" s="368" t="s">
        <v>154</v>
      </c>
      <c r="C38" s="701" t="s">
        <v>423</v>
      </c>
      <c r="D38" s="702"/>
      <c r="E38" s="703"/>
      <c r="F38" s="367"/>
      <c r="G38" s="780" t="s">
        <v>229</v>
      </c>
      <c r="H38" s="367"/>
      <c r="I38" s="781" t="s">
        <v>448</v>
      </c>
      <c r="J38" s="391"/>
      <c r="L38" s="385"/>
    </row>
    <row r="39" spans="1:12" ht="15" customHeight="1" x14ac:dyDescent="0.25">
      <c r="A39" s="367"/>
      <c r="B39" s="368"/>
      <c r="C39" s="392"/>
      <c r="D39" s="366"/>
      <c r="E39" s="366"/>
      <c r="F39" s="367"/>
      <c r="G39" s="368"/>
      <c r="H39" s="367"/>
      <c r="I39" s="389"/>
      <c r="J39" s="391"/>
    </row>
    <row r="40" spans="1:12" ht="225" x14ac:dyDescent="0.25">
      <c r="A40" s="367"/>
      <c r="B40" s="368" t="s">
        <v>156</v>
      </c>
      <c r="C40" s="701" t="s">
        <v>378</v>
      </c>
      <c r="D40" s="702"/>
      <c r="E40" s="703"/>
      <c r="F40" s="367"/>
      <c r="G40" s="780" t="s">
        <v>229</v>
      </c>
      <c r="H40" s="367"/>
      <c r="I40" s="781" t="s">
        <v>449</v>
      </c>
      <c r="J40" s="391"/>
    </row>
    <row r="41" spans="1:12" ht="15" customHeight="1" x14ac:dyDescent="0.25">
      <c r="A41" s="367"/>
      <c r="B41" s="368"/>
      <c r="C41" s="392"/>
      <c r="D41" s="366"/>
      <c r="E41" s="366"/>
      <c r="F41" s="367"/>
      <c r="G41" s="368"/>
      <c r="H41" s="367"/>
      <c r="I41" s="389"/>
      <c r="J41" s="391"/>
    </row>
    <row r="42" spans="1:12" ht="90" x14ac:dyDescent="0.25">
      <c r="A42" s="367"/>
      <c r="B42" s="368" t="s">
        <v>158</v>
      </c>
      <c r="C42" s="701" t="s">
        <v>379</v>
      </c>
      <c r="D42" s="702"/>
      <c r="E42" s="703"/>
      <c r="F42" s="367"/>
      <c r="G42" s="780" t="s">
        <v>229</v>
      </c>
      <c r="H42" s="367"/>
      <c r="I42" s="781" t="s">
        <v>450</v>
      </c>
      <c r="J42" s="391"/>
    </row>
    <row r="43" spans="1:12" ht="15" customHeight="1" x14ac:dyDescent="0.25">
      <c r="A43" s="367"/>
      <c r="B43" s="368"/>
      <c r="C43" s="386"/>
      <c r="D43" s="386"/>
      <c r="E43" s="386"/>
      <c r="F43" s="367"/>
      <c r="G43" s="368"/>
      <c r="H43" s="367"/>
      <c r="I43" s="389"/>
      <c r="J43" s="391"/>
    </row>
    <row r="44" spans="1:12" x14ac:dyDescent="0.25">
      <c r="A44" s="367"/>
      <c r="B44" s="394"/>
      <c r="C44" s="395" t="s">
        <v>196</v>
      </c>
      <c r="D44" s="394"/>
      <c r="E44" s="394"/>
      <c r="F44" s="394"/>
      <c r="G44" s="394"/>
      <c r="H44" s="394"/>
      <c r="I44" s="394"/>
      <c r="J44" s="391"/>
    </row>
    <row r="45" spans="1:12" x14ac:dyDescent="0.25">
      <c r="A45" s="367"/>
      <c r="B45" s="368"/>
      <c r="C45" s="386"/>
      <c r="D45" s="386"/>
      <c r="E45" s="386"/>
      <c r="F45" s="367"/>
      <c r="G45" s="368"/>
      <c r="H45" s="367"/>
      <c r="I45" s="389"/>
      <c r="J45" s="391"/>
    </row>
    <row r="46" spans="1:12" ht="150" x14ac:dyDescent="0.45">
      <c r="A46" s="367"/>
      <c r="B46" s="368" t="s">
        <v>162</v>
      </c>
      <c r="C46" s="701" t="s">
        <v>414</v>
      </c>
      <c r="D46" s="702"/>
      <c r="E46" s="703"/>
      <c r="F46" s="367"/>
      <c r="G46" s="780" t="s">
        <v>231</v>
      </c>
      <c r="H46" s="367"/>
      <c r="I46" s="781" t="s">
        <v>451</v>
      </c>
      <c r="J46" s="391"/>
      <c r="L46" s="385" t="s">
        <v>32</v>
      </c>
    </row>
    <row r="47" spans="1:12" ht="14.45" customHeight="1" x14ac:dyDescent="0.45">
      <c r="A47" s="367"/>
      <c r="B47" s="368"/>
      <c r="C47" s="399"/>
      <c r="D47" s="399"/>
      <c r="E47" s="399"/>
      <c r="F47" s="367"/>
      <c r="G47" s="400"/>
      <c r="H47" s="367"/>
      <c r="I47" s="389"/>
      <c r="J47" s="391"/>
      <c r="L47" s="385"/>
    </row>
    <row r="48" spans="1:12" ht="150" x14ac:dyDescent="0.45">
      <c r="A48" s="367"/>
      <c r="B48" s="368" t="s">
        <v>165</v>
      </c>
      <c r="C48" s="701" t="s">
        <v>413</v>
      </c>
      <c r="D48" s="702"/>
      <c r="E48" s="703"/>
      <c r="F48" s="367"/>
      <c r="G48" s="780" t="s">
        <v>231</v>
      </c>
      <c r="H48" s="367"/>
      <c r="I48" s="781" t="s">
        <v>452</v>
      </c>
      <c r="J48" s="391"/>
      <c r="L48" s="385"/>
    </row>
    <row r="49" spans="1:12" x14ac:dyDescent="0.25">
      <c r="A49" s="367"/>
      <c r="B49" s="396"/>
      <c r="C49" s="397"/>
      <c r="D49" s="397"/>
      <c r="E49" s="397"/>
      <c r="F49" s="398"/>
      <c r="G49" s="368"/>
      <c r="H49" s="398"/>
      <c r="I49" s="389"/>
      <c r="J49" s="391"/>
    </row>
    <row r="50" spans="1:12" ht="150" x14ac:dyDescent="0.45">
      <c r="A50" s="367"/>
      <c r="B50" s="368" t="s">
        <v>198</v>
      </c>
      <c r="C50" s="701" t="s">
        <v>429</v>
      </c>
      <c r="D50" s="702"/>
      <c r="E50" s="703"/>
      <c r="F50" s="367"/>
      <c r="G50" s="780" t="s">
        <v>231</v>
      </c>
      <c r="H50" s="367"/>
      <c r="I50" s="781" t="s">
        <v>453</v>
      </c>
      <c r="J50" s="391"/>
      <c r="L50" s="385" t="s">
        <v>32</v>
      </c>
    </row>
    <row r="51" spans="1:12" x14ac:dyDescent="0.25">
      <c r="A51" s="367"/>
      <c r="B51" s="368"/>
      <c r="C51" s="399"/>
      <c r="D51" s="399"/>
      <c r="E51" s="399"/>
      <c r="F51" s="398"/>
      <c r="G51" s="400"/>
      <c r="H51" s="367"/>
      <c r="I51" s="389"/>
      <c r="J51" s="391"/>
    </row>
    <row r="52" spans="1:12" x14ac:dyDescent="0.25">
      <c r="A52" s="367"/>
      <c r="B52" s="394"/>
      <c r="C52" s="395" t="s">
        <v>197</v>
      </c>
      <c r="D52" s="394"/>
      <c r="E52" s="394"/>
      <c r="F52" s="394"/>
      <c r="G52" s="394"/>
      <c r="H52" s="394"/>
      <c r="I52" s="394"/>
      <c r="J52" s="391"/>
    </row>
    <row r="53" spans="1:12" x14ac:dyDescent="0.25">
      <c r="A53" s="367"/>
      <c r="B53" s="367"/>
      <c r="C53" s="386"/>
      <c r="D53" s="386"/>
      <c r="E53" s="386"/>
      <c r="F53" s="398"/>
      <c r="G53" s="368"/>
      <c r="H53" s="367"/>
      <c r="I53" s="389"/>
      <c r="J53" s="391"/>
    </row>
    <row r="54" spans="1:12" ht="135" x14ac:dyDescent="0.45">
      <c r="A54" s="367"/>
      <c r="B54" s="368" t="s">
        <v>168</v>
      </c>
      <c r="C54" s="701" t="s">
        <v>380</v>
      </c>
      <c r="D54" s="702"/>
      <c r="E54" s="703"/>
      <c r="F54" s="367"/>
      <c r="G54" s="780" t="s">
        <v>229</v>
      </c>
      <c r="H54" s="367"/>
      <c r="I54" s="781" t="s">
        <v>454</v>
      </c>
      <c r="J54" s="391"/>
      <c r="L54" s="385" t="s">
        <v>32</v>
      </c>
    </row>
    <row r="55" spans="1:12" x14ac:dyDescent="0.25">
      <c r="A55" s="367"/>
      <c r="B55" s="367"/>
      <c r="C55" s="386"/>
      <c r="D55" s="386"/>
      <c r="E55" s="386"/>
      <c r="F55" s="367"/>
      <c r="G55" s="368"/>
      <c r="H55" s="367"/>
      <c r="I55" s="389"/>
      <c r="J55" s="391"/>
    </row>
    <row r="56" spans="1:12" ht="150" x14ac:dyDescent="0.45">
      <c r="A56" s="367"/>
      <c r="B56" s="368" t="s">
        <v>200</v>
      </c>
      <c r="C56" s="701" t="s">
        <v>399</v>
      </c>
      <c r="D56" s="702"/>
      <c r="E56" s="703"/>
      <c r="F56" s="367"/>
      <c r="G56" s="780" t="s">
        <v>230</v>
      </c>
      <c r="H56" s="367"/>
      <c r="I56" s="781" t="s">
        <v>455</v>
      </c>
      <c r="J56" s="391"/>
      <c r="L56" s="385" t="s">
        <v>32</v>
      </c>
    </row>
    <row r="57" spans="1:12" ht="14.45" customHeight="1" x14ac:dyDescent="0.45">
      <c r="A57" s="367"/>
      <c r="B57" s="368"/>
      <c r="C57" s="399"/>
      <c r="D57" s="399"/>
      <c r="E57" s="399"/>
      <c r="F57" s="367"/>
      <c r="G57" s="400"/>
      <c r="H57" s="367"/>
      <c r="I57" s="389"/>
      <c r="J57" s="391"/>
      <c r="L57" s="385"/>
    </row>
    <row r="58" spans="1:12" ht="120" x14ac:dyDescent="0.45">
      <c r="A58" s="367"/>
      <c r="B58" s="368" t="s">
        <v>172</v>
      </c>
      <c r="C58" s="701" t="s">
        <v>398</v>
      </c>
      <c r="D58" s="702"/>
      <c r="E58" s="703"/>
      <c r="F58" s="367"/>
      <c r="G58" s="780" t="s">
        <v>230</v>
      </c>
      <c r="H58" s="367"/>
      <c r="I58" s="781" t="s">
        <v>456</v>
      </c>
      <c r="J58" s="391"/>
      <c r="L58" s="385"/>
    </row>
    <row r="59" spans="1:12" x14ac:dyDescent="0.25">
      <c r="A59" s="367"/>
      <c r="B59" s="368"/>
      <c r="C59" s="397"/>
      <c r="D59" s="386"/>
      <c r="E59" s="386"/>
      <c r="F59" s="367"/>
      <c r="G59" s="368"/>
      <c r="H59" s="367"/>
      <c r="I59" s="389"/>
      <c r="J59" s="391"/>
    </row>
    <row r="60" spans="1:12" x14ac:dyDescent="0.25">
      <c r="A60" s="367"/>
      <c r="B60" s="394"/>
      <c r="C60" s="717" t="s">
        <v>199</v>
      </c>
      <c r="D60" s="717"/>
      <c r="E60" s="717"/>
      <c r="F60" s="394"/>
      <c r="G60" s="394"/>
      <c r="H60" s="394"/>
      <c r="I60" s="394"/>
      <c r="J60" s="391"/>
    </row>
    <row r="61" spans="1:12" x14ac:dyDescent="0.25">
      <c r="A61" s="367"/>
      <c r="B61" s="367"/>
      <c r="C61" s="386"/>
      <c r="D61" s="386"/>
      <c r="E61" s="386"/>
      <c r="F61" s="367"/>
      <c r="G61" s="368"/>
      <c r="H61" s="367"/>
      <c r="I61" s="389"/>
      <c r="J61" s="391"/>
    </row>
    <row r="62" spans="1:12" ht="150" x14ac:dyDescent="0.25">
      <c r="A62" s="367"/>
      <c r="B62" s="368" t="s">
        <v>176</v>
      </c>
      <c r="C62" s="701" t="s">
        <v>430</v>
      </c>
      <c r="D62" s="702"/>
      <c r="E62" s="703"/>
      <c r="F62" s="367"/>
      <c r="G62" s="780" t="s">
        <v>229</v>
      </c>
      <c r="H62" s="367"/>
      <c r="I62" s="781" t="s">
        <v>457</v>
      </c>
      <c r="J62" s="391"/>
    </row>
    <row r="63" spans="1:12" x14ac:dyDescent="0.25">
      <c r="A63" s="367"/>
      <c r="B63" s="368"/>
      <c r="C63" s="386"/>
      <c r="D63" s="386"/>
      <c r="E63" s="386"/>
      <c r="F63" s="367"/>
      <c r="G63" s="368"/>
      <c r="H63" s="367"/>
      <c r="I63" s="389"/>
      <c r="J63" s="391"/>
    </row>
    <row r="64" spans="1:12" ht="150" x14ac:dyDescent="0.45">
      <c r="A64" s="367"/>
      <c r="B64" s="368" t="s">
        <v>180</v>
      </c>
      <c r="C64" s="701" t="s">
        <v>381</v>
      </c>
      <c r="D64" s="702"/>
      <c r="E64" s="703"/>
      <c r="F64" s="367"/>
      <c r="G64" s="780" t="s">
        <v>229</v>
      </c>
      <c r="H64" s="367"/>
      <c r="I64" s="781" t="s">
        <v>458</v>
      </c>
      <c r="J64" s="391"/>
      <c r="L64" s="385" t="s">
        <v>32</v>
      </c>
    </row>
    <row r="65" spans="1:12" x14ac:dyDescent="0.25">
      <c r="A65" s="367"/>
      <c r="B65" s="368"/>
      <c r="C65" s="366"/>
      <c r="D65" s="366"/>
      <c r="E65" s="366"/>
      <c r="F65" s="367"/>
      <c r="H65" s="367"/>
      <c r="I65" s="389"/>
      <c r="J65" s="391"/>
    </row>
    <row r="66" spans="1:12" ht="150" x14ac:dyDescent="0.45">
      <c r="A66" s="367"/>
      <c r="B66" s="368" t="s">
        <v>205</v>
      </c>
      <c r="C66" s="701" t="s">
        <v>382</v>
      </c>
      <c r="D66" s="702"/>
      <c r="E66" s="703"/>
      <c r="F66" s="367"/>
      <c r="G66" s="780" t="s">
        <v>231</v>
      </c>
      <c r="H66" s="367"/>
      <c r="I66" s="781" t="s">
        <v>459</v>
      </c>
      <c r="J66" s="391"/>
      <c r="L66" s="385" t="s">
        <v>32</v>
      </c>
    </row>
    <row r="67" spans="1:12" x14ac:dyDescent="0.25">
      <c r="A67" s="367"/>
      <c r="B67" s="368"/>
      <c r="C67" s="366"/>
      <c r="D67" s="366"/>
      <c r="E67" s="366"/>
      <c r="F67" s="367"/>
      <c r="H67" s="367"/>
      <c r="I67" s="389"/>
      <c r="J67" s="391"/>
    </row>
    <row r="68" spans="1:12" x14ac:dyDescent="0.25">
      <c r="A68" s="401"/>
      <c r="B68" s="401"/>
      <c r="C68" s="402" t="s">
        <v>201</v>
      </c>
      <c r="D68" s="403"/>
      <c r="E68" s="403"/>
      <c r="F68" s="403"/>
      <c r="G68" s="403"/>
      <c r="H68" s="403"/>
      <c r="I68" s="403"/>
      <c r="J68" s="404"/>
    </row>
    <row r="69" spans="1:12" x14ac:dyDescent="0.25">
      <c r="A69" s="367"/>
      <c r="B69" s="368"/>
      <c r="C69" s="366"/>
      <c r="D69" s="366"/>
      <c r="E69" s="366"/>
      <c r="F69" s="367"/>
      <c r="G69" s="389"/>
      <c r="H69" s="367"/>
      <c r="I69" s="389"/>
      <c r="J69" s="391"/>
    </row>
    <row r="70" spans="1:12" x14ac:dyDescent="0.25">
      <c r="A70" s="367"/>
      <c r="B70" s="405"/>
      <c r="C70" s="406" t="s">
        <v>202</v>
      </c>
      <c r="D70" s="405"/>
      <c r="E70" s="405"/>
      <c r="F70" s="405"/>
      <c r="G70" s="405"/>
      <c r="H70" s="405"/>
      <c r="I70" s="405"/>
      <c r="J70" s="391"/>
    </row>
    <row r="71" spans="1:12" x14ac:dyDescent="0.25">
      <c r="A71" s="367"/>
      <c r="B71" s="368"/>
      <c r="C71" s="366"/>
      <c r="D71" s="366"/>
      <c r="E71" s="366"/>
      <c r="F71" s="367"/>
      <c r="H71" s="367"/>
      <c r="I71" s="389"/>
      <c r="J71" s="391"/>
    </row>
    <row r="72" spans="1:12" ht="150" x14ac:dyDescent="0.25">
      <c r="A72" s="367"/>
      <c r="B72" s="368" t="s">
        <v>208</v>
      </c>
      <c r="C72" s="701" t="s">
        <v>383</v>
      </c>
      <c r="D72" s="702"/>
      <c r="E72" s="703"/>
      <c r="F72" s="367"/>
      <c r="G72" s="780" t="s">
        <v>231</v>
      </c>
      <c r="H72" s="367"/>
      <c r="I72" s="781" t="s">
        <v>460</v>
      </c>
      <c r="J72" s="391"/>
    </row>
    <row r="73" spans="1:12" x14ac:dyDescent="0.25">
      <c r="A73" s="367"/>
      <c r="B73" s="368"/>
      <c r="C73" s="366"/>
      <c r="D73" s="366"/>
      <c r="E73" s="366"/>
      <c r="F73" s="367"/>
      <c r="H73" s="367"/>
      <c r="I73" s="389"/>
      <c r="J73" s="391"/>
    </row>
    <row r="74" spans="1:12" x14ac:dyDescent="0.25">
      <c r="A74" s="367"/>
      <c r="B74" s="405"/>
      <c r="C74" s="406" t="s">
        <v>203</v>
      </c>
      <c r="D74" s="405"/>
      <c r="E74" s="405"/>
      <c r="F74" s="405"/>
      <c r="G74" s="405"/>
      <c r="H74" s="405"/>
      <c r="I74" s="405"/>
      <c r="J74" s="391"/>
    </row>
    <row r="75" spans="1:12" x14ac:dyDescent="0.25">
      <c r="A75" s="367"/>
      <c r="B75" s="368"/>
      <c r="C75" s="366"/>
      <c r="D75" s="366"/>
      <c r="E75" s="366"/>
      <c r="F75" s="367"/>
      <c r="H75" s="367"/>
      <c r="I75" s="389"/>
      <c r="J75" s="391"/>
    </row>
    <row r="76" spans="1:12" ht="135" x14ac:dyDescent="0.25">
      <c r="A76" s="367"/>
      <c r="B76" s="368" t="s">
        <v>211</v>
      </c>
      <c r="C76" s="701" t="s">
        <v>384</v>
      </c>
      <c r="D76" s="702"/>
      <c r="E76" s="703"/>
      <c r="F76" s="367"/>
      <c r="G76" s="780" t="s">
        <v>231</v>
      </c>
      <c r="H76" s="367"/>
      <c r="I76" s="781" t="s">
        <v>461</v>
      </c>
      <c r="J76" s="391"/>
    </row>
    <row r="77" spans="1:12" x14ac:dyDescent="0.25">
      <c r="A77" s="367"/>
      <c r="B77" s="368"/>
      <c r="C77" s="366"/>
      <c r="D77" s="366"/>
      <c r="E77" s="366"/>
      <c r="F77" s="367"/>
      <c r="G77" s="400"/>
      <c r="H77" s="367"/>
      <c r="I77" s="389"/>
      <c r="J77" s="391"/>
    </row>
    <row r="78" spans="1:12" x14ac:dyDescent="0.25">
      <c r="A78" s="367"/>
      <c r="B78" s="405"/>
      <c r="C78" s="406" t="s">
        <v>204</v>
      </c>
      <c r="D78" s="405"/>
      <c r="E78" s="405"/>
      <c r="F78" s="405"/>
      <c r="G78" s="405"/>
      <c r="H78" s="405"/>
      <c r="I78" s="405"/>
      <c r="J78" s="391"/>
    </row>
    <row r="79" spans="1:12" x14ac:dyDescent="0.25">
      <c r="A79" s="367"/>
      <c r="B79" s="368"/>
      <c r="C79" s="366"/>
      <c r="D79" s="366"/>
      <c r="E79" s="366"/>
      <c r="F79" s="367"/>
      <c r="G79" s="400"/>
      <c r="H79" s="367"/>
      <c r="I79" s="389"/>
      <c r="J79" s="391"/>
    </row>
    <row r="80" spans="1:12" ht="150" x14ac:dyDescent="0.45">
      <c r="A80" s="367"/>
      <c r="B80" s="368" t="s">
        <v>213</v>
      </c>
      <c r="C80" s="701" t="s">
        <v>206</v>
      </c>
      <c r="D80" s="702"/>
      <c r="E80" s="703"/>
      <c r="F80" s="367"/>
      <c r="G80" s="780" t="s">
        <v>229</v>
      </c>
      <c r="H80" s="367"/>
      <c r="I80" s="781" t="s">
        <v>462</v>
      </c>
      <c r="J80" s="391"/>
      <c r="L80" s="385" t="s">
        <v>32</v>
      </c>
    </row>
    <row r="81" spans="1:12" x14ac:dyDescent="0.25">
      <c r="A81" s="367"/>
      <c r="B81" s="368"/>
      <c r="C81" s="366"/>
      <c r="D81" s="366"/>
      <c r="E81" s="366"/>
      <c r="F81" s="367"/>
      <c r="G81" s="400"/>
      <c r="H81" s="367"/>
      <c r="I81" s="389"/>
      <c r="J81" s="391"/>
    </row>
    <row r="82" spans="1:12" x14ac:dyDescent="0.25">
      <c r="A82" s="367"/>
      <c r="B82" s="405"/>
      <c r="C82" s="406" t="s">
        <v>207</v>
      </c>
      <c r="D82" s="405"/>
      <c r="E82" s="405"/>
      <c r="F82" s="405"/>
      <c r="G82" s="405"/>
      <c r="H82" s="405"/>
      <c r="I82" s="405"/>
      <c r="J82" s="391"/>
    </row>
    <row r="83" spans="1:12" x14ac:dyDescent="0.25">
      <c r="A83" s="367"/>
      <c r="B83" s="368"/>
      <c r="C83" s="366"/>
      <c r="D83" s="366"/>
      <c r="E83" s="366"/>
      <c r="F83" s="367"/>
      <c r="G83" s="400"/>
      <c r="H83" s="367"/>
      <c r="I83" s="389"/>
      <c r="J83" s="391"/>
    </row>
    <row r="84" spans="1:12" ht="138" customHeight="1" x14ac:dyDescent="0.25">
      <c r="A84" s="367"/>
      <c r="B84" s="368" t="s">
        <v>215</v>
      </c>
      <c r="C84" s="701" t="s">
        <v>385</v>
      </c>
      <c r="D84" s="702"/>
      <c r="E84" s="703"/>
      <c r="F84" s="367"/>
      <c r="G84" s="780" t="s">
        <v>231</v>
      </c>
      <c r="H84" s="367"/>
      <c r="I84" s="781" t="s">
        <v>463</v>
      </c>
      <c r="J84" s="391"/>
    </row>
    <row r="85" spans="1:12" x14ac:dyDescent="0.25">
      <c r="A85" s="367"/>
      <c r="B85" s="368"/>
      <c r="C85" s="366"/>
      <c r="D85" s="366"/>
      <c r="E85" s="366"/>
      <c r="F85" s="367"/>
      <c r="G85" s="400"/>
      <c r="H85" s="367"/>
      <c r="I85" s="389"/>
      <c r="J85" s="391"/>
    </row>
    <row r="86" spans="1:12" x14ac:dyDescent="0.25">
      <c r="A86" s="407"/>
      <c r="B86" s="715" t="s">
        <v>209</v>
      </c>
      <c r="C86" s="715"/>
      <c r="D86" s="715"/>
      <c r="E86" s="715"/>
      <c r="F86" s="715"/>
      <c r="G86" s="715"/>
      <c r="H86" s="715"/>
      <c r="I86" s="715"/>
      <c r="J86" s="716"/>
    </row>
    <row r="87" spans="1:12" x14ac:dyDescent="0.25">
      <c r="A87" s="367"/>
      <c r="B87" s="368"/>
      <c r="C87" s="366"/>
      <c r="D87" s="366"/>
      <c r="E87" s="366"/>
      <c r="F87" s="367"/>
      <c r="G87" s="386"/>
      <c r="H87" s="367"/>
      <c r="I87" s="389"/>
      <c r="J87" s="391"/>
    </row>
    <row r="88" spans="1:12" x14ac:dyDescent="0.25">
      <c r="A88" s="367"/>
      <c r="B88" s="408"/>
      <c r="C88" s="409" t="s">
        <v>210</v>
      </c>
      <c r="D88" s="409"/>
      <c r="E88" s="409"/>
      <c r="F88" s="409"/>
      <c r="G88" s="409"/>
      <c r="H88" s="409"/>
      <c r="I88" s="409"/>
      <c r="J88" s="391"/>
    </row>
    <row r="89" spans="1:12" x14ac:dyDescent="0.25">
      <c r="A89" s="367"/>
      <c r="B89" s="368"/>
      <c r="C89" s="366"/>
      <c r="D89" s="366"/>
      <c r="E89" s="366"/>
      <c r="F89" s="367"/>
      <c r="G89" s="400"/>
      <c r="H89" s="367"/>
      <c r="I89" s="389"/>
      <c r="J89" s="391"/>
    </row>
    <row r="90" spans="1:12" ht="135" x14ac:dyDescent="0.45">
      <c r="A90" s="367"/>
      <c r="B90" s="368" t="s">
        <v>218</v>
      </c>
      <c r="C90" s="701" t="s">
        <v>386</v>
      </c>
      <c r="D90" s="702"/>
      <c r="E90" s="703"/>
      <c r="F90" s="367"/>
      <c r="G90" s="780" t="s">
        <v>229</v>
      </c>
      <c r="H90" s="367"/>
      <c r="I90" s="781" t="s">
        <v>464</v>
      </c>
      <c r="J90" s="391"/>
      <c r="L90" s="385" t="s">
        <v>32</v>
      </c>
    </row>
    <row r="91" spans="1:12" x14ac:dyDescent="0.25">
      <c r="A91" s="367"/>
      <c r="B91" s="368"/>
      <c r="C91" s="399"/>
      <c r="D91" s="399"/>
      <c r="E91" s="399"/>
      <c r="F91" s="367"/>
      <c r="G91" s="400"/>
      <c r="H91" s="367"/>
      <c r="I91" s="389"/>
      <c r="J91" s="391"/>
    </row>
    <row r="92" spans="1:12" x14ac:dyDescent="0.25">
      <c r="A92" s="367"/>
      <c r="B92" s="408"/>
      <c r="C92" s="409" t="s">
        <v>212</v>
      </c>
      <c r="D92" s="408"/>
      <c r="E92" s="408"/>
      <c r="F92" s="408"/>
      <c r="G92" s="408"/>
      <c r="H92" s="408"/>
      <c r="I92" s="408"/>
      <c r="J92" s="391"/>
    </row>
    <row r="93" spans="1:12" x14ac:dyDescent="0.25">
      <c r="A93" s="367"/>
      <c r="B93" s="368"/>
      <c r="C93" s="366"/>
      <c r="D93" s="366"/>
      <c r="E93" s="366"/>
      <c r="F93" s="367"/>
      <c r="G93" s="400"/>
      <c r="H93" s="367"/>
      <c r="I93" s="389"/>
      <c r="J93" s="391"/>
    </row>
    <row r="94" spans="1:12" ht="150" x14ac:dyDescent="0.45">
      <c r="A94" s="367"/>
      <c r="B94" s="368" t="s">
        <v>219</v>
      </c>
      <c r="C94" s="701" t="s">
        <v>387</v>
      </c>
      <c r="D94" s="702"/>
      <c r="E94" s="703"/>
      <c r="F94" s="367"/>
      <c r="G94" s="780" t="s">
        <v>229</v>
      </c>
      <c r="H94" s="367"/>
      <c r="I94" s="781" t="s">
        <v>465</v>
      </c>
      <c r="J94" s="391"/>
      <c r="L94" s="385" t="s">
        <v>32</v>
      </c>
    </row>
    <row r="95" spans="1:12" x14ac:dyDescent="0.25">
      <c r="A95" s="367"/>
      <c r="B95" s="368"/>
      <c r="C95" s="399"/>
      <c r="D95" s="399"/>
      <c r="E95" s="399"/>
      <c r="F95" s="367"/>
      <c r="G95" s="400"/>
      <c r="H95" s="367"/>
      <c r="I95" s="389"/>
      <c r="J95" s="391"/>
    </row>
    <row r="96" spans="1:12" x14ac:dyDescent="0.25">
      <c r="A96" s="367"/>
      <c r="B96" s="408"/>
      <c r="C96" s="714" t="s">
        <v>214</v>
      </c>
      <c r="D96" s="714"/>
      <c r="E96" s="714"/>
      <c r="F96" s="408"/>
      <c r="G96" s="408"/>
      <c r="H96" s="408"/>
      <c r="I96" s="408"/>
      <c r="J96" s="391"/>
    </row>
    <row r="97" spans="1:12" x14ac:dyDescent="0.25">
      <c r="A97" s="367"/>
      <c r="B97" s="368"/>
      <c r="C97" s="399"/>
      <c r="D97" s="399"/>
      <c r="E97" s="399"/>
      <c r="F97" s="367"/>
      <c r="G97" s="400"/>
      <c r="H97" s="367"/>
      <c r="I97" s="389"/>
      <c r="J97" s="391"/>
    </row>
    <row r="98" spans="1:12" ht="34.5" x14ac:dyDescent="0.45">
      <c r="A98" s="367"/>
      <c r="B98" s="368" t="s">
        <v>220</v>
      </c>
      <c r="C98" s="701" t="s">
        <v>388</v>
      </c>
      <c r="D98" s="702"/>
      <c r="E98" s="703"/>
      <c r="F98" s="367"/>
      <c r="G98" s="780" t="s">
        <v>230</v>
      </c>
      <c r="H98" s="367"/>
      <c r="I98" s="781" t="s">
        <v>466</v>
      </c>
      <c r="J98" s="391"/>
      <c r="L98" s="385" t="s">
        <v>32</v>
      </c>
    </row>
    <row r="99" spans="1:12" x14ac:dyDescent="0.25">
      <c r="A99" s="367"/>
      <c r="B99" s="368"/>
      <c r="C99" s="366"/>
      <c r="D99" s="366"/>
      <c r="E99" s="366"/>
      <c r="F99" s="367"/>
      <c r="G99" s="400"/>
      <c r="H99" s="367"/>
      <c r="I99" s="389"/>
      <c r="J99" s="391"/>
    </row>
    <row r="100" spans="1:12" ht="15" customHeight="1" x14ac:dyDescent="0.25">
      <c r="A100" s="410"/>
      <c r="B100" s="451"/>
      <c r="C100" s="451" t="s">
        <v>216</v>
      </c>
      <c r="D100" s="410"/>
      <c r="E100" s="410"/>
      <c r="F100" s="410"/>
      <c r="G100" s="410"/>
      <c r="H100" s="410"/>
      <c r="I100" s="410"/>
      <c r="J100" s="410"/>
    </row>
    <row r="101" spans="1:12" x14ac:dyDescent="0.25">
      <c r="A101" s="367"/>
      <c r="B101" s="411"/>
      <c r="C101" s="386"/>
      <c r="D101" s="411"/>
      <c r="E101" s="411"/>
      <c r="F101" s="411"/>
      <c r="G101" s="412"/>
      <c r="H101" s="411"/>
      <c r="I101" s="413"/>
      <c r="J101" s="391"/>
    </row>
    <row r="102" spans="1:12" x14ac:dyDescent="0.25">
      <c r="A102" s="386"/>
      <c r="B102" s="410"/>
      <c r="C102" s="414" t="s">
        <v>217</v>
      </c>
      <c r="D102" s="410"/>
      <c r="E102" s="410"/>
      <c r="F102" s="410"/>
      <c r="G102" s="410"/>
      <c r="H102" s="410"/>
      <c r="I102" s="410"/>
      <c r="J102" s="386"/>
    </row>
    <row r="103" spans="1:12" x14ac:dyDescent="0.25">
      <c r="A103" s="386"/>
      <c r="B103" s="386"/>
      <c r="C103" s="386"/>
      <c r="D103" s="386"/>
      <c r="E103" s="386"/>
      <c r="F103" s="386"/>
      <c r="G103" s="386"/>
      <c r="H103" s="386"/>
      <c r="I103" s="386"/>
      <c r="J103" s="386"/>
    </row>
    <row r="104" spans="1:12" ht="135.75" customHeight="1" x14ac:dyDescent="0.25">
      <c r="A104" s="386"/>
      <c r="B104" s="368" t="s">
        <v>221</v>
      </c>
      <c r="C104" s="701" t="s">
        <v>400</v>
      </c>
      <c r="D104" s="702"/>
      <c r="E104" s="703"/>
      <c r="F104" s="367"/>
      <c r="G104" s="780" t="s">
        <v>229</v>
      </c>
      <c r="H104" s="367"/>
      <c r="I104" s="781" t="s">
        <v>467</v>
      </c>
      <c r="J104" s="386"/>
    </row>
    <row r="105" spans="1:12" x14ac:dyDescent="0.25">
      <c r="A105" s="386"/>
      <c r="B105" s="386"/>
      <c r="C105" s="386"/>
      <c r="D105" s="386"/>
      <c r="E105" s="386"/>
      <c r="F105" s="386"/>
      <c r="G105" s="386"/>
      <c r="H105" s="386"/>
      <c r="I105" s="386"/>
      <c r="J105" s="386"/>
    </row>
    <row r="106" spans="1:12" ht="90" x14ac:dyDescent="0.45">
      <c r="A106" s="386"/>
      <c r="B106" s="368" t="s">
        <v>222</v>
      </c>
      <c r="C106" s="701" t="s">
        <v>389</v>
      </c>
      <c r="D106" s="702"/>
      <c r="E106" s="703"/>
      <c r="F106" s="367"/>
      <c r="G106" s="780" t="s">
        <v>229</v>
      </c>
      <c r="H106" s="367"/>
      <c r="I106" s="781" t="s">
        <v>468</v>
      </c>
      <c r="J106" s="386"/>
      <c r="L106" s="385" t="s">
        <v>32</v>
      </c>
    </row>
    <row r="107" spans="1:12" x14ac:dyDescent="0.25">
      <c r="A107" s="386"/>
      <c r="B107" s="386"/>
      <c r="C107" s="386"/>
      <c r="D107" s="386"/>
      <c r="E107" s="386"/>
      <c r="F107" s="386"/>
      <c r="G107" s="386"/>
      <c r="H107" s="386"/>
      <c r="I107" s="386"/>
      <c r="J107" s="386"/>
    </row>
    <row r="108" spans="1:12" ht="90" x14ac:dyDescent="0.25">
      <c r="A108" s="386"/>
      <c r="B108" s="368" t="s">
        <v>223</v>
      </c>
      <c r="C108" s="701" t="s">
        <v>431</v>
      </c>
      <c r="D108" s="702"/>
      <c r="E108" s="703"/>
      <c r="F108" s="367"/>
      <c r="G108" s="780" t="s">
        <v>230</v>
      </c>
      <c r="H108" s="367"/>
      <c r="I108" s="781" t="s">
        <v>469</v>
      </c>
      <c r="J108" s="386"/>
    </row>
    <row r="109" spans="1:12" x14ac:dyDescent="0.25">
      <c r="A109" s="386"/>
      <c r="B109" s="386"/>
      <c r="C109" s="386"/>
      <c r="D109" s="386"/>
      <c r="E109" s="386"/>
      <c r="F109" s="386"/>
      <c r="G109" s="386"/>
      <c r="H109" s="386"/>
      <c r="I109" s="386"/>
      <c r="J109" s="386"/>
    </row>
    <row r="110" spans="1:12" ht="300" x14ac:dyDescent="0.45">
      <c r="A110" s="386"/>
      <c r="B110" s="368" t="s">
        <v>225</v>
      </c>
      <c r="C110" s="701" t="s">
        <v>432</v>
      </c>
      <c r="D110" s="702"/>
      <c r="E110" s="703"/>
      <c r="F110" s="367"/>
      <c r="G110" s="780" t="s">
        <v>230</v>
      </c>
      <c r="H110" s="367"/>
      <c r="I110" s="781" t="s">
        <v>470</v>
      </c>
      <c r="J110" s="386"/>
      <c r="L110" s="385" t="s">
        <v>32</v>
      </c>
    </row>
    <row r="111" spans="1:12" x14ac:dyDescent="0.25">
      <c r="A111" s="386"/>
      <c r="B111" s="386"/>
      <c r="C111" s="386"/>
      <c r="D111" s="386"/>
      <c r="E111" s="386"/>
      <c r="F111" s="386"/>
      <c r="G111" s="386"/>
      <c r="H111" s="386"/>
      <c r="I111" s="386"/>
      <c r="J111" s="386"/>
    </row>
    <row r="112" spans="1:12" ht="90" x14ac:dyDescent="0.25">
      <c r="A112" s="386"/>
      <c r="B112" s="368" t="s">
        <v>227</v>
      </c>
      <c r="C112" s="701" t="s">
        <v>390</v>
      </c>
      <c r="D112" s="702"/>
      <c r="E112" s="703"/>
      <c r="F112" s="367"/>
      <c r="G112" s="780" t="s">
        <v>230</v>
      </c>
      <c r="H112" s="367"/>
      <c r="I112" s="781" t="s">
        <v>471</v>
      </c>
      <c r="J112" s="386"/>
    </row>
    <row r="113" spans="1:12" x14ac:dyDescent="0.25">
      <c r="A113" s="386"/>
      <c r="B113" s="386"/>
      <c r="C113" s="386"/>
      <c r="D113" s="386"/>
      <c r="E113" s="386"/>
      <c r="F113" s="386"/>
      <c r="G113" s="386"/>
      <c r="H113" s="386"/>
      <c r="I113" s="386"/>
      <c r="J113" s="386"/>
    </row>
    <row r="114" spans="1:12" ht="195" x14ac:dyDescent="0.25">
      <c r="A114" s="386"/>
      <c r="B114" s="368" t="s">
        <v>232</v>
      </c>
      <c r="C114" s="701" t="s">
        <v>391</v>
      </c>
      <c r="D114" s="702"/>
      <c r="E114" s="703"/>
      <c r="F114" s="367"/>
      <c r="G114" s="780" t="s">
        <v>230</v>
      </c>
      <c r="H114" s="367"/>
      <c r="I114" s="781" t="s">
        <v>472</v>
      </c>
      <c r="J114" s="386"/>
    </row>
    <row r="115" spans="1:12" ht="15" customHeight="1" x14ac:dyDescent="0.25">
      <c r="A115" s="386"/>
      <c r="B115" s="368"/>
      <c r="C115" s="399"/>
      <c r="D115" s="399"/>
      <c r="E115" s="399"/>
      <c r="F115" s="367"/>
      <c r="G115" s="386"/>
      <c r="H115" s="367"/>
      <c r="I115" s="389"/>
      <c r="J115" s="386"/>
    </row>
    <row r="116" spans="1:12" x14ac:dyDescent="0.25">
      <c r="A116" s="386"/>
      <c r="B116" s="410"/>
      <c r="C116" s="414" t="s">
        <v>224</v>
      </c>
      <c r="D116" s="410"/>
      <c r="E116" s="410"/>
      <c r="F116" s="410"/>
      <c r="G116" s="410"/>
      <c r="H116" s="410"/>
      <c r="I116" s="410"/>
      <c r="J116" s="386"/>
    </row>
    <row r="117" spans="1:12" ht="15" customHeight="1" x14ac:dyDescent="0.25">
      <c r="A117" s="386"/>
      <c r="B117" s="368"/>
      <c r="C117" s="399"/>
      <c r="D117" s="399"/>
      <c r="E117" s="399"/>
      <c r="F117" s="367"/>
      <c r="G117" s="386"/>
      <c r="H117" s="367"/>
      <c r="I117" s="389"/>
      <c r="J117" s="386"/>
    </row>
    <row r="118" spans="1:12" ht="45" x14ac:dyDescent="0.55000000000000004">
      <c r="A118" s="386"/>
      <c r="B118" s="368" t="s">
        <v>233</v>
      </c>
      <c r="C118" s="701" t="s">
        <v>392</v>
      </c>
      <c r="D118" s="702"/>
      <c r="E118" s="703"/>
      <c r="F118" s="367"/>
      <c r="G118" s="780" t="s">
        <v>230</v>
      </c>
      <c r="H118" s="367"/>
      <c r="I118" s="781" t="s">
        <v>473</v>
      </c>
      <c r="J118" s="386"/>
      <c r="L118" s="483" t="s">
        <v>32</v>
      </c>
    </row>
    <row r="119" spans="1:12" ht="15" customHeight="1" x14ac:dyDescent="0.25">
      <c r="A119" s="386"/>
      <c r="B119" s="368"/>
      <c r="C119" s="399"/>
      <c r="D119" s="399"/>
      <c r="E119" s="399"/>
      <c r="F119" s="367"/>
      <c r="G119" s="386"/>
      <c r="H119" s="367"/>
      <c r="I119" s="389"/>
      <c r="J119" s="386"/>
    </row>
    <row r="120" spans="1:12" x14ac:dyDescent="0.25">
      <c r="A120" s="386"/>
      <c r="B120" s="410"/>
      <c r="C120" s="414" t="s">
        <v>226</v>
      </c>
      <c r="D120" s="410"/>
      <c r="E120" s="410"/>
      <c r="F120" s="410"/>
      <c r="G120" s="410"/>
      <c r="H120" s="410"/>
      <c r="I120" s="410"/>
      <c r="J120" s="386"/>
    </row>
    <row r="121" spans="1:12" ht="13.5" customHeight="1" x14ac:dyDescent="0.25">
      <c r="A121" s="386"/>
      <c r="B121" s="386"/>
      <c r="C121" s="386"/>
      <c r="D121" s="386"/>
      <c r="E121" s="386"/>
      <c r="F121" s="386"/>
      <c r="G121" s="386"/>
      <c r="H121" s="386"/>
      <c r="I121" s="386"/>
      <c r="J121" s="386"/>
    </row>
    <row r="122" spans="1:12" ht="120" x14ac:dyDescent="0.45">
      <c r="A122" s="386"/>
      <c r="B122" s="368" t="s">
        <v>235</v>
      </c>
      <c r="C122" s="701" t="s">
        <v>393</v>
      </c>
      <c r="D122" s="702"/>
      <c r="E122" s="703"/>
      <c r="F122" s="367"/>
      <c r="G122" s="780" t="s">
        <v>230</v>
      </c>
      <c r="H122" s="367"/>
      <c r="I122" s="781" t="s">
        <v>474</v>
      </c>
      <c r="J122" s="386"/>
      <c r="L122" s="385" t="s">
        <v>32</v>
      </c>
    </row>
    <row r="123" spans="1:12" ht="12.75" customHeight="1" x14ac:dyDescent="0.45">
      <c r="A123" s="386"/>
      <c r="B123" s="368"/>
      <c r="C123" s="399"/>
      <c r="D123" s="399"/>
      <c r="E123" s="399"/>
      <c r="F123" s="367"/>
      <c r="G123" s="386"/>
      <c r="H123" s="367"/>
      <c r="I123" s="389"/>
      <c r="J123" s="386"/>
      <c r="L123" s="385"/>
    </row>
    <row r="124" spans="1:12" x14ac:dyDescent="0.25">
      <c r="A124" s="386"/>
      <c r="B124" s="410"/>
      <c r="C124" s="414" t="s">
        <v>228</v>
      </c>
      <c r="D124" s="410"/>
      <c r="E124" s="410"/>
      <c r="F124" s="410"/>
      <c r="G124" s="410"/>
      <c r="H124" s="410"/>
      <c r="I124" s="410"/>
      <c r="J124" s="386"/>
    </row>
    <row r="125" spans="1:12" x14ac:dyDescent="0.25">
      <c r="A125" s="386"/>
      <c r="B125" s="386"/>
      <c r="C125" s="386"/>
      <c r="D125" s="386"/>
      <c r="E125" s="386"/>
      <c r="F125" s="386"/>
      <c r="G125" s="386"/>
      <c r="H125" s="386"/>
      <c r="I125" s="386"/>
      <c r="J125" s="386"/>
    </row>
    <row r="126" spans="1:12" hidden="1" x14ac:dyDescent="0.25">
      <c r="A126" s="386"/>
      <c r="C126" s="415" t="s">
        <v>229</v>
      </c>
      <c r="D126" s="415"/>
      <c r="E126" s="415"/>
      <c r="G126" s="416"/>
      <c r="J126" s="386"/>
    </row>
    <row r="127" spans="1:12" hidden="1" x14ac:dyDescent="0.25">
      <c r="A127" s="386"/>
      <c r="C127" s="415" t="s">
        <v>230</v>
      </c>
      <c r="D127" s="415"/>
      <c r="E127" s="415"/>
      <c r="G127" s="416"/>
      <c r="J127" s="386"/>
    </row>
    <row r="128" spans="1:12" hidden="1" x14ac:dyDescent="0.25">
      <c r="A128" s="386"/>
      <c r="C128" s="415" t="s">
        <v>231</v>
      </c>
      <c r="D128" s="415"/>
      <c r="E128" s="415"/>
      <c r="G128" s="416"/>
      <c r="J128" s="386"/>
    </row>
    <row r="129" spans="1:12" ht="139.5" customHeight="1" x14ac:dyDescent="0.45">
      <c r="A129" s="386"/>
      <c r="B129" s="368" t="s">
        <v>236</v>
      </c>
      <c r="C129" s="701" t="s">
        <v>394</v>
      </c>
      <c r="D129" s="702"/>
      <c r="E129" s="703"/>
      <c r="F129" s="367"/>
      <c r="G129" s="780" t="s">
        <v>231</v>
      </c>
      <c r="H129" s="367"/>
      <c r="I129" s="781" t="s">
        <v>475</v>
      </c>
      <c r="J129" s="386"/>
      <c r="L129" s="385" t="s">
        <v>32</v>
      </c>
    </row>
    <row r="130" spans="1:12" x14ac:dyDescent="0.25">
      <c r="A130" s="386"/>
      <c r="B130" s="386"/>
      <c r="C130" s="386"/>
      <c r="D130" s="386"/>
      <c r="E130" s="386"/>
      <c r="F130" s="386"/>
      <c r="G130" s="386"/>
      <c r="H130" s="386"/>
      <c r="I130" s="386"/>
      <c r="J130" s="386"/>
    </row>
    <row r="131" spans="1:12" ht="135" x14ac:dyDescent="0.45">
      <c r="A131" s="386"/>
      <c r="B131" s="368" t="s">
        <v>237</v>
      </c>
      <c r="C131" s="701" t="s">
        <v>395</v>
      </c>
      <c r="D131" s="702"/>
      <c r="E131" s="703"/>
      <c r="F131" s="367"/>
      <c r="G131" s="780" t="s">
        <v>231</v>
      </c>
      <c r="H131" s="367"/>
      <c r="I131" s="781" t="s">
        <v>476</v>
      </c>
      <c r="J131" s="386"/>
      <c r="L131" s="385" t="s">
        <v>32</v>
      </c>
    </row>
    <row r="132" spans="1:12" x14ac:dyDescent="0.25">
      <c r="A132" s="386"/>
      <c r="B132" s="368"/>
      <c r="C132" s="399"/>
      <c r="D132" s="399"/>
      <c r="E132" s="399"/>
      <c r="F132" s="367"/>
      <c r="G132" s="386"/>
      <c r="H132" s="367"/>
      <c r="I132" s="389"/>
      <c r="J132" s="386"/>
    </row>
    <row r="133" spans="1:12" x14ac:dyDescent="0.25">
      <c r="A133" s="386"/>
      <c r="B133" s="410"/>
      <c r="C133" s="414" t="s">
        <v>234</v>
      </c>
      <c r="D133" s="410"/>
      <c r="E133" s="410"/>
      <c r="F133" s="410"/>
      <c r="G133" s="410"/>
      <c r="H133" s="410"/>
      <c r="I133" s="410"/>
      <c r="J133" s="386"/>
    </row>
    <row r="134" spans="1:12" x14ac:dyDescent="0.25">
      <c r="A134" s="386"/>
      <c r="B134" s="368"/>
      <c r="C134" s="399"/>
      <c r="D134" s="399"/>
      <c r="E134" s="399"/>
      <c r="F134" s="367"/>
      <c r="G134" s="386"/>
      <c r="H134" s="367"/>
      <c r="I134" s="389"/>
      <c r="J134" s="386"/>
    </row>
    <row r="135" spans="1:12" ht="135" x14ac:dyDescent="0.25">
      <c r="A135" s="386"/>
      <c r="B135" s="368" t="s">
        <v>297</v>
      </c>
      <c r="C135" s="701" t="s">
        <v>396</v>
      </c>
      <c r="D135" s="702"/>
      <c r="E135" s="703"/>
      <c r="F135" s="367"/>
      <c r="G135" s="780" t="s">
        <v>230</v>
      </c>
      <c r="H135" s="367"/>
      <c r="I135" s="781" t="s">
        <v>477</v>
      </c>
      <c r="J135" s="386"/>
    </row>
    <row r="136" spans="1:12" x14ac:dyDescent="0.25">
      <c r="A136" s="386"/>
      <c r="B136" s="368"/>
      <c r="C136" s="399"/>
      <c r="D136" s="399"/>
      <c r="E136" s="399"/>
      <c r="F136" s="367"/>
      <c r="G136" s="386"/>
      <c r="H136" s="367"/>
      <c r="I136" s="389"/>
      <c r="J136" s="386"/>
    </row>
    <row r="137" spans="1:12" ht="195" x14ac:dyDescent="0.25">
      <c r="A137" s="386"/>
      <c r="B137" s="368" t="s">
        <v>299</v>
      </c>
      <c r="C137" s="701" t="s">
        <v>397</v>
      </c>
      <c r="D137" s="702"/>
      <c r="E137" s="703"/>
      <c r="F137" s="367"/>
      <c r="G137" s="780" t="s">
        <v>231</v>
      </c>
      <c r="H137" s="367"/>
      <c r="I137" s="781" t="s">
        <v>478</v>
      </c>
      <c r="J137" s="386"/>
    </row>
    <row r="138" spans="1:12" x14ac:dyDescent="0.25">
      <c r="A138" s="386"/>
      <c r="B138" s="368"/>
      <c r="C138" s="399"/>
      <c r="D138" s="399"/>
      <c r="E138" s="399"/>
      <c r="F138" s="367"/>
      <c r="G138" s="386"/>
      <c r="H138" s="367"/>
      <c r="I138" s="389"/>
      <c r="J138" s="386"/>
    </row>
    <row r="139" spans="1:12" x14ac:dyDescent="0.25">
      <c r="A139" s="386"/>
      <c r="B139" s="410"/>
      <c r="C139" s="414" t="s">
        <v>238</v>
      </c>
      <c r="D139" s="410"/>
      <c r="E139" s="410"/>
      <c r="F139" s="410"/>
      <c r="G139" s="410"/>
      <c r="H139" s="410"/>
      <c r="I139" s="410"/>
      <c r="J139" s="386"/>
    </row>
    <row r="140" spans="1:12" x14ac:dyDescent="0.25">
      <c r="A140" s="386"/>
      <c r="B140" s="386"/>
      <c r="C140" s="386"/>
      <c r="D140" s="386"/>
      <c r="E140" s="386"/>
      <c r="F140" s="386"/>
      <c r="G140" s="386"/>
      <c r="H140" s="386"/>
      <c r="I140" s="386"/>
      <c r="J140" s="386"/>
    </row>
    <row r="141" spans="1:12" ht="15" customHeight="1" x14ac:dyDescent="0.25">
      <c r="A141" s="386"/>
      <c r="B141" s="782" t="s">
        <v>239</v>
      </c>
      <c r="C141" s="783"/>
      <c r="D141" s="783"/>
      <c r="E141" s="783"/>
      <c r="F141" s="783"/>
      <c r="G141" s="783"/>
      <c r="H141" s="783"/>
      <c r="I141" s="784"/>
      <c r="J141" s="386"/>
    </row>
    <row r="142" spans="1:12" x14ac:dyDescent="0.25">
      <c r="A142" s="386"/>
      <c r="B142" s="368"/>
      <c r="C142" s="399"/>
      <c r="D142" s="399"/>
      <c r="E142" s="399"/>
      <c r="F142" s="367"/>
      <c r="G142" s="386"/>
      <c r="H142" s="367"/>
      <c r="I142" s="389"/>
      <c r="J142" s="386"/>
    </row>
    <row r="143" spans="1:12" ht="20.25" customHeight="1" x14ac:dyDescent="0.25">
      <c r="A143" s="718" t="s">
        <v>182</v>
      </c>
      <c r="B143" s="719"/>
      <c r="C143" s="719"/>
      <c r="D143" s="719"/>
      <c r="E143" s="719"/>
      <c r="F143" s="719"/>
      <c r="G143" s="719"/>
      <c r="H143" s="719"/>
      <c r="I143" s="719"/>
      <c r="J143" s="719"/>
      <c r="K143" s="417"/>
    </row>
    <row r="144" spans="1:12" hidden="1" x14ac:dyDescent="0.25">
      <c r="G144" s="416"/>
    </row>
    <row r="145" spans="7:7" hidden="1" x14ac:dyDescent="0.25">
      <c r="G145" s="416"/>
    </row>
    <row r="146" spans="7:7" hidden="1" x14ac:dyDescent="0.25">
      <c r="G146" s="416"/>
    </row>
    <row r="147" spans="7:7" hidden="1" x14ac:dyDescent="0.25">
      <c r="G147" s="416"/>
    </row>
    <row r="148" spans="7:7" hidden="1" x14ac:dyDescent="0.25">
      <c r="G148" s="416"/>
    </row>
    <row r="149" spans="7:7" hidden="1" x14ac:dyDescent="0.25">
      <c r="G149" s="416"/>
    </row>
    <row r="150" spans="7:7" hidden="1" x14ac:dyDescent="0.25">
      <c r="G150" s="416"/>
    </row>
    <row r="151" spans="7:7" hidden="1" x14ac:dyDescent="0.25">
      <c r="G151" s="416"/>
    </row>
    <row r="152" spans="7:7" hidden="1" x14ac:dyDescent="0.25">
      <c r="G152" s="416"/>
    </row>
    <row r="153" spans="7:7" hidden="1" x14ac:dyDescent="0.25">
      <c r="G153" s="416"/>
    </row>
    <row r="154" spans="7:7" hidden="1" x14ac:dyDescent="0.25">
      <c r="G154" s="416"/>
    </row>
    <row r="155" spans="7:7" hidden="1" x14ac:dyDescent="0.25">
      <c r="G155" s="416"/>
    </row>
    <row r="156" spans="7:7" hidden="1" x14ac:dyDescent="0.25">
      <c r="G156" s="416"/>
    </row>
    <row r="157" spans="7:7" hidden="1" x14ac:dyDescent="0.25">
      <c r="G157" s="416"/>
    </row>
    <row r="158" spans="7:7" hidden="1" x14ac:dyDescent="0.25">
      <c r="G158" s="416"/>
    </row>
    <row r="159" spans="7:7" hidden="1" x14ac:dyDescent="0.25">
      <c r="G159" s="416"/>
    </row>
    <row r="160" spans="7:7" hidden="1" x14ac:dyDescent="0.25">
      <c r="G160" s="416"/>
    </row>
    <row r="161" spans="7:7" hidden="1" x14ac:dyDescent="0.25">
      <c r="G161" s="416"/>
    </row>
    <row r="162" spans="7:7" hidden="1" x14ac:dyDescent="0.25">
      <c r="G162" s="416"/>
    </row>
    <row r="163" spans="7:7" hidden="1" x14ac:dyDescent="0.25">
      <c r="G163" s="416"/>
    </row>
    <row r="164" spans="7:7" hidden="1" x14ac:dyDescent="0.25">
      <c r="G164" s="416"/>
    </row>
    <row r="165" spans="7:7" hidden="1" x14ac:dyDescent="0.25">
      <c r="G165" s="416"/>
    </row>
    <row r="166" spans="7:7" hidden="1" x14ac:dyDescent="0.25">
      <c r="G166" s="416"/>
    </row>
    <row r="167" spans="7:7" hidden="1" x14ac:dyDescent="0.25">
      <c r="G167" s="416"/>
    </row>
    <row r="168" spans="7:7" hidden="1" x14ac:dyDescent="0.25">
      <c r="G168" s="416"/>
    </row>
    <row r="169" spans="7:7" hidden="1" x14ac:dyDescent="0.25">
      <c r="G169" s="416"/>
    </row>
    <row r="170" spans="7:7" hidden="1" x14ac:dyDescent="0.25">
      <c r="G170" s="416"/>
    </row>
    <row r="171" spans="7:7" hidden="1" x14ac:dyDescent="0.25">
      <c r="G171" s="416" t="s">
        <v>229</v>
      </c>
    </row>
    <row r="172" spans="7:7" hidden="1" x14ac:dyDescent="0.25">
      <c r="G172" s="416" t="s">
        <v>230</v>
      </c>
    </row>
    <row r="173" spans="7:7" hidden="1" x14ac:dyDescent="0.25">
      <c r="G173" s="416" t="s">
        <v>231</v>
      </c>
    </row>
    <row r="174" spans="7:7" hidden="1" x14ac:dyDescent="0.25">
      <c r="G174" s="416"/>
    </row>
    <row r="175" spans="7:7" hidden="1" x14ac:dyDescent="0.25">
      <c r="G175" s="416"/>
    </row>
    <row r="176" spans="7:7" hidden="1" x14ac:dyDescent="0.25">
      <c r="G176" s="416"/>
    </row>
    <row r="177" spans="7:7" hidden="1" x14ac:dyDescent="0.25">
      <c r="G177" s="416"/>
    </row>
    <row r="178" spans="7:7" hidden="1" x14ac:dyDescent="0.25">
      <c r="G178" s="416"/>
    </row>
    <row r="179" spans="7:7" hidden="1" x14ac:dyDescent="0.25">
      <c r="G179" s="416"/>
    </row>
    <row r="180" spans="7:7" hidden="1" x14ac:dyDescent="0.25">
      <c r="G180" s="416"/>
    </row>
    <row r="181" spans="7:7" hidden="1" x14ac:dyDescent="0.25">
      <c r="G181" s="416"/>
    </row>
    <row r="182" spans="7:7" hidden="1" x14ac:dyDescent="0.25">
      <c r="G182" s="416"/>
    </row>
    <row r="183" spans="7:7" hidden="1" x14ac:dyDescent="0.25">
      <c r="G183" s="416"/>
    </row>
    <row r="184" spans="7:7" hidden="1" x14ac:dyDescent="0.25">
      <c r="G184" s="416"/>
    </row>
    <row r="185" spans="7:7" hidden="1" x14ac:dyDescent="0.25">
      <c r="G185" s="416"/>
    </row>
    <row r="186" spans="7:7" hidden="1" x14ac:dyDescent="0.25">
      <c r="G186" s="416"/>
    </row>
    <row r="187" spans="7:7" hidden="1" x14ac:dyDescent="0.25">
      <c r="G187" s="416"/>
    </row>
    <row r="188" spans="7:7" hidden="1" x14ac:dyDescent="0.25">
      <c r="G188" s="416"/>
    </row>
    <row r="189" spans="7:7" hidden="1" x14ac:dyDescent="0.25">
      <c r="G189" s="416"/>
    </row>
    <row r="190" spans="7:7" hidden="1" x14ac:dyDescent="0.25">
      <c r="G190" s="416"/>
    </row>
    <row r="191" spans="7:7" hidden="1" x14ac:dyDescent="0.25">
      <c r="G191" s="416"/>
    </row>
    <row r="192" spans="7:7" hidden="1" x14ac:dyDescent="0.25">
      <c r="G192" s="416"/>
    </row>
    <row r="193" spans="7:7" hidden="1" x14ac:dyDescent="0.25">
      <c r="G193" s="416"/>
    </row>
    <row r="194" spans="7:7" hidden="1" x14ac:dyDescent="0.25">
      <c r="G194" s="416"/>
    </row>
    <row r="195" spans="7:7" hidden="1" x14ac:dyDescent="0.25">
      <c r="G195" s="416"/>
    </row>
    <row r="196" spans="7:7" hidden="1" x14ac:dyDescent="0.25">
      <c r="G196" s="416"/>
    </row>
    <row r="197" spans="7:7" hidden="1" x14ac:dyDescent="0.25">
      <c r="G197" s="416"/>
    </row>
    <row r="198" spans="7:7" hidden="1" x14ac:dyDescent="0.25">
      <c r="G198" s="416"/>
    </row>
    <row r="199" spans="7:7" hidden="1" x14ac:dyDescent="0.25">
      <c r="G199" s="416"/>
    </row>
    <row r="200" spans="7:7" hidden="1" x14ac:dyDescent="0.25">
      <c r="G200" s="416"/>
    </row>
    <row r="201" spans="7:7" hidden="1" x14ac:dyDescent="0.25">
      <c r="G201" s="416"/>
    </row>
    <row r="202" spans="7:7" hidden="1" x14ac:dyDescent="0.25">
      <c r="G202" s="416"/>
    </row>
    <row r="203" spans="7:7" hidden="1" x14ac:dyDescent="0.25">
      <c r="G203" s="416"/>
    </row>
    <row r="204" spans="7:7" hidden="1" x14ac:dyDescent="0.25">
      <c r="G204" s="416"/>
    </row>
    <row r="205" spans="7:7" hidden="1" x14ac:dyDescent="0.25">
      <c r="G205" s="416"/>
    </row>
    <row r="206" spans="7:7" hidden="1" x14ac:dyDescent="0.25">
      <c r="G206" s="416"/>
    </row>
    <row r="207" spans="7:7" hidden="1" x14ac:dyDescent="0.25">
      <c r="G207" s="416"/>
    </row>
    <row r="208" spans="7:7" hidden="1" x14ac:dyDescent="0.25">
      <c r="G208" s="416"/>
    </row>
    <row r="209" spans="7:7" hidden="1" x14ac:dyDescent="0.25">
      <c r="G209" s="416"/>
    </row>
    <row r="210" spans="7:7" hidden="1" x14ac:dyDescent="0.25">
      <c r="G210" s="416"/>
    </row>
    <row r="211" spans="7:7" hidden="1" x14ac:dyDescent="0.25">
      <c r="G211" s="416"/>
    </row>
    <row r="212" spans="7:7" hidden="1" x14ac:dyDescent="0.25">
      <c r="G212" s="416"/>
    </row>
    <row r="213" spans="7:7" hidden="1" x14ac:dyDescent="0.25">
      <c r="G213" s="416"/>
    </row>
    <row r="214" spans="7:7" hidden="1" x14ac:dyDescent="0.25">
      <c r="G214" s="416"/>
    </row>
    <row r="215" spans="7:7" hidden="1" x14ac:dyDescent="0.25">
      <c r="G215" s="416"/>
    </row>
    <row r="216" spans="7:7" hidden="1" x14ac:dyDescent="0.25">
      <c r="G216" s="416"/>
    </row>
    <row r="217" spans="7:7" hidden="1" x14ac:dyDescent="0.25">
      <c r="G217" s="416"/>
    </row>
    <row r="218" spans="7:7" hidden="1" x14ac:dyDescent="0.25">
      <c r="G218" s="416"/>
    </row>
    <row r="219" spans="7:7" hidden="1" x14ac:dyDescent="0.25">
      <c r="G219" s="416"/>
    </row>
    <row r="220" spans="7:7" hidden="1" x14ac:dyDescent="0.25">
      <c r="G220" s="416"/>
    </row>
    <row r="221" spans="7:7" hidden="1" x14ac:dyDescent="0.25">
      <c r="G221" s="416"/>
    </row>
    <row r="222" spans="7:7" hidden="1" x14ac:dyDescent="0.25">
      <c r="G222" s="416"/>
    </row>
    <row r="223" spans="7:7" hidden="1" x14ac:dyDescent="0.25">
      <c r="G223" s="416"/>
    </row>
    <row r="224" spans="7:7" hidden="1" x14ac:dyDescent="0.25">
      <c r="G224" s="416"/>
    </row>
    <row r="225" spans="7:7" hidden="1" x14ac:dyDescent="0.25">
      <c r="G225" s="416"/>
    </row>
    <row r="226" spans="7:7" hidden="1" x14ac:dyDescent="0.25">
      <c r="G226" s="416"/>
    </row>
    <row r="227" spans="7:7" hidden="1" x14ac:dyDescent="0.25">
      <c r="G227" s="416"/>
    </row>
    <row r="228" spans="7:7" hidden="1" x14ac:dyDescent="0.25">
      <c r="G228" s="416"/>
    </row>
    <row r="229" spans="7:7" hidden="1" x14ac:dyDescent="0.25">
      <c r="G229" s="416"/>
    </row>
    <row r="230" spans="7:7" hidden="1" x14ac:dyDescent="0.25">
      <c r="G230" s="416"/>
    </row>
    <row r="231" spans="7:7" hidden="1" x14ac:dyDescent="0.25"/>
    <row r="232" spans="7:7" hidden="1" x14ac:dyDescent="0.25"/>
    <row r="233" spans="7:7" hidden="1" x14ac:dyDescent="0.25"/>
    <row r="234" spans="7:7" hidden="1" x14ac:dyDescent="0.25"/>
    <row r="235" spans="7:7" hidden="1" x14ac:dyDescent="0.25"/>
    <row r="236" spans="7:7" hidden="1" x14ac:dyDescent="0.25"/>
    <row r="237" spans="7:7" hidden="1" x14ac:dyDescent="0.25"/>
    <row r="238" spans="7:7" hidden="1" x14ac:dyDescent="0.25"/>
    <row r="239" spans="7:7" hidden="1" x14ac:dyDescent="0.25"/>
    <row r="240" spans="7:7"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sheetData>
  <sheetProtection algorithmName="SHA-512" hashValue="zHFo6xjGx4XLgobN+agG/8IYh3WPIh/vHXWUuCLoO6KiOxdy/a2t+Iu0taIFSu4xQIj1pnZtjf2YW794IIurRA==" saltValue="sRNIDiDoHLEtcLq+oBROfw==" spinCount="100000" sheet="1" objects="1" scenarios="1"/>
  <dataConsolidate link="1"/>
  <mergeCells count="50">
    <mergeCell ref="C106:E106"/>
    <mergeCell ref="C108:E108"/>
    <mergeCell ref="C110:E110"/>
    <mergeCell ref="C112:E112"/>
    <mergeCell ref="A143:J143"/>
    <mergeCell ref="C114:E114"/>
    <mergeCell ref="C122:E122"/>
    <mergeCell ref="C129:E129"/>
    <mergeCell ref="C131:E131"/>
    <mergeCell ref="C118:E118"/>
    <mergeCell ref="C135:E135"/>
    <mergeCell ref="C137:E137"/>
    <mergeCell ref="B141:I141"/>
    <mergeCell ref="C24:E24"/>
    <mergeCell ref="C98:E98"/>
    <mergeCell ref="C104:E104"/>
    <mergeCell ref="C94:E94"/>
    <mergeCell ref="C56:E56"/>
    <mergeCell ref="C60:E60"/>
    <mergeCell ref="C62:E62"/>
    <mergeCell ref="C64:E64"/>
    <mergeCell ref="C66:E66"/>
    <mergeCell ref="C72:E72"/>
    <mergeCell ref="C36:E36"/>
    <mergeCell ref="C40:E40"/>
    <mergeCell ref="C42:E42"/>
    <mergeCell ref="C46:E46"/>
    <mergeCell ref="C50:E50"/>
    <mergeCell ref="C54:E54"/>
    <mergeCell ref="C96:E96"/>
    <mergeCell ref="C26:E26"/>
    <mergeCell ref="C28:E28"/>
    <mergeCell ref="C30:E30"/>
    <mergeCell ref="C32:E32"/>
    <mergeCell ref="C34:E34"/>
    <mergeCell ref="C76:E76"/>
    <mergeCell ref="C80:E80"/>
    <mergeCell ref="C84:E84"/>
    <mergeCell ref="B86:J86"/>
    <mergeCell ref="C90:E90"/>
    <mergeCell ref="C58:E58"/>
    <mergeCell ref="C38:E38"/>
    <mergeCell ref="C48:E48"/>
    <mergeCell ref="C18:E18"/>
    <mergeCell ref="E2:H2"/>
    <mergeCell ref="E4:H4"/>
    <mergeCell ref="E6:H6"/>
    <mergeCell ref="E8:H8"/>
    <mergeCell ref="E10:H10"/>
    <mergeCell ref="C14:E14"/>
  </mergeCells>
  <conditionalFormatting sqref="C39 C41">
    <cfRule type="expression" dxfId="89" priority="554">
      <formula>#REF!="unselect"</formula>
    </cfRule>
    <cfRule type="expression" dxfId="88" priority="555">
      <formula>AND(#REF!="select",#REF!="select")</formula>
    </cfRule>
    <cfRule type="expression" dxfId="87" priority="556">
      <formula>#REF!="select"</formula>
    </cfRule>
  </conditionalFormatting>
  <conditionalFormatting sqref="C126">
    <cfRule type="cellIs" dxfId="86" priority="553" operator="notEqual">
      <formula>$C$126</formula>
    </cfRule>
  </conditionalFormatting>
  <conditionalFormatting sqref="G18">
    <cfRule type="cellIs" dxfId="85" priority="415" operator="equal">
      <formula>$C$127</formula>
    </cfRule>
    <cfRule type="cellIs" dxfId="84" priority="416" operator="equal">
      <formula>$C$126</formula>
    </cfRule>
  </conditionalFormatting>
  <conditionalFormatting sqref="G26">
    <cfRule type="cellIs" dxfId="83" priority="75" operator="equal">
      <formula>$C$127</formula>
    </cfRule>
    <cfRule type="cellIs" dxfId="82" priority="76" operator="equal">
      <formula>$C$126</formula>
    </cfRule>
  </conditionalFormatting>
  <conditionalFormatting sqref="G24">
    <cfRule type="cellIs" dxfId="81" priority="77" operator="equal">
      <formula>$C$127</formula>
    </cfRule>
    <cfRule type="cellIs" dxfId="80" priority="78" operator="equal">
      <formula>$C$126</formula>
    </cfRule>
  </conditionalFormatting>
  <conditionalFormatting sqref="G28">
    <cfRule type="cellIs" dxfId="79" priority="73" operator="equal">
      <formula>$C$127</formula>
    </cfRule>
    <cfRule type="cellIs" dxfId="78" priority="74" operator="equal">
      <formula>$C$126</formula>
    </cfRule>
  </conditionalFormatting>
  <conditionalFormatting sqref="G30">
    <cfRule type="cellIs" dxfId="77" priority="71" operator="equal">
      <formula>$C$127</formula>
    </cfRule>
    <cfRule type="cellIs" dxfId="76" priority="72" operator="equal">
      <formula>$C$126</formula>
    </cfRule>
  </conditionalFormatting>
  <conditionalFormatting sqref="G32">
    <cfRule type="cellIs" dxfId="75" priority="67" operator="equal">
      <formula>$C$127</formula>
    </cfRule>
    <cfRule type="cellIs" dxfId="74" priority="68" operator="equal">
      <formula>$C$126</formula>
    </cfRule>
  </conditionalFormatting>
  <conditionalFormatting sqref="G98">
    <cfRule type="cellIs" dxfId="73" priority="95" operator="equal">
      <formula>$C$127</formula>
    </cfRule>
    <cfRule type="cellIs" dxfId="72" priority="96" operator="equal">
      <formula>$C$126</formula>
    </cfRule>
  </conditionalFormatting>
  <conditionalFormatting sqref="G36:G37">
    <cfRule type="cellIs" dxfId="71" priority="65" operator="equal">
      <formula>$C$127</formula>
    </cfRule>
    <cfRule type="cellIs" dxfId="70" priority="66" operator="equal">
      <formula>$C$126</formula>
    </cfRule>
  </conditionalFormatting>
  <conditionalFormatting sqref="G135">
    <cfRule type="cellIs" dxfId="69" priority="11" operator="equal">
      <formula>$C$127</formula>
    </cfRule>
    <cfRule type="cellIs" dxfId="68" priority="12" operator="equal">
      <formula>$C$126</formula>
    </cfRule>
  </conditionalFormatting>
  <conditionalFormatting sqref="G34">
    <cfRule type="cellIs" dxfId="67" priority="63" operator="equal">
      <formula>$C$127</formula>
    </cfRule>
    <cfRule type="cellIs" dxfId="66" priority="64" operator="equal">
      <formula>$C$126</formula>
    </cfRule>
  </conditionalFormatting>
  <conditionalFormatting sqref="G40">
    <cfRule type="cellIs" dxfId="65" priority="61" operator="equal">
      <formula>$C$127</formula>
    </cfRule>
    <cfRule type="cellIs" dxfId="64" priority="62" operator="equal">
      <formula>$C$126</formula>
    </cfRule>
  </conditionalFormatting>
  <conditionalFormatting sqref="G42">
    <cfRule type="cellIs" dxfId="63" priority="59" operator="equal">
      <formula>$C$127</formula>
    </cfRule>
    <cfRule type="cellIs" dxfId="62" priority="60" operator="equal">
      <formula>$C$126</formula>
    </cfRule>
  </conditionalFormatting>
  <conditionalFormatting sqref="G50">
    <cfRule type="cellIs" dxfId="61" priority="57" operator="equal">
      <formula>$C$127</formula>
    </cfRule>
    <cfRule type="cellIs" dxfId="60" priority="58" operator="equal">
      <formula>$C$126</formula>
    </cfRule>
  </conditionalFormatting>
  <conditionalFormatting sqref="G46:G47">
    <cfRule type="cellIs" dxfId="59" priority="55" operator="equal">
      <formula>$C$127</formula>
    </cfRule>
    <cfRule type="cellIs" dxfId="58" priority="56" operator="equal">
      <formula>$C$126</formula>
    </cfRule>
  </conditionalFormatting>
  <conditionalFormatting sqref="G54">
    <cfRule type="cellIs" dxfId="57" priority="53" operator="equal">
      <formula>$C$127</formula>
    </cfRule>
    <cfRule type="cellIs" dxfId="56" priority="54" operator="equal">
      <formula>$C$126</formula>
    </cfRule>
  </conditionalFormatting>
  <conditionalFormatting sqref="G56:G57">
    <cfRule type="cellIs" dxfId="55" priority="51" operator="equal">
      <formula>$C$127</formula>
    </cfRule>
    <cfRule type="cellIs" dxfId="54" priority="52" operator="equal">
      <formula>$C$126</formula>
    </cfRule>
  </conditionalFormatting>
  <conditionalFormatting sqref="G62">
    <cfRule type="cellIs" dxfId="53" priority="49" operator="equal">
      <formula>$C$127</formula>
    </cfRule>
    <cfRule type="cellIs" dxfId="52" priority="50" operator="equal">
      <formula>$C$126</formula>
    </cfRule>
  </conditionalFormatting>
  <conditionalFormatting sqref="G64">
    <cfRule type="cellIs" dxfId="51" priority="47" operator="equal">
      <formula>$C$127</formula>
    </cfRule>
    <cfRule type="cellIs" dxfId="50" priority="48" operator="equal">
      <formula>$C$126</formula>
    </cfRule>
  </conditionalFormatting>
  <conditionalFormatting sqref="G66">
    <cfRule type="cellIs" dxfId="49" priority="45" operator="equal">
      <formula>$C$127</formula>
    </cfRule>
    <cfRule type="cellIs" dxfId="48" priority="46" operator="equal">
      <formula>$C$126</formula>
    </cfRule>
  </conditionalFormatting>
  <conditionalFormatting sqref="G72">
    <cfRule type="cellIs" dxfId="47" priority="43" operator="equal">
      <formula>$C$127</formula>
    </cfRule>
    <cfRule type="cellIs" dxfId="46" priority="44" operator="equal">
      <formula>$C$126</formula>
    </cfRule>
  </conditionalFormatting>
  <conditionalFormatting sqref="G76">
    <cfRule type="cellIs" dxfId="45" priority="41" operator="equal">
      <formula>$C$127</formula>
    </cfRule>
    <cfRule type="cellIs" dxfId="44" priority="42" operator="equal">
      <formula>$C$126</formula>
    </cfRule>
  </conditionalFormatting>
  <conditionalFormatting sqref="G84">
    <cfRule type="cellIs" dxfId="43" priority="39" operator="equal">
      <formula>$C$127</formula>
    </cfRule>
    <cfRule type="cellIs" dxfId="42" priority="40" operator="equal">
      <formula>$C$126</formula>
    </cfRule>
  </conditionalFormatting>
  <conditionalFormatting sqref="G80">
    <cfRule type="cellIs" dxfId="41" priority="37" operator="equal">
      <formula>$C$127</formula>
    </cfRule>
    <cfRule type="cellIs" dxfId="40" priority="38" operator="equal">
      <formula>$C$126</formula>
    </cfRule>
  </conditionalFormatting>
  <conditionalFormatting sqref="G90">
    <cfRule type="cellIs" dxfId="39" priority="35" operator="equal">
      <formula>$C$127</formula>
    </cfRule>
    <cfRule type="cellIs" dxfId="38" priority="36" operator="equal">
      <formula>$C$126</formula>
    </cfRule>
  </conditionalFormatting>
  <conditionalFormatting sqref="G94">
    <cfRule type="cellIs" dxfId="37" priority="33" operator="equal">
      <formula>$C$127</formula>
    </cfRule>
    <cfRule type="cellIs" dxfId="36" priority="34" operator="equal">
      <formula>$C$126</formula>
    </cfRule>
  </conditionalFormatting>
  <conditionalFormatting sqref="G104">
    <cfRule type="cellIs" dxfId="35" priority="31" operator="equal">
      <formula>$C$127</formula>
    </cfRule>
    <cfRule type="cellIs" dxfId="34" priority="32" operator="equal">
      <formula>$C$126</formula>
    </cfRule>
  </conditionalFormatting>
  <conditionalFormatting sqref="G106">
    <cfRule type="cellIs" dxfId="33" priority="29" operator="equal">
      <formula>$C$127</formula>
    </cfRule>
    <cfRule type="cellIs" dxfId="32" priority="30" operator="equal">
      <formula>$C$126</formula>
    </cfRule>
  </conditionalFormatting>
  <conditionalFormatting sqref="G110">
    <cfRule type="cellIs" dxfId="31" priority="27" operator="equal">
      <formula>$C$127</formula>
    </cfRule>
    <cfRule type="cellIs" dxfId="30" priority="28" operator="equal">
      <formula>$C$126</formula>
    </cfRule>
  </conditionalFormatting>
  <conditionalFormatting sqref="G108">
    <cfRule type="cellIs" dxfId="29" priority="25" operator="equal">
      <formula>$C$127</formula>
    </cfRule>
    <cfRule type="cellIs" dxfId="28" priority="26" operator="equal">
      <formula>$C$126</formula>
    </cfRule>
  </conditionalFormatting>
  <conditionalFormatting sqref="G112">
    <cfRule type="cellIs" dxfId="27" priority="23" operator="equal">
      <formula>$C$127</formula>
    </cfRule>
    <cfRule type="cellIs" dxfId="26" priority="24" operator="equal">
      <formula>$C$126</formula>
    </cfRule>
  </conditionalFormatting>
  <conditionalFormatting sqref="G114">
    <cfRule type="cellIs" dxfId="25" priority="21" operator="equal">
      <formula>$C$127</formula>
    </cfRule>
    <cfRule type="cellIs" dxfId="24" priority="22" operator="equal">
      <formula>$C$126</formula>
    </cfRule>
  </conditionalFormatting>
  <conditionalFormatting sqref="G118">
    <cfRule type="cellIs" dxfId="23" priority="19" operator="equal">
      <formula>$C$127</formula>
    </cfRule>
    <cfRule type="cellIs" dxfId="22" priority="20" operator="equal">
      <formula>$C$126</formula>
    </cfRule>
  </conditionalFormatting>
  <conditionalFormatting sqref="G122">
    <cfRule type="cellIs" dxfId="21" priority="17" operator="equal">
      <formula>$C$127</formula>
    </cfRule>
    <cfRule type="cellIs" dxfId="20" priority="18" operator="equal">
      <formula>$C$126</formula>
    </cfRule>
  </conditionalFormatting>
  <conditionalFormatting sqref="G129">
    <cfRule type="cellIs" dxfId="19" priority="15" operator="equal">
      <formula>$C$127</formula>
    </cfRule>
    <cfRule type="cellIs" dxfId="18" priority="16" operator="equal">
      <formula>$C$126</formula>
    </cfRule>
  </conditionalFormatting>
  <conditionalFormatting sqref="G131">
    <cfRule type="cellIs" dxfId="17" priority="13" operator="equal">
      <formula>$C$127</formula>
    </cfRule>
    <cfRule type="cellIs" dxfId="16" priority="14" operator="equal">
      <formula>$C$126</formula>
    </cfRule>
  </conditionalFormatting>
  <conditionalFormatting sqref="G137">
    <cfRule type="cellIs" dxfId="15" priority="9" operator="equal">
      <formula>$C$127</formula>
    </cfRule>
    <cfRule type="cellIs" dxfId="14" priority="10" operator="equal">
      <formula>$C$126</formula>
    </cfRule>
  </conditionalFormatting>
  <conditionalFormatting sqref="G58">
    <cfRule type="cellIs" dxfId="13" priority="5" operator="equal">
      <formula>$C$127</formula>
    </cfRule>
    <cfRule type="cellIs" dxfId="12" priority="6" operator="equal">
      <formula>$C$126</formula>
    </cfRule>
  </conditionalFormatting>
  <conditionalFormatting sqref="G38">
    <cfRule type="cellIs" dxfId="11" priority="3" operator="equal">
      <formula>$C$127</formula>
    </cfRule>
    <cfRule type="cellIs" dxfId="10" priority="4" operator="equal">
      <formula>$C$126</formula>
    </cfRule>
  </conditionalFormatting>
  <conditionalFormatting sqref="G48">
    <cfRule type="cellIs" dxfId="9" priority="1" operator="equal">
      <formula>$C$127</formula>
    </cfRule>
    <cfRule type="cellIs" dxfId="8" priority="2" operator="equal">
      <formula>$C$126</formula>
    </cfRule>
  </conditionalFormatting>
  <dataValidations disablePrompts="1" count="2">
    <dataValidation type="list" allowBlank="1" showInputMessage="1" showErrorMessage="1" sqref="G54 G34 G56:G58 G26 G42 G135 G50 G36:G38 G94 G64 G72 G98 G62 G129 G76 G114 G66 G84 G118 G137 G40 G30 G18 G32 G80 G104 G28 G110 G112 G131 G108 G106 G90 G24 G122 G46:G48">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defaultColWidth="0" defaultRowHeight="15" zeroHeight="1" x14ac:dyDescent="0.25"/>
  <cols>
    <col min="1" max="1" width="9" hidden="1" customWidth="1"/>
    <col min="2" max="2" width="2.7109375" customWidth="1"/>
    <col min="3" max="3" width="6.5703125" customWidth="1"/>
    <col min="4" max="4" width="47.28515625" customWidth="1"/>
    <col min="5" max="5" width="2.28515625" customWidth="1"/>
    <col min="6" max="6" width="39" customWidth="1"/>
    <col min="7" max="7" width="2.7109375" customWidth="1"/>
    <col min="8" max="8" width="9" style="166" customWidth="1"/>
    <col min="9" max="9" width="2.7109375" customWidth="1"/>
    <col min="10" max="10" width="64.28515625" customWidth="1"/>
    <col min="11" max="11" width="2.7109375" customWidth="1"/>
    <col min="12" max="15" width="9" hidden="1" customWidth="1"/>
    <col min="16" max="16384" width="9" hidden="1"/>
  </cols>
  <sheetData>
    <row r="1" spans="1:14" x14ac:dyDescent="0.25">
      <c r="A1" s="39"/>
      <c r="B1" s="40"/>
      <c r="C1" s="40"/>
      <c r="D1" s="41"/>
      <c r="E1" s="42"/>
      <c r="F1" s="42"/>
      <c r="G1" s="42"/>
      <c r="H1" s="40"/>
      <c r="I1" s="40"/>
      <c r="J1" s="43"/>
      <c r="K1" s="44"/>
    </row>
    <row r="2" spans="1:14" x14ac:dyDescent="0.25">
      <c r="A2" s="45"/>
      <c r="B2" s="69"/>
      <c r="C2" s="69"/>
      <c r="D2" s="441" t="s">
        <v>125</v>
      </c>
      <c r="E2" s="24"/>
      <c r="F2" s="730" t="s">
        <v>240</v>
      </c>
      <c r="G2" s="731"/>
      <c r="H2" s="731"/>
      <c r="I2" s="732"/>
      <c r="J2" s="33"/>
      <c r="K2" s="46"/>
    </row>
    <row r="3" spans="1:14" ht="8.25" customHeight="1" x14ac:dyDescent="0.25">
      <c r="A3" s="45"/>
      <c r="B3" s="69"/>
      <c r="C3" s="69"/>
      <c r="D3" s="135"/>
      <c r="E3" s="24"/>
      <c r="F3" s="69"/>
      <c r="G3" s="69"/>
      <c r="H3" s="69"/>
      <c r="I3" s="69"/>
      <c r="J3" s="33"/>
      <c r="K3" s="46"/>
    </row>
    <row r="4" spans="1:14" x14ac:dyDescent="0.25">
      <c r="A4" s="45"/>
      <c r="B4" s="69"/>
      <c r="C4" s="69"/>
      <c r="D4" s="441" t="s">
        <v>126</v>
      </c>
      <c r="E4" s="24"/>
      <c r="F4" s="733"/>
      <c r="G4" s="734"/>
      <c r="H4" s="734"/>
      <c r="I4" s="735"/>
      <c r="J4" s="33"/>
      <c r="K4" s="46"/>
    </row>
    <row r="5" spans="1:14" ht="8.25" customHeight="1" x14ac:dyDescent="0.25">
      <c r="A5" s="45"/>
      <c r="B5" s="69"/>
      <c r="C5" s="69"/>
      <c r="D5" s="135"/>
      <c r="E5" s="24"/>
      <c r="F5" s="69"/>
      <c r="G5" s="69"/>
      <c r="H5" s="69"/>
      <c r="I5" s="69"/>
      <c r="J5" s="33"/>
      <c r="K5" s="46"/>
    </row>
    <row r="6" spans="1:14" hidden="1" x14ac:dyDescent="0.25">
      <c r="A6" s="45"/>
      <c r="B6" s="69"/>
      <c r="C6" s="69"/>
      <c r="D6" s="135"/>
      <c r="E6" s="24"/>
      <c r="F6" s="736"/>
      <c r="G6" s="737"/>
      <c r="H6" s="737"/>
      <c r="I6" s="738"/>
      <c r="J6" s="33"/>
      <c r="K6" s="46"/>
    </row>
    <row r="7" spans="1:14" ht="15" hidden="1" customHeight="1" x14ac:dyDescent="0.25">
      <c r="A7" s="45"/>
      <c r="B7" s="69"/>
      <c r="C7" s="69"/>
      <c r="D7" s="135"/>
      <c r="E7" s="24"/>
      <c r="F7" s="69"/>
      <c r="G7" s="69"/>
      <c r="H7" s="69"/>
      <c r="I7" s="69"/>
      <c r="J7" s="33"/>
      <c r="K7" s="46"/>
    </row>
    <row r="8" spans="1:14" x14ac:dyDescent="0.25">
      <c r="A8" s="45"/>
      <c r="B8" s="69"/>
      <c r="C8" s="69"/>
      <c r="D8" s="441" t="s">
        <v>29</v>
      </c>
      <c r="E8" s="24"/>
      <c r="F8" s="730" t="s">
        <v>241</v>
      </c>
      <c r="G8" s="731"/>
      <c r="H8" s="731"/>
      <c r="I8" s="732"/>
      <c r="J8" s="33"/>
      <c r="K8" s="46"/>
    </row>
    <row r="9" spans="1:14" ht="8.25" customHeight="1" x14ac:dyDescent="0.25">
      <c r="A9" s="45"/>
      <c r="B9" s="69"/>
      <c r="C9" s="69"/>
      <c r="D9" s="135"/>
      <c r="E9" s="24"/>
      <c r="F9" s="69"/>
      <c r="G9" s="69"/>
      <c r="H9" s="69"/>
      <c r="I9" s="69"/>
      <c r="J9" s="33"/>
      <c r="K9" s="46"/>
    </row>
    <row r="10" spans="1:14" x14ac:dyDescent="0.25">
      <c r="A10" s="45"/>
      <c r="B10" s="69"/>
      <c r="C10" s="28"/>
      <c r="D10" s="441" t="s">
        <v>242</v>
      </c>
      <c r="E10" s="24"/>
      <c r="F10" s="730"/>
      <c r="G10" s="731"/>
      <c r="H10" s="731"/>
      <c r="I10" s="732"/>
      <c r="J10" s="33"/>
      <c r="K10" s="46"/>
    </row>
    <row r="11" spans="1:14" x14ac:dyDescent="0.25">
      <c r="A11" s="47"/>
      <c r="B11" s="48"/>
      <c r="C11" s="48"/>
      <c r="D11" s="48"/>
      <c r="E11" s="49"/>
      <c r="F11" s="49"/>
      <c r="G11" s="49"/>
      <c r="H11" s="50"/>
      <c r="I11" s="48"/>
      <c r="J11" s="51"/>
      <c r="K11" s="52"/>
    </row>
    <row r="12" spans="1:14" ht="15.75" x14ac:dyDescent="0.25">
      <c r="A12" s="53"/>
      <c r="B12" s="38"/>
      <c r="C12" s="76" t="s">
        <v>90</v>
      </c>
      <c r="D12" s="135" t="s">
        <v>118</v>
      </c>
      <c r="E12" s="136"/>
      <c r="F12" s="136"/>
      <c r="G12" s="136"/>
      <c r="H12" s="135" t="s">
        <v>119</v>
      </c>
      <c r="I12" s="136"/>
      <c r="J12" s="137" t="s">
        <v>120</v>
      </c>
      <c r="K12" s="54"/>
    </row>
    <row r="13" spans="1:14" s="154" customFormat="1" x14ac:dyDescent="0.25">
      <c r="A13" s="55"/>
      <c r="B13" s="155"/>
      <c r="C13" s="155"/>
      <c r="D13" s="458" t="s">
        <v>127</v>
      </c>
      <c r="E13" s="155"/>
      <c r="F13" s="155"/>
      <c r="G13" s="155"/>
      <c r="H13" s="160"/>
      <c r="I13" s="155"/>
      <c r="J13" s="155"/>
      <c r="K13" s="155"/>
    </row>
    <row r="14" spans="1:14" x14ac:dyDescent="0.25">
      <c r="A14" s="56"/>
      <c r="B14" s="69"/>
      <c r="C14" s="69"/>
      <c r="D14" s="57"/>
      <c r="E14" s="68"/>
      <c r="F14" s="68"/>
      <c r="G14" s="68"/>
      <c r="H14" s="83"/>
      <c r="I14" s="68"/>
      <c r="J14" s="58"/>
      <c r="K14" s="46"/>
    </row>
    <row r="15" spans="1:14" ht="33.75" x14ac:dyDescent="0.5">
      <c r="A15" s="56"/>
      <c r="B15" s="68"/>
      <c r="C15" s="97" t="s">
        <v>128</v>
      </c>
      <c r="D15" s="729" t="s">
        <v>243</v>
      </c>
      <c r="E15" s="729"/>
      <c r="F15" s="729"/>
      <c r="G15" s="68"/>
      <c r="H15" s="167"/>
      <c r="I15" s="68"/>
      <c r="J15" s="34"/>
      <c r="K15" s="46"/>
      <c r="N15" s="422" t="s">
        <v>32</v>
      </c>
    </row>
    <row r="16" spans="1:14" x14ac:dyDescent="0.25">
      <c r="A16" s="56"/>
      <c r="B16" s="94"/>
      <c r="C16" s="29"/>
      <c r="D16" s="94"/>
      <c r="E16" s="94"/>
      <c r="F16" s="94"/>
      <c r="G16" s="94"/>
      <c r="H16" s="99"/>
      <c r="I16" s="94"/>
      <c r="J16" s="35"/>
      <c r="K16" s="59"/>
    </row>
    <row r="17" spans="1:15" ht="33.75" x14ac:dyDescent="0.5">
      <c r="A17" s="56"/>
      <c r="B17" s="68"/>
      <c r="C17" s="27" t="s">
        <v>130</v>
      </c>
      <c r="D17" s="664" t="s">
        <v>244</v>
      </c>
      <c r="E17" s="664"/>
      <c r="F17" s="664"/>
      <c r="G17" s="68"/>
      <c r="H17" s="126"/>
      <c r="I17" s="68"/>
      <c r="J17" s="34"/>
      <c r="K17" s="46"/>
      <c r="N17" s="422" t="s">
        <v>32</v>
      </c>
    </row>
    <row r="18" spans="1:15" x14ac:dyDescent="0.25">
      <c r="A18" s="56"/>
      <c r="B18" s="68"/>
      <c r="C18" s="27"/>
      <c r="D18" s="94"/>
      <c r="E18" s="94"/>
      <c r="F18" s="94"/>
      <c r="G18" s="68"/>
      <c r="H18" s="83"/>
      <c r="I18" s="68"/>
      <c r="J18" s="35"/>
      <c r="K18" s="60"/>
    </row>
    <row r="19" spans="1:15" ht="33.75" x14ac:dyDescent="0.5">
      <c r="A19" s="56"/>
      <c r="B19" s="68"/>
      <c r="C19" s="27" t="s">
        <v>132</v>
      </c>
      <c r="D19" s="728" t="s">
        <v>245</v>
      </c>
      <c r="E19" s="728"/>
      <c r="F19" s="728"/>
      <c r="G19" s="68"/>
      <c r="H19" s="126"/>
      <c r="I19" s="68"/>
      <c r="J19" s="34"/>
      <c r="K19" s="60"/>
      <c r="N19" s="422" t="s">
        <v>32</v>
      </c>
    </row>
    <row r="20" spans="1:15" x14ac:dyDescent="0.25">
      <c r="A20" s="56"/>
      <c r="B20" s="68"/>
      <c r="C20" s="27"/>
      <c r="D20" s="94"/>
      <c r="E20" s="94"/>
      <c r="F20" s="94"/>
      <c r="G20" s="68"/>
      <c r="H20" s="83"/>
      <c r="I20" s="68"/>
      <c r="J20" s="35"/>
      <c r="K20" s="60"/>
    </row>
    <row r="21" spans="1:15" ht="33.75" x14ac:dyDescent="0.5">
      <c r="A21" s="56"/>
      <c r="B21" s="68"/>
      <c r="C21" s="27" t="s">
        <v>135</v>
      </c>
      <c r="D21" s="664" t="s">
        <v>246</v>
      </c>
      <c r="E21" s="664"/>
      <c r="F21" s="664"/>
      <c r="G21" s="68"/>
      <c r="H21" s="126"/>
      <c r="I21" s="68"/>
      <c r="J21" s="34"/>
      <c r="K21" s="60"/>
      <c r="N21" s="422" t="s">
        <v>32</v>
      </c>
    </row>
    <row r="22" spans="1:15" x14ac:dyDescent="0.25">
      <c r="A22" s="56"/>
      <c r="B22" s="68"/>
      <c r="C22" s="27"/>
      <c r="D22" s="94"/>
      <c r="E22" s="94"/>
      <c r="F22" s="94"/>
      <c r="G22" s="68"/>
      <c r="H22" s="83"/>
      <c r="I22" s="68"/>
      <c r="J22" s="35"/>
      <c r="K22" s="60"/>
    </row>
    <row r="23" spans="1:15" ht="33.75" x14ac:dyDescent="0.5">
      <c r="A23" s="56"/>
      <c r="B23" s="68"/>
      <c r="C23" s="27" t="s">
        <v>137</v>
      </c>
      <c r="D23" s="664" t="s">
        <v>247</v>
      </c>
      <c r="E23" s="664"/>
      <c r="F23" s="664"/>
      <c r="G23" s="68"/>
      <c r="H23" s="126"/>
      <c r="I23" s="68"/>
      <c r="J23" s="34"/>
      <c r="K23" s="60"/>
      <c r="N23" s="422" t="s">
        <v>32</v>
      </c>
    </row>
    <row r="24" spans="1:15" x14ac:dyDescent="0.25">
      <c r="A24" s="56"/>
      <c r="B24" s="68"/>
      <c r="C24" s="27"/>
      <c r="D24" s="94"/>
      <c r="E24" s="94"/>
      <c r="F24" s="94"/>
      <c r="G24" s="68"/>
      <c r="H24" s="83"/>
      <c r="I24" s="68"/>
      <c r="J24" s="35"/>
      <c r="K24" s="60"/>
    </row>
    <row r="25" spans="1:15" ht="33.75" x14ac:dyDescent="0.5">
      <c r="A25" s="56"/>
      <c r="B25" s="68"/>
      <c r="C25" s="27" t="s">
        <v>145</v>
      </c>
      <c r="D25" s="664" t="s">
        <v>248</v>
      </c>
      <c r="E25" s="664"/>
      <c r="F25" s="664"/>
      <c r="G25" s="68"/>
      <c r="H25" s="126"/>
      <c r="I25" s="68"/>
      <c r="J25" s="34"/>
      <c r="K25" s="60"/>
      <c r="N25" s="422" t="s">
        <v>32</v>
      </c>
    </row>
    <row r="26" spans="1:15" x14ac:dyDescent="0.25">
      <c r="A26" s="56"/>
      <c r="B26" s="68"/>
      <c r="C26" s="61"/>
      <c r="D26" s="94"/>
      <c r="E26" s="94"/>
      <c r="F26" s="94"/>
      <c r="G26" s="68"/>
      <c r="H26" s="83"/>
      <c r="I26" s="68"/>
      <c r="J26" s="35"/>
      <c r="K26" s="60"/>
    </row>
    <row r="27" spans="1:15" x14ac:dyDescent="0.25">
      <c r="A27" s="56"/>
      <c r="B27" s="68"/>
      <c r="C27" s="27" t="s">
        <v>148</v>
      </c>
      <c r="D27" s="664" t="s">
        <v>249</v>
      </c>
      <c r="E27" s="664"/>
      <c r="F27" s="664"/>
      <c r="G27" s="68"/>
      <c r="H27" s="126"/>
      <c r="I27" s="68"/>
      <c r="J27" s="34"/>
      <c r="K27" s="60"/>
    </row>
    <row r="28" spans="1:15" x14ac:dyDescent="0.25">
      <c r="A28" s="56"/>
      <c r="B28" s="68"/>
      <c r="C28" s="68"/>
      <c r="D28" s="94"/>
      <c r="E28" s="94"/>
      <c r="F28" s="94"/>
      <c r="G28" s="68"/>
      <c r="H28" s="83"/>
      <c r="I28" s="68"/>
      <c r="J28" s="35"/>
      <c r="K28" s="60"/>
    </row>
    <row r="29" spans="1:15" x14ac:dyDescent="0.25">
      <c r="A29" s="56"/>
      <c r="B29" s="81"/>
      <c r="C29" s="81"/>
      <c r="D29" s="459" t="s">
        <v>134</v>
      </c>
      <c r="E29" s="115"/>
      <c r="F29" s="115"/>
      <c r="G29" s="81"/>
      <c r="H29" s="161"/>
      <c r="I29" s="81"/>
      <c r="J29" s="81"/>
      <c r="K29" s="81"/>
      <c r="L29" s="81"/>
      <c r="M29" s="81"/>
      <c r="N29" s="81"/>
      <c r="O29" s="81"/>
    </row>
    <row r="30" spans="1:15" x14ac:dyDescent="0.25">
      <c r="A30" s="56"/>
      <c r="B30" s="68"/>
      <c r="C30" s="68"/>
      <c r="D30" s="94"/>
      <c r="E30" s="94"/>
      <c r="F30" s="94"/>
      <c r="G30" s="68"/>
      <c r="H30" s="83"/>
      <c r="I30" s="68"/>
      <c r="J30" s="35"/>
      <c r="K30" s="60"/>
    </row>
    <row r="31" spans="1:15" ht="81.75" x14ac:dyDescent="1.2">
      <c r="A31" s="56"/>
      <c r="B31" s="68"/>
      <c r="C31" s="83" t="s">
        <v>151</v>
      </c>
      <c r="D31" s="725" t="s">
        <v>250</v>
      </c>
      <c r="E31" s="726"/>
      <c r="F31" s="727"/>
      <c r="G31" s="68"/>
      <c r="H31" s="126"/>
      <c r="I31" s="68"/>
      <c r="J31" s="34"/>
      <c r="K31" s="60"/>
      <c r="M31" s="440" t="s">
        <v>32</v>
      </c>
    </row>
    <row r="32" spans="1:15" x14ac:dyDescent="0.25">
      <c r="A32" s="56"/>
      <c r="B32" s="68"/>
      <c r="C32" s="83"/>
      <c r="D32" s="510"/>
      <c r="E32" s="94"/>
      <c r="F32" s="94"/>
      <c r="G32" s="68"/>
      <c r="H32" s="83"/>
      <c r="I32" s="68"/>
      <c r="J32" s="35"/>
      <c r="K32" s="60"/>
    </row>
    <row r="33" spans="1:15" ht="33.75" x14ac:dyDescent="0.5">
      <c r="A33" s="56"/>
      <c r="B33" s="68"/>
      <c r="C33" s="83" t="s">
        <v>251</v>
      </c>
      <c r="D33" s="664" t="s">
        <v>252</v>
      </c>
      <c r="E33" s="664"/>
      <c r="F33" s="664"/>
      <c r="G33" s="68"/>
      <c r="H33" s="126"/>
      <c r="I33" s="68"/>
      <c r="J33" s="34"/>
      <c r="K33" s="60"/>
      <c r="M33" s="422" t="s">
        <v>32</v>
      </c>
    </row>
    <row r="34" spans="1:15" x14ac:dyDescent="0.25">
      <c r="A34" s="56"/>
      <c r="B34" s="68"/>
      <c r="C34" s="83"/>
      <c r="D34" s="94"/>
      <c r="E34" s="94"/>
      <c r="F34" s="94"/>
      <c r="G34" s="68"/>
      <c r="H34" s="83"/>
      <c r="I34" s="68"/>
      <c r="J34" s="35"/>
      <c r="K34" s="60"/>
    </row>
    <row r="35" spans="1:15" ht="33.75" x14ac:dyDescent="0.5">
      <c r="A35" s="56"/>
      <c r="B35" s="68"/>
      <c r="C35" s="83" t="s">
        <v>253</v>
      </c>
      <c r="D35" s="664" t="s">
        <v>254</v>
      </c>
      <c r="E35" s="664"/>
      <c r="F35" s="664"/>
      <c r="G35" s="68"/>
      <c r="H35" s="126"/>
      <c r="I35" s="68"/>
      <c r="J35" s="34"/>
      <c r="K35" s="60"/>
      <c r="M35" s="422" t="s">
        <v>32</v>
      </c>
    </row>
    <row r="36" spans="1:15" hidden="1" x14ac:dyDescent="0.25">
      <c r="A36" s="56"/>
      <c r="B36" s="68"/>
      <c r="C36" s="83"/>
      <c r="D36" s="94"/>
      <c r="E36" s="94"/>
      <c r="F36" s="94"/>
      <c r="G36" s="68"/>
      <c r="H36" s="83"/>
      <c r="I36" s="68"/>
      <c r="J36" s="35"/>
      <c r="K36" s="60"/>
    </row>
    <row r="37" spans="1:15" hidden="1" x14ac:dyDescent="0.25">
      <c r="A37" s="56"/>
      <c r="B37" s="68"/>
      <c r="C37" s="83"/>
      <c r="D37" s="664" t="s">
        <v>255</v>
      </c>
      <c r="E37" s="664"/>
      <c r="F37" s="664"/>
      <c r="G37" s="68"/>
      <c r="H37" s="126"/>
      <c r="I37" s="68"/>
      <c r="J37" s="34"/>
      <c r="K37" s="60"/>
    </row>
    <row r="38" spans="1:15" x14ac:dyDescent="0.25">
      <c r="A38" s="56"/>
      <c r="B38" s="68"/>
      <c r="C38" s="83"/>
      <c r="D38" s="151"/>
      <c r="E38" s="94"/>
      <c r="F38" s="94"/>
      <c r="G38" s="68"/>
      <c r="H38" s="83"/>
      <c r="I38" s="68"/>
      <c r="J38" s="35"/>
      <c r="K38" s="60"/>
    </row>
    <row r="39" spans="1:15" x14ac:dyDescent="0.25">
      <c r="A39" s="56"/>
      <c r="B39" s="68"/>
      <c r="C39" s="83" t="s">
        <v>156</v>
      </c>
      <c r="D39" s="664" t="s">
        <v>256</v>
      </c>
      <c r="E39" s="664"/>
      <c r="F39" s="664"/>
      <c r="G39" s="68"/>
      <c r="H39" s="126"/>
      <c r="I39" s="68"/>
      <c r="J39" s="34"/>
      <c r="K39" s="60"/>
    </row>
    <row r="40" spans="1:15" x14ac:dyDescent="0.25">
      <c r="A40" s="56"/>
      <c r="B40" s="30"/>
      <c r="C40" s="30"/>
      <c r="D40" s="724"/>
      <c r="E40" s="724"/>
      <c r="F40" s="724"/>
      <c r="G40" s="622"/>
      <c r="H40" s="83"/>
      <c r="I40" s="62"/>
      <c r="J40" s="35"/>
      <c r="K40" s="60"/>
    </row>
    <row r="41" spans="1:15" ht="33.75" x14ac:dyDescent="0.5">
      <c r="A41" s="56"/>
      <c r="B41" s="68"/>
      <c r="C41" s="83" t="s">
        <v>158</v>
      </c>
      <c r="D41" s="664" t="s">
        <v>257</v>
      </c>
      <c r="E41" s="664"/>
      <c r="F41" s="664"/>
      <c r="G41" s="622"/>
      <c r="H41" s="126"/>
      <c r="I41" s="68"/>
      <c r="J41" s="34"/>
      <c r="K41" s="60"/>
      <c r="M41" s="422" t="s">
        <v>32</v>
      </c>
    </row>
    <row r="42" spans="1:15" x14ac:dyDescent="0.25">
      <c r="A42" s="56"/>
      <c r="B42" s="68"/>
      <c r="C42" s="68"/>
      <c r="D42" s="94"/>
      <c r="E42" s="94"/>
      <c r="F42" s="94"/>
      <c r="G42" s="622"/>
      <c r="H42" s="83"/>
      <c r="I42" s="68"/>
      <c r="J42" s="35"/>
      <c r="K42" s="60"/>
    </row>
    <row r="43" spans="1:15" ht="33.75" x14ac:dyDescent="0.5">
      <c r="A43" s="56"/>
      <c r="B43" s="68"/>
      <c r="C43" s="83" t="s">
        <v>162</v>
      </c>
      <c r="D43" s="664" t="s">
        <v>258</v>
      </c>
      <c r="E43" s="664"/>
      <c r="F43" s="664"/>
      <c r="G43" s="68"/>
      <c r="H43" s="126"/>
      <c r="I43" s="68"/>
      <c r="J43" s="34"/>
      <c r="K43" s="60"/>
      <c r="M43" s="422" t="s">
        <v>32</v>
      </c>
    </row>
    <row r="44" spans="1:15" x14ac:dyDescent="0.25">
      <c r="A44" s="56"/>
      <c r="B44" s="68"/>
      <c r="C44" s="68"/>
      <c r="D44" s="94"/>
      <c r="E44" s="94"/>
      <c r="F44" s="94"/>
      <c r="G44" s="68"/>
      <c r="H44" s="83"/>
      <c r="I44" s="68"/>
      <c r="J44" s="35"/>
      <c r="K44" s="60"/>
    </row>
    <row r="45" spans="1:15" x14ac:dyDescent="0.25">
      <c r="A45" s="56"/>
      <c r="B45" s="117"/>
      <c r="C45" s="117"/>
      <c r="D45" s="460" t="s">
        <v>259</v>
      </c>
      <c r="E45" s="117"/>
      <c r="F45" s="117"/>
      <c r="G45" s="117"/>
      <c r="H45" s="162"/>
      <c r="I45" s="117"/>
      <c r="J45" s="117"/>
      <c r="K45" s="117"/>
      <c r="L45" s="117"/>
      <c r="M45" s="117"/>
      <c r="N45" s="117"/>
      <c r="O45" s="117"/>
    </row>
    <row r="46" spans="1:15" x14ac:dyDescent="0.25">
      <c r="A46" s="56"/>
      <c r="B46" s="68"/>
      <c r="C46" s="68"/>
      <c r="D46" s="94"/>
      <c r="E46" s="94"/>
      <c r="F46" s="94"/>
      <c r="G46" s="68"/>
      <c r="H46" s="83"/>
      <c r="I46" s="68"/>
      <c r="J46" s="35"/>
      <c r="K46" s="60"/>
    </row>
    <row r="47" spans="1:15" x14ac:dyDescent="0.25">
      <c r="A47" s="56"/>
      <c r="B47" s="68"/>
      <c r="C47" s="83" t="s">
        <v>165</v>
      </c>
      <c r="D47" s="664" t="s">
        <v>260</v>
      </c>
      <c r="E47" s="664"/>
      <c r="F47" s="664"/>
      <c r="G47" s="68"/>
      <c r="H47" s="126"/>
      <c r="I47" s="68"/>
      <c r="J47" s="34"/>
      <c r="K47" s="60"/>
    </row>
    <row r="48" spans="1:15" x14ac:dyDescent="0.25">
      <c r="A48" s="56"/>
      <c r="B48" s="68"/>
      <c r="C48" s="83"/>
      <c r="D48" s="94"/>
      <c r="E48" s="94"/>
      <c r="F48" s="94"/>
      <c r="G48" s="68"/>
      <c r="H48" s="83"/>
      <c r="I48" s="68"/>
      <c r="J48" s="35"/>
      <c r="K48" s="60"/>
    </row>
    <row r="49" spans="1:13" ht="33.75" x14ac:dyDescent="0.5">
      <c r="A49" s="56"/>
      <c r="B49" s="68"/>
      <c r="C49" s="83" t="s">
        <v>198</v>
      </c>
      <c r="D49" s="664" t="s">
        <v>261</v>
      </c>
      <c r="E49" s="664"/>
      <c r="F49" s="664"/>
      <c r="G49" s="68"/>
      <c r="H49" s="126"/>
      <c r="I49" s="68"/>
      <c r="J49" s="34"/>
      <c r="K49" s="60"/>
      <c r="M49" s="422" t="s">
        <v>32</v>
      </c>
    </row>
    <row r="50" spans="1:13" x14ac:dyDescent="0.25">
      <c r="A50" s="56"/>
      <c r="B50" s="68"/>
      <c r="C50" s="68"/>
      <c r="D50" s="94"/>
      <c r="E50" s="94"/>
      <c r="F50" s="94"/>
      <c r="G50" s="68"/>
      <c r="H50" s="83"/>
      <c r="I50" s="68"/>
      <c r="J50" s="35"/>
      <c r="K50" s="60"/>
    </row>
    <row r="51" spans="1:13" x14ac:dyDescent="0.25">
      <c r="A51" s="56"/>
      <c r="B51" s="30"/>
      <c r="C51" s="36"/>
      <c r="D51" s="461" t="s">
        <v>193</v>
      </c>
      <c r="E51" s="118"/>
      <c r="F51" s="118"/>
      <c r="G51" s="90"/>
      <c r="H51" s="163"/>
      <c r="I51" s="90"/>
      <c r="J51" s="36"/>
      <c r="K51" s="46"/>
    </row>
    <row r="52" spans="1:13" x14ac:dyDescent="0.25">
      <c r="A52" s="56"/>
      <c r="B52" s="68"/>
      <c r="C52" s="68"/>
      <c r="D52" s="94"/>
      <c r="E52" s="94"/>
      <c r="F52" s="94"/>
      <c r="G52" s="68"/>
      <c r="H52" s="83"/>
      <c r="I52" s="68"/>
      <c r="J52" s="35"/>
      <c r="K52" s="60"/>
    </row>
    <row r="53" spans="1:13" x14ac:dyDescent="0.25">
      <c r="A53" s="56"/>
      <c r="B53" s="68"/>
      <c r="C53" s="83" t="s">
        <v>168</v>
      </c>
      <c r="D53" s="664" t="s">
        <v>262</v>
      </c>
      <c r="E53" s="664"/>
      <c r="F53" s="664"/>
      <c r="G53" s="68"/>
      <c r="H53" s="126"/>
      <c r="I53" s="68"/>
      <c r="J53" s="34"/>
      <c r="K53" s="60"/>
    </row>
    <row r="54" spans="1:13" x14ac:dyDescent="0.25">
      <c r="A54" s="56"/>
      <c r="B54" s="68"/>
      <c r="C54" s="68"/>
      <c r="D54" s="94"/>
      <c r="E54" s="94"/>
      <c r="F54" s="94"/>
      <c r="G54" s="68"/>
      <c r="H54" s="83"/>
      <c r="I54" s="68"/>
      <c r="J54" s="35"/>
      <c r="K54" s="60"/>
    </row>
    <row r="55" spans="1:13" ht="33.75" x14ac:dyDescent="0.5">
      <c r="A55" s="56"/>
      <c r="B55" s="68"/>
      <c r="C55" s="83" t="s">
        <v>200</v>
      </c>
      <c r="D55" s="664" t="s">
        <v>263</v>
      </c>
      <c r="E55" s="664"/>
      <c r="F55" s="664"/>
      <c r="G55" s="68"/>
      <c r="H55" s="126"/>
      <c r="I55" s="68"/>
      <c r="J55" s="34"/>
      <c r="K55" s="60"/>
      <c r="M55" s="422" t="s">
        <v>32</v>
      </c>
    </row>
    <row r="56" spans="1:13" x14ac:dyDescent="0.25">
      <c r="A56" s="56"/>
      <c r="B56" s="68"/>
      <c r="C56" s="68"/>
      <c r="D56" s="94"/>
      <c r="E56" s="94"/>
      <c r="F56" s="94"/>
      <c r="G56" s="68"/>
      <c r="H56" s="83"/>
      <c r="I56" s="68"/>
      <c r="J56" s="35"/>
      <c r="K56" s="60"/>
    </row>
    <row r="57" spans="1:13" x14ac:dyDescent="0.25">
      <c r="A57" s="56"/>
      <c r="B57" s="30"/>
      <c r="C57" s="36"/>
      <c r="D57" s="461" t="s">
        <v>264</v>
      </c>
      <c r="E57" s="118"/>
      <c r="F57" s="118"/>
      <c r="G57" s="90"/>
      <c r="H57" s="163"/>
      <c r="I57" s="90"/>
      <c r="J57" s="36"/>
      <c r="K57" s="46"/>
    </row>
    <row r="58" spans="1:13" x14ac:dyDescent="0.25">
      <c r="A58" s="56"/>
      <c r="B58" s="68"/>
      <c r="C58" s="68"/>
      <c r="D58" s="94"/>
      <c r="E58" s="94"/>
      <c r="F58" s="94"/>
      <c r="G58" s="68"/>
      <c r="H58" s="83"/>
      <c r="I58" s="68"/>
      <c r="J58" s="35"/>
      <c r="K58" s="60"/>
    </row>
    <row r="59" spans="1:13" x14ac:dyDescent="0.25">
      <c r="A59" s="56"/>
      <c r="B59" s="68"/>
      <c r="C59" s="83" t="s">
        <v>172</v>
      </c>
      <c r="D59" s="664" t="s">
        <v>265</v>
      </c>
      <c r="E59" s="664"/>
      <c r="F59" s="664"/>
      <c r="G59" s="68"/>
      <c r="H59" s="126"/>
      <c r="I59" s="68"/>
      <c r="J59" s="34"/>
      <c r="K59" s="60"/>
    </row>
    <row r="60" spans="1:13" x14ac:dyDescent="0.25">
      <c r="A60" s="56"/>
      <c r="B60" s="68"/>
      <c r="C60" s="68"/>
      <c r="D60" s="94"/>
      <c r="E60" s="94"/>
      <c r="F60" s="94"/>
      <c r="G60" s="68"/>
      <c r="H60" s="83"/>
      <c r="I60" s="68"/>
      <c r="J60" s="35"/>
      <c r="K60" s="60"/>
    </row>
    <row r="61" spans="1:13" x14ac:dyDescent="0.25">
      <c r="A61" s="56"/>
      <c r="B61" s="30"/>
      <c r="C61" s="36"/>
      <c r="D61" s="461" t="s">
        <v>196</v>
      </c>
      <c r="E61" s="118"/>
      <c r="F61" s="118"/>
      <c r="G61" s="90"/>
      <c r="H61" s="163"/>
      <c r="I61" s="90"/>
      <c r="J61" s="36"/>
      <c r="K61" s="46"/>
    </row>
    <row r="62" spans="1:13" x14ac:dyDescent="0.25">
      <c r="A62" s="56"/>
      <c r="B62" s="68"/>
      <c r="C62" s="68"/>
      <c r="D62" s="94"/>
      <c r="E62" s="94"/>
      <c r="F62" s="94"/>
      <c r="G62" s="68"/>
      <c r="H62" s="83"/>
      <c r="I62" s="68"/>
      <c r="J62" s="35"/>
      <c r="K62" s="60"/>
    </row>
    <row r="63" spans="1:13" ht="33.75" x14ac:dyDescent="0.5">
      <c r="A63" s="56"/>
      <c r="B63" s="68"/>
      <c r="C63" s="83" t="s">
        <v>176</v>
      </c>
      <c r="D63" s="664" t="s">
        <v>266</v>
      </c>
      <c r="E63" s="664"/>
      <c r="F63" s="664"/>
      <c r="G63" s="68"/>
      <c r="H63" s="126"/>
      <c r="I63" s="68"/>
      <c r="J63" s="34"/>
      <c r="K63" s="60"/>
      <c r="M63" s="422" t="s">
        <v>32</v>
      </c>
    </row>
    <row r="64" spans="1:13" x14ac:dyDescent="0.25">
      <c r="A64" s="56"/>
      <c r="B64" s="68"/>
      <c r="C64" s="68"/>
      <c r="D64" s="94"/>
      <c r="E64" s="94"/>
      <c r="F64" s="94"/>
      <c r="G64" s="68"/>
      <c r="H64" s="83"/>
      <c r="I64" s="68"/>
      <c r="J64" s="35"/>
      <c r="K64" s="60"/>
    </row>
    <row r="65" spans="1:13" ht="33.75" x14ac:dyDescent="0.5">
      <c r="A65" s="56"/>
      <c r="B65" s="68"/>
      <c r="C65" s="83" t="s">
        <v>180</v>
      </c>
      <c r="D65" s="664" t="s">
        <v>267</v>
      </c>
      <c r="E65" s="664"/>
      <c r="F65" s="664"/>
      <c r="G65" s="68"/>
      <c r="H65" s="126"/>
      <c r="I65" s="68"/>
      <c r="J65" s="34"/>
      <c r="K65" s="60"/>
      <c r="M65" s="422" t="s">
        <v>32</v>
      </c>
    </row>
    <row r="66" spans="1:13" x14ac:dyDescent="0.25">
      <c r="A66" s="56"/>
      <c r="B66" s="68"/>
      <c r="C66" s="68"/>
      <c r="D66" s="94"/>
      <c r="E66" s="94"/>
      <c r="F66" s="94"/>
      <c r="G66" s="68"/>
      <c r="H66" s="83"/>
      <c r="I66" s="68"/>
      <c r="J66" s="35"/>
      <c r="K66" s="60"/>
    </row>
    <row r="67" spans="1:13" x14ac:dyDescent="0.25">
      <c r="A67" s="56"/>
      <c r="B67" s="68"/>
      <c r="C67" s="83" t="s">
        <v>205</v>
      </c>
      <c r="D67" s="664" t="s">
        <v>268</v>
      </c>
      <c r="E67" s="664"/>
      <c r="F67" s="664"/>
      <c r="G67" s="68"/>
      <c r="H67" s="126"/>
      <c r="I67" s="68"/>
      <c r="J67" s="34"/>
      <c r="K67" s="60"/>
    </row>
    <row r="68" spans="1:13" x14ac:dyDescent="0.25">
      <c r="A68" s="56"/>
      <c r="B68" s="68"/>
      <c r="C68" s="68"/>
      <c r="D68" s="94"/>
      <c r="E68" s="94"/>
      <c r="F68" s="94"/>
      <c r="G68" s="68"/>
      <c r="H68" s="83"/>
      <c r="I68" s="68"/>
      <c r="J68" s="35"/>
      <c r="K68" s="60"/>
    </row>
    <row r="69" spans="1:13" x14ac:dyDescent="0.25">
      <c r="A69" s="56"/>
      <c r="B69" s="68"/>
      <c r="C69" s="83" t="s">
        <v>208</v>
      </c>
      <c r="D69" s="664" t="s">
        <v>269</v>
      </c>
      <c r="E69" s="664"/>
      <c r="F69" s="664"/>
      <c r="G69" s="68"/>
      <c r="H69" s="126"/>
      <c r="I69" s="68"/>
      <c r="J69" s="34"/>
      <c r="K69" s="60"/>
    </row>
    <row r="70" spans="1:13" x14ac:dyDescent="0.25">
      <c r="A70" s="56"/>
      <c r="B70" s="68"/>
      <c r="C70" s="68"/>
      <c r="D70" s="94"/>
      <c r="E70" s="94"/>
      <c r="F70" s="94"/>
      <c r="G70" s="68"/>
      <c r="H70" s="83"/>
      <c r="I70" s="68"/>
      <c r="J70" s="35"/>
      <c r="K70" s="60"/>
    </row>
    <row r="71" spans="1:13" x14ac:dyDescent="0.25">
      <c r="A71" s="56"/>
      <c r="B71" s="68"/>
      <c r="C71" s="83" t="s">
        <v>211</v>
      </c>
      <c r="D71" s="664" t="s">
        <v>270</v>
      </c>
      <c r="E71" s="664"/>
      <c r="F71" s="664"/>
      <c r="G71" s="68"/>
      <c r="H71" s="126"/>
      <c r="I71" s="68"/>
      <c r="J71" s="34"/>
      <c r="K71" s="60"/>
    </row>
    <row r="72" spans="1:13" x14ac:dyDescent="0.25">
      <c r="A72" s="56"/>
      <c r="B72" s="68"/>
      <c r="C72" s="68"/>
      <c r="D72" s="94"/>
      <c r="E72" s="94"/>
      <c r="F72" s="94"/>
      <c r="G72" s="68"/>
      <c r="H72" s="83"/>
      <c r="I72" s="68"/>
      <c r="J72" s="35"/>
      <c r="K72" s="60"/>
    </row>
    <row r="73" spans="1:13" x14ac:dyDescent="0.25">
      <c r="A73" s="56"/>
      <c r="B73" s="68"/>
      <c r="C73" s="83" t="s">
        <v>213</v>
      </c>
      <c r="D73" s="664" t="s">
        <v>271</v>
      </c>
      <c r="E73" s="664"/>
      <c r="F73" s="664"/>
      <c r="G73" s="68"/>
      <c r="H73" s="126"/>
      <c r="I73" s="68"/>
      <c r="J73" s="34"/>
      <c r="K73" s="60"/>
    </row>
    <row r="74" spans="1:13" x14ac:dyDescent="0.25">
      <c r="A74" s="56"/>
      <c r="B74" s="68"/>
      <c r="C74" s="68"/>
      <c r="D74" s="94"/>
      <c r="E74" s="94"/>
      <c r="F74" s="94"/>
      <c r="G74" s="68"/>
      <c r="H74" s="83"/>
      <c r="I74" s="68"/>
      <c r="J74" s="35"/>
      <c r="K74" s="60"/>
    </row>
    <row r="75" spans="1:13" x14ac:dyDescent="0.25">
      <c r="A75" s="123"/>
      <c r="B75" s="123"/>
      <c r="C75" s="123"/>
      <c r="D75" s="462" t="s">
        <v>272</v>
      </c>
      <c r="E75" s="124"/>
      <c r="F75" s="124"/>
      <c r="G75" s="31"/>
      <c r="H75" s="164"/>
      <c r="I75" s="31"/>
      <c r="J75" s="37"/>
      <c r="K75" s="46"/>
    </row>
    <row r="76" spans="1:13" x14ac:dyDescent="0.25">
      <c r="A76" s="56"/>
      <c r="B76" s="68"/>
      <c r="C76" s="68"/>
      <c r="D76" s="94"/>
      <c r="E76" s="94"/>
      <c r="F76" s="94"/>
      <c r="G76" s="68"/>
      <c r="H76" s="83"/>
      <c r="I76" s="68"/>
      <c r="J76" s="35"/>
      <c r="K76" s="60"/>
    </row>
    <row r="77" spans="1:13" x14ac:dyDescent="0.25">
      <c r="A77" s="56"/>
      <c r="B77" s="68"/>
      <c r="C77" s="37"/>
      <c r="D77" s="153" t="s">
        <v>273</v>
      </c>
      <c r="E77" s="124"/>
      <c r="F77" s="124"/>
      <c r="G77" s="32"/>
      <c r="H77" s="164"/>
      <c r="I77" s="32"/>
      <c r="J77" s="37"/>
      <c r="K77" s="60"/>
    </row>
    <row r="78" spans="1:13" x14ac:dyDescent="0.25">
      <c r="A78" s="56"/>
      <c r="B78" s="68"/>
      <c r="C78" s="68"/>
      <c r="D78" s="94"/>
      <c r="E78" s="94"/>
      <c r="F78" s="94"/>
      <c r="G78" s="68"/>
      <c r="H78" s="83"/>
      <c r="I78" s="68"/>
      <c r="J78" s="35"/>
      <c r="K78" s="60"/>
    </row>
    <row r="79" spans="1:13" x14ac:dyDescent="0.25">
      <c r="A79" s="56"/>
      <c r="B79" s="68"/>
      <c r="C79" s="83" t="s">
        <v>215</v>
      </c>
      <c r="D79" s="664" t="s">
        <v>274</v>
      </c>
      <c r="E79" s="664"/>
      <c r="F79" s="664"/>
      <c r="G79" s="68"/>
      <c r="H79" s="126"/>
      <c r="I79" s="68"/>
      <c r="J79" s="34"/>
      <c r="K79" s="60"/>
    </row>
    <row r="80" spans="1:13" x14ac:dyDescent="0.25">
      <c r="A80" s="56"/>
      <c r="B80" s="68"/>
      <c r="C80" s="68"/>
      <c r="D80" s="94"/>
      <c r="E80" s="94"/>
      <c r="F80" s="94"/>
      <c r="G80" s="68"/>
      <c r="H80" s="83"/>
      <c r="I80" s="68"/>
      <c r="J80" s="35"/>
      <c r="K80" s="60"/>
    </row>
    <row r="81" spans="1:13" x14ac:dyDescent="0.25">
      <c r="A81" s="56"/>
      <c r="B81" s="68"/>
      <c r="C81" s="83" t="s">
        <v>218</v>
      </c>
      <c r="D81" s="664" t="s">
        <v>275</v>
      </c>
      <c r="E81" s="664"/>
      <c r="F81" s="664"/>
      <c r="G81" s="68"/>
      <c r="H81" s="126"/>
      <c r="I81" s="68"/>
      <c r="J81" s="34"/>
      <c r="K81" s="60"/>
    </row>
    <row r="82" spans="1:13" x14ac:dyDescent="0.25">
      <c r="A82" s="56"/>
      <c r="B82" s="68"/>
      <c r="C82" s="68"/>
      <c r="D82" s="94"/>
      <c r="E82" s="94"/>
      <c r="F82" s="94"/>
      <c r="G82" s="68"/>
      <c r="H82" s="83"/>
      <c r="I82" s="68"/>
      <c r="J82" s="35"/>
      <c r="K82" s="60"/>
    </row>
    <row r="83" spans="1:13" ht="33.75" x14ac:dyDescent="0.5">
      <c r="A83" s="56"/>
      <c r="B83" s="68"/>
      <c r="C83" s="83" t="s">
        <v>219</v>
      </c>
      <c r="D83" s="664" t="s">
        <v>276</v>
      </c>
      <c r="E83" s="664"/>
      <c r="F83" s="664"/>
      <c r="G83" s="68"/>
      <c r="H83" s="126"/>
      <c r="I83" s="68"/>
      <c r="J83" s="34"/>
      <c r="K83" s="60"/>
      <c r="M83" s="422" t="s">
        <v>32</v>
      </c>
    </row>
    <row r="84" spans="1:13" x14ac:dyDescent="0.25">
      <c r="A84" s="56"/>
      <c r="B84" s="68"/>
      <c r="C84" s="68"/>
      <c r="D84" s="94"/>
      <c r="E84" s="94"/>
      <c r="F84" s="94"/>
      <c r="G84" s="68"/>
      <c r="H84" s="83"/>
      <c r="I84" s="68"/>
      <c r="J84" s="35"/>
      <c r="K84" s="60"/>
    </row>
    <row r="85" spans="1:13" x14ac:dyDescent="0.25">
      <c r="A85" s="56"/>
      <c r="B85" s="68"/>
      <c r="C85" s="83" t="s">
        <v>220</v>
      </c>
      <c r="D85" s="664" t="s">
        <v>277</v>
      </c>
      <c r="E85" s="664"/>
      <c r="F85" s="664"/>
      <c r="G85" s="68"/>
      <c r="H85" s="126"/>
      <c r="I85" s="68"/>
      <c r="J85" s="34"/>
      <c r="K85" s="60"/>
    </row>
    <row r="86" spans="1:13" x14ac:dyDescent="0.25">
      <c r="A86" s="56"/>
      <c r="B86" s="68"/>
      <c r="C86" s="68"/>
      <c r="D86" s="94"/>
      <c r="E86" s="94"/>
      <c r="F86" s="94"/>
      <c r="G86" s="68"/>
      <c r="H86" s="83"/>
      <c r="I86" s="68"/>
      <c r="J86" s="35"/>
      <c r="K86" s="60"/>
    </row>
    <row r="87" spans="1:13" x14ac:dyDescent="0.25">
      <c r="A87" s="56"/>
      <c r="B87" s="68"/>
      <c r="C87" s="37"/>
      <c r="D87" s="463" t="s">
        <v>278</v>
      </c>
      <c r="E87" s="124"/>
      <c r="F87" s="124"/>
      <c r="G87" s="32"/>
      <c r="H87" s="164"/>
      <c r="I87" s="32"/>
      <c r="J87" s="37"/>
      <c r="K87" s="60"/>
    </row>
    <row r="88" spans="1:13" x14ac:dyDescent="0.25">
      <c r="A88" s="56"/>
      <c r="B88" s="68"/>
      <c r="C88" s="68"/>
      <c r="D88" s="94"/>
      <c r="E88" s="94"/>
      <c r="F88" s="94"/>
      <c r="G88" s="68"/>
      <c r="H88" s="83"/>
      <c r="I88" s="68"/>
      <c r="J88" s="35"/>
      <c r="K88" s="60"/>
    </row>
    <row r="89" spans="1:13" x14ac:dyDescent="0.25">
      <c r="A89" s="56"/>
      <c r="B89" s="68"/>
      <c r="C89" s="83" t="s">
        <v>221</v>
      </c>
      <c r="D89" s="664" t="s">
        <v>279</v>
      </c>
      <c r="E89" s="664"/>
      <c r="F89" s="664"/>
      <c r="G89" s="68"/>
      <c r="H89" s="126"/>
      <c r="I89" s="68"/>
      <c r="J89" s="34"/>
      <c r="K89" s="60"/>
    </row>
    <row r="90" spans="1:13" x14ac:dyDescent="0.25">
      <c r="A90" s="56"/>
      <c r="B90" s="68"/>
      <c r="C90" s="68"/>
      <c r="D90" s="94"/>
      <c r="E90" s="94"/>
      <c r="F90" s="94"/>
      <c r="G90" s="68"/>
      <c r="H90" s="83"/>
      <c r="I90" s="68"/>
      <c r="J90" s="35"/>
      <c r="K90" s="60"/>
    </row>
    <row r="91" spans="1:13" x14ac:dyDescent="0.25">
      <c r="A91" s="56"/>
      <c r="B91" s="68"/>
      <c r="C91" s="37"/>
      <c r="D91" s="463" t="s">
        <v>280</v>
      </c>
      <c r="E91" s="124"/>
      <c r="F91" s="124"/>
      <c r="G91" s="32"/>
      <c r="H91" s="164"/>
      <c r="I91" s="32"/>
      <c r="J91" s="37"/>
      <c r="K91" s="60"/>
    </row>
    <row r="92" spans="1:13" x14ac:dyDescent="0.25">
      <c r="A92" s="56"/>
      <c r="B92" s="68"/>
      <c r="C92" s="83"/>
      <c r="D92" s="94"/>
      <c r="E92" s="94"/>
      <c r="F92" s="94"/>
      <c r="G92" s="68"/>
      <c r="H92" s="83"/>
      <c r="I92" s="68"/>
      <c r="J92" s="35"/>
      <c r="K92" s="60"/>
    </row>
    <row r="93" spans="1:13" ht="33.75" x14ac:dyDescent="0.5">
      <c r="A93" s="56"/>
      <c r="B93" s="68"/>
      <c r="C93" s="83" t="s">
        <v>281</v>
      </c>
      <c r="D93" s="664" t="s">
        <v>282</v>
      </c>
      <c r="E93" s="664"/>
      <c r="F93" s="664"/>
      <c r="G93" s="68"/>
      <c r="H93" s="126"/>
      <c r="I93" s="68"/>
      <c r="J93" s="34"/>
      <c r="K93" s="60"/>
      <c r="M93" s="422" t="s">
        <v>32</v>
      </c>
    </row>
    <row r="94" spans="1:13" x14ac:dyDescent="0.25">
      <c r="A94" s="56"/>
      <c r="B94" s="68"/>
      <c r="C94" s="83"/>
      <c r="D94" s="94"/>
      <c r="E94" s="94"/>
      <c r="F94" s="94"/>
      <c r="G94" s="68"/>
      <c r="H94" s="83"/>
      <c r="I94" s="68"/>
      <c r="J94" s="35"/>
      <c r="K94" s="60"/>
    </row>
    <row r="95" spans="1:13" x14ac:dyDescent="0.25">
      <c r="A95" s="56"/>
      <c r="B95" s="68"/>
      <c r="C95" s="83" t="s">
        <v>283</v>
      </c>
      <c r="D95" s="664" t="s">
        <v>284</v>
      </c>
      <c r="E95" s="664"/>
      <c r="F95" s="664"/>
      <c r="G95" s="68"/>
      <c r="H95" s="126"/>
      <c r="I95" s="68"/>
      <c r="J95" s="34"/>
      <c r="K95" s="60"/>
    </row>
    <row r="96" spans="1:13" x14ac:dyDescent="0.25">
      <c r="A96" s="56"/>
      <c r="B96" s="68"/>
      <c r="C96" s="68"/>
      <c r="D96" s="94"/>
      <c r="E96" s="94"/>
      <c r="F96" s="94"/>
      <c r="G96" s="68"/>
      <c r="H96" s="83"/>
      <c r="I96" s="68"/>
      <c r="J96" s="35"/>
      <c r="K96" s="60"/>
    </row>
    <row r="97" spans="1:13" ht="33.75" x14ac:dyDescent="0.5">
      <c r="A97" s="56"/>
      <c r="B97" s="68"/>
      <c r="C97" s="83" t="s">
        <v>223</v>
      </c>
      <c r="D97" s="664" t="s">
        <v>285</v>
      </c>
      <c r="E97" s="664"/>
      <c r="F97" s="664"/>
      <c r="G97" s="68"/>
      <c r="H97" s="126"/>
      <c r="I97" s="68"/>
      <c r="J97" s="34"/>
      <c r="K97" s="60"/>
      <c r="M97" s="422" t="s">
        <v>32</v>
      </c>
    </row>
    <row r="98" spans="1:13" x14ac:dyDescent="0.25">
      <c r="A98" s="56"/>
      <c r="B98" s="68"/>
      <c r="C98" s="68"/>
      <c r="D98" s="94"/>
      <c r="E98" s="94"/>
      <c r="F98" s="94"/>
      <c r="G98" s="68"/>
      <c r="H98" s="83"/>
      <c r="I98" s="68"/>
      <c r="J98" s="35"/>
      <c r="K98" s="60"/>
    </row>
    <row r="99" spans="1:13" x14ac:dyDescent="0.25">
      <c r="A99" s="56"/>
      <c r="B99" s="68"/>
      <c r="C99" s="37"/>
      <c r="D99" s="153" t="s">
        <v>286</v>
      </c>
      <c r="E99" s="124"/>
      <c r="F99" s="124"/>
      <c r="G99" s="32"/>
      <c r="H99" s="164"/>
      <c r="I99" s="32"/>
      <c r="J99" s="37"/>
      <c r="K99" s="60"/>
    </row>
    <row r="100" spans="1:13" x14ac:dyDescent="0.25">
      <c r="A100" s="56"/>
      <c r="B100" s="68"/>
      <c r="C100" s="83"/>
      <c r="D100" s="94"/>
      <c r="E100" s="94"/>
      <c r="F100" s="94"/>
      <c r="G100" s="68"/>
      <c r="H100" s="83"/>
      <c r="I100" s="68"/>
      <c r="J100" s="35"/>
      <c r="K100" s="60"/>
    </row>
    <row r="101" spans="1:13" ht="33.75" x14ac:dyDescent="0.5">
      <c r="A101" s="56"/>
      <c r="B101" s="68"/>
      <c r="C101" s="83" t="s">
        <v>287</v>
      </c>
      <c r="D101" s="664" t="s">
        <v>288</v>
      </c>
      <c r="E101" s="664"/>
      <c r="F101" s="664"/>
      <c r="G101" s="68"/>
      <c r="H101" s="126"/>
      <c r="I101" s="68"/>
      <c r="J101" s="34"/>
      <c r="K101" s="60"/>
      <c r="M101" s="422" t="s">
        <v>32</v>
      </c>
    </row>
    <row r="102" spans="1:13" x14ac:dyDescent="0.25">
      <c r="A102" s="56"/>
      <c r="B102" s="68"/>
      <c r="C102" s="83"/>
      <c r="D102" s="94"/>
      <c r="E102" s="94"/>
      <c r="F102" s="94"/>
      <c r="G102" s="68"/>
      <c r="H102" s="83"/>
      <c r="I102" s="68"/>
      <c r="J102" s="35"/>
      <c r="K102" s="60"/>
    </row>
    <row r="103" spans="1:13" ht="51" x14ac:dyDescent="0.75">
      <c r="A103" s="56"/>
      <c r="B103" s="68"/>
      <c r="C103" s="83" t="s">
        <v>289</v>
      </c>
      <c r="D103" s="664" t="s">
        <v>290</v>
      </c>
      <c r="E103" s="664"/>
      <c r="F103" s="664"/>
      <c r="G103" s="68"/>
      <c r="H103" s="126"/>
      <c r="I103" s="68"/>
      <c r="J103" s="34"/>
      <c r="K103" s="60"/>
      <c r="M103" s="424" t="s">
        <v>32</v>
      </c>
    </row>
    <row r="104" spans="1:13" x14ac:dyDescent="0.25">
      <c r="A104" s="56"/>
      <c r="B104" s="68"/>
      <c r="C104" s="68"/>
      <c r="D104" s="94"/>
      <c r="E104" s="94"/>
      <c r="F104" s="94"/>
      <c r="G104" s="68"/>
      <c r="H104" s="83"/>
      <c r="I104" s="68"/>
      <c r="J104" s="35"/>
      <c r="K104" s="60"/>
    </row>
    <row r="105" spans="1:13" x14ac:dyDescent="0.25">
      <c r="A105" s="56"/>
      <c r="B105" s="68"/>
      <c r="C105" s="83" t="s">
        <v>227</v>
      </c>
      <c r="D105" s="664" t="s">
        <v>291</v>
      </c>
      <c r="E105" s="664"/>
      <c r="F105" s="664"/>
      <c r="G105" s="68"/>
      <c r="H105" s="126"/>
      <c r="I105" s="68"/>
      <c r="J105" s="34"/>
      <c r="K105" s="60"/>
    </row>
    <row r="106" spans="1:13" x14ac:dyDescent="0.25">
      <c r="A106" s="56"/>
      <c r="B106" s="68"/>
      <c r="C106" s="68"/>
      <c r="D106" s="94"/>
      <c r="E106" s="94"/>
      <c r="F106" s="94"/>
      <c r="G106" s="68"/>
      <c r="H106" s="83"/>
      <c r="I106" s="68"/>
      <c r="J106" s="35"/>
      <c r="K106" s="60"/>
    </row>
    <row r="107" spans="1:13" ht="33.75" x14ac:dyDescent="0.5">
      <c r="A107" s="56"/>
      <c r="B107" s="68"/>
      <c r="C107" s="83" t="s">
        <v>232</v>
      </c>
      <c r="D107" s="664" t="s">
        <v>292</v>
      </c>
      <c r="E107" s="664"/>
      <c r="F107" s="664"/>
      <c r="G107" s="68"/>
      <c r="H107" s="126"/>
      <c r="I107" s="68"/>
      <c r="J107" s="34"/>
      <c r="K107" s="60"/>
      <c r="M107" s="422" t="s">
        <v>32</v>
      </c>
    </row>
    <row r="108" spans="1:13" x14ac:dyDescent="0.25">
      <c r="A108" s="56"/>
      <c r="B108" s="68"/>
      <c r="C108" s="68"/>
      <c r="D108" s="94"/>
      <c r="E108" s="94"/>
      <c r="F108" s="94"/>
      <c r="G108" s="68"/>
      <c r="H108" s="83"/>
      <c r="I108" s="68"/>
      <c r="J108" s="35"/>
      <c r="K108" s="60"/>
    </row>
    <row r="109" spans="1:13" ht="33.75" x14ac:dyDescent="0.5">
      <c r="A109" s="56"/>
      <c r="B109" s="68"/>
      <c r="C109" s="83" t="s">
        <v>233</v>
      </c>
      <c r="D109" s="664" t="s">
        <v>293</v>
      </c>
      <c r="E109" s="664"/>
      <c r="F109" s="664"/>
      <c r="G109" s="68"/>
      <c r="H109" s="126"/>
      <c r="I109" s="68"/>
      <c r="J109" s="34"/>
      <c r="K109" s="60"/>
      <c r="M109" s="422" t="s">
        <v>32</v>
      </c>
    </row>
    <row r="110" spans="1:13" x14ac:dyDescent="0.25">
      <c r="A110" s="56"/>
      <c r="B110" s="68"/>
      <c r="C110" s="68"/>
      <c r="D110" s="94"/>
      <c r="E110" s="94"/>
      <c r="F110" s="94"/>
      <c r="G110" s="68"/>
      <c r="H110" s="83"/>
      <c r="I110" s="68"/>
      <c r="J110" s="35"/>
      <c r="K110" s="60"/>
    </row>
    <row r="111" spans="1:13" ht="33.75" x14ac:dyDescent="0.5">
      <c r="A111" s="56"/>
      <c r="B111" s="68"/>
      <c r="C111" s="83" t="s">
        <v>235</v>
      </c>
      <c r="D111" s="664" t="s">
        <v>294</v>
      </c>
      <c r="E111" s="664"/>
      <c r="F111" s="664"/>
      <c r="G111" s="68"/>
      <c r="H111" s="126"/>
      <c r="I111" s="68"/>
      <c r="J111" s="34"/>
      <c r="K111" s="60"/>
      <c r="M111" s="422" t="s">
        <v>32</v>
      </c>
    </row>
    <row r="112" spans="1:13" x14ac:dyDescent="0.25">
      <c r="A112" s="56"/>
      <c r="B112" s="68"/>
      <c r="C112" s="68"/>
      <c r="D112" s="94"/>
      <c r="E112" s="94"/>
      <c r="F112" s="94"/>
      <c r="G112" s="68"/>
      <c r="H112" s="83"/>
      <c r="I112" s="68"/>
      <c r="J112" s="35"/>
      <c r="K112" s="60"/>
    </row>
    <row r="113" spans="1:13" ht="33.75" x14ac:dyDescent="0.5">
      <c r="A113" s="56"/>
      <c r="B113" s="68"/>
      <c r="C113" s="83" t="s">
        <v>236</v>
      </c>
      <c r="D113" s="664" t="s">
        <v>295</v>
      </c>
      <c r="E113" s="664"/>
      <c r="F113" s="664"/>
      <c r="G113" s="68"/>
      <c r="H113" s="126"/>
      <c r="I113" s="68"/>
      <c r="J113" s="34"/>
      <c r="K113" s="60"/>
      <c r="M113" s="422" t="s">
        <v>32</v>
      </c>
    </row>
    <row r="114" spans="1:13" x14ac:dyDescent="0.25">
      <c r="A114" s="56"/>
      <c r="B114" s="68"/>
      <c r="C114" s="68"/>
      <c r="D114" s="94"/>
      <c r="E114" s="94"/>
      <c r="F114" s="94"/>
      <c r="G114" s="68"/>
      <c r="H114" s="83"/>
      <c r="I114" s="68"/>
      <c r="J114" s="35"/>
      <c r="K114" s="60"/>
    </row>
    <row r="115" spans="1:13" ht="33.75" x14ac:dyDescent="0.5">
      <c r="A115" s="56"/>
      <c r="B115" s="68"/>
      <c r="C115" s="83" t="s">
        <v>237</v>
      </c>
      <c r="D115" s="664" t="s">
        <v>296</v>
      </c>
      <c r="E115" s="664"/>
      <c r="F115" s="664"/>
      <c r="G115" s="68"/>
      <c r="H115" s="126"/>
      <c r="I115" s="68"/>
      <c r="J115" s="34"/>
      <c r="K115" s="60"/>
      <c r="M115" s="422" t="s">
        <v>32</v>
      </c>
    </row>
    <row r="116" spans="1:13" x14ac:dyDescent="0.25">
      <c r="A116" s="56"/>
      <c r="B116" s="68"/>
      <c r="C116" s="68"/>
      <c r="D116" s="94"/>
      <c r="E116" s="94"/>
      <c r="F116" s="94"/>
      <c r="G116" s="68"/>
      <c r="H116" s="83"/>
      <c r="I116" s="68"/>
      <c r="J116" s="35"/>
      <c r="K116" s="60"/>
    </row>
    <row r="117" spans="1:13" ht="33.75" x14ac:dyDescent="0.5">
      <c r="A117" s="56"/>
      <c r="B117" s="68"/>
      <c r="C117" s="83" t="s">
        <v>297</v>
      </c>
      <c r="D117" s="664" t="s">
        <v>298</v>
      </c>
      <c r="E117" s="664"/>
      <c r="F117" s="664"/>
      <c r="G117" s="68"/>
      <c r="H117" s="126"/>
      <c r="I117" s="68"/>
      <c r="J117" s="34"/>
      <c r="K117" s="60"/>
      <c r="M117" s="422" t="s">
        <v>32</v>
      </c>
    </row>
    <row r="118" spans="1:13" x14ac:dyDescent="0.25">
      <c r="A118" s="56"/>
      <c r="B118" s="68"/>
      <c r="C118" s="68"/>
      <c r="D118" s="94"/>
      <c r="E118" s="94"/>
      <c r="F118" s="94"/>
      <c r="G118" s="68"/>
      <c r="H118" s="83"/>
      <c r="I118" s="68"/>
      <c r="J118" s="35"/>
      <c r="K118" s="60"/>
    </row>
    <row r="119" spans="1:13" ht="64.5" x14ac:dyDescent="0.95">
      <c r="A119" s="56"/>
      <c r="B119" s="68"/>
      <c r="C119" s="83" t="s">
        <v>299</v>
      </c>
      <c r="D119" s="664" t="s">
        <v>300</v>
      </c>
      <c r="E119" s="664"/>
      <c r="F119" s="664"/>
      <c r="G119" s="68"/>
      <c r="H119" s="126"/>
      <c r="I119" s="68"/>
      <c r="J119" s="34"/>
      <c r="K119" s="60"/>
      <c r="M119" s="439" t="s">
        <v>32</v>
      </c>
    </row>
    <row r="120" spans="1:13" x14ac:dyDescent="0.25">
      <c r="A120" s="56"/>
      <c r="B120" s="68"/>
      <c r="C120" s="68"/>
      <c r="D120" s="94"/>
      <c r="E120" s="94"/>
      <c r="F120" s="94"/>
      <c r="G120" s="68"/>
      <c r="H120" s="83"/>
      <c r="I120" s="68"/>
      <c r="J120" s="35"/>
      <c r="K120" s="60"/>
    </row>
    <row r="121" spans="1:13" x14ac:dyDescent="0.25">
      <c r="A121" s="56"/>
      <c r="B121" s="68"/>
      <c r="C121" s="83" t="s">
        <v>301</v>
      </c>
      <c r="D121" s="664" t="s">
        <v>302</v>
      </c>
      <c r="E121" s="664"/>
      <c r="F121" s="664"/>
      <c r="G121" s="68"/>
      <c r="H121" s="126"/>
      <c r="I121" s="68"/>
      <c r="J121" s="34"/>
      <c r="K121" s="60"/>
    </row>
    <row r="122" spans="1:13" x14ac:dyDescent="0.25">
      <c r="A122" s="56"/>
      <c r="B122" s="68"/>
      <c r="C122" s="68"/>
      <c r="D122" s="94"/>
      <c r="E122" s="94"/>
      <c r="F122" s="94"/>
      <c r="G122" s="68"/>
      <c r="H122" s="83"/>
      <c r="I122" s="68"/>
      <c r="J122" s="35"/>
      <c r="K122" s="60"/>
    </row>
    <row r="123" spans="1:13" x14ac:dyDescent="0.25">
      <c r="A123" s="56"/>
      <c r="B123" s="68"/>
      <c r="C123" s="83" t="s">
        <v>303</v>
      </c>
      <c r="D123" s="664" t="s">
        <v>304</v>
      </c>
      <c r="E123" s="664"/>
      <c r="F123" s="664"/>
      <c r="G123" s="68"/>
      <c r="H123" s="126"/>
      <c r="I123" s="68"/>
      <c r="J123" s="34"/>
      <c r="K123" s="60"/>
    </row>
    <row r="124" spans="1:13" x14ac:dyDescent="0.25">
      <c r="A124" s="56"/>
      <c r="B124" s="68"/>
      <c r="C124" s="68"/>
      <c r="D124" s="94"/>
      <c r="E124" s="94"/>
      <c r="F124" s="94"/>
      <c r="G124" s="68"/>
      <c r="H124" s="83"/>
      <c r="I124" s="68"/>
      <c r="J124" s="35"/>
      <c r="K124" s="60"/>
    </row>
    <row r="125" spans="1:13" x14ac:dyDescent="0.25">
      <c r="A125" s="56"/>
      <c r="B125" s="68"/>
      <c r="C125" s="37"/>
      <c r="D125" s="463" t="s">
        <v>305</v>
      </c>
      <c r="E125" s="124"/>
      <c r="F125" s="124"/>
      <c r="G125" s="32"/>
      <c r="H125" s="164"/>
      <c r="I125" s="32"/>
      <c r="J125" s="37"/>
      <c r="K125" s="60"/>
    </row>
    <row r="126" spans="1:13" x14ac:dyDescent="0.25">
      <c r="A126" s="56"/>
      <c r="B126" s="68"/>
      <c r="C126" s="83"/>
      <c r="D126" s="94"/>
      <c r="E126" s="94"/>
      <c r="F126" s="94"/>
      <c r="G126" s="68"/>
      <c r="H126" s="83"/>
      <c r="I126" s="68"/>
      <c r="J126" s="35"/>
      <c r="K126" s="60"/>
    </row>
    <row r="127" spans="1:13" x14ac:dyDescent="0.25">
      <c r="A127" s="56"/>
      <c r="B127" s="68"/>
      <c r="C127" s="83" t="s">
        <v>306</v>
      </c>
      <c r="D127" s="664" t="s">
        <v>307</v>
      </c>
      <c r="E127" s="664"/>
      <c r="F127" s="664"/>
      <c r="G127" s="68"/>
      <c r="H127" s="126"/>
      <c r="I127" s="68"/>
      <c r="J127" s="34"/>
      <c r="K127" s="60"/>
    </row>
    <row r="128" spans="1:13" x14ac:dyDescent="0.25">
      <c r="A128" s="56"/>
      <c r="B128" s="68"/>
      <c r="C128" s="83"/>
      <c r="D128" s="94"/>
      <c r="E128" s="94"/>
      <c r="F128" s="94"/>
      <c r="G128" s="68"/>
      <c r="H128" s="83"/>
      <c r="I128" s="68"/>
      <c r="J128" s="35"/>
      <c r="K128" s="60"/>
    </row>
    <row r="129" spans="1:13" x14ac:dyDescent="0.25">
      <c r="A129" s="56"/>
      <c r="B129" s="68"/>
      <c r="C129" s="83" t="s">
        <v>289</v>
      </c>
      <c r="D129" s="664" t="s">
        <v>308</v>
      </c>
      <c r="E129" s="664"/>
      <c r="F129" s="664"/>
      <c r="G129" s="68"/>
      <c r="H129" s="126"/>
      <c r="I129" s="68"/>
      <c r="J129" s="34"/>
      <c r="K129" s="60"/>
    </row>
    <row r="130" spans="1:13" x14ac:dyDescent="0.25">
      <c r="A130" s="56"/>
      <c r="B130" s="68"/>
      <c r="C130" s="68"/>
      <c r="D130" s="94"/>
      <c r="E130" s="94"/>
      <c r="F130" s="94"/>
      <c r="G130" s="68"/>
      <c r="H130" s="83"/>
      <c r="I130" s="68"/>
      <c r="J130" s="35"/>
      <c r="K130" s="60"/>
    </row>
    <row r="131" spans="1:13" x14ac:dyDescent="0.25">
      <c r="A131" s="56"/>
      <c r="B131" s="68"/>
      <c r="C131" s="37"/>
      <c r="D131" s="463" t="s">
        <v>309</v>
      </c>
      <c r="E131" s="124"/>
      <c r="F131" s="124"/>
      <c r="G131" s="32"/>
      <c r="H131" s="164"/>
      <c r="I131" s="32"/>
      <c r="J131" s="37"/>
      <c r="K131" s="60"/>
    </row>
    <row r="132" spans="1:13" x14ac:dyDescent="0.25">
      <c r="A132" s="56"/>
      <c r="B132" s="68"/>
      <c r="C132" s="68"/>
      <c r="D132" s="94"/>
      <c r="E132" s="94"/>
      <c r="F132" s="94"/>
      <c r="G132" s="68"/>
      <c r="H132" s="83"/>
      <c r="I132" s="68"/>
      <c r="J132" s="35"/>
      <c r="K132" s="60"/>
    </row>
    <row r="133" spans="1:13" ht="33.75" x14ac:dyDescent="0.5">
      <c r="A133" s="56"/>
      <c r="B133" s="68"/>
      <c r="C133" s="83" t="s">
        <v>310</v>
      </c>
      <c r="D133" s="664" t="s">
        <v>311</v>
      </c>
      <c r="E133" s="664"/>
      <c r="F133" s="664"/>
      <c r="G133" s="68"/>
      <c r="H133" s="126"/>
      <c r="I133" s="68"/>
      <c r="J133" s="34"/>
      <c r="K133" s="60"/>
      <c r="M133" s="422" t="s">
        <v>32</v>
      </c>
    </row>
    <row r="134" spans="1:13" x14ac:dyDescent="0.25">
      <c r="A134" s="56"/>
      <c r="B134" s="68"/>
      <c r="C134" s="68"/>
      <c r="D134" s="94"/>
      <c r="E134" s="94"/>
      <c r="F134" s="94"/>
      <c r="G134" s="68"/>
      <c r="H134" s="83"/>
      <c r="I134" s="68"/>
      <c r="J134" s="35"/>
      <c r="K134" s="60"/>
    </row>
    <row r="135" spans="1:13" ht="33.75" x14ac:dyDescent="0.5">
      <c r="A135" s="56"/>
      <c r="B135" s="68"/>
      <c r="C135" s="83" t="s">
        <v>312</v>
      </c>
      <c r="D135" s="723" t="s">
        <v>313</v>
      </c>
      <c r="E135" s="723"/>
      <c r="F135" s="723"/>
      <c r="G135" s="68"/>
      <c r="H135" s="126"/>
      <c r="I135" s="68"/>
      <c r="J135" s="34"/>
      <c r="K135" s="60"/>
      <c r="M135" s="422" t="s">
        <v>32</v>
      </c>
    </row>
    <row r="136" spans="1:13" x14ac:dyDescent="0.25">
      <c r="A136" s="56"/>
      <c r="B136" s="68"/>
      <c r="C136" s="68"/>
      <c r="D136" s="94"/>
      <c r="E136" s="94"/>
      <c r="F136" s="94"/>
      <c r="G136" s="68"/>
      <c r="H136" s="83"/>
      <c r="I136" s="68"/>
      <c r="J136" s="35"/>
      <c r="K136" s="60"/>
    </row>
    <row r="137" spans="1:13" ht="33.75" x14ac:dyDescent="0.5">
      <c r="A137" s="56"/>
      <c r="B137" s="68"/>
      <c r="C137" s="83" t="s">
        <v>314</v>
      </c>
      <c r="D137" s="664" t="s">
        <v>315</v>
      </c>
      <c r="E137" s="664"/>
      <c r="F137" s="664"/>
      <c r="G137" s="68"/>
      <c r="H137" s="126"/>
      <c r="I137" s="68"/>
      <c r="J137" s="34"/>
      <c r="K137" s="60"/>
      <c r="M137" s="422" t="s">
        <v>32</v>
      </c>
    </row>
    <row r="138" spans="1:13" x14ac:dyDescent="0.25">
      <c r="A138" s="56"/>
      <c r="B138" s="68"/>
      <c r="C138" s="68"/>
      <c r="D138" s="94"/>
      <c r="E138" s="94"/>
      <c r="F138" s="94"/>
      <c r="G138" s="68"/>
      <c r="H138" s="83"/>
      <c r="I138" s="68"/>
      <c r="J138" s="35"/>
      <c r="K138" s="60"/>
    </row>
    <row r="139" spans="1:13" ht="33.75" x14ac:dyDescent="0.5">
      <c r="A139" s="56"/>
      <c r="B139" s="68"/>
      <c r="C139" s="83" t="s">
        <v>316</v>
      </c>
      <c r="D139" s="664" t="s">
        <v>317</v>
      </c>
      <c r="E139" s="664"/>
      <c r="F139" s="664"/>
      <c r="G139" s="68"/>
      <c r="H139" s="126"/>
      <c r="I139" s="68"/>
      <c r="J139" s="34"/>
      <c r="K139" s="60"/>
      <c r="M139" s="422" t="s">
        <v>32</v>
      </c>
    </row>
    <row r="140" spans="1:13" x14ac:dyDescent="0.25">
      <c r="A140" s="56"/>
      <c r="B140" s="63"/>
      <c r="C140" s="63"/>
      <c r="D140" s="152"/>
      <c r="E140" s="152"/>
      <c r="F140" s="152"/>
      <c r="G140" s="63"/>
      <c r="H140" s="83"/>
      <c r="I140" s="63"/>
      <c r="J140" s="64"/>
      <c r="K140" s="65"/>
    </row>
    <row r="141" spans="1:13" x14ac:dyDescent="0.25">
      <c r="A141" s="56"/>
      <c r="B141" s="68"/>
      <c r="C141" s="83" t="s">
        <v>318</v>
      </c>
      <c r="D141" s="664" t="s">
        <v>319</v>
      </c>
      <c r="E141" s="664"/>
      <c r="F141" s="664"/>
      <c r="G141" s="68"/>
      <c r="H141" s="126"/>
      <c r="I141" s="68"/>
      <c r="J141" s="34"/>
      <c r="K141" s="60"/>
    </row>
    <row r="142" spans="1:13" x14ac:dyDescent="0.25">
      <c r="A142" s="56"/>
      <c r="B142" s="68"/>
      <c r="C142" s="68"/>
      <c r="D142" s="94"/>
      <c r="E142" s="94"/>
      <c r="F142" s="94"/>
      <c r="G142" s="68"/>
      <c r="H142" s="83"/>
      <c r="I142" s="68"/>
      <c r="J142" s="35"/>
      <c r="K142" s="60"/>
    </row>
    <row r="143" spans="1:13" x14ac:dyDescent="0.25">
      <c r="A143" s="56"/>
      <c r="B143" s="68"/>
      <c r="C143" s="83" t="s">
        <v>320</v>
      </c>
      <c r="D143" s="664" t="s">
        <v>321</v>
      </c>
      <c r="E143" s="664"/>
      <c r="F143" s="664"/>
      <c r="G143" s="68"/>
      <c r="H143" s="126"/>
      <c r="I143" s="68"/>
      <c r="J143" s="34"/>
      <c r="K143" s="60"/>
    </row>
    <row r="144" spans="1:13" x14ac:dyDescent="0.25">
      <c r="A144" s="56"/>
      <c r="B144" s="68"/>
      <c r="C144" s="68"/>
      <c r="D144" s="94"/>
      <c r="E144" s="94"/>
      <c r="F144" s="94"/>
      <c r="G144" s="68"/>
      <c r="H144" s="83"/>
      <c r="I144" s="68"/>
      <c r="J144" s="35"/>
      <c r="K144" s="60"/>
    </row>
    <row r="145" spans="1:13" ht="33.75" x14ac:dyDescent="0.5">
      <c r="A145" s="66"/>
      <c r="B145" s="68"/>
      <c r="C145" s="83" t="s">
        <v>322</v>
      </c>
      <c r="D145" s="664" t="s">
        <v>323</v>
      </c>
      <c r="E145" s="664"/>
      <c r="F145" s="664"/>
      <c r="G145" s="68"/>
      <c r="H145" s="126"/>
      <c r="I145" s="68"/>
      <c r="J145" s="34"/>
      <c r="K145" s="60"/>
      <c r="M145" s="422" t="s">
        <v>32</v>
      </c>
    </row>
    <row r="146" spans="1:13" x14ac:dyDescent="0.25">
      <c r="A146" s="66"/>
      <c r="B146" s="25"/>
      <c r="C146" s="25"/>
      <c r="D146" s="26"/>
      <c r="E146" s="25"/>
      <c r="F146" s="25"/>
      <c r="G146" s="25"/>
      <c r="H146" s="165"/>
      <c r="I146" s="25"/>
      <c r="J146" s="67"/>
      <c r="K146" s="60"/>
    </row>
    <row r="147" spans="1:13" ht="20.25" customHeight="1" x14ac:dyDescent="0.25">
      <c r="A147" s="720" t="s">
        <v>182</v>
      </c>
      <c r="B147" s="721"/>
      <c r="C147" s="721"/>
      <c r="D147" s="721"/>
      <c r="E147" s="721"/>
      <c r="F147" s="721"/>
      <c r="G147" s="721"/>
      <c r="H147" s="721"/>
      <c r="I147" s="721"/>
      <c r="J147" s="721"/>
      <c r="K147" s="722"/>
    </row>
    <row r="148" spans="1:13" hidden="1" x14ac:dyDescent="0.25"/>
    <row r="149" spans="1:13" hidden="1" x14ac:dyDescent="0.25"/>
    <row r="150" spans="1:13" hidden="1" x14ac:dyDescent="0.25"/>
    <row r="151" spans="1:13" hidden="1" x14ac:dyDescent="0.25"/>
    <row r="152" spans="1:13" hidden="1" x14ac:dyDescent="0.25"/>
    <row r="153" spans="1:13" hidden="1" x14ac:dyDescent="0.25"/>
    <row r="154" spans="1:13" hidden="1" x14ac:dyDescent="0.25"/>
    <row r="155" spans="1:13" hidden="1" x14ac:dyDescent="0.25"/>
    <row r="156" spans="1:13" hidden="1" x14ac:dyDescent="0.25"/>
    <row r="157" spans="1:13" hidden="1" x14ac:dyDescent="0.25">
      <c r="D157" t="s">
        <v>229</v>
      </c>
    </row>
    <row r="158" spans="1:13" hidden="1" x14ac:dyDescent="0.25">
      <c r="D158" t="s">
        <v>230</v>
      </c>
    </row>
    <row r="159" spans="1:13" hidden="1" x14ac:dyDescent="0.25">
      <c r="D159" t="s">
        <v>231</v>
      </c>
    </row>
  </sheetData>
  <sheetProtection algorithmName="SHA-512" hashValue="KmUmiAgE60q+V++MHc+15DJOxYRSdIugvWR8sz0uwfdjYG+zIpCjqkqGNq5o2gkV9CAjoCp7krRJdpSfGfPy0g==" saltValue="76sf9a80tvhh3ORDGNvy1w==" spinCount="100000" sheet="1" objects="1" scenarios="1"/>
  <mergeCells count="62">
    <mergeCell ref="D15:F15"/>
    <mergeCell ref="F2:I2"/>
    <mergeCell ref="F4:I4"/>
    <mergeCell ref="F8:I8"/>
    <mergeCell ref="F6:I6"/>
    <mergeCell ref="F10:I10"/>
    <mergeCell ref="D17:F17"/>
    <mergeCell ref="D19:F19"/>
    <mergeCell ref="D21:F21"/>
    <mergeCell ref="D23:F23"/>
    <mergeCell ref="D25:F25"/>
    <mergeCell ref="D27:F27"/>
    <mergeCell ref="D31:F31"/>
    <mergeCell ref="D33:F33"/>
    <mergeCell ref="D35:F35"/>
    <mergeCell ref="D37:F37"/>
    <mergeCell ref="D39:F39"/>
    <mergeCell ref="D40:F40"/>
    <mergeCell ref="G40:G42"/>
    <mergeCell ref="D41:F41"/>
    <mergeCell ref="D43:F43"/>
    <mergeCell ref="D47:F47"/>
    <mergeCell ref="D49:F49"/>
    <mergeCell ref="D53:F53"/>
    <mergeCell ref="D55:F55"/>
    <mergeCell ref="D59:F59"/>
    <mergeCell ref="D63:F63"/>
    <mergeCell ref="D65:F65"/>
    <mergeCell ref="D67:F67"/>
    <mergeCell ref="D69:F69"/>
    <mergeCell ref="D71:F71"/>
    <mergeCell ref="D73:F73"/>
    <mergeCell ref="D79:F79"/>
    <mergeCell ref="D81:F81"/>
    <mergeCell ref="D83:F83"/>
    <mergeCell ref="D85:F85"/>
    <mergeCell ref="D89:F89"/>
    <mergeCell ref="D93:F93"/>
    <mergeCell ref="D95:F95"/>
    <mergeCell ref="D97:F97"/>
    <mergeCell ref="D101:F101"/>
    <mergeCell ref="D103:F103"/>
    <mergeCell ref="D105:F105"/>
    <mergeCell ref="D107:F107"/>
    <mergeCell ref="D109:F109"/>
    <mergeCell ref="D111:F111"/>
    <mergeCell ref="D113:F113"/>
    <mergeCell ref="D115:F115"/>
    <mergeCell ref="D117:F117"/>
    <mergeCell ref="D119:F119"/>
    <mergeCell ref="D121:F121"/>
    <mergeCell ref="D123:F123"/>
    <mergeCell ref="D127:F127"/>
    <mergeCell ref="D129:F129"/>
    <mergeCell ref="D133:F133"/>
    <mergeCell ref="D145:F145"/>
    <mergeCell ref="A147:K147"/>
    <mergeCell ref="D135:F135"/>
    <mergeCell ref="D137:F137"/>
    <mergeCell ref="D139:F139"/>
    <mergeCell ref="D141:F141"/>
    <mergeCell ref="D143:F143"/>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77"/>
  <sheetViews>
    <sheetView topLeftCell="A14" zoomScaleNormal="100" workbookViewId="0">
      <selection activeCell="E14" sqref="E14"/>
    </sheetView>
  </sheetViews>
  <sheetFormatPr defaultColWidth="0" defaultRowHeight="15" zeroHeight="1" x14ac:dyDescent="0.25"/>
  <cols>
    <col min="1" max="1" width="1.28515625" customWidth="1"/>
    <col min="2" max="2" width="3"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 hidden="1" customWidth="1"/>
    <col min="1023" max="1023" width="2.7109375" customWidth="1"/>
    <col min="1024" max="16384" width="9" hidden="1"/>
  </cols>
  <sheetData>
    <row r="1" spans="1:1023" s="741" customFormat="1" x14ac:dyDescent="0.25">
      <c r="A1" s="739" t="s">
        <v>324</v>
      </c>
      <c r="B1" s="740"/>
      <c r="C1" s="740"/>
      <c r="D1" s="740"/>
      <c r="E1" s="740"/>
      <c r="F1" s="740"/>
      <c r="G1" s="740"/>
      <c r="H1" s="740"/>
      <c r="I1" s="740"/>
      <c r="J1" s="740"/>
      <c r="K1" s="740"/>
      <c r="L1" s="740"/>
      <c r="M1" s="740"/>
      <c r="N1" s="740"/>
      <c r="O1" s="740"/>
      <c r="P1" s="740"/>
      <c r="Q1" s="740"/>
      <c r="R1" s="740"/>
      <c r="S1" s="740"/>
      <c r="T1" s="740"/>
      <c r="U1" s="740"/>
      <c r="V1" s="740"/>
      <c r="W1" s="740"/>
      <c r="X1" s="740"/>
      <c r="Y1" s="740"/>
      <c r="Z1" s="740"/>
      <c r="AA1" s="740"/>
      <c r="AB1" s="740"/>
      <c r="AC1" s="740"/>
      <c r="AD1" s="740"/>
      <c r="AE1" s="740"/>
      <c r="AF1" s="740"/>
      <c r="AG1" s="740"/>
      <c r="AH1" s="740"/>
      <c r="AI1" s="740"/>
      <c r="AJ1" s="740"/>
      <c r="AK1" s="740"/>
      <c r="AL1" s="740"/>
      <c r="AM1" s="740"/>
      <c r="AN1" s="740"/>
      <c r="AO1" s="740"/>
      <c r="AP1" s="740"/>
      <c r="AQ1" s="740"/>
      <c r="AR1" s="740"/>
      <c r="AS1" s="740"/>
      <c r="AT1" s="740"/>
      <c r="AU1" s="740"/>
      <c r="AV1" s="740"/>
      <c r="AW1" s="740"/>
      <c r="AX1" s="740"/>
      <c r="AY1" s="740"/>
      <c r="AZ1" s="740"/>
      <c r="BA1" s="740"/>
      <c r="BB1" s="740"/>
      <c r="BC1" s="740"/>
      <c r="BD1" s="740"/>
      <c r="BE1" s="740"/>
      <c r="BF1" s="740"/>
      <c r="BG1" s="740"/>
      <c r="BH1" s="740"/>
      <c r="BI1" s="740"/>
      <c r="BJ1" s="740"/>
      <c r="BK1" s="740"/>
      <c r="BL1" s="740"/>
      <c r="BM1" s="740"/>
      <c r="BN1" s="740"/>
      <c r="BO1" s="740"/>
      <c r="BP1" s="740"/>
      <c r="BQ1" s="740"/>
      <c r="BR1" s="740"/>
      <c r="BS1" s="740"/>
      <c r="BT1" s="740"/>
      <c r="BU1" s="740"/>
      <c r="BV1" s="740"/>
      <c r="BW1" s="740"/>
      <c r="BX1" s="740"/>
      <c r="BY1" s="740"/>
      <c r="BZ1" s="740"/>
      <c r="CA1" s="740"/>
      <c r="CB1" s="740"/>
      <c r="CC1" s="740"/>
      <c r="CD1" s="740"/>
      <c r="CE1" s="740"/>
      <c r="CF1" s="740"/>
      <c r="CG1" s="740"/>
      <c r="CH1" s="740"/>
      <c r="CI1" s="740"/>
      <c r="CJ1" s="740"/>
      <c r="CK1" s="740"/>
      <c r="CL1" s="740"/>
      <c r="CM1" s="740"/>
      <c r="CN1" s="740"/>
      <c r="CO1" s="740"/>
      <c r="CP1" s="740"/>
      <c r="CQ1" s="740"/>
      <c r="CR1" s="740"/>
      <c r="CS1" s="740"/>
      <c r="CT1" s="740"/>
      <c r="CU1" s="740"/>
      <c r="CV1" s="740"/>
      <c r="CW1" s="740"/>
      <c r="CX1" s="740"/>
      <c r="CY1" s="740"/>
      <c r="CZ1" s="740"/>
      <c r="DA1" s="740"/>
      <c r="DB1" s="740"/>
      <c r="DC1" s="740"/>
      <c r="DD1" s="740"/>
      <c r="DE1" s="740"/>
      <c r="DF1" s="740"/>
      <c r="DG1" s="740"/>
      <c r="DH1" s="740"/>
      <c r="DI1" s="740"/>
      <c r="DJ1" s="740"/>
      <c r="DK1" s="740"/>
      <c r="DL1" s="740"/>
      <c r="DM1" s="740"/>
      <c r="DN1" s="740"/>
      <c r="DO1" s="740"/>
      <c r="DP1" s="740"/>
      <c r="DQ1" s="740"/>
      <c r="DR1" s="740"/>
      <c r="DS1" s="740"/>
      <c r="DT1" s="740"/>
      <c r="DU1" s="740"/>
      <c r="DV1" s="740"/>
      <c r="DW1" s="740"/>
      <c r="DX1" s="740"/>
      <c r="DY1" s="740"/>
      <c r="DZ1" s="740"/>
      <c r="EA1" s="740"/>
      <c r="EB1" s="740"/>
      <c r="EC1" s="740"/>
      <c r="ED1" s="740"/>
      <c r="EE1" s="740"/>
      <c r="EF1" s="740"/>
      <c r="EG1" s="740"/>
      <c r="EH1" s="740"/>
      <c r="EI1" s="740"/>
      <c r="EJ1" s="740"/>
      <c r="EK1" s="740"/>
      <c r="EL1" s="740"/>
      <c r="EM1" s="740"/>
      <c r="EN1" s="740"/>
      <c r="EO1" s="740"/>
      <c r="EP1" s="740"/>
      <c r="EQ1" s="740"/>
      <c r="ER1" s="740"/>
      <c r="ES1" s="740"/>
      <c r="ET1" s="740"/>
      <c r="EU1" s="740"/>
      <c r="EV1" s="740"/>
      <c r="EW1" s="740"/>
      <c r="EX1" s="740"/>
      <c r="EY1" s="740"/>
      <c r="EZ1" s="740"/>
      <c r="FA1" s="740"/>
      <c r="FB1" s="740"/>
      <c r="FC1" s="740"/>
      <c r="FD1" s="740"/>
      <c r="FE1" s="740"/>
      <c r="FF1" s="740"/>
      <c r="FG1" s="740"/>
      <c r="FH1" s="740"/>
      <c r="FI1" s="740"/>
      <c r="FJ1" s="740"/>
      <c r="FK1" s="740"/>
      <c r="FL1" s="740"/>
      <c r="FM1" s="740"/>
      <c r="FN1" s="740"/>
      <c r="FO1" s="740"/>
      <c r="FP1" s="740"/>
      <c r="FQ1" s="740"/>
      <c r="FR1" s="740"/>
      <c r="FS1" s="740"/>
      <c r="FT1" s="740"/>
      <c r="FU1" s="740"/>
      <c r="FV1" s="740"/>
      <c r="FW1" s="740"/>
      <c r="FX1" s="740"/>
      <c r="FY1" s="740"/>
      <c r="FZ1" s="740"/>
      <c r="GA1" s="740"/>
      <c r="GB1" s="740"/>
      <c r="GC1" s="740"/>
      <c r="GD1" s="740"/>
      <c r="GE1" s="740"/>
      <c r="GF1" s="740"/>
      <c r="GG1" s="740"/>
      <c r="GH1" s="740"/>
      <c r="GI1" s="740"/>
      <c r="GJ1" s="740"/>
      <c r="GK1" s="740"/>
      <c r="GL1" s="740"/>
      <c r="GM1" s="740"/>
      <c r="GN1" s="740"/>
      <c r="GO1" s="740"/>
      <c r="GP1" s="740"/>
      <c r="GQ1" s="740"/>
      <c r="GR1" s="740"/>
      <c r="GS1" s="740"/>
      <c r="GT1" s="740"/>
      <c r="GU1" s="740"/>
      <c r="GV1" s="740"/>
      <c r="GW1" s="740"/>
      <c r="GX1" s="740"/>
      <c r="GY1" s="740"/>
      <c r="GZ1" s="740"/>
      <c r="HA1" s="740"/>
      <c r="HB1" s="740"/>
      <c r="HC1" s="740"/>
      <c r="HD1" s="740"/>
      <c r="HE1" s="740"/>
      <c r="HF1" s="740"/>
      <c r="HG1" s="740"/>
      <c r="HH1" s="740"/>
      <c r="HI1" s="740"/>
      <c r="HJ1" s="740"/>
      <c r="HK1" s="740"/>
      <c r="HL1" s="740"/>
      <c r="HM1" s="740"/>
      <c r="HN1" s="740"/>
      <c r="HO1" s="740"/>
      <c r="HP1" s="740"/>
      <c r="HQ1" s="740"/>
      <c r="HR1" s="740"/>
      <c r="HS1" s="740"/>
      <c r="HT1" s="740"/>
      <c r="HU1" s="740"/>
      <c r="HV1" s="740"/>
      <c r="HW1" s="740"/>
      <c r="HX1" s="740"/>
      <c r="HY1" s="740"/>
      <c r="HZ1" s="740"/>
      <c r="IA1" s="740"/>
      <c r="IB1" s="740"/>
      <c r="IC1" s="740"/>
      <c r="ID1" s="740"/>
      <c r="IE1" s="740"/>
      <c r="IF1" s="740"/>
      <c r="IG1" s="740"/>
      <c r="IH1" s="740"/>
      <c r="II1" s="740"/>
      <c r="IJ1" s="740"/>
      <c r="IK1" s="740"/>
      <c r="IL1" s="740"/>
      <c r="IM1" s="740"/>
      <c r="IN1" s="740"/>
      <c r="IO1" s="740"/>
      <c r="IP1" s="740"/>
      <c r="IQ1" s="740"/>
      <c r="IR1" s="740"/>
      <c r="IS1" s="740"/>
      <c r="IT1" s="740"/>
      <c r="IU1" s="740"/>
      <c r="IV1" s="740"/>
      <c r="IW1" s="740"/>
      <c r="IX1" s="740"/>
      <c r="IY1" s="740"/>
      <c r="IZ1" s="740"/>
      <c r="JA1" s="740"/>
      <c r="JB1" s="740"/>
      <c r="JC1" s="740"/>
      <c r="JD1" s="740"/>
      <c r="JE1" s="740"/>
      <c r="JF1" s="740"/>
      <c r="JG1" s="740"/>
      <c r="JH1" s="740"/>
      <c r="JI1" s="740"/>
      <c r="JJ1" s="740"/>
      <c r="JK1" s="740"/>
      <c r="JL1" s="740"/>
      <c r="JM1" s="740"/>
      <c r="JN1" s="740"/>
      <c r="JO1" s="740"/>
      <c r="JP1" s="740"/>
      <c r="JQ1" s="740"/>
      <c r="JR1" s="740"/>
      <c r="JS1" s="740"/>
      <c r="JT1" s="740"/>
      <c r="JU1" s="740"/>
      <c r="JV1" s="740"/>
      <c r="JW1" s="740"/>
      <c r="JX1" s="740"/>
      <c r="JY1" s="740"/>
      <c r="JZ1" s="740"/>
      <c r="KA1" s="740"/>
      <c r="KB1" s="740"/>
      <c r="KC1" s="740"/>
      <c r="KD1" s="740"/>
      <c r="KE1" s="740"/>
      <c r="KF1" s="740"/>
      <c r="KG1" s="740"/>
      <c r="KH1" s="740"/>
      <c r="KI1" s="740"/>
      <c r="KJ1" s="740"/>
      <c r="KK1" s="740"/>
      <c r="KL1" s="740"/>
      <c r="KM1" s="740"/>
      <c r="KN1" s="740"/>
      <c r="KO1" s="740"/>
      <c r="KP1" s="740"/>
      <c r="KQ1" s="740"/>
      <c r="KR1" s="740"/>
      <c r="KS1" s="740"/>
      <c r="KT1" s="740"/>
      <c r="KU1" s="740"/>
      <c r="KV1" s="740"/>
      <c r="KW1" s="740"/>
      <c r="KX1" s="740"/>
      <c r="KY1" s="740"/>
      <c r="KZ1" s="740"/>
      <c r="LA1" s="740"/>
      <c r="LB1" s="740"/>
      <c r="LC1" s="740"/>
      <c r="LD1" s="740"/>
      <c r="LE1" s="740"/>
      <c r="LF1" s="740"/>
      <c r="LG1" s="740"/>
      <c r="LH1" s="740"/>
      <c r="LI1" s="740"/>
      <c r="LJ1" s="740"/>
      <c r="LK1" s="740"/>
      <c r="LL1" s="740"/>
      <c r="LM1" s="740"/>
      <c r="LN1" s="740"/>
      <c r="LO1" s="740"/>
      <c r="LP1" s="740"/>
      <c r="LQ1" s="740"/>
      <c r="LR1" s="740"/>
      <c r="LS1" s="740"/>
      <c r="LT1" s="740"/>
      <c r="LU1" s="740"/>
      <c r="LV1" s="740"/>
      <c r="LW1" s="740"/>
      <c r="LX1" s="740"/>
      <c r="LY1" s="740"/>
      <c r="LZ1" s="740"/>
      <c r="MA1" s="740"/>
      <c r="MB1" s="740"/>
      <c r="MC1" s="740"/>
      <c r="MD1" s="740"/>
      <c r="ME1" s="740"/>
      <c r="MF1" s="740"/>
      <c r="MG1" s="740"/>
      <c r="MH1" s="740"/>
      <c r="MI1" s="740"/>
      <c r="MJ1" s="740"/>
      <c r="MK1" s="740"/>
      <c r="ML1" s="740"/>
      <c r="MM1" s="740"/>
      <c r="MN1" s="740"/>
      <c r="MO1" s="740"/>
      <c r="MP1" s="740"/>
      <c r="MQ1" s="740"/>
      <c r="MR1" s="740"/>
      <c r="MS1" s="740"/>
      <c r="MT1" s="740"/>
      <c r="MU1" s="740"/>
      <c r="MV1" s="740"/>
      <c r="MW1" s="740"/>
      <c r="MX1" s="740"/>
      <c r="MY1" s="740"/>
      <c r="MZ1" s="740"/>
      <c r="NA1" s="740"/>
      <c r="NB1" s="740"/>
      <c r="NC1" s="740"/>
      <c r="ND1" s="740"/>
      <c r="NE1" s="740"/>
      <c r="NF1" s="740"/>
      <c r="NG1" s="740"/>
      <c r="NH1" s="740"/>
      <c r="NI1" s="740"/>
      <c r="NJ1" s="740"/>
      <c r="NK1" s="740"/>
      <c r="NL1" s="740"/>
      <c r="NM1" s="740"/>
      <c r="NN1" s="740"/>
      <c r="NO1" s="740"/>
      <c r="NP1" s="740"/>
      <c r="NQ1" s="740"/>
      <c r="NR1" s="740"/>
      <c r="NS1" s="740"/>
      <c r="NT1" s="740"/>
      <c r="NU1" s="740"/>
      <c r="NV1" s="740"/>
      <c r="NW1" s="740"/>
      <c r="NX1" s="740"/>
      <c r="NY1" s="740"/>
      <c r="NZ1" s="740"/>
      <c r="OA1" s="740"/>
      <c r="OB1" s="740"/>
      <c r="OC1" s="740"/>
      <c r="OD1" s="740"/>
      <c r="OE1" s="740"/>
      <c r="OF1" s="740"/>
      <c r="OG1" s="740"/>
      <c r="OH1" s="740"/>
      <c r="OI1" s="740"/>
      <c r="OJ1" s="740"/>
      <c r="OK1" s="740"/>
      <c r="OL1" s="740"/>
      <c r="OM1" s="740"/>
      <c r="ON1" s="740"/>
      <c r="OO1" s="740"/>
      <c r="OP1" s="740"/>
      <c r="OQ1" s="740"/>
      <c r="OR1" s="740"/>
      <c r="OS1" s="740"/>
      <c r="OT1" s="740"/>
      <c r="OU1" s="740"/>
      <c r="OV1" s="740"/>
      <c r="OW1" s="740"/>
      <c r="OX1" s="740"/>
      <c r="OY1" s="740"/>
      <c r="OZ1" s="740"/>
      <c r="PA1" s="740"/>
      <c r="PB1" s="740"/>
      <c r="PC1" s="740"/>
      <c r="PD1" s="740"/>
      <c r="PE1" s="740"/>
      <c r="PF1" s="740"/>
      <c r="PG1" s="740"/>
      <c r="PH1" s="740"/>
      <c r="PI1" s="740"/>
      <c r="PJ1" s="740"/>
      <c r="PK1" s="740"/>
      <c r="PL1" s="740"/>
      <c r="PM1" s="740"/>
      <c r="PN1" s="740"/>
      <c r="PO1" s="740"/>
      <c r="PP1" s="740"/>
      <c r="PQ1" s="740"/>
      <c r="PR1" s="740"/>
      <c r="PS1" s="740"/>
      <c r="PT1" s="740"/>
      <c r="PU1" s="740"/>
      <c r="PV1" s="740"/>
      <c r="PW1" s="740"/>
      <c r="PX1" s="740"/>
      <c r="PY1" s="740"/>
      <c r="PZ1" s="740"/>
      <c r="QA1" s="740"/>
      <c r="QB1" s="740"/>
      <c r="QC1" s="740"/>
      <c r="QD1" s="740"/>
      <c r="QE1" s="740"/>
      <c r="QF1" s="740"/>
      <c r="QG1" s="740"/>
      <c r="QH1" s="740"/>
      <c r="QI1" s="740"/>
      <c r="QJ1" s="740"/>
      <c r="QK1" s="740"/>
      <c r="QL1" s="740"/>
      <c r="QM1" s="740"/>
      <c r="QN1" s="740"/>
      <c r="QO1" s="740"/>
      <c r="QP1" s="740"/>
      <c r="QQ1" s="740"/>
      <c r="QR1" s="740"/>
      <c r="QS1" s="740"/>
      <c r="QT1" s="740"/>
      <c r="QU1" s="740"/>
      <c r="QV1" s="740"/>
      <c r="QW1" s="740"/>
      <c r="QX1" s="740"/>
      <c r="QY1" s="740"/>
      <c r="QZ1" s="740"/>
      <c r="RA1" s="740"/>
      <c r="RB1" s="740"/>
      <c r="RC1" s="740"/>
      <c r="RD1" s="740"/>
      <c r="RE1" s="740"/>
      <c r="RF1" s="740"/>
      <c r="RG1" s="740"/>
      <c r="RH1" s="740"/>
      <c r="RI1" s="740"/>
      <c r="RJ1" s="740"/>
      <c r="RK1" s="740"/>
      <c r="RL1" s="740"/>
      <c r="RM1" s="740"/>
      <c r="RN1" s="740"/>
      <c r="RO1" s="740"/>
      <c r="RP1" s="740"/>
      <c r="RQ1" s="740"/>
      <c r="RR1" s="740"/>
      <c r="RS1" s="740"/>
      <c r="RT1" s="740"/>
      <c r="RU1" s="740"/>
      <c r="RV1" s="740"/>
      <c r="RW1" s="740"/>
      <c r="RX1" s="740"/>
      <c r="RY1" s="740"/>
      <c r="RZ1" s="740"/>
      <c r="SA1" s="740"/>
      <c r="SB1" s="740"/>
      <c r="SC1" s="740"/>
      <c r="SD1" s="740"/>
      <c r="SE1" s="740"/>
      <c r="SF1" s="740"/>
      <c r="SG1" s="740"/>
      <c r="SH1" s="740"/>
      <c r="SI1" s="740"/>
      <c r="SJ1" s="740"/>
      <c r="SK1" s="740"/>
      <c r="SL1" s="740"/>
      <c r="SM1" s="740"/>
      <c r="SN1" s="740"/>
      <c r="SO1" s="740"/>
      <c r="SP1" s="740"/>
      <c r="SQ1" s="740"/>
      <c r="SR1" s="740"/>
      <c r="SS1" s="740"/>
      <c r="ST1" s="740"/>
      <c r="SU1" s="740"/>
      <c r="SV1" s="740"/>
      <c r="SW1" s="740"/>
      <c r="SX1" s="740"/>
      <c r="SY1" s="740"/>
      <c r="SZ1" s="740"/>
      <c r="TA1" s="740"/>
      <c r="TB1" s="740"/>
      <c r="TC1" s="740"/>
      <c r="TD1" s="740"/>
      <c r="TE1" s="740"/>
      <c r="TF1" s="740"/>
      <c r="TG1" s="740"/>
      <c r="TH1" s="740"/>
      <c r="TI1" s="740"/>
      <c r="TJ1" s="740"/>
      <c r="TK1" s="740"/>
      <c r="TL1" s="740"/>
      <c r="TM1" s="740"/>
      <c r="TN1" s="740"/>
      <c r="TO1" s="740"/>
      <c r="TP1" s="740"/>
      <c r="TQ1" s="740"/>
      <c r="TR1" s="740"/>
      <c r="TS1" s="740"/>
      <c r="TT1" s="740"/>
      <c r="TU1" s="740"/>
      <c r="TV1" s="740"/>
      <c r="TW1" s="740"/>
      <c r="TX1" s="740"/>
      <c r="TY1" s="740"/>
      <c r="TZ1" s="740"/>
      <c r="UA1" s="740"/>
      <c r="UB1" s="740"/>
      <c r="UC1" s="740"/>
      <c r="UD1" s="740"/>
      <c r="UE1" s="740"/>
      <c r="UF1" s="740"/>
      <c r="UG1" s="740"/>
      <c r="UH1" s="740"/>
      <c r="UI1" s="740"/>
      <c r="UJ1" s="740"/>
      <c r="UK1" s="740"/>
      <c r="UL1" s="740"/>
      <c r="UM1" s="740"/>
      <c r="UN1" s="740"/>
      <c r="UO1" s="740"/>
      <c r="UP1" s="740"/>
      <c r="UQ1" s="740"/>
      <c r="UR1" s="740"/>
      <c r="US1" s="740"/>
      <c r="UT1" s="740"/>
      <c r="UU1" s="740"/>
      <c r="UV1" s="740"/>
      <c r="UW1" s="740"/>
      <c r="UX1" s="740"/>
      <c r="UY1" s="740"/>
      <c r="UZ1" s="740"/>
      <c r="VA1" s="740"/>
      <c r="VB1" s="740"/>
      <c r="VC1" s="740"/>
      <c r="VD1" s="740"/>
      <c r="VE1" s="740"/>
      <c r="VF1" s="740"/>
      <c r="VG1" s="740"/>
      <c r="VH1" s="740"/>
      <c r="VI1" s="740"/>
      <c r="VJ1" s="740"/>
      <c r="VK1" s="740"/>
      <c r="VL1" s="740"/>
      <c r="VM1" s="740"/>
      <c r="VN1" s="740"/>
      <c r="VO1" s="740"/>
      <c r="VP1" s="740"/>
      <c r="VQ1" s="740"/>
      <c r="VR1" s="740"/>
      <c r="VS1" s="740"/>
      <c r="VT1" s="740"/>
      <c r="VU1" s="740"/>
      <c r="VV1" s="740"/>
      <c r="VW1" s="740"/>
      <c r="VX1" s="740"/>
      <c r="VY1" s="740"/>
      <c r="VZ1" s="740"/>
      <c r="WA1" s="740"/>
      <c r="WB1" s="740"/>
      <c r="WC1" s="740"/>
      <c r="WD1" s="740"/>
      <c r="WE1" s="740"/>
      <c r="WF1" s="740"/>
      <c r="WG1" s="740"/>
      <c r="WH1" s="740"/>
      <c r="WI1" s="740"/>
      <c r="WJ1" s="740"/>
      <c r="WK1" s="740"/>
      <c r="WL1" s="740"/>
      <c r="WM1" s="740"/>
      <c r="WN1" s="740"/>
      <c r="WO1" s="740"/>
      <c r="WP1" s="740"/>
      <c r="WQ1" s="740"/>
      <c r="WR1" s="740"/>
      <c r="WS1" s="740"/>
      <c r="WT1" s="740"/>
      <c r="WU1" s="740"/>
      <c r="WV1" s="740"/>
      <c r="WW1" s="740"/>
      <c r="WX1" s="740"/>
      <c r="WY1" s="740"/>
      <c r="WZ1" s="740"/>
      <c r="XA1" s="740"/>
      <c r="XB1" s="740"/>
      <c r="XC1" s="740"/>
      <c r="XD1" s="740"/>
      <c r="XE1" s="740"/>
      <c r="XF1" s="740"/>
      <c r="XG1" s="740"/>
      <c r="XH1" s="740"/>
      <c r="XI1" s="740"/>
      <c r="XJ1" s="740"/>
      <c r="XK1" s="740"/>
      <c r="XL1" s="740"/>
      <c r="XM1" s="740"/>
      <c r="XN1" s="740"/>
      <c r="XO1" s="740"/>
      <c r="XP1" s="740"/>
      <c r="XQ1" s="740"/>
      <c r="XR1" s="740"/>
      <c r="XS1" s="740"/>
      <c r="XT1" s="740"/>
      <c r="XU1" s="740"/>
      <c r="XV1" s="740"/>
      <c r="XW1" s="740"/>
      <c r="XX1" s="740"/>
      <c r="XY1" s="740"/>
      <c r="XZ1" s="740"/>
      <c r="YA1" s="740"/>
      <c r="YB1" s="740"/>
      <c r="YC1" s="740"/>
      <c r="YD1" s="740"/>
      <c r="YE1" s="740"/>
      <c r="YF1" s="740"/>
      <c r="YG1" s="740"/>
      <c r="YH1" s="740"/>
      <c r="YI1" s="740"/>
      <c r="YJ1" s="740"/>
      <c r="YK1" s="740"/>
      <c r="YL1" s="740"/>
      <c r="YM1" s="740"/>
      <c r="YN1" s="740"/>
      <c r="YO1" s="740"/>
      <c r="YP1" s="740"/>
      <c r="YQ1" s="740"/>
      <c r="YR1" s="740"/>
      <c r="YS1" s="740"/>
      <c r="YT1" s="740"/>
      <c r="YU1" s="740"/>
      <c r="YV1" s="740"/>
      <c r="YW1" s="740"/>
      <c r="YX1" s="740"/>
      <c r="YY1" s="740"/>
      <c r="YZ1" s="740"/>
      <c r="ZA1" s="740"/>
      <c r="ZB1" s="740"/>
      <c r="ZC1" s="740"/>
      <c r="ZD1" s="740"/>
      <c r="ZE1" s="740"/>
      <c r="ZF1" s="740"/>
      <c r="ZG1" s="740"/>
      <c r="ZH1" s="740"/>
      <c r="ZI1" s="740"/>
      <c r="ZJ1" s="740"/>
      <c r="ZK1" s="740"/>
      <c r="ZL1" s="740"/>
      <c r="ZM1" s="740"/>
      <c r="ZN1" s="740"/>
      <c r="ZO1" s="740"/>
      <c r="ZP1" s="740"/>
      <c r="ZQ1" s="740"/>
      <c r="ZR1" s="740"/>
      <c r="ZS1" s="740"/>
      <c r="ZT1" s="740"/>
      <c r="ZU1" s="740"/>
      <c r="ZV1" s="740"/>
      <c r="ZW1" s="740"/>
      <c r="ZX1" s="740"/>
      <c r="ZY1" s="740"/>
      <c r="ZZ1" s="740"/>
      <c r="AAA1" s="740"/>
      <c r="AAB1" s="740"/>
      <c r="AAC1" s="740"/>
      <c r="AAD1" s="740"/>
      <c r="AAE1" s="740"/>
      <c r="AAF1" s="740"/>
      <c r="AAG1" s="740"/>
      <c r="AAH1" s="740"/>
      <c r="AAI1" s="740"/>
      <c r="AAJ1" s="740"/>
      <c r="AAK1" s="740"/>
      <c r="AAL1" s="740"/>
      <c r="AAM1" s="740"/>
      <c r="AAN1" s="740"/>
      <c r="AAO1" s="740"/>
      <c r="AAP1" s="740"/>
      <c r="AAQ1" s="740"/>
      <c r="AAR1" s="740"/>
      <c r="AAS1" s="740"/>
      <c r="AAT1" s="740"/>
      <c r="AAU1" s="740"/>
      <c r="AAV1" s="740"/>
      <c r="AAW1" s="740"/>
      <c r="AAX1" s="740"/>
      <c r="AAY1" s="740"/>
      <c r="AAZ1" s="740"/>
      <c r="ABA1" s="740"/>
      <c r="ABB1" s="740"/>
      <c r="ABC1" s="740"/>
      <c r="ABD1" s="740"/>
      <c r="ABE1" s="740"/>
      <c r="ABF1" s="740"/>
      <c r="ABG1" s="740"/>
      <c r="ABH1" s="740"/>
      <c r="ABI1" s="740"/>
      <c r="ABJ1" s="740"/>
      <c r="ABK1" s="740"/>
      <c r="ABL1" s="740"/>
      <c r="ABM1" s="740"/>
      <c r="ABN1" s="740"/>
      <c r="ABO1" s="740"/>
      <c r="ABP1" s="740"/>
      <c r="ABQ1" s="740"/>
      <c r="ABR1" s="740"/>
      <c r="ABS1" s="740"/>
      <c r="ABT1" s="740"/>
      <c r="ABU1" s="740"/>
      <c r="ABV1" s="740"/>
      <c r="ABW1" s="740"/>
      <c r="ABX1" s="740"/>
      <c r="ABY1" s="740"/>
      <c r="ABZ1" s="740"/>
      <c r="ACA1" s="740"/>
      <c r="ACB1" s="740"/>
      <c r="ACC1" s="740"/>
      <c r="ACD1" s="740"/>
      <c r="ACE1" s="740"/>
      <c r="ACF1" s="740"/>
      <c r="ACG1" s="740"/>
      <c r="ACH1" s="740"/>
      <c r="ACI1" s="740"/>
      <c r="ACJ1" s="740"/>
      <c r="ACK1" s="740"/>
      <c r="ACL1" s="740"/>
      <c r="ACM1" s="740"/>
      <c r="ACN1" s="740"/>
      <c r="ACO1" s="740"/>
      <c r="ACP1" s="740"/>
      <c r="ACQ1" s="740"/>
      <c r="ACR1" s="740"/>
      <c r="ACS1" s="740"/>
      <c r="ACT1" s="740"/>
      <c r="ACU1" s="740"/>
      <c r="ACV1" s="740"/>
      <c r="ACW1" s="740"/>
      <c r="ACX1" s="740"/>
      <c r="ACY1" s="740"/>
      <c r="ACZ1" s="740"/>
      <c r="ADA1" s="740"/>
      <c r="ADB1" s="740"/>
      <c r="ADC1" s="740"/>
      <c r="ADD1" s="740"/>
      <c r="ADE1" s="740"/>
      <c r="ADF1" s="740"/>
      <c r="ADG1" s="740"/>
      <c r="ADH1" s="740"/>
      <c r="ADI1" s="740"/>
      <c r="ADJ1" s="740"/>
      <c r="ADK1" s="740"/>
      <c r="ADL1" s="740"/>
      <c r="ADM1" s="740"/>
      <c r="ADN1" s="740"/>
      <c r="ADO1" s="740"/>
      <c r="ADP1" s="740"/>
      <c r="ADQ1" s="740"/>
      <c r="ADR1" s="740"/>
      <c r="ADS1" s="740"/>
      <c r="ADT1" s="740"/>
      <c r="ADU1" s="740"/>
      <c r="ADV1" s="740"/>
      <c r="ADW1" s="740"/>
      <c r="ADX1" s="740"/>
      <c r="ADY1" s="740"/>
      <c r="ADZ1" s="740"/>
      <c r="AEA1" s="740"/>
      <c r="AEB1" s="740"/>
      <c r="AEC1" s="740"/>
      <c r="AED1" s="740"/>
      <c r="AEE1" s="740"/>
      <c r="AEF1" s="740"/>
      <c r="AEG1" s="740"/>
      <c r="AEH1" s="740"/>
      <c r="AEI1" s="740"/>
      <c r="AEJ1" s="740"/>
      <c r="AEK1" s="740"/>
      <c r="AEL1" s="740"/>
      <c r="AEM1" s="740"/>
      <c r="AEN1" s="740"/>
      <c r="AEO1" s="740"/>
      <c r="AEP1" s="740"/>
      <c r="AEQ1" s="740"/>
      <c r="AER1" s="740"/>
      <c r="AES1" s="740"/>
      <c r="AET1" s="740"/>
      <c r="AEU1" s="740"/>
      <c r="AEV1" s="740"/>
      <c r="AEW1" s="740"/>
      <c r="AEX1" s="740"/>
      <c r="AEY1" s="740"/>
      <c r="AEZ1" s="740"/>
      <c r="AFA1" s="740"/>
      <c r="AFB1" s="740"/>
      <c r="AFC1" s="740"/>
      <c r="AFD1" s="740"/>
      <c r="AFE1" s="740"/>
      <c r="AFF1" s="740"/>
      <c r="AFG1" s="740"/>
      <c r="AFH1" s="740"/>
      <c r="AFI1" s="740"/>
      <c r="AFJ1" s="740"/>
      <c r="AFK1" s="740"/>
      <c r="AFL1" s="740"/>
      <c r="AFM1" s="740"/>
      <c r="AFN1" s="740"/>
      <c r="AFO1" s="740"/>
      <c r="AFP1" s="740"/>
      <c r="AFQ1" s="740"/>
      <c r="AFR1" s="740"/>
      <c r="AFS1" s="740"/>
      <c r="AFT1" s="740"/>
      <c r="AFU1" s="740"/>
      <c r="AFV1" s="740"/>
      <c r="AFW1" s="740"/>
      <c r="AFX1" s="740"/>
      <c r="AFY1" s="740"/>
      <c r="AFZ1" s="740"/>
      <c r="AGA1" s="740"/>
      <c r="AGB1" s="740"/>
      <c r="AGC1" s="740"/>
      <c r="AGD1" s="740"/>
      <c r="AGE1" s="740"/>
      <c r="AGF1" s="740"/>
      <c r="AGG1" s="740"/>
      <c r="AGH1" s="740"/>
      <c r="AGI1" s="740"/>
      <c r="AGJ1" s="740"/>
      <c r="AGK1" s="740"/>
      <c r="AGL1" s="740"/>
      <c r="AGM1" s="740"/>
      <c r="AGN1" s="740"/>
      <c r="AGO1" s="740"/>
      <c r="AGP1" s="740"/>
      <c r="AGQ1" s="740"/>
      <c r="AGR1" s="740"/>
      <c r="AGS1" s="740"/>
      <c r="AGT1" s="740"/>
      <c r="AGU1" s="740"/>
      <c r="AGV1" s="740"/>
      <c r="AGW1" s="740"/>
      <c r="AGX1" s="740"/>
      <c r="AGY1" s="740"/>
      <c r="AGZ1" s="740"/>
      <c r="AHA1" s="740"/>
      <c r="AHB1" s="740"/>
      <c r="AHC1" s="740"/>
      <c r="AHD1" s="740"/>
      <c r="AHE1" s="740"/>
      <c r="AHF1" s="740"/>
      <c r="AHG1" s="740"/>
      <c r="AHH1" s="740"/>
      <c r="AHI1" s="740"/>
      <c r="AHJ1" s="740"/>
      <c r="AHK1" s="740"/>
      <c r="AHL1" s="740"/>
      <c r="AHM1" s="740"/>
      <c r="AHN1" s="740"/>
      <c r="AHO1" s="740"/>
      <c r="AHP1" s="740"/>
      <c r="AHQ1" s="740"/>
      <c r="AHR1" s="740"/>
      <c r="AHS1" s="740"/>
      <c r="AHT1" s="740"/>
      <c r="AHU1" s="740"/>
      <c r="AHV1" s="740"/>
      <c r="AHW1" s="740"/>
      <c r="AHX1" s="740"/>
      <c r="AHY1" s="740"/>
      <c r="AHZ1" s="740"/>
      <c r="AIA1" s="740"/>
      <c r="AIB1" s="740"/>
      <c r="AIC1" s="740"/>
      <c r="AID1" s="740"/>
      <c r="AIE1" s="740"/>
      <c r="AIF1" s="740"/>
      <c r="AIG1" s="740"/>
      <c r="AIH1" s="740"/>
      <c r="AII1" s="740"/>
      <c r="AIJ1" s="740"/>
      <c r="AIK1" s="740"/>
      <c r="AIL1" s="740"/>
      <c r="AIM1" s="740"/>
      <c r="AIN1" s="740"/>
      <c r="AIO1" s="740"/>
      <c r="AIP1" s="740"/>
      <c r="AIQ1" s="740"/>
      <c r="AIR1" s="740"/>
      <c r="AIS1" s="740"/>
      <c r="AIT1" s="740"/>
      <c r="AIU1" s="740"/>
      <c r="AIV1" s="740"/>
      <c r="AIW1" s="740"/>
      <c r="AIX1" s="740"/>
      <c r="AIY1" s="740"/>
      <c r="AIZ1" s="740"/>
      <c r="AJA1" s="740"/>
      <c r="AJB1" s="740"/>
      <c r="AJC1" s="740"/>
      <c r="AJD1" s="740"/>
      <c r="AJE1" s="740"/>
      <c r="AJF1" s="740"/>
      <c r="AJG1" s="740"/>
      <c r="AJH1" s="740"/>
      <c r="AJI1" s="740"/>
      <c r="AJJ1" s="740"/>
      <c r="AJK1" s="740"/>
      <c r="AJL1" s="740"/>
      <c r="AJM1" s="740"/>
      <c r="AJN1" s="740"/>
      <c r="AJO1" s="740"/>
      <c r="AJP1" s="740"/>
      <c r="AJQ1" s="740"/>
      <c r="AJR1" s="740"/>
      <c r="AJS1" s="740"/>
      <c r="AJT1" s="740"/>
      <c r="AJU1" s="740"/>
      <c r="AJV1" s="740"/>
      <c r="AJW1" s="740"/>
      <c r="AJX1" s="740"/>
      <c r="AJY1" s="740"/>
      <c r="AJZ1" s="740"/>
      <c r="AKA1" s="740"/>
      <c r="AKB1" s="740"/>
      <c r="AKC1" s="740"/>
      <c r="AKD1" s="740"/>
      <c r="AKE1" s="740"/>
      <c r="AKF1" s="740"/>
      <c r="AKG1" s="740"/>
      <c r="AKH1" s="740"/>
      <c r="AKI1" s="740"/>
      <c r="AKJ1" s="740"/>
      <c r="AKK1" s="740"/>
      <c r="AKL1" s="740"/>
      <c r="AKM1" s="740"/>
      <c r="AKN1" s="740"/>
      <c r="AKO1" s="740"/>
      <c r="AKP1" s="740"/>
      <c r="AKQ1" s="740"/>
      <c r="AKR1" s="740"/>
      <c r="AKS1" s="740"/>
      <c r="AKT1" s="740"/>
      <c r="AKU1" s="740"/>
      <c r="AKV1" s="740"/>
      <c r="AKW1" s="740"/>
      <c r="AKX1" s="740"/>
      <c r="AKY1" s="740"/>
      <c r="AKZ1" s="740"/>
      <c r="ALA1" s="740"/>
      <c r="ALB1" s="740"/>
      <c r="ALC1" s="740"/>
      <c r="ALD1" s="740"/>
      <c r="ALE1" s="740"/>
      <c r="ALF1" s="740"/>
      <c r="ALG1" s="740"/>
      <c r="ALH1" s="740"/>
      <c r="ALI1" s="740"/>
      <c r="ALJ1" s="740"/>
      <c r="ALK1" s="740"/>
      <c r="ALL1" s="740"/>
      <c r="ALM1" s="740"/>
      <c r="ALN1" s="740"/>
      <c r="ALO1" s="740"/>
      <c r="ALP1" s="740"/>
      <c r="ALQ1" s="740"/>
      <c r="ALR1" s="740"/>
      <c r="ALS1" s="740"/>
      <c r="ALT1" s="740"/>
      <c r="ALU1" s="740"/>
      <c r="ALV1" s="740"/>
      <c r="ALW1" s="740"/>
      <c r="ALX1" s="740"/>
      <c r="ALY1" s="740"/>
      <c r="ALZ1" s="740"/>
      <c r="AMA1" s="740"/>
      <c r="AMB1" s="740"/>
      <c r="AMC1" s="740"/>
      <c r="AMD1" s="740"/>
      <c r="AME1" s="740"/>
      <c r="AMF1" s="740"/>
      <c r="AMG1" s="740"/>
      <c r="AMH1" s="740"/>
      <c r="AMI1" s="740"/>
    </row>
    <row r="2" spans="1:1023" s="259" customFormat="1" ht="15.75" customHeight="1" x14ac:dyDescent="0.25">
      <c r="A2" s="180"/>
      <c r="B2" s="180"/>
      <c r="C2" s="181"/>
      <c r="D2" s="181"/>
      <c r="E2" s="181"/>
      <c r="F2" s="181"/>
      <c r="G2" s="426"/>
      <c r="H2" s="181"/>
      <c r="I2" s="181"/>
      <c r="J2" s="181"/>
      <c r="K2" s="181"/>
      <c r="L2" s="181"/>
      <c r="M2" s="181"/>
      <c r="N2" s="257"/>
      <c r="O2" s="257"/>
      <c r="P2" s="257"/>
      <c r="Q2" s="257"/>
      <c r="R2" s="257"/>
      <c r="S2" s="257"/>
      <c r="T2" s="257"/>
      <c r="U2" s="257"/>
      <c r="V2" s="257"/>
      <c r="W2" s="257"/>
      <c r="X2" s="257"/>
      <c r="Y2" s="257"/>
      <c r="Z2" s="257"/>
      <c r="AA2" s="257"/>
      <c r="AB2" s="257"/>
      <c r="AC2" s="257"/>
      <c r="AD2" s="257"/>
      <c r="AE2" s="257"/>
      <c r="AF2" s="257"/>
      <c r="AG2" s="257"/>
      <c r="AH2" s="257"/>
      <c r="AI2" s="257"/>
      <c r="AJ2" s="257"/>
      <c r="AK2" s="257"/>
      <c r="AL2" s="257"/>
      <c r="AM2" s="257"/>
      <c r="AN2" s="257"/>
      <c r="AO2" s="257"/>
      <c r="AP2" s="257"/>
      <c r="AQ2" s="257"/>
      <c r="AR2" s="257"/>
      <c r="AS2" s="257"/>
      <c r="AT2" s="257"/>
      <c r="AU2" s="257"/>
      <c r="AV2" s="257"/>
      <c r="AW2" s="257"/>
      <c r="AX2" s="257"/>
      <c r="AY2" s="257"/>
      <c r="AZ2" s="257"/>
      <c r="BA2" s="257"/>
      <c r="BB2" s="257"/>
      <c r="BC2" s="257"/>
      <c r="BD2" s="257"/>
      <c r="BE2" s="257"/>
      <c r="BF2" s="257"/>
      <c r="BG2" s="257"/>
      <c r="BH2" s="257"/>
      <c r="BI2" s="257"/>
      <c r="BJ2" s="257"/>
      <c r="BK2" s="257"/>
      <c r="BL2" s="257"/>
      <c r="BM2" s="257"/>
      <c r="BN2" s="257"/>
      <c r="BO2" s="257"/>
      <c r="BP2" s="257"/>
      <c r="BQ2" s="257"/>
      <c r="BR2" s="257"/>
      <c r="BS2" s="257"/>
      <c r="BT2" s="257"/>
      <c r="BU2" s="257"/>
      <c r="BV2" s="257"/>
      <c r="BW2" s="257"/>
      <c r="BX2" s="257"/>
      <c r="BY2" s="257"/>
      <c r="BZ2" s="257"/>
      <c r="CA2" s="257"/>
      <c r="CB2" s="257"/>
      <c r="CC2" s="257"/>
      <c r="CD2" s="257"/>
      <c r="CE2" s="257"/>
      <c r="CF2" s="257"/>
      <c r="CG2" s="257"/>
      <c r="CH2" s="257"/>
      <c r="CI2" s="257"/>
      <c r="CJ2" s="257"/>
      <c r="CK2" s="257"/>
      <c r="CL2" s="257"/>
      <c r="CM2" s="257"/>
      <c r="CN2" s="257"/>
      <c r="CO2" s="257"/>
      <c r="CP2" s="257"/>
      <c r="CQ2" s="257"/>
      <c r="CR2" s="257"/>
      <c r="CS2" s="257"/>
      <c r="CT2" s="257"/>
      <c r="CU2" s="257"/>
      <c r="CV2" s="257"/>
      <c r="CW2" s="257"/>
      <c r="CX2" s="257"/>
      <c r="CY2" s="257"/>
      <c r="CZ2" s="257"/>
      <c r="DA2" s="257"/>
      <c r="DB2" s="257"/>
      <c r="DC2" s="257"/>
      <c r="DD2" s="257"/>
      <c r="DE2" s="257"/>
      <c r="DF2" s="257"/>
      <c r="DG2" s="257"/>
      <c r="DH2" s="257"/>
      <c r="DI2" s="257"/>
      <c r="DJ2" s="257"/>
      <c r="DK2" s="257"/>
      <c r="DL2" s="257"/>
      <c r="DM2" s="257"/>
      <c r="DN2" s="257"/>
      <c r="DO2" s="256"/>
      <c r="DP2" s="256"/>
      <c r="DQ2" s="256"/>
      <c r="DR2" s="256"/>
      <c r="DS2" s="256"/>
      <c r="DT2" s="256"/>
      <c r="DU2" s="256"/>
      <c r="DV2" s="256"/>
      <c r="DW2" s="256"/>
      <c r="DX2" s="256"/>
      <c r="DY2" s="256"/>
      <c r="DZ2" s="256"/>
      <c r="EA2" s="256"/>
      <c r="EB2" s="256"/>
      <c r="EC2" s="256"/>
      <c r="ED2" s="256"/>
      <c r="EE2" s="256"/>
      <c r="EF2" s="256"/>
      <c r="EG2" s="256"/>
      <c r="EH2" s="256"/>
      <c r="EI2" s="256"/>
      <c r="EJ2" s="256"/>
      <c r="EK2" s="256"/>
      <c r="EL2" s="256"/>
      <c r="EM2" s="256"/>
      <c r="EN2" s="256"/>
      <c r="EO2" s="256"/>
      <c r="EP2" s="256"/>
      <c r="EQ2" s="256"/>
      <c r="ER2" s="256"/>
      <c r="ES2" s="256"/>
      <c r="ET2" s="256"/>
      <c r="EU2" s="256"/>
      <c r="EV2" s="256"/>
      <c r="EW2" s="256"/>
      <c r="EX2" s="256"/>
      <c r="EY2" s="256"/>
      <c r="EZ2" s="256"/>
      <c r="FA2" s="256"/>
      <c r="FB2" s="256"/>
      <c r="FC2" s="256"/>
      <c r="FD2" s="256"/>
      <c r="FE2" s="256"/>
      <c r="FF2" s="256"/>
      <c r="FG2" s="256"/>
      <c r="FH2" s="256"/>
      <c r="FI2" s="256"/>
      <c r="FJ2" s="256"/>
      <c r="FK2" s="256"/>
      <c r="FL2" s="256"/>
      <c r="FM2" s="256"/>
      <c r="FN2" s="256"/>
      <c r="FO2" s="256"/>
      <c r="FP2" s="256"/>
      <c r="FQ2" s="256"/>
      <c r="FR2" s="256"/>
      <c r="FS2" s="256"/>
      <c r="FT2" s="256"/>
      <c r="FU2" s="256"/>
      <c r="FV2" s="256"/>
      <c r="FW2" s="256"/>
      <c r="FX2" s="256"/>
      <c r="FY2" s="256"/>
      <c r="FZ2" s="256"/>
      <c r="GA2" s="256"/>
      <c r="GB2" s="256"/>
      <c r="GC2" s="256"/>
      <c r="GD2" s="256"/>
      <c r="GE2" s="256"/>
      <c r="GF2" s="256"/>
      <c r="GG2" s="256"/>
      <c r="GH2" s="256"/>
      <c r="GI2" s="256"/>
      <c r="GJ2" s="256"/>
      <c r="GK2" s="256"/>
      <c r="GL2" s="256"/>
      <c r="GM2" s="256"/>
      <c r="GN2" s="256"/>
      <c r="GO2" s="256"/>
      <c r="GP2" s="256"/>
      <c r="GQ2" s="256"/>
      <c r="GR2" s="256"/>
      <c r="GS2" s="256"/>
      <c r="GT2" s="256"/>
      <c r="GU2" s="256"/>
      <c r="GV2" s="256"/>
      <c r="GW2" s="256"/>
      <c r="GX2" s="256"/>
      <c r="GY2" s="256"/>
      <c r="GZ2" s="256"/>
      <c r="HA2" s="256"/>
      <c r="HB2" s="256"/>
      <c r="HC2" s="256"/>
      <c r="HD2" s="256"/>
      <c r="HE2" s="256"/>
      <c r="HF2" s="256"/>
      <c r="HG2" s="256"/>
      <c r="HH2" s="256"/>
      <c r="HI2" s="256"/>
      <c r="HJ2" s="256"/>
      <c r="HK2" s="256"/>
      <c r="HL2" s="256"/>
      <c r="HM2" s="256"/>
      <c r="HN2" s="256"/>
      <c r="HO2" s="256"/>
      <c r="HP2" s="256"/>
      <c r="HQ2" s="256"/>
      <c r="HR2" s="256"/>
      <c r="HS2" s="256"/>
      <c r="HT2" s="256"/>
      <c r="HU2" s="256"/>
      <c r="HV2" s="256"/>
      <c r="HW2" s="256"/>
      <c r="HX2" s="256"/>
      <c r="HY2" s="256"/>
      <c r="HZ2" s="256"/>
      <c r="IA2" s="256"/>
      <c r="IB2" s="256"/>
      <c r="IC2" s="256"/>
      <c r="ID2" s="256"/>
      <c r="IE2" s="256"/>
      <c r="IF2" s="256"/>
      <c r="IG2" s="256"/>
      <c r="IH2" s="256"/>
      <c r="II2" s="256"/>
      <c r="IJ2" s="256"/>
      <c r="IK2" s="256"/>
      <c r="IL2" s="256"/>
      <c r="IM2" s="256"/>
      <c r="IN2" s="256"/>
      <c r="IO2" s="256"/>
      <c r="IP2" s="256"/>
      <c r="IQ2" s="256"/>
      <c r="IR2" s="256"/>
      <c r="IS2" s="256"/>
      <c r="IT2" s="256"/>
      <c r="IU2" s="256"/>
      <c r="IV2" s="256"/>
      <c r="IW2" s="256"/>
      <c r="IX2" s="256"/>
      <c r="IY2" s="256"/>
      <c r="IZ2" s="256"/>
      <c r="JA2" s="256"/>
      <c r="JB2" s="256"/>
      <c r="JC2" s="256"/>
      <c r="JD2" s="256"/>
      <c r="JE2" s="256"/>
      <c r="JF2" s="256"/>
      <c r="JG2" s="256"/>
      <c r="JH2" s="256"/>
      <c r="JI2" s="256"/>
      <c r="JJ2" s="256"/>
      <c r="JK2" s="256"/>
      <c r="JL2" s="256"/>
      <c r="JM2" s="256"/>
      <c r="JN2" s="256"/>
      <c r="JO2" s="256"/>
      <c r="JP2" s="256"/>
      <c r="JQ2" s="256"/>
      <c r="JR2" s="256"/>
      <c r="JS2" s="256"/>
      <c r="JT2" s="256"/>
      <c r="JU2" s="256"/>
      <c r="JV2" s="256"/>
      <c r="JW2" s="256"/>
      <c r="JX2" s="256"/>
      <c r="JY2" s="256"/>
      <c r="JZ2" s="256"/>
      <c r="KA2" s="256"/>
      <c r="KB2" s="256"/>
      <c r="KC2" s="256"/>
      <c r="KD2" s="256"/>
      <c r="KE2" s="256"/>
      <c r="KF2" s="256"/>
      <c r="KG2" s="256"/>
      <c r="KH2" s="256"/>
      <c r="KI2" s="256"/>
      <c r="KJ2" s="256"/>
      <c r="KK2" s="256"/>
      <c r="KL2" s="256"/>
      <c r="KM2" s="256"/>
      <c r="KN2" s="256"/>
      <c r="KO2" s="256"/>
      <c r="KP2" s="256"/>
      <c r="KQ2" s="256"/>
      <c r="KR2" s="256"/>
      <c r="KS2" s="256"/>
      <c r="KT2" s="256"/>
      <c r="KU2" s="256"/>
      <c r="KV2" s="256"/>
      <c r="KW2" s="256"/>
      <c r="KX2" s="256"/>
      <c r="KY2" s="256"/>
      <c r="KZ2" s="256"/>
      <c r="LA2" s="256"/>
      <c r="LB2" s="256"/>
      <c r="LC2" s="256"/>
      <c r="LD2" s="256"/>
      <c r="LE2" s="256"/>
      <c r="LF2" s="256"/>
      <c r="LG2" s="256"/>
      <c r="LH2" s="256"/>
      <c r="LI2" s="256"/>
      <c r="LJ2" s="256"/>
      <c r="LK2" s="256"/>
      <c r="LL2" s="256"/>
      <c r="LM2" s="256"/>
      <c r="LN2" s="256"/>
      <c r="LO2" s="256"/>
      <c r="LP2" s="256"/>
      <c r="LQ2" s="256"/>
      <c r="LR2" s="256"/>
      <c r="LS2" s="256"/>
      <c r="LT2" s="256"/>
      <c r="LU2" s="256"/>
      <c r="LV2" s="256"/>
      <c r="LW2" s="256"/>
      <c r="LX2" s="256"/>
      <c r="LY2" s="256"/>
      <c r="LZ2" s="256"/>
      <c r="MA2" s="256"/>
      <c r="MB2" s="256"/>
      <c r="MC2" s="256"/>
      <c r="MD2" s="256"/>
      <c r="ME2" s="256"/>
      <c r="MF2" s="256"/>
      <c r="MG2" s="256"/>
      <c r="MH2" s="256"/>
      <c r="MI2" s="256"/>
      <c r="MJ2" s="256"/>
      <c r="MK2" s="256"/>
      <c r="ML2" s="256"/>
      <c r="MM2" s="256"/>
      <c r="MN2" s="256"/>
      <c r="MO2" s="256"/>
      <c r="MP2" s="256"/>
      <c r="MQ2" s="256"/>
      <c r="MR2" s="256"/>
      <c r="MS2" s="256"/>
      <c r="MT2" s="256"/>
      <c r="MU2" s="256"/>
      <c r="MV2" s="256"/>
      <c r="MW2" s="256"/>
      <c r="MX2" s="256"/>
      <c r="MY2" s="256"/>
      <c r="MZ2" s="256"/>
      <c r="NA2" s="256"/>
      <c r="NB2" s="256"/>
      <c r="NC2" s="256"/>
      <c r="ND2" s="256"/>
      <c r="NE2" s="256"/>
      <c r="NF2" s="256"/>
      <c r="NG2" s="256"/>
      <c r="NH2" s="256"/>
      <c r="NI2" s="256"/>
      <c r="NJ2" s="256"/>
      <c r="NK2" s="256"/>
      <c r="NL2" s="256"/>
      <c r="NM2" s="256"/>
      <c r="NN2" s="256"/>
      <c r="NO2" s="256"/>
      <c r="NP2" s="256"/>
      <c r="NQ2" s="256"/>
      <c r="NR2" s="256"/>
      <c r="NS2" s="256"/>
      <c r="NT2" s="256"/>
      <c r="NU2" s="256"/>
      <c r="NV2" s="256"/>
      <c r="NW2" s="256"/>
      <c r="NX2" s="256"/>
      <c r="NY2" s="256"/>
      <c r="NZ2" s="256"/>
      <c r="OA2" s="256"/>
      <c r="OB2" s="256"/>
      <c r="OC2" s="256"/>
      <c r="OD2" s="256"/>
      <c r="OE2" s="256"/>
      <c r="OF2" s="256"/>
      <c r="OG2" s="256"/>
      <c r="OH2" s="256"/>
      <c r="OI2" s="256"/>
      <c r="OJ2" s="256"/>
      <c r="OK2" s="256"/>
      <c r="OL2" s="256"/>
      <c r="OM2" s="256"/>
      <c r="ON2" s="256"/>
      <c r="OO2" s="256"/>
      <c r="OP2" s="256"/>
      <c r="OQ2" s="256"/>
      <c r="OR2" s="256"/>
      <c r="OS2" s="256"/>
      <c r="OT2" s="256"/>
      <c r="OU2" s="256"/>
      <c r="OV2" s="256"/>
      <c r="OW2" s="256"/>
      <c r="OX2" s="256"/>
      <c r="OY2" s="256"/>
      <c r="OZ2" s="256"/>
      <c r="PA2" s="256"/>
      <c r="PB2" s="256"/>
      <c r="PC2" s="256"/>
      <c r="PD2" s="256"/>
      <c r="PE2" s="256"/>
      <c r="PF2" s="256"/>
      <c r="PG2" s="256"/>
      <c r="PH2" s="256"/>
      <c r="PI2" s="256"/>
      <c r="PJ2" s="256"/>
      <c r="PK2" s="256"/>
      <c r="PL2" s="256"/>
      <c r="PM2" s="256"/>
      <c r="PN2" s="256"/>
      <c r="PO2" s="256"/>
      <c r="PP2" s="256"/>
      <c r="PQ2" s="256"/>
      <c r="PR2" s="256"/>
      <c r="PS2" s="256"/>
      <c r="PT2" s="256"/>
      <c r="PU2" s="256"/>
      <c r="PV2" s="256"/>
      <c r="PW2" s="256"/>
      <c r="PX2" s="256"/>
      <c r="PY2" s="256"/>
      <c r="PZ2" s="256"/>
      <c r="QA2" s="256"/>
      <c r="QB2" s="256"/>
      <c r="QC2" s="256"/>
      <c r="QD2" s="256"/>
      <c r="QE2" s="256"/>
      <c r="QF2" s="256"/>
      <c r="QG2" s="256"/>
      <c r="QH2" s="256"/>
      <c r="QI2" s="256"/>
      <c r="QJ2" s="256"/>
      <c r="QK2" s="256"/>
      <c r="QL2" s="256"/>
      <c r="QM2" s="256"/>
      <c r="QN2" s="256"/>
      <c r="QO2" s="256"/>
      <c r="QP2" s="256"/>
      <c r="QQ2" s="256"/>
      <c r="QR2" s="256"/>
      <c r="QS2" s="256"/>
      <c r="QT2" s="256"/>
      <c r="QU2" s="256"/>
      <c r="QV2" s="256"/>
      <c r="QW2" s="256"/>
      <c r="QX2" s="256"/>
      <c r="QY2" s="256"/>
      <c r="QZ2" s="256"/>
      <c r="RA2" s="256"/>
      <c r="RB2" s="256"/>
      <c r="RC2" s="256"/>
      <c r="RD2" s="256"/>
      <c r="RE2" s="256"/>
      <c r="RF2" s="256"/>
      <c r="RG2" s="256"/>
      <c r="RH2" s="256"/>
      <c r="RI2" s="256"/>
      <c r="RJ2" s="256"/>
      <c r="RK2" s="256"/>
      <c r="RL2" s="256"/>
      <c r="RM2" s="256"/>
      <c r="RN2" s="256"/>
      <c r="RO2" s="256"/>
      <c r="RP2" s="256"/>
      <c r="RQ2" s="256"/>
      <c r="RR2" s="256"/>
      <c r="RS2" s="256"/>
      <c r="RT2" s="256"/>
      <c r="RU2" s="256"/>
      <c r="RV2" s="256"/>
      <c r="RW2" s="256"/>
      <c r="RX2" s="256"/>
      <c r="RY2" s="256"/>
      <c r="RZ2" s="256"/>
      <c r="SA2" s="256"/>
      <c r="SB2" s="256"/>
      <c r="SC2" s="256"/>
      <c r="SD2" s="256"/>
      <c r="SE2" s="256"/>
      <c r="SF2" s="256"/>
      <c r="SG2" s="256"/>
      <c r="SH2" s="256"/>
      <c r="SI2" s="256"/>
      <c r="SJ2" s="256"/>
      <c r="SK2" s="256"/>
      <c r="SL2" s="256"/>
      <c r="SM2" s="256"/>
      <c r="SN2" s="256"/>
      <c r="SO2" s="256"/>
      <c r="SP2" s="256"/>
      <c r="SQ2" s="256"/>
      <c r="SR2" s="256"/>
      <c r="SS2" s="256"/>
      <c r="ST2" s="256"/>
      <c r="SU2" s="256"/>
      <c r="SV2" s="256"/>
      <c r="SW2" s="256"/>
      <c r="SX2" s="256"/>
      <c r="SY2" s="256"/>
      <c r="SZ2" s="256"/>
      <c r="TA2" s="256"/>
      <c r="TB2" s="256"/>
      <c r="TC2" s="256"/>
      <c r="TD2" s="256"/>
      <c r="TE2" s="256"/>
      <c r="TF2" s="256"/>
      <c r="TG2" s="256"/>
      <c r="TH2" s="256"/>
      <c r="TI2" s="256"/>
      <c r="TJ2" s="256"/>
      <c r="TK2" s="256"/>
      <c r="TL2" s="256"/>
      <c r="TM2" s="256"/>
      <c r="TN2" s="256"/>
      <c r="TO2" s="256"/>
      <c r="TP2" s="256"/>
      <c r="TQ2" s="256"/>
      <c r="TR2" s="256"/>
      <c r="TS2" s="256"/>
      <c r="TT2" s="256"/>
      <c r="TU2" s="256"/>
      <c r="TV2" s="256"/>
      <c r="TW2" s="256"/>
      <c r="TX2" s="256"/>
      <c r="TY2" s="256"/>
      <c r="TZ2" s="256"/>
      <c r="UA2" s="256"/>
      <c r="UB2" s="256"/>
      <c r="UC2" s="256"/>
      <c r="UD2" s="256"/>
      <c r="UE2" s="256"/>
      <c r="UF2" s="256"/>
      <c r="UG2" s="256"/>
      <c r="UH2" s="256"/>
      <c r="UI2" s="256"/>
      <c r="UJ2" s="256"/>
      <c r="UK2" s="256"/>
      <c r="UL2" s="256"/>
      <c r="UM2" s="256"/>
      <c r="UN2" s="256"/>
      <c r="UO2" s="256"/>
      <c r="UP2" s="256"/>
      <c r="UQ2" s="256"/>
      <c r="UR2" s="256"/>
      <c r="US2" s="256"/>
      <c r="UT2" s="256"/>
      <c r="UU2" s="256"/>
      <c r="UV2" s="256"/>
      <c r="UW2" s="256"/>
      <c r="UX2" s="256"/>
      <c r="UY2" s="256"/>
      <c r="UZ2" s="256"/>
      <c r="VA2" s="256"/>
      <c r="VB2" s="256"/>
      <c r="VC2" s="256"/>
      <c r="VD2" s="256"/>
      <c r="VE2" s="256"/>
      <c r="VF2" s="256"/>
      <c r="VG2" s="256"/>
      <c r="VH2" s="256"/>
      <c r="VI2" s="256"/>
      <c r="VJ2" s="256"/>
      <c r="VK2" s="256"/>
      <c r="VL2" s="256"/>
      <c r="VM2" s="256"/>
      <c r="VN2" s="256"/>
      <c r="VO2" s="256"/>
      <c r="VP2" s="256"/>
      <c r="VQ2" s="256"/>
      <c r="VR2" s="256"/>
      <c r="VS2" s="256"/>
      <c r="VT2" s="256"/>
      <c r="VU2" s="256"/>
      <c r="VV2" s="256"/>
      <c r="VW2" s="256"/>
      <c r="VX2" s="256"/>
      <c r="VY2" s="256"/>
      <c r="VZ2" s="256"/>
      <c r="WA2" s="256"/>
      <c r="WB2" s="256"/>
      <c r="WC2" s="256"/>
      <c r="WD2" s="256"/>
      <c r="WE2" s="256"/>
      <c r="WF2" s="256"/>
      <c r="WG2" s="256"/>
      <c r="WH2" s="256"/>
      <c r="WI2" s="256"/>
      <c r="WJ2" s="256"/>
      <c r="WK2" s="256"/>
      <c r="WL2" s="256"/>
      <c r="WM2" s="256"/>
      <c r="WN2" s="256"/>
      <c r="WO2" s="256"/>
      <c r="WP2" s="256"/>
      <c r="WQ2" s="256"/>
      <c r="WR2" s="256"/>
      <c r="WS2" s="256"/>
      <c r="WT2" s="256"/>
      <c r="WU2" s="256"/>
      <c r="WV2" s="256"/>
      <c r="WW2" s="256"/>
      <c r="WX2" s="256"/>
      <c r="WY2" s="256"/>
      <c r="WZ2" s="256"/>
      <c r="XA2" s="256"/>
      <c r="XB2" s="256"/>
      <c r="XC2" s="256"/>
      <c r="XD2" s="256"/>
      <c r="XE2" s="256"/>
      <c r="XF2" s="256"/>
      <c r="XG2" s="256"/>
      <c r="XH2" s="256"/>
      <c r="XI2" s="256"/>
      <c r="XJ2" s="256"/>
      <c r="XK2" s="256"/>
      <c r="XL2" s="256"/>
      <c r="XM2" s="256"/>
      <c r="XN2" s="256"/>
      <c r="XO2" s="256"/>
      <c r="XP2" s="256"/>
      <c r="XQ2" s="256"/>
      <c r="XR2" s="256"/>
      <c r="XS2" s="256"/>
      <c r="XT2" s="256"/>
      <c r="XU2" s="256"/>
      <c r="XV2" s="256"/>
      <c r="XW2" s="256"/>
      <c r="XX2" s="256"/>
      <c r="XY2" s="256"/>
      <c r="XZ2" s="256"/>
      <c r="YA2" s="256"/>
      <c r="YB2" s="256"/>
      <c r="YC2" s="256"/>
      <c r="YD2" s="256"/>
      <c r="YE2" s="256"/>
      <c r="YF2" s="256"/>
      <c r="YG2" s="256"/>
      <c r="YH2" s="256"/>
      <c r="YI2" s="256"/>
      <c r="YJ2" s="256"/>
      <c r="YK2" s="256"/>
      <c r="YL2" s="256"/>
      <c r="YM2" s="256"/>
      <c r="YN2" s="256"/>
      <c r="YO2" s="256"/>
      <c r="YP2" s="256"/>
      <c r="YQ2" s="256"/>
      <c r="YR2" s="256"/>
      <c r="YS2" s="256"/>
      <c r="YT2" s="256"/>
      <c r="YU2" s="256"/>
      <c r="YV2" s="256"/>
      <c r="YW2" s="256"/>
      <c r="YX2" s="256"/>
      <c r="YY2" s="256"/>
      <c r="YZ2" s="256"/>
      <c r="ZA2" s="256"/>
      <c r="ZB2" s="256"/>
      <c r="ZC2" s="256"/>
      <c r="ZD2" s="256"/>
      <c r="ZE2" s="256"/>
      <c r="ZF2" s="256"/>
      <c r="ZG2" s="256"/>
      <c r="ZH2" s="256"/>
      <c r="ZI2" s="256"/>
      <c r="ZJ2" s="256"/>
      <c r="ZK2" s="256"/>
      <c r="ZL2" s="256"/>
      <c r="ZM2" s="256"/>
      <c r="ZN2" s="256"/>
      <c r="ZO2" s="256"/>
      <c r="ZP2" s="256"/>
      <c r="ZQ2" s="256"/>
      <c r="ZR2" s="256"/>
      <c r="ZS2" s="256"/>
      <c r="ZT2" s="256"/>
      <c r="ZU2" s="256"/>
      <c r="ZV2" s="256"/>
      <c r="ZW2" s="256"/>
      <c r="ZX2" s="256"/>
      <c r="ZY2" s="256"/>
      <c r="ZZ2" s="256"/>
      <c r="AAA2" s="256"/>
      <c r="AAB2" s="256"/>
      <c r="AAC2" s="256"/>
      <c r="AAD2" s="256"/>
      <c r="AAE2" s="256"/>
      <c r="AAF2" s="256"/>
      <c r="AAG2" s="256"/>
      <c r="AAH2" s="256"/>
      <c r="AAI2" s="256"/>
      <c r="AAJ2" s="256"/>
      <c r="AAK2" s="256"/>
      <c r="AAL2" s="256"/>
      <c r="AAM2" s="256"/>
      <c r="AAN2" s="256"/>
      <c r="AAO2" s="256"/>
      <c r="AAP2" s="256"/>
      <c r="AAQ2" s="256"/>
      <c r="AAR2" s="256"/>
      <c r="AAS2" s="256"/>
      <c r="AAT2" s="256"/>
      <c r="AAU2" s="256"/>
      <c r="AAV2" s="256"/>
      <c r="AAW2" s="256"/>
      <c r="AAX2" s="256"/>
      <c r="AAY2" s="256"/>
      <c r="AAZ2" s="256"/>
      <c r="ABA2" s="256"/>
      <c r="ABB2" s="256"/>
      <c r="ABC2" s="256"/>
      <c r="ABD2" s="256"/>
      <c r="ABE2" s="256"/>
      <c r="ABF2" s="256"/>
      <c r="ABG2" s="256"/>
      <c r="ABH2" s="256"/>
      <c r="ABI2" s="256"/>
      <c r="ABJ2" s="256"/>
      <c r="ABK2" s="256"/>
      <c r="ABL2" s="256"/>
      <c r="ABM2" s="256"/>
      <c r="ABN2" s="256"/>
      <c r="ABO2" s="256"/>
      <c r="ABP2" s="256"/>
      <c r="ABQ2" s="256"/>
      <c r="ABR2" s="256"/>
      <c r="ABS2" s="256"/>
      <c r="ABT2" s="256"/>
      <c r="ABU2" s="256"/>
      <c r="ABV2" s="256"/>
      <c r="ABW2" s="256"/>
      <c r="ABX2" s="256"/>
      <c r="ABY2" s="256"/>
      <c r="ABZ2" s="256"/>
      <c r="ACA2" s="256"/>
      <c r="ACB2" s="256"/>
      <c r="ACC2" s="256"/>
      <c r="ACD2" s="256"/>
      <c r="ACE2" s="256"/>
      <c r="ACF2" s="256"/>
      <c r="ACG2" s="256"/>
      <c r="ACH2" s="256"/>
      <c r="ACI2" s="256"/>
      <c r="ACJ2" s="256"/>
      <c r="ACK2" s="256"/>
      <c r="ACL2" s="256"/>
      <c r="ACM2" s="256"/>
      <c r="ACN2" s="256"/>
      <c r="ACO2" s="256"/>
      <c r="ACP2" s="256"/>
      <c r="ACQ2" s="256"/>
      <c r="ACR2" s="256"/>
      <c r="ACS2" s="256"/>
      <c r="ACT2" s="256"/>
      <c r="ACU2" s="256"/>
      <c r="ACV2" s="256"/>
      <c r="ACW2" s="256"/>
      <c r="ACX2" s="256"/>
      <c r="ACY2" s="256"/>
      <c r="ACZ2" s="256"/>
      <c r="ADA2" s="256"/>
      <c r="ADB2" s="256"/>
      <c r="ADC2" s="256"/>
      <c r="ADD2" s="256"/>
      <c r="ADE2" s="256"/>
      <c r="ADF2" s="256"/>
      <c r="ADG2" s="256"/>
      <c r="ADH2" s="256"/>
      <c r="ADI2" s="256"/>
      <c r="ADJ2" s="256"/>
      <c r="ADK2" s="256"/>
      <c r="ADL2" s="256"/>
      <c r="ADM2" s="256"/>
      <c r="ADN2" s="256"/>
      <c r="ADO2" s="256"/>
      <c r="ADP2" s="256"/>
      <c r="ADQ2" s="256"/>
      <c r="ADR2" s="256"/>
      <c r="ADS2" s="256"/>
      <c r="ADT2" s="256"/>
      <c r="ADU2" s="256"/>
      <c r="ADV2" s="256"/>
      <c r="ADW2" s="256"/>
      <c r="ADX2" s="256"/>
      <c r="ADY2" s="256"/>
      <c r="ADZ2" s="256"/>
      <c r="AEA2" s="256"/>
      <c r="AEB2" s="256"/>
      <c r="AEC2" s="256"/>
      <c r="AED2" s="256"/>
      <c r="AEE2" s="256"/>
      <c r="AEF2" s="256"/>
      <c r="AEG2" s="256"/>
      <c r="AEH2" s="256"/>
      <c r="AEI2" s="256"/>
      <c r="AEJ2" s="256"/>
      <c r="AEK2" s="256"/>
      <c r="AEL2" s="256"/>
      <c r="AEM2" s="256"/>
      <c r="AEN2" s="256"/>
      <c r="AEO2" s="256"/>
      <c r="AEP2" s="256"/>
      <c r="AEQ2" s="256"/>
      <c r="AER2" s="256"/>
      <c r="AES2" s="256"/>
      <c r="AET2" s="256"/>
      <c r="AEU2" s="256"/>
      <c r="AEV2" s="256"/>
      <c r="AEW2" s="256"/>
      <c r="AEX2" s="256"/>
      <c r="AEY2" s="256"/>
      <c r="AEZ2" s="256"/>
      <c r="AFA2" s="256"/>
      <c r="AFB2" s="256"/>
      <c r="AFC2" s="256"/>
      <c r="AFD2" s="256"/>
      <c r="AFE2" s="256"/>
      <c r="AFF2" s="256"/>
      <c r="AFG2" s="256"/>
      <c r="AFH2" s="256"/>
      <c r="AFI2" s="256"/>
      <c r="AFJ2" s="256"/>
      <c r="AFK2" s="256"/>
      <c r="AFL2" s="256"/>
      <c r="AFM2" s="256"/>
      <c r="AFN2" s="256"/>
      <c r="AFO2" s="256"/>
      <c r="AFP2" s="256"/>
      <c r="AFQ2" s="256"/>
      <c r="AFR2" s="256"/>
      <c r="AFS2" s="256"/>
      <c r="AFT2" s="256"/>
      <c r="AFU2" s="256"/>
      <c r="AFV2" s="256"/>
      <c r="AFW2" s="256"/>
      <c r="AFX2" s="256"/>
      <c r="AFY2" s="256"/>
      <c r="AFZ2" s="256"/>
      <c r="AGA2" s="256"/>
      <c r="AGB2" s="256"/>
      <c r="AGC2" s="256"/>
      <c r="AGD2" s="256"/>
      <c r="AGE2" s="256"/>
      <c r="AGF2" s="256"/>
      <c r="AGG2" s="256"/>
      <c r="AGH2" s="256"/>
      <c r="AGI2" s="256"/>
      <c r="AGJ2" s="256"/>
      <c r="AGK2" s="256"/>
      <c r="AGL2" s="256"/>
      <c r="AGM2" s="256"/>
      <c r="AGN2" s="256"/>
      <c r="AGO2" s="256"/>
      <c r="AGP2" s="256"/>
      <c r="AGQ2" s="256"/>
      <c r="AGR2" s="256"/>
      <c r="AGS2" s="256"/>
      <c r="AGT2" s="256"/>
      <c r="AGU2" s="256"/>
      <c r="AGV2" s="256"/>
      <c r="AGW2" s="256"/>
      <c r="AGX2" s="256"/>
      <c r="AGY2" s="256"/>
      <c r="AGZ2" s="256"/>
      <c r="AHA2" s="256"/>
      <c r="AHB2" s="256"/>
      <c r="AHC2" s="256"/>
      <c r="AHD2" s="256"/>
      <c r="AHE2" s="256"/>
      <c r="AHF2" s="256"/>
      <c r="AHG2" s="256"/>
      <c r="AHH2" s="256"/>
      <c r="AHI2" s="256"/>
      <c r="AHJ2" s="256"/>
      <c r="AHK2" s="256"/>
      <c r="AHL2" s="256"/>
      <c r="AHM2" s="256"/>
      <c r="AHN2" s="256"/>
      <c r="AHO2" s="256"/>
      <c r="AHP2" s="256"/>
      <c r="AHQ2" s="256"/>
      <c r="AHR2" s="256"/>
      <c r="AHS2" s="256"/>
      <c r="AHT2" s="256"/>
      <c r="AHU2" s="256"/>
      <c r="AHV2" s="256"/>
      <c r="AHW2" s="256"/>
      <c r="AHX2" s="256"/>
      <c r="AHY2" s="256"/>
      <c r="AHZ2" s="256"/>
      <c r="AIA2" s="256"/>
      <c r="AIB2" s="256"/>
      <c r="AIC2" s="256"/>
      <c r="AID2" s="256"/>
      <c r="AIE2" s="256"/>
      <c r="AIF2" s="256"/>
      <c r="AIG2" s="256"/>
      <c r="AIH2" s="256"/>
      <c r="AII2" s="256"/>
      <c r="AIJ2" s="256"/>
      <c r="AIK2" s="256"/>
      <c r="AIL2" s="256"/>
      <c r="AIM2" s="256"/>
      <c r="AIN2" s="256"/>
      <c r="AIO2" s="256"/>
      <c r="AIP2" s="256"/>
      <c r="AIQ2" s="256"/>
      <c r="AIR2" s="256"/>
      <c r="AIS2" s="256"/>
      <c r="AIT2" s="256"/>
      <c r="AIU2" s="256"/>
      <c r="AIV2" s="256"/>
      <c r="AIW2" s="256"/>
      <c r="AIX2" s="256"/>
      <c r="AIY2" s="256"/>
      <c r="AIZ2" s="256"/>
      <c r="AJA2" s="256"/>
      <c r="AJB2" s="256"/>
      <c r="AJC2" s="256"/>
      <c r="AJD2" s="256"/>
      <c r="AJE2" s="256"/>
      <c r="AJF2" s="256"/>
      <c r="AJG2" s="256"/>
      <c r="AJH2" s="256"/>
      <c r="AJI2" s="256"/>
      <c r="AJJ2" s="256"/>
      <c r="AJK2" s="256"/>
      <c r="AJL2" s="256"/>
      <c r="AJM2" s="256"/>
      <c r="AJN2" s="256"/>
      <c r="AJO2" s="256"/>
      <c r="AJP2" s="256"/>
      <c r="AJQ2" s="256"/>
      <c r="AJR2" s="256"/>
      <c r="AJS2" s="256"/>
      <c r="AJT2" s="256"/>
      <c r="AJU2" s="256"/>
      <c r="AJV2" s="256"/>
      <c r="AJW2" s="256"/>
      <c r="AJX2" s="256"/>
      <c r="AJY2" s="256"/>
      <c r="AJZ2" s="256"/>
      <c r="AKA2" s="256"/>
      <c r="AKB2" s="256"/>
      <c r="AKC2" s="256"/>
      <c r="AKD2" s="256"/>
      <c r="AKE2" s="256"/>
      <c r="AKF2" s="256"/>
      <c r="AKG2" s="256"/>
      <c r="AKH2" s="256"/>
      <c r="AKI2" s="256"/>
      <c r="AKJ2" s="256"/>
      <c r="AKK2" s="256"/>
      <c r="AKL2" s="256"/>
      <c r="AKM2" s="256"/>
      <c r="AKN2" s="256"/>
      <c r="AKO2" s="256"/>
      <c r="AKP2" s="256"/>
      <c r="AKQ2" s="256"/>
      <c r="AKR2" s="256"/>
      <c r="AKS2" s="256"/>
      <c r="AKT2" s="256"/>
      <c r="AKU2" s="256"/>
      <c r="AKV2" s="256"/>
      <c r="AKW2" s="256"/>
      <c r="AKX2" s="256"/>
      <c r="AKY2" s="256"/>
      <c r="AKZ2" s="256"/>
      <c r="ALA2" s="256"/>
      <c r="ALB2" s="256"/>
      <c r="ALC2" s="256"/>
      <c r="ALD2" s="256"/>
      <c r="ALE2" s="256"/>
      <c r="ALF2" s="256"/>
      <c r="ALG2" s="256"/>
      <c r="ALH2" s="256"/>
      <c r="ALI2" s="256"/>
      <c r="ALJ2" s="256"/>
      <c r="ALK2" s="256"/>
      <c r="ALL2" s="256"/>
      <c r="ALM2" s="256"/>
      <c r="ALN2" s="256"/>
      <c r="ALO2" s="256"/>
      <c r="ALP2" s="256"/>
      <c r="ALQ2" s="256"/>
      <c r="ALR2" s="256"/>
      <c r="ALS2" s="256"/>
      <c r="ALT2" s="258"/>
      <c r="ALU2" s="258"/>
      <c r="ALV2" s="258"/>
      <c r="ALW2" s="258"/>
      <c r="ALX2" s="258"/>
      <c r="ALY2" s="258"/>
      <c r="ALZ2" s="258"/>
      <c r="AMA2" s="258"/>
      <c r="AMB2" s="258"/>
      <c r="AMC2" s="258"/>
      <c r="AMD2" s="258"/>
      <c r="AME2" s="258"/>
      <c r="AMF2" s="258"/>
      <c r="AMG2" s="258"/>
      <c r="AMH2" s="258"/>
      <c r="AMI2" s="256"/>
    </row>
    <row r="3" spans="1:1023" s="259" customFormat="1" ht="15" customHeight="1" x14ac:dyDescent="0.25">
      <c r="A3" s="256"/>
      <c r="B3" s="256"/>
      <c r="C3" s="185" t="s">
        <v>125</v>
      </c>
      <c r="D3" s="189"/>
      <c r="E3" s="752" t="s">
        <v>418</v>
      </c>
      <c r="F3" s="753"/>
      <c r="G3" s="753"/>
      <c r="H3" s="753"/>
      <c r="I3" s="754"/>
      <c r="J3" s="180"/>
      <c r="K3" s="256"/>
      <c r="L3" s="256"/>
      <c r="M3" s="256"/>
      <c r="N3" s="256"/>
      <c r="O3" s="256"/>
      <c r="P3" s="256"/>
      <c r="Q3" s="256"/>
      <c r="R3" s="256"/>
      <c r="S3" s="256"/>
      <c r="T3" s="256"/>
      <c r="U3" s="256"/>
      <c r="V3" s="256"/>
      <c r="W3" s="256"/>
      <c r="X3" s="256"/>
      <c r="Y3" s="256"/>
      <c r="Z3" s="256"/>
      <c r="AA3" s="256"/>
      <c r="AB3" s="256"/>
      <c r="AC3" s="256"/>
      <c r="AD3" s="256"/>
      <c r="AE3" s="256"/>
      <c r="AF3" s="256"/>
      <c r="AG3" s="256"/>
      <c r="AH3" s="256"/>
      <c r="AI3" s="256"/>
      <c r="AJ3" s="256"/>
      <c r="AK3" s="256"/>
      <c r="AL3" s="256"/>
      <c r="AM3" s="256"/>
      <c r="AN3" s="256"/>
      <c r="AO3" s="256"/>
      <c r="AP3" s="256"/>
      <c r="AQ3" s="256"/>
      <c r="AR3" s="256"/>
      <c r="AS3" s="256"/>
      <c r="AT3" s="256"/>
      <c r="AU3" s="256"/>
      <c r="AV3" s="256"/>
      <c r="AW3" s="256"/>
      <c r="AX3" s="256"/>
      <c r="AY3" s="256"/>
      <c r="AZ3" s="256"/>
      <c r="BA3" s="256"/>
      <c r="BB3" s="256"/>
      <c r="BC3" s="256"/>
      <c r="BD3" s="256"/>
      <c r="BE3" s="256"/>
      <c r="BF3" s="256"/>
      <c r="BG3" s="256"/>
      <c r="BH3" s="256"/>
      <c r="BI3" s="256"/>
      <c r="BJ3" s="256"/>
      <c r="BK3" s="256"/>
      <c r="BL3" s="256"/>
      <c r="BM3" s="256"/>
      <c r="BN3" s="256"/>
      <c r="BO3" s="256"/>
      <c r="BP3" s="256"/>
      <c r="BQ3" s="256"/>
      <c r="BR3" s="256"/>
      <c r="BS3" s="256"/>
      <c r="BT3" s="256"/>
      <c r="BU3" s="256"/>
      <c r="BV3" s="256"/>
      <c r="BW3" s="256"/>
      <c r="BX3" s="256"/>
      <c r="BY3" s="256"/>
      <c r="BZ3" s="256"/>
      <c r="CA3" s="256"/>
      <c r="CB3" s="256"/>
      <c r="CC3" s="256"/>
      <c r="CD3" s="256"/>
      <c r="CE3" s="256"/>
      <c r="CF3" s="256"/>
      <c r="CG3" s="256"/>
      <c r="CH3" s="256"/>
      <c r="CI3" s="256"/>
      <c r="CJ3" s="256"/>
      <c r="CK3" s="256"/>
      <c r="CL3" s="256"/>
      <c r="CM3" s="256"/>
      <c r="CN3" s="256"/>
      <c r="CO3" s="256"/>
      <c r="CP3" s="256"/>
      <c r="CQ3" s="256"/>
      <c r="CR3" s="256"/>
      <c r="CS3" s="256"/>
      <c r="CT3" s="256"/>
      <c r="CU3" s="256"/>
      <c r="CV3" s="256"/>
      <c r="CW3" s="256"/>
      <c r="CX3" s="256"/>
      <c r="CY3" s="256"/>
      <c r="CZ3" s="256"/>
      <c r="DA3" s="256"/>
      <c r="DB3" s="256"/>
      <c r="DC3" s="256"/>
      <c r="DD3" s="256"/>
      <c r="DE3" s="256"/>
      <c r="DF3" s="256"/>
      <c r="DG3" s="256"/>
      <c r="DH3" s="256"/>
      <c r="DI3" s="256"/>
      <c r="DJ3" s="256"/>
      <c r="DK3" s="256"/>
      <c r="DL3" s="256"/>
      <c r="DM3" s="256"/>
      <c r="DN3" s="256"/>
      <c r="DO3" s="256"/>
      <c r="DP3" s="256"/>
      <c r="DQ3" s="256"/>
      <c r="DR3" s="256"/>
      <c r="DS3" s="256"/>
      <c r="DT3" s="256"/>
      <c r="DU3" s="256"/>
      <c r="DV3" s="256"/>
      <c r="DW3" s="256"/>
      <c r="DX3" s="256"/>
      <c r="DY3" s="256"/>
      <c r="DZ3" s="256"/>
      <c r="EA3" s="256"/>
      <c r="EB3" s="256"/>
      <c r="EC3" s="256"/>
      <c r="ED3" s="256"/>
      <c r="EE3" s="256"/>
      <c r="EF3" s="256"/>
      <c r="EG3" s="256"/>
      <c r="EH3" s="256"/>
      <c r="EI3" s="256"/>
      <c r="EJ3" s="256"/>
      <c r="EK3" s="256"/>
      <c r="EL3" s="256"/>
      <c r="EM3" s="256"/>
      <c r="EN3" s="256"/>
      <c r="EO3" s="256"/>
      <c r="EP3" s="256"/>
      <c r="EQ3" s="256"/>
      <c r="ER3" s="256"/>
      <c r="ES3" s="256"/>
      <c r="ET3" s="256"/>
      <c r="EU3" s="256"/>
      <c r="EV3" s="256"/>
      <c r="EW3" s="256"/>
      <c r="EX3" s="256"/>
      <c r="EY3" s="256"/>
      <c r="EZ3" s="256"/>
      <c r="FA3" s="256"/>
      <c r="FB3" s="256"/>
      <c r="FC3" s="256"/>
      <c r="FD3" s="256"/>
      <c r="FE3" s="256"/>
      <c r="FF3" s="256"/>
      <c r="FG3" s="256"/>
      <c r="FH3" s="256"/>
      <c r="FI3" s="256"/>
      <c r="FJ3" s="256"/>
      <c r="FK3" s="256"/>
      <c r="FL3" s="256"/>
      <c r="FM3" s="256"/>
      <c r="FN3" s="256"/>
      <c r="FO3" s="256"/>
      <c r="FP3" s="256"/>
      <c r="FQ3" s="256"/>
      <c r="FR3" s="256"/>
      <c r="FS3" s="256"/>
      <c r="FT3" s="256"/>
      <c r="FU3" s="256"/>
      <c r="FV3" s="256"/>
      <c r="FW3" s="256"/>
      <c r="FX3" s="256"/>
      <c r="FY3" s="256"/>
      <c r="FZ3" s="256"/>
      <c r="GA3" s="256"/>
      <c r="GB3" s="256"/>
      <c r="GC3" s="256"/>
      <c r="GD3" s="256"/>
      <c r="GE3" s="256"/>
      <c r="GF3" s="256"/>
      <c r="GG3" s="256"/>
      <c r="GH3" s="256"/>
      <c r="GI3" s="256"/>
      <c r="GJ3" s="256"/>
      <c r="GK3" s="256"/>
      <c r="GL3" s="256"/>
      <c r="GM3" s="256"/>
      <c r="GN3" s="256"/>
      <c r="GO3" s="256"/>
      <c r="GP3" s="256"/>
      <c r="GQ3" s="256"/>
      <c r="GR3" s="256"/>
      <c r="GS3" s="256"/>
      <c r="GT3" s="256"/>
      <c r="GU3" s="256"/>
      <c r="GV3" s="256"/>
      <c r="GW3" s="256"/>
      <c r="GX3" s="256"/>
      <c r="GY3" s="256"/>
      <c r="GZ3" s="256"/>
      <c r="HA3" s="256"/>
      <c r="HB3" s="256"/>
      <c r="HC3" s="256"/>
      <c r="HD3" s="256"/>
      <c r="HE3" s="256"/>
      <c r="HF3" s="256"/>
      <c r="HG3" s="256"/>
      <c r="HH3" s="256"/>
      <c r="HI3" s="256"/>
      <c r="HJ3" s="256"/>
      <c r="HK3" s="256"/>
      <c r="HL3" s="256"/>
      <c r="HM3" s="256"/>
      <c r="HN3" s="256"/>
      <c r="HO3" s="256"/>
      <c r="HP3" s="256"/>
      <c r="HQ3" s="256"/>
      <c r="HR3" s="256"/>
      <c r="HS3" s="256"/>
      <c r="HT3" s="256"/>
      <c r="HU3" s="256"/>
      <c r="HV3" s="256"/>
      <c r="HW3" s="256"/>
      <c r="HX3" s="256"/>
      <c r="HY3" s="256"/>
      <c r="HZ3" s="256"/>
      <c r="IA3" s="256"/>
      <c r="IB3" s="256"/>
      <c r="IC3" s="256"/>
      <c r="ID3" s="256"/>
      <c r="IE3" s="256"/>
      <c r="IF3" s="256"/>
      <c r="IG3" s="256"/>
      <c r="IH3" s="256"/>
      <c r="II3" s="256"/>
      <c r="IJ3" s="256"/>
      <c r="IK3" s="256"/>
      <c r="IL3" s="256"/>
      <c r="IM3" s="256"/>
      <c r="IN3" s="256"/>
      <c r="IO3" s="256"/>
      <c r="IP3" s="256"/>
      <c r="IQ3" s="256"/>
      <c r="IR3" s="256"/>
      <c r="IS3" s="256"/>
      <c r="IT3" s="256"/>
      <c r="IU3" s="256"/>
      <c r="IV3" s="256"/>
      <c r="IW3" s="256"/>
      <c r="IX3" s="256"/>
      <c r="IY3" s="256"/>
      <c r="IZ3" s="256"/>
      <c r="JA3" s="256"/>
      <c r="JB3" s="256"/>
      <c r="JC3" s="256"/>
      <c r="JD3" s="256"/>
      <c r="JE3" s="256"/>
      <c r="JF3" s="256"/>
      <c r="JG3" s="256"/>
      <c r="JH3" s="256"/>
      <c r="JI3" s="256"/>
      <c r="JJ3" s="256"/>
      <c r="JK3" s="256"/>
      <c r="JL3" s="256"/>
      <c r="JM3" s="256"/>
      <c r="JN3" s="256"/>
      <c r="JO3" s="256"/>
      <c r="JP3" s="256"/>
      <c r="JQ3" s="256"/>
      <c r="JR3" s="256"/>
      <c r="JS3" s="256"/>
      <c r="JT3" s="256"/>
      <c r="JU3" s="256"/>
      <c r="JV3" s="256"/>
      <c r="JW3" s="256"/>
      <c r="JX3" s="256"/>
      <c r="JY3" s="256"/>
      <c r="JZ3" s="256"/>
      <c r="KA3" s="256"/>
      <c r="KB3" s="256"/>
      <c r="KC3" s="256"/>
      <c r="KD3" s="256"/>
      <c r="KE3" s="256"/>
      <c r="KF3" s="256"/>
      <c r="KG3" s="256"/>
      <c r="KH3" s="256"/>
      <c r="KI3" s="256"/>
      <c r="KJ3" s="256"/>
      <c r="KK3" s="256"/>
      <c r="KL3" s="256"/>
      <c r="KM3" s="256"/>
      <c r="KN3" s="256"/>
      <c r="KO3" s="256"/>
      <c r="KP3" s="256"/>
      <c r="KQ3" s="256"/>
      <c r="KR3" s="256"/>
      <c r="KS3" s="256"/>
      <c r="KT3" s="256"/>
      <c r="KU3" s="256"/>
      <c r="KV3" s="256"/>
      <c r="KW3" s="256"/>
      <c r="KX3" s="256"/>
      <c r="KY3" s="256"/>
      <c r="KZ3" s="256"/>
      <c r="LA3" s="256"/>
      <c r="LB3" s="256"/>
      <c r="LC3" s="256"/>
      <c r="LD3" s="256"/>
      <c r="LE3" s="256"/>
      <c r="LF3" s="256"/>
      <c r="LG3" s="256"/>
      <c r="LH3" s="256"/>
      <c r="LI3" s="256"/>
      <c r="LJ3" s="256"/>
      <c r="LK3" s="256"/>
      <c r="LL3" s="256"/>
      <c r="LM3" s="256"/>
      <c r="LN3" s="256"/>
      <c r="LO3" s="256"/>
      <c r="LP3" s="256"/>
      <c r="LQ3" s="256"/>
      <c r="LR3" s="256"/>
      <c r="LS3" s="256"/>
      <c r="LT3" s="256"/>
      <c r="LU3" s="256"/>
      <c r="LV3" s="256"/>
      <c r="LW3" s="256"/>
      <c r="LX3" s="256"/>
      <c r="LY3" s="256"/>
      <c r="LZ3" s="256"/>
      <c r="MA3" s="256"/>
      <c r="MB3" s="256"/>
      <c r="MC3" s="256"/>
      <c r="MD3" s="256"/>
      <c r="ME3" s="256"/>
      <c r="MF3" s="256"/>
      <c r="MG3" s="256"/>
      <c r="MH3" s="256"/>
      <c r="MI3" s="256"/>
      <c r="MJ3" s="256"/>
      <c r="MK3" s="256"/>
      <c r="ML3" s="256"/>
      <c r="MM3" s="256"/>
      <c r="MN3" s="256"/>
      <c r="MO3" s="256"/>
      <c r="MP3" s="256"/>
      <c r="MQ3" s="256"/>
      <c r="MR3" s="256"/>
      <c r="MS3" s="256"/>
      <c r="MT3" s="256"/>
      <c r="MU3" s="256"/>
      <c r="MV3" s="256"/>
      <c r="MW3" s="256"/>
      <c r="MX3" s="256"/>
      <c r="MY3" s="256"/>
      <c r="MZ3" s="256"/>
      <c r="NA3" s="256"/>
      <c r="NB3" s="256"/>
      <c r="NC3" s="256"/>
      <c r="ND3" s="256"/>
      <c r="NE3" s="256"/>
      <c r="NF3" s="256"/>
      <c r="NG3" s="256"/>
      <c r="NH3" s="256"/>
      <c r="NI3" s="256"/>
      <c r="NJ3" s="256"/>
      <c r="NK3" s="256"/>
      <c r="NL3" s="256"/>
      <c r="NM3" s="256"/>
      <c r="NN3" s="256"/>
      <c r="NO3" s="256"/>
      <c r="NP3" s="256"/>
      <c r="NQ3" s="256"/>
      <c r="NR3" s="256"/>
      <c r="NS3" s="256"/>
      <c r="NT3" s="256"/>
      <c r="NU3" s="256"/>
      <c r="NV3" s="256"/>
      <c r="NW3" s="256"/>
      <c r="NX3" s="256"/>
      <c r="NY3" s="256"/>
      <c r="NZ3" s="256"/>
      <c r="OA3" s="256"/>
      <c r="OB3" s="256"/>
      <c r="OC3" s="256"/>
      <c r="OD3" s="256"/>
      <c r="OE3" s="256"/>
      <c r="OF3" s="256"/>
      <c r="OG3" s="256"/>
      <c r="OH3" s="256"/>
      <c r="OI3" s="256"/>
      <c r="OJ3" s="256"/>
      <c r="OK3" s="256"/>
      <c r="OL3" s="256"/>
      <c r="OM3" s="256"/>
      <c r="ON3" s="256"/>
      <c r="OO3" s="256"/>
      <c r="OP3" s="256"/>
      <c r="OQ3" s="256"/>
      <c r="OR3" s="256"/>
      <c r="OS3" s="256"/>
      <c r="OT3" s="256"/>
      <c r="OU3" s="256"/>
      <c r="OV3" s="256"/>
      <c r="OW3" s="256"/>
      <c r="OX3" s="256"/>
      <c r="OY3" s="256"/>
      <c r="OZ3" s="256"/>
      <c r="PA3" s="256"/>
      <c r="PB3" s="256"/>
      <c r="PC3" s="256"/>
      <c r="PD3" s="256"/>
      <c r="PE3" s="256"/>
      <c r="PF3" s="256"/>
      <c r="PG3" s="256"/>
      <c r="PH3" s="256"/>
      <c r="PI3" s="256"/>
      <c r="PJ3" s="256"/>
      <c r="PK3" s="256"/>
      <c r="PL3" s="256"/>
      <c r="PM3" s="256"/>
      <c r="PN3" s="256"/>
      <c r="PO3" s="256"/>
      <c r="PP3" s="256"/>
      <c r="PQ3" s="256"/>
      <c r="PR3" s="256"/>
      <c r="PS3" s="256"/>
      <c r="PT3" s="256"/>
      <c r="PU3" s="256"/>
      <c r="PV3" s="256"/>
      <c r="PW3" s="256"/>
      <c r="PX3" s="256"/>
      <c r="PY3" s="256"/>
      <c r="PZ3" s="256"/>
      <c r="QA3" s="256"/>
      <c r="QB3" s="256"/>
      <c r="QC3" s="256"/>
      <c r="QD3" s="256"/>
      <c r="QE3" s="256"/>
      <c r="QF3" s="256"/>
      <c r="QG3" s="256"/>
      <c r="QH3" s="256"/>
      <c r="QI3" s="256"/>
      <c r="QJ3" s="256"/>
      <c r="QK3" s="256"/>
      <c r="QL3" s="256"/>
      <c r="QM3" s="256"/>
      <c r="QN3" s="256"/>
      <c r="QO3" s="256"/>
      <c r="QP3" s="256"/>
      <c r="QQ3" s="256"/>
      <c r="QR3" s="256"/>
      <c r="QS3" s="256"/>
      <c r="QT3" s="256"/>
      <c r="QU3" s="256"/>
      <c r="QV3" s="256"/>
      <c r="QW3" s="256"/>
      <c r="QX3" s="256"/>
      <c r="QY3" s="256"/>
      <c r="QZ3" s="256"/>
      <c r="RA3" s="256"/>
      <c r="RB3" s="256"/>
      <c r="RC3" s="256"/>
      <c r="RD3" s="256"/>
      <c r="RE3" s="256"/>
      <c r="RF3" s="256"/>
      <c r="RG3" s="256"/>
      <c r="RH3" s="256"/>
      <c r="RI3" s="256"/>
      <c r="RJ3" s="256"/>
      <c r="RK3" s="256"/>
      <c r="RL3" s="256"/>
      <c r="RM3" s="256"/>
      <c r="RN3" s="256"/>
      <c r="RO3" s="256"/>
      <c r="RP3" s="256"/>
      <c r="RQ3" s="256"/>
      <c r="RR3" s="256"/>
      <c r="RS3" s="256"/>
      <c r="RT3" s="256"/>
      <c r="RU3" s="256"/>
      <c r="RV3" s="256"/>
      <c r="RW3" s="256"/>
      <c r="RX3" s="256"/>
      <c r="RY3" s="256"/>
      <c r="RZ3" s="256"/>
      <c r="SA3" s="256"/>
      <c r="SB3" s="256"/>
      <c r="SC3" s="256"/>
      <c r="SD3" s="256"/>
      <c r="SE3" s="256"/>
      <c r="SF3" s="256"/>
      <c r="SG3" s="256"/>
      <c r="SH3" s="256"/>
      <c r="SI3" s="256"/>
      <c r="SJ3" s="256"/>
      <c r="SK3" s="256"/>
      <c r="SL3" s="256"/>
      <c r="SM3" s="256"/>
      <c r="SN3" s="256"/>
      <c r="SO3" s="256"/>
      <c r="SP3" s="256"/>
      <c r="SQ3" s="256"/>
      <c r="SR3" s="256"/>
      <c r="SS3" s="256"/>
      <c r="ST3" s="256"/>
      <c r="SU3" s="256"/>
      <c r="SV3" s="256"/>
      <c r="SW3" s="256"/>
      <c r="SX3" s="256"/>
      <c r="SY3" s="256"/>
      <c r="SZ3" s="256"/>
      <c r="TA3" s="256"/>
      <c r="TB3" s="256"/>
      <c r="TC3" s="256"/>
      <c r="TD3" s="256"/>
      <c r="TE3" s="256"/>
      <c r="TF3" s="256"/>
      <c r="TG3" s="256"/>
      <c r="TH3" s="256"/>
      <c r="TI3" s="256"/>
      <c r="TJ3" s="256"/>
      <c r="TK3" s="256"/>
      <c r="TL3" s="256"/>
      <c r="TM3" s="256"/>
      <c r="TN3" s="256"/>
      <c r="TO3" s="256"/>
      <c r="TP3" s="256"/>
      <c r="TQ3" s="256"/>
      <c r="TR3" s="256"/>
      <c r="TS3" s="256"/>
      <c r="TT3" s="256"/>
      <c r="TU3" s="256"/>
      <c r="TV3" s="256"/>
      <c r="TW3" s="256"/>
      <c r="TX3" s="256"/>
      <c r="TY3" s="256"/>
      <c r="TZ3" s="256"/>
      <c r="UA3" s="256"/>
      <c r="UB3" s="256"/>
      <c r="UC3" s="256"/>
      <c r="UD3" s="256"/>
      <c r="UE3" s="256"/>
      <c r="UF3" s="256"/>
      <c r="UG3" s="256"/>
      <c r="UH3" s="256"/>
      <c r="UI3" s="256"/>
      <c r="UJ3" s="256"/>
      <c r="UK3" s="256"/>
      <c r="UL3" s="256"/>
      <c r="UM3" s="256"/>
      <c r="UN3" s="256"/>
      <c r="UO3" s="256"/>
      <c r="UP3" s="256"/>
      <c r="UQ3" s="256"/>
      <c r="UR3" s="256"/>
      <c r="US3" s="256"/>
      <c r="UT3" s="256"/>
      <c r="UU3" s="256"/>
      <c r="UV3" s="256"/>
      <c r="UW3" s="256"/>
      <c r="UX3" s="256"/>
      <c r="UY3" s="256"/>
      <c r="UZ3" s="256"/>
      <c r="VA3" s="256"/>
      <c r="VB3" s="256"/>
      <c r="VC3" s="256"/>
      <c r="VD3" s="256"/>
      <c r="VE3" s="256"/>
      <c r="VF3" s="256"/>
      <c r="VG3" s="256"/>
      <c r="VH3" s="256"/>
      <c r="VI3" s="256"/>
      <c r="VJ3" s="256"/>
      <c r="VK3" s="256"/>
      <c r="VL3" s="256"/>
      <c r="VM3" s="256"/>
      <c r="VN3" s="256"/>
      <c r="VO3" s="256"/>
      <c r="VP3" s="256"/>
      <c r="VQ3" s="256"/>
      <c r="VR3" s="256"/>
      <c r="VS3" s="256"/>
      <c r="VT3" s="256"/>
      <c r="VU3" s="256"/>
      <c r="VV3" s="256"/>
      <c r="VW3" s="256"/>
      <c r="VX3" s="256"/>
      <c r="VY3" s="256"/>
      <c r="VZ3" s="256"/>
      <c r="WA3" s="256"/>
      <c r="WB3" s="256"/>
      <c r="WC3" s="256"/>
      <c r="WD3" s="256"/>
      <c r="WE3" s="256"/>
      <c r="WF3" s="256"/>
      <c r="WG3" s="256"/>
      <c r="WH3" s="256"/>
      <c r="WI3" s="256"/>
      <c r="WJ3" s="256"/>
      <c r="WK3" s="256"/>
      <c r="WL3" s="256"/>
      <c r="WM3" s="256"/>
      <c r="WN3" s="256"/>
      <c r="WO3" s="256"/>
      <c r="WP3" s="256"/>
      <c r="WQ3" s="256"/>
      <c r="WR3" s="256"/>
      <c r="WS3" s="256"/>
      <c r="WT3" s="256"/>
      <c r="WU3" s="256"/>
      <c r="WV3" s="256"/>
      <c r="WW3" s="256"/>
      <c r="WX3" s="256"/>
      <c r="WY3" s="256"/>
      <c r="WZ3" s="256"/>
      <c r="XA3" s="256"/>
      <c r="XB3" s="256"/>
      <c r="XC3" s="256"/>
      <c r="XD3" s="256"/>
      <c r="XE3" s="256"/>
      <c r="XF3" s="256"/>
      <c r="XG3" s="256"/>
      <c r="XH3" s="256"/>
      <c r="XI3" s="256"/>
      <c r="XJ3" s="256"/>
      <c r="XK3" s="256"/>
      <c r="XL3" s="256"/>
      <c r="XM3" s="256"/>
      <c r="XN3" s="256"/>
      <c r="XO3" s="256"/>
      <c r="XP3" s="256"/>
      <c r="XQ3" s="256"/>
      <c r="XR3" s="256"/>
      <c r="XS3" s="256"/>
      <c r="XT3" s="256"/>
      <c r="XU3" s="256"/>
      <c r="XV3" s="256"/>
      <c r="XW3" s="256"/>
      <c r="XX3" s="256"/>
      <c r="XY3" s="256"/>
      <c r="XZ3" s="256"/>
      <c r="YA3" s="256"/>
      <c r="YB3" s="256"/>
      <c r="YC3" s="256"/>
      <c r="YD3" s="256"/>
      <c r="YE3" s="256"/>
      <c r="YF3" s="256"/>
      <c r="YG3" s="256"/>
      <c r="YH3" s="256"/>
      <c r="YI3" s="256"/>
      <c r="YJ3" s="256"/>
      <c r="YK3" s="256"/>
      <c r="YL3" s="256"/>
      <c r="YM3" s="256"/>
      <c r="YN3" s="256"/>
      <c r="YO3" s="256"/>
      <c r="YP3" s="256"/>
      <c r="YQ3" s="256"/>
      <c r="YR3" s="256"/>
      <c r="YS3" s="256"/>
      <c r="YT3" s="256"/>
      <c r="YU3" s="256"/>
      <c r="YV3" s="256"/>
      <c r="YW3" s="256"/>
      <c r="YX3" s="256"/>
      <c r="YY3" s="256"/>
      <c r="YZ3" s="256"/>
      <c r="ZA3" s="256"/>
      <c r="ZB3" s="256"/>
      <c r="ZC3" s="256"/>
      <c r="ZD3" s="256"/>
      <c r="ZE3" s="256"/>
      <c r="ZF3" s="256"/>
      <c r="ZG3" s="256"/>
      <c r="ZH3" s="256"/>
      <c r="ZI3" s="256"/>
      <c r="ZJ3" s="256"/>
      <c r="ZK3" s="256"/>
      <c r="ZL3" s="256"/>
      <c r="ZM3" s="256"/>
      <c r="ZN3" s="256"/>
      <c r="ZO3" s="256"/>
      <c r="ZP3" s="256"/>
      <c r="ZQ3" s="256"/>
      <c r="ZR3" s="256"/>
      <c r="ZS3" s="256"/>
      <c r="ZT3" s="256"/>
      <c r="ZU3" s="256"/>
      <c r="ZV3" s="256"/>
      <c r="ZW3" s="256"/>
      <c r="ZX3" s="256"/>
      <c r="ZY3" s="256"/>
      <c r="ZZ3" s="256"/>
      <c r="AAA3" s="256"/>
      <c r="AAB3" s="256"/>
      <c r="AAC3" s="256"/>
      <c r="AAD3" s="256"/>
      <c r="AAE3" s="256"/>
      <c r="AAF3" s="256"/>
      <c r="AAG3" s="256"/>
      <c r="AAH3" s="256"/>
      <c r="AAI3" s="256"/>
      <c r="AAJ3" s="256"/>
      <c r="AAK3" s="256"/>
      <c r="AAL3" s="256"/>
      <c r="AAM3" s="256"/>
      <c r="AAN3" s="256"/>
      <c r="AAO3" s="256"/>
      <c r="AAP3" s="256"/>
      <c r="AAQ3" s="256"/>
      <c r="AAR3" s="256"/>
      <c r="AAS3" s="256"/>
      <c r="AAT3" s="256"/>
      <c r="AAU3" s="256"/>
      <c r="AAV3" s="256"/>
      <c r="AAW3" s="256"/>
      <c r="AAX3" s="256"/>
      <c r="AAY3" s="256"/>
      <c r="AAZ3" s="256"/>
      <c r="ABA3" s="256"/>
      <c r="ABB3" s="256"/>
      <c r="ABC3" s="256"/>
      <c r="ABD3" s="256"/>
      <c r="ABE3" s="256"/>
      <c r="ABF3" s="256"/>
      <c r="ABG3" s="256"/>
      <c r="ABH3" s="256"/>
      <c r="ABI3" s="256"/>
      <c r="ABJ3" s="256"/>
      <c r="ABK3" s="256"/>
      <c r="ABL3" s="256"/>
      <c r="ABM3" s="256"/>
      <c r="ABN3" s="256"/>
      <c r="ABO3" s="256"/>
      <c r="ABP3" s="256"/>
      <c r="ABQ3" s="256"/>
      <c r="ABR3" s="256"/>
      <c r="ABS3" s="256"/>
      <c r="ABT3" s="256"/>
      <c r="ABU3" s="256"/>
      <c r="ABV3" s="256"/>
      <c r="ABW3" s="256"/>
      <c r="ABX3" s="256"/>
      <c r="ABY3" s="256"/>
      <c r="ABZ3" s="256"/>
      <c r="ACA3" s="256"/>
      <c r="ACB3" s="256"/>
      <c r="ACC3" s="256"/>
      <c r="ACD3" s="256"/>
      <c r="ACE3" s="256"/>
      <c r="ACF3" s="256"/>
      <c r="ACG3" s="256"/>
      <c r="ACH3" s="256"/>
      <c r="ACI3" s="256"/>
      <c r="ACJ3" s="256"/>
      <c r="ACK3" s="256"/>
      <c r="ACL3" s="256"/>
      <c r="ACM3" s="256"/>
      <c r="ACN3" s="256"/>
      <c r="ACO3" s="256"/>
      <c r="ACP3" s="256"/>
      <c r="ACQ3" s="256"/>
      <c r="ACR3" s="256"/>
      <c r="ACS3" s="256"/>
      <c r="ACT3" s="256"/>
      <c r="ACU3" s="256"/>
      <c r="ACV3" s="256"/>
      <c r="ACW3" s="256"/>
      <c r="ACX3" s="256"/>
      <c r="ACY3" s="256"/>
      <c r="ACZ3" s="256"/>
      <c r="ADA3" s="256"/>
      <c r="ADB3" s="256"/>
      <c r="ADC3" s="256"/>
      <c r="ADD3" s="256"/>
      <c r="ADE3" s="256"/>
      <c r="ADF3" s="256"/>
      <c r="ADG3" s="256"/>
      <c r="ADH3" s="256"/>
      <c r="ADI3" s="256"/>
      <c r="ADJ3" s="256"/>
      <c r="ADK3" s="256"/>
      <c r="ADL3" s="256"/>
      <c r="ADM3" s="256"/>
      <c r="ADN3" s="256"/>
      <c r="ADO3" s="256"/>
      <c r="ADP3" s="256"/>
      <c r="ADQ3" s="256"/>
      <c r="ADR3" s="256"/>
      <c r="ADS3" s="256"/>
      <c r="ADT3" s="256"/>
      <c r="ADU3" s="256"/>
      <c r="ADV3" s="256"/>
      <c r="ADW3" s="256"/>
      <c r="ADX3" s="256"/>
      <c r="ADY3" s="256"/>
      <c r="ADZ3" s="256"/>
      <c r="AEA3" s="256"/>
      <c r="AEB3" s="256"/>
      <c r="AEC3" s="256"/>
      <c r="AED3" s="256"/>
      <c r="AEE3" s="256"/>
      <c r="AEF3" s="256"/>
      <c r="AEG3" s="256"/>
      <c r="AEH3" s="256"/>
      <c r="AEI3" s="256"/>
      <c r="AEJ3" s="256"/>
      <c r="AEK3" s="256"/>
      <c r="AEL3" s="256"/>
      <c r="AEM3" s="256"/>
      <c r="AEN3" s="256"/>
      <c r="AEO3" s="256"/>
      <c r="AEP3" s="256"/>
      <c r="AEQ3" s="256"/>
      <c r="AER3" s="256"/>
      <c r="AES3" s="256"/>
      <c r="AET3" s="256"/>
      <c r="AEU3" s="256"/>
      <c r="AEV3" s="256"/>
      <c r="AEW3" s="256"/>
      <c r="AEX3" s="256"/>
      <c r="AEY3" s="256"/>
      <c r="AEZ3" s="256"/>
      <c r="AFA3" s="256"/>
      <c r="AFB3" s="256"/>
      <c r="AFC3" s="256"/>
      <c r="AFD3" s="256"/>
      <c r="AFE3" s="256"/>
      <c r="AFF3" s="256"/>
      <c r="AFG3" s="256"/>
      <c r="AFH3" s="256"/>
      <c r="AFI3" s="256"/>
      <c r="AFJ3" s="256"/>
      <c r="AFK3" s="256"/>
      <c r="AFL3" s="256"/>
      <c r="AFM3" s="256"/>
      <c r="AFN3" s="256"/>
      <c r="AFO3" s="256"/>
      <c r="AFP3" s="256"/>
      <c r="AFQ3" s="256"/>
      <c r="AFR3" s="256"/>
      <c r="AFS3" s="256"/>
      <c r="AFT3" s="256"/>
      <c r="AFU3" s="256"/>
      <c r="AFV3" s="256"/>
      <c r="AFW3" s="256"/>
      <c r="AFX3" s="256"/>
      <c r="AFY3" s="256"/>
      <c r="AFZ3" s="256"/>
      <c r="AGA3" s="256"/>
      <c r="AGB3" s="256"/>
      <c r="AGC3" s="256"/>
      <c r="AGD3" s="256"/>
      <c r="AGE3" s="256"/>
      <c r="AGF3" s="256"/>
      <c r="AGG3" s="256"/>
      <c r="AGH3" s="256"/>
      <c r="AGI3" s="256"/>
      <c r="AGJ3" s="256"/>
      <c r="AGK3" s="256"/>
      <c r="AGL3" s="256"/>
      <c r="AGM3" s="256"/>
      <c r="AGN3" s="256"/>
      <c r="AGO3" s="256"/>
      <c r="AGP3" s="256"/>
      <c r="AGQ3" s="256"/>
      <c r="AGR3" s="256"/>
      <c r="AGS3" s="256"/>
      <c r="AGT3" s="256"/>
      <c r="AGU3" s="256"/>
      <c r="AGV3" s="256"/>
      <c r="AGW3" s="256"/>
      <c r="AGX3" s="256"/>
      <c r="AGY3" s="256"/>
      <c r="AGZ3" s="256"/>
      <c r="AHA3" s="256"/>
      <c r="AHB3" s="256"/>
      <c r="AHC3" s="256"/>
      <c r="AHD3" s="256"/>
      <c r="AHE3" s="256"/>
      <c r="AHF3" s="256"/>
      <c r="AHG3" s="256"/>
      <c r="AHH3" s="256"/>
      <c r="AHI3" s="256"/>
      <c r="AHJ3" s="256"/>
      <c r="AHK3" s="256"/>
      <c r="AHL3" s="256"/>
      <c r="AHM3" s="256"/>
      <c r="AHN3" s="256"/>
      <c r="AHO3" s="256"/>
      <c r="AHP3" s="256"/>
      <c r="AHQ3" s="256"/>
      <c r="AHR3" s="256"/>
      <c r="AHS3" s="256"/>
      <c r="AHT3" s="256"/>
      <c r="AHU3" s="256"/>
      <c r="AHV3" s="256"/>
      <c r="AHW3" s="256"/>
      <c r="AHX3" s="256"/>
      <c r="AHY3" s="256"/>
      <c r="AHZ3" s="256"/>
      <c r="AIA3" s="256"/>
      <c r="AIB3" s="256"/>
      <c r="AIC3" s="256"/>
      <c r="AID3" s="256"/>
      <c r="AIE3" s="256"/>
      <c r="AIF3" s="256"/>
      <c r="AIG3" s="256"/>
      <c r="AIH3" s="256"/>
      <c r="AII3" s="256"/>
      <c r="AIJ3" s="256"/>
      <c r="AIK3" s="256"/>
      <c r="AIL3" s="256"/>
      <c r="AIM3" s="256"/>
      <c r="AIN3" s="256"/>
      <c r="AIO3" s="256"/>
      <c r="AIP3" s="256"/>
      <c r="AIQ3" s="256"/>
      <c r="AIR3" s="256"/>
      <c r="AIS3" s="256"/>
      <c r="AIT3" s="256"/>
      <c r="AIU3" s="256"/>
      <c r="AIV3" s="256"/>
      <c r="AIW3" s="256"/>
      <c r="AIX3" s="256"/>
      <c r="AIY3" s="256"/>
      <c r="AIZ3" s="256"/>
      <c r="AJA3" s="256"/>
      <c r="AJB3" s="256"/>
      <c r="AJC3" s="256"/>
      <c r="AJD3" s="256"/>
      <c r="AJE3" s="256"/>
      <c r="AJF3" s="256"/>
      <c r="AJG3" s="256"/>
      <c r="AJH3" s="256"/>
      <c r="AJI3" s="256"/>
      <c r="AJJ3" s="256"/>
      <c r="AJK3" s="256"/>
      <c r="AJL3" s="256"/>
      <c r="AJM3" s="256"/>
      <c r="AJN3" s="256"/>
      <c r="AJO3" s="256"/>
      <c r="AJP3" s="256"/>
      <c r="AJQ3" s="256"/>
      <c r="AJR3" s="256"/>
      <c r="AJS3" s="256"/>
      <c r="AJT3" s="256"/>
      <c r="AJU3" s="256"/>
      <c r="AJV3" s="256"/>
      <c r="AJW3" s="256"/>
      <c r="AJX3" s="256"/>
      <c r="AJY3" s="256"/>
      <c r="AJZ3" s="256"/>
      <c r="AKA3" s="256"/>
      <c r="AKB3" s="256"/>
      <c r="AKC3" s="256"/>
      <c r="AKD3" s="256"/>
      <c r="AKE3" s="256"/>
      <c r="AKF3" s="256"/>
      <c r="AKG3" s="256"/>
      <c r="AKH3" s="256"/>
      <c r="AKI3" s="256"/>
      <c r="AKJ3" s="256"/>
      <c r="AKK3" s="256"/>
      <c r="AKL3" s="256"/>
      <c r="AKM3" s="256"/>
      <c r="AKN3" s="256"/>
      <c r="AKO3" s="256"/>
      <c r="AKP3" s="256"/>
      <c r="AKQ3" s="256"/>
      <c r="AKR3" s="256"/>
      <c r="AKS3" s="256"/>
      <c r="AKT3" s="256"/>
      <c r="AKU3" s="256"/>
      <c r="AKV3" s="256"/>
      <c r="AKW3" s="256"/>
      <c r="AKX3" s="256"/>
      <c r="AKY3" s="256"/>
      <c r="AKZ3" s="256"/>
      <c r="ALA3" s="256"/>
      <c r="ALB3" s="256"/>
      <c r="ALC3" s="256"/>
      <c r="ALD3" s="256"/>
      <c r="ALE3" s="256"/>
      <c r="ALF3" s="256"/>
      <c r="ALG3" s="256"/>
      <c r="ALH3" s="256"/>
      <c r="ALI3" s="256"/>
      <c r="ALJ3" s="256"/>
      <c r="ALK3" s="256"/>
      <c r="ALL3" s="256"/>
      <c r="ALM3" s="256"/>
      <c r="ALN3" s="256"/>
      <c r="ALO3" s="256"/>
      <c r="ALP3" s="256"/>
      <c r="ALQ3" s="256"/>
      <c r="ALR3" s="256"/>
      <c r="ALS3" s="256"/>
      <c r="ALT3" s="256"/>
      <c r="ALU3" s="256"/>
      <c r="ALV3" s="256"/>
      <c r="ALW3" s="256"/>
      <c r="ALX3" s="256"/>
      <c r="ALY3" s="256"/>
      <c r="ALZ3" s="256"/>
      <c r="AMA3" s="258"/>
      <c r="AMB3" s="258"/>
      <c r="AMC3" s="258"/>
      <c r="AMD3" s="258"/>
      <c r="AME3" s="258"/>
      <c r="AMF3" s="258"/>
      <c r="AMG3" s="258"/>
      <c r="AMH3" s="258"/>
      <c r="AMI3" s="256"/>
    </row>
    <row r="4" spans="1:1023" s="259" customFormat="1" ht="8.25" customHeight="1" x14ac:dyDescent="0.25">
      <c r="A4" s="256"/>
      <c r="B4" s="260"/>
      <c r="C4" s="189"/>
      <c r="D4" s="188"/>
      <c r="E4" s="427"/>
      <c r="F4" s="427"/>
      <c r="G4" s="427"/>
      <c r="H4" s="427"/>
      <c r="I4" s="428"/>
      <c r="J4" s="256"/>
      <c r="K4" s="256"/>
      <c r="L4" s="256"/>
      <c r="M4" s="256"/>
      <c r="N4" s="256"/>
      <c r="O4" s="256"/>
      <c r="P4" s="256"/>
      <c r="Q4" s="256"/>
      <c r="R4" s="256"/>
      <c r="S4" s="256"/>
      <c r="T4" s="256"/>
      <c r="U4" s="256"/>
      <c r="V4" s="256"/>
      <c r="W4" s="256"/>
      <c r="X4" s="256"/>
      <c r="Y4" s="256"/>
      <c r="Z4" s="256"/>
      <c r="AA4" s="256"/>
      <c r="AB4" s="256"/>
      <c r="AC4" s="256"/>
      <c r="AD4" s="256"/>
      <c r="AE4" s="256"/>
      <c r="AF4" s="256"/>
      <c r="AG4" s="256"/>
      <c r="AH4" s="256"/>
      <c r="AI4" s="256"/>
      <c r="AJ4" s="256"/>
      <c r="AK4" s="256"/>
      <c r="AL4" s="256"/>
      <c r="AM4" s="256"/>
      <c r="AN4" s="256"/>
      <c r="AO4" s="256"/>
      <c r="AP4" s="256"/>
      <c r="AQ4" s="256"/>
      <c r="AR4" s="256"/>
      <c r="AS4" s="256"/>
      <c r="AT4" s="256"/>
      <c r="AU4" s="256"/>
      <c r="AV4" s="256"/>
      <c r="AW4" s="256"/>
      <c r="AX4" s="256"/>
      <c r="AY4" s="256"/>
      <c r="AZ4" s="256"/>
      <c r="BA4" s="256"/>
      <c r="BB4" s="256"/>
      <c r="BC4" s="256"/>
      <c r="BD4" s="256"/>
      <c r="BE4" s="256"/>
      <c r="BF4" s="256"/>
      <c r="BG4" s="256"/>
      <c r="BH4" s="256"/>
      <c r="BI4" s="256"/>
      <c r="BJ4" s="256"/>
      <c r="BK4" s="256"/>
      <c r="BL4" s="256"/>
      <c r="BM4" s="256"/>
      <c r="BN4" s="256"/>
      <c r="BO4" s="256"/>
      <c r="BP4" s="256"/>
      <c r="BQ4" s="256"/>
      <c r="BR4" s="256"/>
      <c r="BS4" s="256"/>
      <c r="BT4" s="256"/>
      <c r="BU4" s="256"/>
      <c r="BV4" s="256"/>
      <c r="BW4" s="256"/>
      <c r="BX4" s="256"/>
      <c r="BY4" s="256"/>
      <c r="BZ4" s="256"/>
      <c r="CA4" s="256"/>
      <c r="CB4" s="256"/>
      <c r="CC4" s="256"/>
      <c r="CD4" s="256"/>
      <c r="CE4" s="256"/>
      <c r="CF4" s="256"/>
      <c r="CG4" s="256"/>
      <c r="CH4" s="256"/>
      <c r="CI4" s="256"/>
      <c r="CJ4" s="256"/>
      <c r="CK4" s="256"/>
      <c r="CL4" s="256"/>
      <c r="CM4" s="256"/>
      <c r="CN4" s="256"/>
      <c r="CO4" s="256"/>
      <c r="CP4" s="256"/>
      <c r="CQ4" s="256"/>
      <c r="CR4" s="256"/>
      <c r="CS4" s="256"/>
      <c r="CT4" s="256"/>
      <c r="CU4" s="256"/>
      <c r="CV4" s="256"/>
      <c r="CW4" s="256"/>
      <c r="CX4" s="256"/>
      <c r="CY4" s="256"/>
      <c r="CZ4" s="256"/>
      <c r="DA4" s="256"/>
      <c r="DB4" s="256"/>
      <c r="DC4" s="256"/>
      <c r="DD4" s="256"/>
      <c r="DE4" s="256"/>
      <c r="DF4" s="256"/>
      <c r="DG4" s="256"/>
      <c r="DH4" s="256"/>
      <c r="DI4" s="256"/>
      <c r="DJ4" s="256"/>
      <c r="DK4" s="256"/>
      <c r="DL4" s="256"/>
      <c r="DM4" s="256"/>
      <c r="DN4" s="256"/>
      <c r="DO4" s="256"/>
      <c r="DP4" s="256"/>
      <c r="DQ4" s="256"/>
      <c r="DR4" s="256"/>
      <c r="DS4" s="256"/>
      <c r="DT4" s="256"/>
      <c r="DU4" s="256"/>
      <c r="DV4" s="256"/>
      <c r="DW4" s="256"/>
      <c r="DX4" s="256"/>
      <c r="DY4" s="256"/>
      <c r="DZ4" s="256"/>
      <c r="EA4" s="256"/>
      <c r="EB4" s="256"/>
      <c r="EC4" s="256"/>
      <c r="ED4" s="256"/>
      <c r="EE4" s="256"/>
      <c r="EF4" s="256"/>
      <c r="EG4" s="256"/>
      <c r="EH4" s="256"/>
      <c r="EI4" s="256"/>
      <c r="EJ4" s="256"/>
      <c r="EK4" s="256"/>
      <c r="EL4" s="256"/>
      <c r="EM4" s="256"/>
      <c r="EN4" s="256"/>
      <c r="EO4" s="256"/>
      <c r="EP4" s="256"/>
      <c r="EQ4" s="256"/>
      <c r="ER4" s="256"/>
      <c r="ES4" s="256"/>
      <c r="ET4" s="256"/>
      <c r="EU4" s="256"/>
      <c r="EV4" s="256"/>
      <c r="EW4" s="256"/>
      <c r="EX4" s="256"/>
      <c r="EY4" s="256"/>
      <c r="EZ4" s="256"/>
      <c r="FA4" s="256"/>
      <c r="FB4" s="256"/>
      <c r="FC4" s="256"/>
      <c r="FD4" s="256"/>
      <c r="FE4" s="256"/>
      <c r="FF4" s="256"/>
      <c r="FG4" s="256"/>
      <c r="FH4" s="256"/>
      <c r="FI4" s="256"/>
      <c r="FJ4" s="256"/>
      <c r="FK4" s="256"/>
      <c r="FL4" s="256"/>
      <c r="FM4" s="256"/>
      <c r="FN4" s="256"/>
      <c r="FO4" s="256"/>
      <c r="FP4" s="256"/>
      <c r="FQ4" s="256"/>
      <c r="FR4" s="256"/>
      <c r="FS4" s="256"/>
      <c r="FT4" s="256"/>
      <c r="FU4" s="256"/>
      <c r="FV4" s="256"/>
      <c r="FW4" s="256"/>
      <c r="FX4" s="256"/>
      <c r="FY4" s="256"/>
      <c r="FZ4" s="256"/>
      <c r="GA4" s="256"/>
      <c r="GB4" s="256"/>
      <c r="GC4" s="256"/>
      <c r="GD4" s="256"/>
      <c r="GE4" s="256"/>
      <c r="GF4" s="256"/>
      <c r="GG4" s="256"/>
      <c r="GH4" s="256"/>
      <c r="GI4" s="256"/>
      <c r="GJ4" s="256"/>
      <c r="GK4" s="256"/>
      <c r="GL4" s="256"/>
      <c r="GM4" s="256"/>
      <c r="GN4" s="256"/>
      <c r="GO4" s="256"/>
      <c r="GP4" s="256"/>
      <c r="GQ4" s="256"/>
      <c r="GR4" s="256"/>
      <c r="GS4" s="256"/>
      <c r="GT4" s="256"/>
      <c r="GU4" s="256"/>
      <c r="GV4" s="256"/>
      <c r="GW4" s="256"/>
      <c r="GX4" s="256"/>
      <c r="GY4" s="256"/>
      <c r="GZ4" s="256"/>
      <c r="HA4" s="256"/>
      <c r="HB4" s="256"/>
      <c r="HC4" s="256"/>
      <c r="HD4" s="256"/>
      <c r="HE4" s="256"/>
      <c r="HF4" s="256"/>
      <c r="HG4" s="256"/>
      <c r="HH4" s="256"/>
      <c r="HI4" s="256"/>
      <c r="HJ4" s="256"/>
      <c r="HK4" s="256"/>
      <c r="HL4" s="256"/>
      <c r="HM4" s="256"/>
      <c r="HN4" s="256"/>
      <c r="HO4" s="256"/>
      <c r="HP4" s="256"/>
      <c r="HQ4" s="256"/>
      <c r="HR4" s="256"/>
      <c r="HS4" s="256"/>
      <c r="HT4" s="256"/>
      <c r="HU4" s="256"/>
      <c r="HV4" s="256"/>
      <c r="HW4" s="256"/>
      <c r="HX4" s="256"/>
      <c r="HY4" s="256"/>
      <c r="HZ4" s="256"/>
      <c r="IA4" s="256"/>
      <c r="IB4" s="256"/>
      <c r="IC4" s="256"/>
      <c r="ID4" s="256"/>
      <c r="IE4" s="256"/>
      <c r="IF4" s="256"/>
      <c r="IG4" s="256"/>
      <c r="IH4" s="256"/>
      <c r="II4" s="256"/>
      <c r="IJ4" s="256"/>
      <c r="IK4" s="256"/>
      <c r="IL4" s="256"/>
      <c r="IM4" s="256"/>
      <c r="IN4" s="256"/>
      <c r="IO4" s="256"/>
      <c r="IP4" s="256"/>
      <c r="IQ4" s="256"/>
      <c r="IR4" s="256"/>
      <c r="IS4" s="256"/>
      <c r="IT4" s="256"/>
      <c r="IU4" s="256"/>
      <c r="IV4" s="256"/>
      <c r="IW4" s="256"/>
      <c r="IX4" s="256"/>
      <c r="IY4" s="256"/>
      <c r="IZ4" s="256"/>
      <c r="JA4" s="256"/>
      <c r="JB4" s="256"/>
      <c r="JC4" s="256"/>
      <c r="JD4" s="256"/>
      <c r="JE4" s="256"/>
      <c r="JF4" s="256"/>
      <c r="JG4" s="256"/>
      <c r="JH4" s="256"/>
      <c r="JI4" s="256"/>
      <c r="JJ4" s="256"/>
      <c r="JK4" s="256"/>
      <c r="JL4" s="256"/>
      <c r="JM4" s="256"/>
      <c r="JN4" s="256"/>
      <c r="JO4" s="256"/>
      <c r="JP4" s="256"/>
      <c r="JQ4" s="256"/>
      <c r="JR4" s="256"/>
      <c r="JS4" s="256"/>
      <c r="JT4" s="256"/>
      <c r="JU4" s="256"/>
      <c r="JV4" s="256"/>
      <c r="JW4" s="256"/>
      <c r="JX4" s="256"/>
      <c r="JY4" s="256"/>
      <c r="JZ4" s="256"/>
      <c r="KA4" s="256"/>
      <c r="KB4" s="256"/>
      <c r="KC4" s="256"/>
      <c r="KD4" s="256"/>
      <c r="KE4" s="256"/>
      <c r="KF4" s="256"/>
      <c r="KG4" s="256"/>
      <c r="KH4" s="256"/>
      <c r="KI4" s="256"/>
      <c r="KJ4" s="256"/>
      <c r="KK4" s="256"/>
      <c r="KL4" s="256"/>
      <c r="KM4" s="256"/>
      <c r="KN4" s="256"/>
      <c r="KO4" s="256"/>
      <c r="KP4" s="256"/>
      <c r="KQ4" s="256"/>
      <c r="KR4" s="256"/>
      <c r="KS4" s="256"/>
      <c r="KT4" s="256"/>
      <c r="KU4" s="256"/>
      <c r="KV4" s="256"/>
      <c r="KW4" s="256"/>
      <c r="KX4" s="256"/>
      <c r="KY4" s="256"/>
      <c r="KZ4" s="256"/>
      <c r="LA4" s="256"/>
      <c r="LB4" s="256"/>
      <c r="LC4" s="256"/>
      <c r="LD4" s="256"/>
      <c r="LE4" s="256"/>
      <c r="LF4" s="256"/>
      <c r="LG4" s="256"/>
      <c r="LH4" s="256"/>
      <c r="LI4" s="256"/>
      <c r="LJ4" s="256"/>
      <c r="LK4" s="256"/>
      <c r="LL4" s="256"/>
      <c r="LM4" s="256"/>
      <c r="LN4" s="256"/>
      <c r="LO4" s="256"/>
      <c r="LP4" s="256"/>
      <c r="LQ4" s="256"/>
      <c r="LR4" s="256"/>
      <c r="LS4" s="256"/>
      <c r="LT4" s="256"/>
      <c r="LU4" s="256"/>
      <c r="LV4" s="256"/>
      <c r="LW4" s="256"/>
      <c r="LX4" s="256"/>
      <c r="LY4" s="256"/>
      <c r="LZ4" s="256"/>
      <c r="MA4" s="256"/>
      <c r="MB4" s="256"/>
      <c r="MC4" s="256"/>
      <c r="MD4" s="256"/>
      <c r="ME4" s="256"/>
      <c r="MF4" s="256"/>
      <c r="MG4" s="256"/>
      <c r="MH4" s="256"/>
      <c r="MI4" s="256"/>
      <c r="MJ4" s="256"/>
      <c r="MK4" s="256"/>
      <c r="ML4" s="256"/>
      <c r="MM4" s="256"/>
      <c r="MN4" s="256"/>
      <c r="MO4" s="256"/>
      <c r="MP4" s="256"/>
      <c r="MQ4" s="256"/>
      <c r="MR4" s="256"/>
      <c r="MS4" s="256"/>
      <c r="MT4" s="256"/>
      <c r="MU4" s="256"/>
      <c r="MV4" s="256"/>
      <c r="MW4" s="256"/>
      <c r="MX4" s="256"/>
      <c r="MY4" s="256"/>
      <c r="MZ4" s="256"/>
      <c r="NA4" s="256"/>
      <c r="NB4" s="256"/>
      <c r="NC4" s="256"/>
      <c r="ND4" s="256"/>
      <c r="NE4" s="256"/>
      <c r="NF4" s="256"/>
      <c r="NG4" s="256"/>
      <c r="NH4" s="256"/>
      <c r="NI4" s="256"/>
      <c r="NJ4" s="256"/>
      <c r="NK4" s="256"/>
      <c r="NL4" s="256"/>
      <c r="NM4" s="256"/>
      <c r="NN4" s="256"/>
      <c r="NO4" s="256"/>
      <c r="NP4" s="256"/>
      <c r="NQ4" s="256"/>
      <c r="NR4" s="256"/>
      <c r="NS4" s="256"/>
      <c r="NT4" s="256"/>
      <c r="NU4" s="256"/>
      <c r="NV4" s="256"/>
      <c r="NW4" s="256"/>
      <c r="NX4" s="256"/>
      <c r="NY4" s="256"/>
      <c r="NZ4" s="256"/>
      <c r="OA4" s="256"/>
      <c r="OB4" s="256"/>
      <c r="OC4" s="256"/>
      <c r="OD4" s="256"/>
      <c r="OE4" s="256"/>
      <c r="OF4" s="256"/>
      <c r="OG4" s="256"/>
      <c r="OH4" s="256"/>
      <c r="OI4" s="256"/>
      <c r="OJ4" s="256"/>
      <c r="OK4" s="256"/>
      <c r="OL4" s="256"/>
      <c r="OM4" s="256"/>
      <c r="ON4" s="256"/>
      <c r="OO4" s="256"/>
      <c r="OP4" s="256"/>
      <c r="OQ4" s="256"/>
      <c r="OR4" s="256"/>
      <c r="OS4" s="256"/>
      <c r="OT4" s="256"/>
      <c r="OU4" s="256"/>
      <c r="OV4" s="256"/>
      <c r="OW4" s="256"/>
      <c r="OX4" s="256"/>
      <c r="OY4" s="256"/>
      <c r="OZ4" s="256"/>
      <c r="PA4" s="256"/>
      <c r="PB4" s="256"/>
      <c r="PC4" s="256"/>
      <c r="PD4" s="256"/>
      <c r="PE4" s="256"/>
      <c r="PF4" s="256"/>
      <c r="PG4" s="256"/>
      <c r="PH4" s="256"/>
      <c r="PI4" s="256"/>
      <c r="PJ4" s="256"/>
      <c r="PK4" s="256"/>
      <c r="PL4" s="256"/>
      <c r="PM4" s="256"/>
      <c r="PN4" s="256"/>
      <c r="PO4" s="256"/>
      <c r="PP4" s="256"/>
      <c r="PQ4" s="256"/>
      <c r="PR4" s="256"/>
      <c r="PS4" s="256"/>
      <c r="PT4" s="256"/>
      <c r="PU4" s="256"/>
      <c r="PV4" s="256"/>
      <c r="PW4" s="256"/>
      <c r="PX4" s="256"/>
      <c r="PY4" s="256"/>
      <c r="PZ4" s="256"/>
      <c r="QA4" s="256"/>
      <c r="QB4" s="256"/>
      <c r="QC4" s="256"/>
      <c r="QD4" s="256"/>
      <c r="QE4" s="256"/>
      <c r="QF4" s="256"/>
      <c r="QG4" s="256"/>
      <c r="QH4" s="256"/>
      <c r="QI4" s="256"/>
      <c r="QJ4" s="256"/>
      <c r="QK4" s="256"/>
      <c r="QL4" s="256"/>
      <c r="QM4" s="256"/>
      <c r="QN4" s="256"/>
      <c r="QO4" s="256"/>
      <c r="QP4" s="256"/>
      <c r="QQ4" s="256"/>
      <c r="QR4" s="256"/>
      <c r="QS4" s="256"/>
      <c r="QT4" s="256"/>
      <c r="QU4" s="256"/>
      <c r="QV4" s="256"/>
      <c r="QW4" s="256"/>
      <c r="QX4" s="256"/>
      <c r="QY4" s="256"/>
      <c r="QZ4" s="256"/>
      <c r="RA4" s="256"/>
      <c r="RB4" s="256"/>
      <c r="RC4" s="256"/>
      <c r="RD4" s="256"/>
      <c r="RE4" s="256"/>
      <c r="RF4" s="256"/>
      <c r="RG4" s="256"/>
      <c r="RH4" s="256"/>
      <c r="RI4" s="256"/>
      <c r="RJ4" s="256"/>
      <c r="RK4" s="256"/>
      <c r="RL4" s="256"/>
      <c r="RM4" s="256"/>
      <c r="RN4" s="256"/>
      <c r="RO4" s="256"/>
      <c r="RP4" s="256"/>
      <c r="RQ4" s="256"/>
      <c r="RR4" s="256"/>
      <c r="RS4" s="256"/>
      <c r="RT4" s="256"/>
      <c r="RU4" s="256"/>
      <c r="RV4" s="256"/>
      <c r="RW4" s="256"/>
      <c r="RX4" s="256"/>
      <c r="RY4" s="256"/>
      <c r="RZ4" s="256"/>
      <c r="SA4" s="256"/>
      <c r="SB4" s="256"/>
      <c r="SC4" s="256"/>
      <c r="SD4" s="256"/>
      <c r="SE4" s="256"/>
      <c r="SF4" s="256"/>
      <c r="SG4" s="256"/>
      <c r="SH4" s="256"/>
      <c r="SI4" s="256"/>
      <c r="SJ4" s="256"/>
      <c r="SK4" s="256"/>
      <c r="SL4" s="256"/>
      <c r="SM4" s="256"/>
      <c r="SN4" s="256"/>
      <c r="SO4" s="256"/>
      <c r="SP4" s="256"/>
      <c r="SQ4" s="256"/>
      <c r="SR4" s="256"/>
      <c r="SS4" s="256"/>
      <c r="ST4" s="256"/>
      <c r="SU4" s="256"/>
      <c r="SV4" s="256"/>
      <c r="SW4" s="256"/>
      <c r="SX4" s="256"/>
      <c r="SY4" s="256"/>
      <c r="SZ4" s="256"/>
      <c r="TA4" s="256"/>
      <c r="TB4" s="256"/>
      <c r="TC4" s="256"/>
      <c r="TD4" s="256"/>
      <c r="TE4" s="256"/>
      <c r="TF4" s="256"/>
      <c r="TG4" s="256"/>
      <c r="TH4" s="256"/>
      <c r="TI4" s="256"/>
      <c r="TJ4" s="256"/>
      <c r="TK4" s="256"/>
      <c r="TL4" s="256"/>
      <c r="TM4" s="256"/>
      <c r="TN4" s="256"/>
      <c r="TO4" s="256"/>
      <c r="TP4" s="256"/>
      <c r="TQ4" s="256"/>
      <c r="TR4" s="256"/>
      <c r="TS4" s="256"/>
      <c r="TT4" s="256"/>
      <c r="TU4" s="256"/>
      <c r="TV4" s="256"/>
      <c r="TW4" s="256"/>
      <c r="TX4" s="256"/>
      <c r="TY4" s="256"/>
      <c r="TZ4" s="256"/>
      <c r="UA4" s="256"/>
      <c r="UB4" s="256"/>
      <c r="UC4" s="256"/>
      <c r="UD4" s="256"/>
      <c r="UE4" s="256"/>
      <c r="UF4" s="256"/>
      <c r="UG4" s="256"/>
      <c r="UH4" s="256"/>
      <c r="UI4" s="256"/>
      <c r="UJ4" s="256"/>
      <c r="UK4" s="256"/>
      <c r="UL4" s="256"/>
      <c r="UM4" s="256"/>
      <c r="UN4" s="256"/>
      <c r="UO4" s="256"/>
      <c r="UP4" s="256"/>
      <c r="UQ4" s="256"/>
      <c r="UR4" s="256"/>
      <c r="US4" s="256"/>
      <c r="UT4" s="256"/>
      <c r="UU4" s="256"/>
      <c r="UV4" s="256"/>
      <c r="UW4" s="256"/>
      <c r="UX4" s="256"/>
      <c r="UY4" s="256"/>
      <c r="UZ4" s="256"/>
      <c r="VA4" s="256"/>
      <c r="VB4" s="256"/>
      <c r="VC4" s="256"/>
      <c r="VD4" s="256"/>
      <c r="VE4" s="256"/>
      <c r="VF4" s="256"/>
      <c r="VG4" s="256"/>
      <c r="VH4" s="256"/>
      <c r="VI4" s="256"/>
      <c r="VJ4" s="256"/>
      <c r="VK4" s="256"/>
      <c r="VL4" s="256"/>
      <c r="VM4" s="256"/>
      <c r="VN4" s="256"/>
      <c r="VO4" s="256"/>
      <c r="VP4" s="256"/>
      <c r="VQ4" s="256"/>
      <c r="VR4" s="256"/>
      <c r="VS4" s="256"/>
      <c r="VT4" s="256"/>
      <c r="VU4" s="256"/>
      <c r="VV4" s="256"/>
      <c r="VW4" s="256"/>
      <c r="VX4" s="256"/>
      <c r="VY4" s="256"/>
      <c r="VZ4" s="256"/>
      <c r="WA4" s="256"/>
      <c r="WB4" s="256"/>
      <c r="WC4" s="256"/>
      <c r="WD4" s="256"/>
      <c r="WE4" s="256"/>
      <c r="WF4" s="256"/>
      <c r="WG4" s="256"/>
      <c r="WH4" s="256"/>
      <c r="WI4" s="256"/>
      <c r="WJ4" s="256"/>
      <c r="WK4" s="256"/>
      <c r="WL4" s="256"/>
      <c r="WM4" s="256"/>
      <c r="WN4" s="256"/>
      <c r="WO4" s="256"/>
      <c r="WP4" s="256"/>
      <c r="WQ4" s="256"/>
      <c r="WR4" s="256"/>
      <c r="WS4" s="256"/>
      <c r="WT4" s="256"/>
      <c r="WU4" s="256"/>
      <c r="WV4" s="256"/>
      <c r="WW4" s="256"/>
      <c r="WX4" s="256"/>
      <c r="WY4" s="256"/>
      <c r="WZ4" s="256"/>
      <c r="XA4" s="256"/>
      <c r="XB4" s="256"/>
      <c r="XC4" s="256"/>
      <c r="XD4" s="256"/>
      <c r="XE4" s="256"/>
      <c r="XF4" s="256"/>
      <c r="XG4" s="256"/>
      <c r="XH4" s="256"/>
      <c r="XI4" s="256"/>
      <c r="XJ4" s="256"/>
      <c r="XK4" s="256"/>
      <c r="XL4" s="256"/>
      <c r="XM4" s="256"/>
      <c r="XN4" s="256"/>
      <c r="XO4" s="256"/>
      <c r="XP4" s="256"/>
      <c r="XQ4" s="256"/>
      <c r="XR4" s="256"/>
      <c r="XS4" s="256"/>
      <c r="XT4" s="256"/>
      <c r="XU4" s="256"/>
      <c r="XV4" s="256"/>
      <c r="XW4" s="256"/>
      <c r="XX4" s="256"/>
      <c r="XY4" s="256"/>
      <c r="XZ4" s="256"/>
      <c r="YA4" s="256"/>
      <c r="YB4" s="256"/>
      <c r="YC4" s="256"/>
      <c r="YD4" s="256"/>
      <c r="YE4" s="256"/>
      <c r="YF4" s="256"/>
      <c r="YG4" s="256"/>
      <c r="YH4" s="256"/>
      <c r="YI4" s="256"/>
      <c r="YJ4" s="256"/>
      <c r="YK4" s="256"/>
      <c r="YL4" s="256"/>
      <c r="YM4" s="256"/>
      <c r="YN4" s="256"/>
      <c r="YO4" s="256"/>
      <c r="YP4" s="256"/>
      <c r="YQ4" s="256"/>
      <c r="YR4" s="256"/>
      <c r="YS4" s="256"/>
      <c r="YT4" s="256"/>
      <c r="YU4" s="256"/>
      <c r="YV4" s="256"/>
      <c r="YW4" s="256"/>
      <c r="YX4" s="256"/>
      <c r="YY4" s="256"/>
      <c r="YZ4" s="256"/>
      <c r="ZA4" s="256"/>
      <c r="ZB4" s="256"/>
      <c r="ZC4" s="256"/>
      <c r="ZD4" s="256"/>
      <c r="ZE4" s="256"/>
      <c r="ZF4" s="256"/>
      <c r="ZG4" s="256"/>
      <c r="ZH4" s="256"/>
      <c r="ZI4" s="256"/>
      <c r="ZJ4" s="256"/>
      <c r="ZK4" s="256"/>
      <c r="ZL4" s="256"/>
      <c r="ZM4" s="256"/>
      <c r="ZN4" s="256"/>
      <c r="ZO4" s="256"/>
      <c r="ZP4" s="256"/>
      <c r="ZQ4" s="256"/>
      <c r="ZR4" s="256"/>
      <c r="ZS4" s="256"/>
      <c r="ZT4" s="256"/>
      <c r="ZU4" s="256"/>
      <c r="ZV4" s="256"/>
      <c r="ZW4" s="256"/>
      <c r="ZX4" s="256"/>
      <c r="ZY4" s="256"/>
      <c r="ZZ4" s="256"/>
      <c r="AAA4" s="256"/>
      <c r="AAB4" s="256"/>
      <c r="AAC4" s="256"/>
      <c r="AAD4" s="256"/>
      <c r="AAE4" s="256"/>
      <c r="AAF4" s="256"/>
      <c r="AAG4" s="256"/>
      <c r="AAH4" s="256"/>
      <c r="AAI4" s="256"/>
      <c r="AAJ4" s="256"/>
      <c r="AAK4" s="256"/>
      <c r="AAL4" s="256"/>
      <c r="AAM4" s="256"/>
      <c r="AAN4" s="256"/>
      <c r="AAO4" s="256"/>
      <c r="AAP4" s="256"/>
      <c r="AAQ4" s="256"/>
      <c r="AAR4" s="256"/>
      <c r="AAS4" s="256"/>
      <c r="AAT4" s="256"/>
      <c r="AAU4" s="256"/>
      <c r="AAV4" s="256"/>
      <c r="AAW4" s="256"/>
      <c r="AAX4" s="256"/>
      <c r="AAY4" s="256"/>
      <c r="AAZ4" s="256"/>
      <c r="ABA4" s="256"/>
      <c r="ABB4" s="256"/>
      <c r="ABC4" s="256"/>
      <c r="ABD4" s="256"/>
      <c r="ABE4" s="256"/>
      <c r="ABF4" s="256"/>
      <c r="ABG4" s="256"/>
      <c r="ABH4" s="256"/>
      <c r="ABI4" s="256"/>
      <c r="ABJ4" s="256"/>
      <c r="ABK4" s="256"/>
      <c r="ABL4" s="256"/>
      <c r="ABM4" s="256"/>
      <c r="ABN4" s="256"/>
      <c r="ABO4" s="256"/>
      <c r="ABP4" s="256"/>
      <c r="ABQ4" s="256"/>
      <c r="ABR4" s="256"/>
      <c r="ABS4" s="256"/>
      <c r="ABT4" s="256"/>
      <c r="ABU4" s="256"/>
      <c r="ABV4" s="256"/>
      <c r="ABW4" s="256"/>
      <c r="ABX4" s="256"/>
      <c r="ABY4" s="256"/>
      <c r="ABZ4" s="256"/>
      <c r="ACA4" s="256"/>
      <c r="ACB4" s="256"/>
      <c r="ACC4" s="256"/>
      <c r="ACD4" s="256"/>
      <c r="ACE4" s="256"/>
      <c r="ACF4" s="256"/>
      <c r="ACG4" s="256"/>
      <c r="ACH4" s="256"/>
      <c r="ACI4" s="256"/>
      <c r="ACJ4" s="256"/>
      <c r="ACK4" s="256"/>
      <c r="ACL4" s="256"/>
      <c r="ACM4" s="256"/>
      <c r="ACN4" s="256"/>
      <c r="ACO4" s="256"/>
      <c r="ACP4" s="256"/>
      <c r="ACQ4" s="256"/>
      <c r="ACR4" s="256"/>
      <c r="ACS4" s="256"/>
      <c r="ACT4" s="256"/>
      <c r="ACU4" s="256"/>
      <c r="ACV4" s="256"/>
      <c r="ACW4" s="256"/>
      <c r="ACX4" s="256"/>
      <c r="ACY4" s="256"/>
      <c r="ACZ4" s="256"/>
      <c r="ADA4" s="256"/>
      <c r="ADB4" s="256"/>
      <c r="ADC4" s="256"/>
      <c r="ADD4" s="256"/>
      <c r="ADE4" s="256"/>
      <c r="ADF4" s="256"/>
      <c r="ADG4" s="256"/>
      <c r="ADH4" s="256"/>
      <c r="ADI4" s="256"/>
      <c r="ADJ4" s="256"/>
      <c r="ADK4" s="256"/>
      <c r="ADL4" s="256"/>
      <c r="ADM4" s="256"/>
      <c r="ADN4" s="256"/>
      <c r="ADO4" s="256"/>
      <c r="ADP4" s="256"/>
      <c r="ADQ4" s="256"/>
      <c r="ADR4" s="256"/>
      <c r="ADS4" s="256"/>
      <c r="ADT4" s="256"/>
      <c r="ADU4" s="256"/>
      <c r="ADV4" s="256"/>
      <c r="ADW4" s="256"/>
      <c r="ADX4" s="256"/>
      <c r="ADY4" s="256"/>
      <c r="ADZ4" s="256"/>
      <c r="AEA4" s="256"/>
      <c r="AEB4" s="256"/>
      <c r="AEC4" s="256"/>
      <c r="AED4" s="256"/>
      <c r="AEE4" s="256"/>
      <c r="AEF4" s="256"/>
      <c r="AEG4" s="256"/>
      <c r="AEH4" s="256"/>
      <c r="AEI4" s="256"/>
      <c r="AEJ4" s="256"/>
      <c r="AEK4" s="256"/>
      <c r="AEL4" s="256"/>
      <c r="AEM4" s="256"/>
      <c r="AEN4" s="256"/>
      <c r="AEO4" s="256"/>
      <c r="AEP4" s="256"/>
      <c r="AEQ4" s="256"/>
      <c r="AER4" s="256"/>
      <c r="AES4" s="256"/>
      <c r="AET4" s="256"/>
      <c r="AEU4" s="256"/>
      <c r="AEV4" s="256"/>
      <c r="AEW4" s="256"/>
      <c r="AEX4" s="256"/>
      <c r="AEY4" s="256"/>
      <c r="AEZ4" s="256"/>
      <c r="AFA4" s="256"/>
      <c r="AFB4" s="256"/>
      <c r="AFC4" s="256"/>
      <c r="AFD4" s="256"/>
      <c r="AFE4" s="256"/>
      <c r="AFF4" s="256"/>
      <c r="AFG4" s="256"/>
      <c r="AFH4" s="256"/>
      <c r="AFI4" s="256"/>
      <c r="AFJ4" s="256"/>
      <c r="AFK4" s="256"/>
      <c r="AFL4" s="256"/>
      <c r="AFM4" s="256"/>
      <c r="AFN4" s="256"/>
      <c r="AFO4" s="256"/>
      <c r="AFP4" s="256"/>
      <c r="AFQ4" s="256"/>
      <c r="AFR4" s="256"/>
      <c r="AFS4" s="256"/>
      <c r="AFT4" s="256"/>
      <c r="AFU4" s="256"/>
      <c r="AFV4" s="256"/>
      <c r="AFW4" s="256"/>
      <c r="AFX4" s="256"/>
      <c r="AFY4" s="256"/>
      <c r="AFZ4" s="256"/>
      <c r="AGA4" s="256"/>
      <c r="AGB4" s="256"/>
      <c r="AGC4" s="256"/>
      <c r="AGD4" s="256"/>
      <c r="AGE4" s="256"/>
      <c r="AGF4" s="256"/>
      <c r="AGG4" s="256"/>
      <c r="AGH4" s="256"/>
      <c r="AGI4" s="256"/>
      <c r="AGJ4" s="256"/>
      <c r="AGK4" s="256"/>
      <c r="AGL4" s="256"/>
      <c r="AGM4" s="256"/>
      <c r="AGN4" s="256"/>
      <c r="AGO4" s="256"/>
      <c r="AGP4" s="256"/>
      <c r="AGQ4" s="256"/>
      <c r="AGR4" s="256"/>
      <c r="AGS4" s="256"/>
      <c r="AGT4" s="256"/>
      <c r="AGU4" s="256"/>
      <c r="AGV4" s="256"/>
      <c r="AGW4" s="256"/>
      <c r="AGX4" s="256"/>
      <c r="AGY4" s="256"/>
      <c r="AGZ4" s="256"/>
      <c r="AHA4" s="256"/>
      <c r="AHB4" s="256"/>
      <c r="AHC4" s="256"/>
      <c r="AHD4" s="256"/>
      <c r="AHE4" s="256"/>
      <c r="AHF4" s="256"/>
      <c r="AHG4" s="256"/>
      <c r="AHH4" s="256"/>
      <c r="AHI4" s="256"/>
      <c r="AHJ4" s="256"/>
      <c r="AHK4" s="256"/>
      <c r="AHL4" s="256"/>
      <c r="AHM4" s="256"/>
      <c r="AHN4" s="256"/>
      <c r="AHO4" s="256"/>
      <c r="AHP4" s="256"/>
      <c r="AHQ4" s="256"/>
      <c r="AHR4" s="256"/>
      <c r="AHS4" s="256"/>
      <c r="AHT4" s="256"/>
      <c r="AHU4" s="256"/>
      <c r="AHV4" s="256"/>
      <c r="AHW4" s="256"/>
      <c r="AHX4" s="256"/>
      <c r="AHY4" s="256"/>
      <c r="AHZ4" s="256"/>
      <c r="AIA4" s="256"/>
      <c r="AIB4" s="256"/>
      <c r="AIC4" s="256"/>
      <c r="AID4" s="256"/>
      <c r="AIE4" s="256"/>
      <c r="AIF4" s="256"/>
      <c r="AIG4" s="256"/>
      <c r="AIH4" s="256"/>
      <c r="AII4" s="256"/>
      <c r="AIJ4" s="256"/>
      <c r="AIK4" s="256"/>
      <c r="AIL4" s="256"/>
      <c r="AIM4" s="256"/>
      <c r="AIN4" s="256"/>
      <c r="AIO4" s="256"/>
      <c r="AIP4" s="256"/>
      <c r="AIQ4" s="256"/>
      <c r="AIR4" s="256"/>
      <c r="AIS4" s="256"/>
      <c r="AIT4" s="256"/>
      <c r="AIU4" s="256"/>
      <c r="AIV4" s="256"/>
      <c r="AIW4" s="256"/>
      <c r="AIX4" s="256"/>
      <c r="AIY4" s="256"/>
      <c r="AIZ4" s="256"/>
      <c r="AJA4" s="256"/>
      <c r="AJB4" s="256"/>
      <c r="AJC4" s="256"/>
      <c r="AJD4" s="256"/>
      <c r="AJE4" s="256"/>
      <c r="AJF4" s="256"/>
      <c r="AJG4" s="256"/>
      <c r="AJH4" s="256"/>
      <c r="AJI4" s="256"/>
      <c r="AJJ4" s="256"/>
      <c r="AJK4" s="256"/>
      <c r="AJL4" s="256"/>
      <c r="AJM4" s="256"/>
      <c r="AJN4" s="256"/>
      <c r="AJO4" s="256"/>
      <c r="AJP4" s="256"/>
      <c r="AJQ4" s="256"/>
      <c r="AJR4" s="256"/>
      <c r="AJS4" s="256"/>
      <c r="AJT4" s="256"/>
      <c r="AJU4" s="256"/>
      <c r="AJV4" s="256"/>
      <c r="AJW4" s="256"/>
      <c r="AJX4" s="256"/>
      <c r="AJY4" s="256"/>
      <c r="AJZ4" s="256"/>
      <c r="AKA4" s="256"/>
      <c r="AKB4" s="256"/>
      <c r="AKC4" s="256"/>
      <c r="AKD4" s="256"/>
      <c r="AKE4" s="256"/>
      <c r="AKF4" s="256"/>
      <c r="AKG4" s="256"/>
      <c r="AKH4" s="256"/>
      <c r="AKI4" s="256"/>
      <c r="AKJ4" s="256"/>
      <c r="AKK4" s="256"/>
      <c r="AKL4" s="256"/>
      <c r="AKM4" s="256"/>
      <c r="AKN4" s="256"/>
      <c r="AKO4" s="256"/>
      <c r="AKP4" s="256"/>
      <c r="AKQ4" s="256"/>
      <c r="AKR4" s="256"/>
      <c r="AKS4" s="256"/>
      <c r="AKT4" s="256"/>
      <c r="AKU4" s="256"/>
      <c r="AKV4" s="256"/>
      <c r="AKW4" s="256"/>
      <c r="AKX4" s="256"/>
      <c r="AKY4" s="256"/>
      <c r="AKZ4" s="256"/>
      <c r="ALA4" s="256"/>
      <c r="ALB4" s="256"/>
      <c r="ALC4" s="256"/>
      <c r="ALD4" s="256"/>
      <c r="ALE4" s="256"/>
      <c r="ALF4" s="256"/>
      <c r="ALG4" s="256"/>
      <c r="ALH4" s="256"/>
      <c r="ALI4" s="256"/>
      <c r="ALJ4" s="256"/>
      <c r="ALK4" s="256"/>
      <c r="ALL4" s="256"/>
      <c r="ALM4" s="256"/>
      <c r="ALN4" s="256"/>
      <c r="ALO4" s="256"/>
      <c r="ALP4" s="256"/>
      <c r="ALQ4" s="256"/>
      <c r="ALR4" s="256"/>
      <c r="ALS4" s="256"/>
      <c r="ALT4" s="256"/>
      <c r="ALU4" s="256"/>
      <c r="ALV4" s="256"/>
      <c r="ALW4" s="256"/>
      <c r="ALX4" s="256"/>
      <c r="ALY4" s="256"/>
      <c r="ALZ4" s="256"/>
      <c r="AMA4" s="258"/>
      <c r="AMB4" s="258"/>
      <c r="AMC4" s="258"/>
      <c r="AMD4" s="258"/>
      <c r="AME4" s="258"/>
      <c r="AMF4" s="258"/>
      <c r="AMG4" s="258"/>
      <c r="AMH4" s="258"/>
      <c r="AMI4" s="256"/>
    </row>
    <row r="5" spans="1:1023" s="259" customFormat="1" ht="15" customHeight="1" x14ac:dyDescent="0.25">
      <c r="A5" s="256"/>
      <c r="B5" s="256"/>
      <c r="C5" s="185" t="s">
        <v>126</v>
      </c>
      <c r="D5" s="188"/>
      <c r="E5" s="748" t="s">
        <v>419</v>
      </c>
      <c r="F5" s="749"/>
      <c r="G5" s="749"/>
      <c r="H5" s="749"/>
      <c r="I5" s="750"/>
      <c r="J5" s="180"/>
      <c r="K5" s="256"/>
      <c r="L5" s="256"/>
      <c r="M5" s="256"/>
      <c r="N5" s="256"/>
      <c r="O5" s="256"/>
      <c r="P5" s="256"/>
      <c r="Q5" s="256"/>
      <c r="R5" s="256"/>
      <c r="S5" s="256"/>
      <c r="T5" s="256"/>
      <c r="U5" s="256"/>
      <c r="V5" s="256"/>
      <c r="W5" s="256"/>
      <c r="X5" s="256"/>
      <c r="Y5" s="256"/>
      <c r="Z5" s="256"/>
      <c r="AA5" s="256"/>
      <c r="AB5" s="256"/>
      <c r="AC5" s="256"/>
      <c r="AD5" s="256"/>
      <c r="AE5" s="256"/>
      <c r="AF5" s="256"/>
      <c r="AG5" s="256"/>
      <c r="AH5" s="256"/>
      <c r="AI5" s="256"/>
      <c r="AJ5" s="256"/>
      <c r="AK5" s="256"/>
      <c r="AL5" s="256"/>
      <c r="AM5" s="256"/>
      <c r="AN5" s="256"/>
      <c r="AO5" s="256"/>
      <c r="AP5" s="256"/>
      <c r="AQ5" s="256"/>
      <c r="AR5" s="256"/>
      <c r="AS5" s="256"/>
      <c r="AT5" s="256"/>
      <c r="AU5" s="256"/>
      <c r="AV5" s="256"/>
      <c r="AW5" s="256"/>
      <c r="AX5" s="256"/>
      <c r="AY5" s="256"/>
      <c r="AZ5" s="256"/>
      <c r="BA5" s="256"/>
      <c r="BB5" s="256"/>
      <c r="BC5" s="256"/>
      <c r="BD5" s="256"/>
      <c r="BE5" s="256"/>
      <c r="BF5" s="256"/>
      <c r="BG5" s="256"/>
      <c r="BH5" s="256"/>
      <c r="BI5" s="256"/>
      <c r="BJ5" s="256"/>
      <c r="BK5" s="256"/>
      <c r="BL5" s="256"/>
      <c r="BM5" s="256"/>
      <c r="BN5" s="256"/>
      <c r="BO5" s="256"/>
      <c r="BP5" s="256"/>
      <c r="BQ5" s="256"/>
      <c r="BR5" s="256"/>
      <c r="BS5" s="256"/>
      <c r="BT5" s="256"/>
      <c r="BU5" s="256"/>
      <c r="BV5" s="256"/>
      <c r="BW5" s="256"/>
      <c r="BX5" s="256"/>
      <c r="BY5" s="256"/>
      <c r="BZ5" s="256"/>
      <c r="CA5" s="256"/>
      <c r="CB5" s="256"/>
      <c r="CC5" s="256"/>
      <c r="CD5" s="256"/>
      <c r="CE5" s="256"/>
      <c r="CF5" s="256"/>
      <c r="CG5" s="256"/>
      <c r="CH5" s="256"/>
      <c r="CI5" s="256"/>
      <c r="CJ5" s="256"/>
      <c r="CK5" s="256"/>
      <c r="CL5" s="256"/>
      <c r="CM5" s="256"/>
      <c r="CN5" s="256"/>
      <c r="CO5" s="256"/>
      <c r="CP5" s="256"/>
      <c r="CQ5" s="256"/>
      <c r="CR5" s="256"/>
      <c r="CS5" s="256"/>
      <c r="CT5" s="256"/>
      <c r="CU5" s="256"/>
      <c r="CV5" s="256"/>
      <c r="CW5" s="256"/>
      <c r="CX5" s="256"/>
      <c r="CY5" s="256"/>
      <c r="CZ5" s="256"/>
      <c r="DA5" s="256"/>
      <c r="DB5" s="256"/>
      <c r="DC5" s="256"/>
      <c r="DD5" s="256"/>
      <c r="DE5" s="256"/>
      <c r="DF5" s="256"/>
      <c r="DG5" s="256"/>
      <c r="DH5" s="256"/>
      <c r="DI5" s="256"/>
      <c r="DJ5" s="256"/>
      <c r="DK5" s="256"/>
      <c r="DL5" s="256"/>
      <c r="DM5" s="256"/>
      <c r="DN5" s="256"/>
      <c r="DO5" s="256"/>
      <c r="DP5" s="256"/>
      <c r="DQ5" s="256"/>
      <c r="DR5" s="256"/>
      <c r="DS5" s="256"/>
      <c r="DT5" s="256"/>
      <c r="DU5" s="256"/>
      <c r="DV5" s="256"/>
      <c r="DW5" s="256"/>
      <c r="DX5" s="256"/>
      <c r="DY5" s="256"/>
      <c r="DZ5" s="256"/>
      <c r="EA5" s="256"/>
      <c r="EB5" s="256"/>
      <c r="EC5" s="256"/>
      <c r="ED5" s="256"/>
      <c r="EE5" s="256"/>
      <c r="EF5" s="256"/>
      <c r="EG5" s="256"/>
      <c r="EH5" s="256"/>
      <c r="EI5" s="256"/>
      <c r="EJ5" s="256"/>
      <c r="EK5" s="256"/>
      <c r="EL5" s="256"/>
      <c r="EM5" s="256"/>
      <c r="EN5" s="256"/>
      <c r="EO5" s="256"/>
      <c r="EP5" s="256"/>
      <c r="EQ5" s="256"/>
      <c r="ER5" s="256"/>
      <c r="ES5" s="256"/>
      <c r="ET5" s="256"/>
      <c r="EU5" s="256"/>
      <c r="EV5" s="256"/>
      <c r="EW5" s="256"/>
      <c r="EX5" s="256"/>
      <c r="EY5" s="256"/>
      <c r="EZ5" s="256"/>
      <c r="FA5" s="256"/>
      <c r="FB5" s="256"/>
      <c r="FC5" s="256"/>
      <c r="FD5" s="256"/>
      <c r="FE5" s="256"/>
      <c r="FF5" s="256"/>
      <c r="FG5" s="256"/>
      <c r="FH5" s="256"/>
      <c r="FI5" s="256"/>
      <c r="FJ5" s="256"/>
      <c r="FK5" s="256"/>
      <c r="FL5" s="256"/>
      <c r="FM5" s="256"/>
      <c r="FN5" s="256"/>
      <c r="FO5" s="256"/>
      <c r="FP5" s="256"/>
      <c r="FQ5" s="256"/>
      <c r="FR5" s="256"/>
      <c r="FS5" s="256"/>
      <c r="FT5" s="256"/>
      <c r="FU5" s="256"/>
      <c r="FV5" s="256"/>
      <c r="FW5" s="256"/>
      <c r="FX5" s="256"/>
      <c r="FY5" s="256"/>
      <c r="FZ5" s="256"/>
      <c r="GA5" s="256"/>
      <c r="GB5" s="256"/>
      <c r="GC5" s="256"/>
      <c r="GD5" s="256"/>
      <c r="GE5" s="256"/>
      <c r="GF5" s="256"/>
      <c r="GG5" s="256"/>
      <c r="GH5" s="256"/>
      <c r="GI5" s="256"/>
      <c r="GJ5" s="256"/>
      <c r="GK5" s="256"/>
      <c r="GL5" s="256"/>
      <c r="GM5" s="256"/>
      <c r="GN5" s="256"/>
      <c r="GO5" s="256"/>
      <c r="GP5" s="256"/>
      <c r="GQ5" s="256"/>
      <c r="GR5" s="256"/>
      <c r="GS5" s="256"/>
      <c r="GT5" s="256"/>
      <c r="GU5" s="256"/>
      <c r="GV5" s="256"/>
      <c r="GW5" s="256"/>
      <c r="GX5" s="256"/>
      <c r="GY5" s="256"/>
      <c r="GZ5" s="256"/>
      <c r="HA5" s="256"/>
      <c r="HB5" s="256"/>
      <c r="HC5" s="256"/>
      <c r="HD5" s="256"/>
      <c r="HE5" s="256"/>
      <c r="HF5" s="256"/>
      <c r="HG5" s="256"/>
      <c r="HH5" s="256"/>
      <c r="HI5" s="256"/>
      <c r="HJ5" s="256"/>
      <c r="HK5" s="256"/>
      <c r="HL5" s="256"/>
      <c r="HM5" s="256"/>
      <c r="HN5" s="256"/>
      <c r="HO5" s="256"/>
      <c r="HP5" s="256"/>
      <c r="HQ5" s="256"/>
      <c r="HR5" s="256"/>
      <c r="HS5" s="256"/>
      <c r="HT5" s="256"/>
      <c r="HU5" s="256"/>
      <c r="HV5" s="256"/>
      <c r="HW5" s="256"/>
      <c r="HX5" s="256"/>
      <c r="HY5" s="256"/>
      <c r="HZ5" s="256"/>
      <c r="IA5" s="256"/>
      <c r="IB5" s="256"/>
      <c r="IC5" s="256"/>
      <c r="ID5" s="256"/>
      <c r="IE5" s="256"/>
      <c r="IF5" s="256"/>
      <c r="IG5" s="256"/>
      <c r="IH5" s="256"/>
      <c r="II5" s="256"/>
      <c r="IJ5" s="256"/>
      <c r="IK5" s="256"/>
      <c r="IL5" s="256"/>
      <c r="IM5" s="256"/>
      <c r="IN5" s="256"/>
      <c r="IO5" s="256"/>
      <c r="IP5" s="256"/>
      <c r="IQ5" s="256"/>
      <c r="IR5" s="256"/>
      <c r="IS5" s="256"/>
      <c r="IT5" s="256"/>
      <c r="IU5" s="256"/>
      <c r="IV5" s="256"/>
      <c r="IW5" s="256"/>
      <c r="IX5" s="256"/>
      <c r="IY5" s="256"/>
      <c r="IZ5" s="256"/>
      <c r="JA5" s="256"/>
      <c r="JB5" s="256"/>
      <c r="JC5" s="256"/>
      <c r="JD5" s="256"/>
      <c r="JE5" s="256"/>
      <c r="JF5" s="256"/>
      <c r="JG5" s="256"/>
      <c r="JH5" s="256"/>
      <c r="JI5" s="256"/>
      <c r="JJ5" s="256"/>
      <c r="JK5" s="256"/>
      <c r="JL5" s="256"/>
      <c r="JM5" s="256"/>
      <c r="JN5" s="256"/>
      <c r="JO5" s="256"/>
      <c r="JP5" s="256"/>
      <c r="JQ5" s="256"/>
      <c r="JR5" s="256"/>
      <c r="JS5" s="256"/>
      <c r="JT5" s="256"/>
      <c r="JU5" s="256"/>
      <c r="JV5" s="256"/>
      <c r="JW5" s="256"/>
      <c r="JX5" s="256"/>
      <c r="JY5" s="256"/>
      <c r="JZ5" s="256"/>
      <c r="KA5" s="256"/>
      <c r="KB5" s="256"/>
      <c r="KC5" s="256"/>
      <c r="KD5" s="256"/>
      <c r="KE5" s="256"/>
      <c r="KF5" s="256"/>
      <c r="KG5" s="256"/>
      <c r="KH5" s="256"/>
      <c r="KI5" s="256"/>
      <c r="KJ5" s="256"/>
      <c r="KK5" s="256"/>
      <c r="KL5" s="256"/>
      <c r="KM5" s="256"/>
      <c r="KN5" s="256"/>
      <c r="KO5" s="256"/>
      <c r="KP5" s="256"/>
      <c r="KQ5" s="256"/>
      <c r="KR5" s="256"/>
      <c r="KS5" s="256"/>
      <c r="KT5" s="256"/>
      <c r="KU5" s="256"/>
      <c r="KV5" s="256"/>
      <c r="KW5" s="256"/>
      <c r="KX5" s="256"/>
      <c r="KY5" s="256"/>
      <c r="KZ5" s="256"/>
      <c r="LA5" s="256"/>
      <c r="LB5" s="256"/>
      <c r="LC5" s="256"/>
      <c r="LD5" s="256"/>
      <c r="LE5" s="256"/>
      <c r="LF5" s="256"/>
      <c r="LG5" s="256"/>
      <c r="LH5" s="256"/>
      <c r="LI5" s="256"/>
      <c r="LJ5" s="256"/>
      <c r="LK5" s="256"/>
      <c r="LL5" s="256"/>
      <c r="LM5" s="256"/>
      <c r="LN5" s="256"/>
      <c r="LO5" s="256"/>
      <c r="LP5" s="256"/>
      <c r="LQ5" s="256"/>
      <c r="LR5" s="256"/>
      <c r="LS5" s="256"/>
      <c r="LT5" s="256"/>
      <c r="LU5" s="256"/>
      <c r="LV5" s="256"/>
      <c r="LW5" s="256"/>
      <c r="LX5" s="256"/>
      <c r="LY5" s="256"/>
      <c r="LZ5" s="256"/>
      <c r="MA5" s="256"/>
      <c r="MB5" s="256"/>
      <c r="MC5" s="256"/>
      <c r="MD5" s="256"/>
      <c r="ME5" s="256"/>
      <c r="MF5" s="256"/>
      <c r="MG5" s="256"/>
      <c r="MH5" s="256"/>
      <c r="MI5" s="256"/>
      <c r="MJ5" s="256"/>
      <c r="MK5" s="256"/>
      <c r="ML5" s="256"/>
      <c r="MM5" s="256"/>
      <c r="MN5" s="256"/>
      <c r="MO5" s="256"/>
      <c r="MP5" s="256"/>
      <c r="MQ5" s="256"/>
      <c r="MR5" s="256"/>
      <c r="MS5" s="256"/>
      <c r="MT5" s="256"/>
      <c r="MU5" s="256"/>
      <c r="MV5" s="256"/>
      <c r="MW5" s="256"/>
      <c r="MX5" s="256"/>
      <c r="MY5" s="256"/>
      <c r="MZ5" s="256"/>
      <c r="NA5" s="256"/>
      <c r="NB5" s="256"/>
      <c r="NC5" s="256"/>
      <c r="ND5" s="256"/>
      <c r="NE5" s="256"/>
      <c r="NF5" s="256"/>
      <c r="NG5" s="256"/>
      <c r="NH5" s="256"/>
      <c r="NI5" s="256"/>
      <c r="NJ5" s="256"/>
      <c r="NK5" s="256"/>
      <c r="NL5" s="256"/>
      <c r="NM5" s="256"/>
      <c r="NN5" s="256"/>
      <c r="NO5" s="256"/>
      <c r="NP5" s="256"/>
      <c r="NQ5" s="256"/>
      <c r="NR5" s="256"/>
      <c r="NS5" s="256"/>
      <c r="NT5" s="256"/>
      <c r="NU5" s="256"/>
      <c r="NV5" s="256"/>
      <c r="NW5" s="256"/>
      <c r="NX5" s="256"/>
      <c r="NY5" s="256"/>
      <c r="NZ5" s="256"/>
      <c r="OA5" s="256"/>
      <c r="OB5" s="256"/>
      <c r="OC5" s="256"/>
      <c r="OD5" s="256"/>
      <c r="OE5" s="256"/>
      <c r="OF5" s="256"/>
      <c r="OG5" s="256"/>
      <c r="OH5" s="256"/>
      <c r="OI5" s="256"/>
      <c r="OJ5" s="256"/>
      <c r="OK5" s="256"/>
      <c r="OL5" s="256"/>
      <c r="OM5" s="256"/>
      <c r="ON5" s="256"/>
      <c r="OO5" s="256"/>
      <c r="OP5" s="256"/>
      <c r="OQ5" s="256"/>
      <c r="OR5" s="256"/>
      <c r="OS5" s="256"/>
      <c r="OT5" s="256"/>
      <c r="OU5" s="256"/>
      <c r="OV5" s="256"/>
      <c r="OW5" s="256"/>
      <c r="OX5" s="256"/>
      <c r="OY5" s="256"/>
      <c r="OZ5" s="256"/>
      <c r="PA5" s="256"/>
      <c r="PB5" s="256"/>
      <c r="PC5" s="256"/>
      <c r="PD5" s="256"/>
      <c r="PE5" s="256"/>
      <c r="PF5" s="256"/>
      <c r="PG5" s="256"/>
      <c r="PH5" s="256"/>
      <c r="PI5" s="256"/>
      <c r="PJ5" s="256"/>
      <c r="PK5" s="256"/>
      <c r="PL5" s="256"/>
      <c r="PM5" s="256"/>
      <c r="PN5" s="256"/>
      <c r="PO5" s="256"/>
      <c r="PP5" s="256"/>
      <c r="PQ5" s="256"/>
      <c r="PR5" s="256"/>
      <c r="PS5" s="256"/>
      <c r="PT5" s="256"/>
      <c r="PU5" s="256"/>
      <c r="PV5" s="256"/>
      <c r="PW5" s="256"/>
      <c r="PX5" s="256"/>
      <c r="PY5" s="256"/>
      <c r="PZ5" s="256"/>
      <c r="QA5" s="256"/>
      <c r="QB5" s="256"/>
      <c r="QC5" s="256"/>
      <c r="QD5" s="256"/>
      <c r="QE5" s="256"/>
      <c r="QF5" s="256"/>
      <c r="QG5" s="256"/>
      <c r="QH5" s="256"/>
      <c r="QI5" s="256"/>
      <c r="QJ5" s="256"/>
      <c r="QK5" s="256"/>
      <c r="QL5" s="256"/>
      <c r="QM5" s="256"/>
      <c r="QN5" s="256"/>
      <c r="QO5" s="256"/>
      <c r="QP5" s="256"/>
      <c r="QQ5" s="256"/>
      <c r="QR5" s="256"/>
      <c r="QS5" s="256"/>
      <c r="QT5" s="256"/>
      <c r="QU5" s="256"/>
      <c r="QV5" s="256"/>
      <c r="QW5" s="256"/>
      <c r="QX5" s="256"/>
      <c r="QY5" s="256"/>
      <c r="QZ5" s="256"/>
      <c r="RA5" s="256"/>
      <c r="RB5" s="256"/>
      <c r="RC5" s="256"/>
      <c r="RD5" s="256"/>
      <c r="RE5" s="256"/>
      <c r="RF5" s="256"/>
      <c r="RG5" s="256"/>
      <c r="RH5" s="256"/>
      <c r="RI5" s="256"/>
      <c r="RJ5" s="256"/>
      <c r="RK5" s="256"/>
      <c r="RL5" s="256"/>
      <c r="RM5" s="256"/>
      <c r="RN5" s="256"/>
      <c r="RO5" s="256"/>
      <c r="RP5" s="256"/>
      <c r="RQ5" s="256"/>
      <c r="RR5" s="256"/>
      <c r="RS5" s="256"/>
      <c r="RT5" s="256"/>
      <c r="RU5" s="256"/>
      <c r="RV5" s="256"/>
      <c r="RW5" s="256"/>
      <c r="RX5" s="256"/>
      <c r="RY5" s="256"/>
      <c r="RZ5" s="256"/>
      <c r="SA5" s="256"/>
      <c r="SB5" s="256"/>
      <c r="SC5" s="256"/>
      <c r="SD5" s="256"/>
      <c r="SE5" s="256"/>
      <c r="SF5" s="256"/>
      <c r="SG5" s="256"/>
      <c r="SH5" s="256"/>
      <c r="SI5" s="256"/>
      <c r="SJ5" s="256"/>
      <c r="SK5" s="256"/>
      <c r="SL5" s="256"/>
      <c r="SM5" s="256"/>
      <c r="SN5" s="256"/>
      <c r="SO5" s="256"/>
      <c r="SP5" s="256"/>
      <c r="SQ5" s="256"/>
      <c r="SR5" s="256"/>
      <c r="SS5" s="256"/>
      <c r="ST5" s="256"/>
      <c r="SU5" s="256"/>
      <c r="SV5" s="256"/>
      <c r="SW5" s="256"/>
      <c r="SX5" s="256"/>
      <c r="SY5" s="256"/>
      <c r="SZ5" s="256"/>
      <c r="TA5" s="256"/>
      <c r="TB5" s="256"/>
      <c r="TC5" s="256"/>
      <c r="TD5" s="256"/>
      <c r="TE5" s="256"/>
      <c r="TF5" s="256"/>
      <c r="TG5" s="256"/>
      <c r="TH5" s="256"/>
      <c r="TI5" s="256"/>
      <c r="TJ5" s="256"/>
      <c r="TK5" s="256"/>
      <c r="TL5" s="256"/>
      <c r="TM5" s="256"/>
      <c r="TN5" s="256"/>
      <c r="TO5" s="256"/>
      <c r="TP5" s="256"/>
      <c r="TQ5" s="256"/>
      <c r="TR5" s="256"/>
      <c r="TS5" s="256"/>
      <c r="TT5" s="256"/>
      <c r="TU5" s="256"/>
      <c r="TV5" s="256"/>
      <c r="TW5" s="256"/>
      <c r="TX5" s="256"/>
      <c r="TY5" s="256"/>
      <c r="TZ5" s="256"/>
      <c r="UA5" s="256"/>
      <c r="UB5" s="256"/>
      <c r="UC5" s="256"/>
      <c r="UD5" s="256"/>
      <c r="UE5" s="256"/>
      <c r="UF5" s="256"/>
      <c r="UG5" s="256"/>
      <c r="UH5" s="256"/>
      <c r="UI5" s="256"/>
      <c r="UJ5" s="256"/>
      <c r="UK5" s="256"/>
      <c r="UL5" s="256"/>
      <c r="UM5" s="256"/>
      <c r="UN5" s="256"/>
      <c r="UO5" s="256"/>
      <c r="UP5" s="256"/>
      <c r="UQ5" s="256"/>
      <c r="UR5" s="256"/>
      <c r="US5" s="256"/>
      <c r="UT5" s="256"/>
      <c r="UU5" s="256"/>
      <c r="UV5" s="256"/>
      <c r="UW5" s="256"/>
      <c r="UX5" s="256"/>
      <c r="UY5" s="256"/>
      <c r="UZ5" s="256"/>
      <c r="VA5" s="256"/>
      <c r="VB5" s="256"/>
      <c r="VC5" s="256"/>
      <c r="VD5" s="256"/>
      <c r="VE5" s="256"/>
      <c r="VF5" s="256"/>
      <c r="VG5" s="256"/>
      <c r="VH5" s="256"/>
      <c r="VI5" s="256"/>
      <c r="VJ5" s="256"/>
      <c r="VK5" s="256"/>
      <c r="VL5" s="256"/>
      <c r="VM5" s="256"/>
      <c r="VN5" s="256"/>
      <c r="VO5" s="256"/>
      <c r="VP5" s="256"/>
      <c r="VQ5" s="256"/>
      <c r="VR5" s="256"/>
      <c r="VS5" s="256"/>
      <c r="VT5" s="256"/>
      <c r="VU5" s="256"/>
      <c r="VV5" s="256"/>
      <c r="VW5" s="256"/>
      <c r="VX5" s="256"/>
      <c r="VY5" s="256"/>
      <c r="VZ5" s="256"/>
      <c r="WA5" s="256"/>
      <c r="WB5" s="256"/>
      <c r="WC5" s="256"/>
      <c r="WD5" s="256"/>
      <c r="WE5" s="256"/>
      <c r="WF5" s="256"/>
      <c r="WG5" s="256"/>
      <c r="WH5" s="256"/>
      <c r="WI5" s="256"/>
      <c r="WJ5" s="256"/>
      <c r="WK5" s="256"/>
      <c r="WL5" s="256"/>
      <c r="WM5" s="256"/>
      <c r="WN5" s="256"/>
      <c r="WO5" s="256"/>
      <c r="WP5" s="256"/>
      <c r="WQ5" s="256"/>
      <c r="WR5" s="256"/>
      <c r="WS5" s="256"/>
      <c r="WT5" s="256"/>
      <c r="WU5" s="256"/>
      <c r="WV5" s="256"/>
      <c r="WW5" s="256"/>
      <c r="WX5" s="256"/>
      <c r="WY5" s="256"/>
      <c r="WZ5" s="256"/>
      <c r="XA5" s="256"/>
      <c r="XB5" s="256"/>
      <c r="XC5" s="256"/>
      <c r="XD5" s="256"/>
      <c r="XE5" s="256"/>
      <c r="XF5" s="256"/>
      <c r="XG5" s="256"/>
      <c r="XH5" s="256"/>
      <c r="XI5" s="256"/>
      <c r="XJ5" s="256"/>
      <c r="XK5" s="256"/>
      <c r="XL5" s="256"/>
      <c r="XM5" s="256"/>
      <c r="XN5" s="256"/>
      <c r="XO5" s="256"/>
      <c r="XP5" s="256"/>
      <c r="XQ5" s="256"/>
      <c r="XR5" s="256"/>
      <c r="XS5" s="256"/>
      <c r="XT5" s="256"/>
      <c r="XU5" s="256"/>
      <c r="XV5" s="256"/>
      <c r="XW5" s="256"/>
      <c r="XX5" s="256"/>
      <c r="XY5" s="256"/>
      <c r="XZ5" s="256"/>
      <c r="YA5" s="256"/>
      <c r="YB5" s="256"/>
      <c r="YC5" s="256"/>
      <c r="YD5" s="256"/>
      <c r="YE5" s="256"/>
      <c r="YF5" s="256"/>
      <c r="YG5" s="256"/>
      <c r="YH5" s="256"/>
      <c r="YI5" s="256"/>
      <c r="YJ5" s="256"/>
      <c r="YK5" s="256"/>
      <c r="YL5" s="256"/>
      <c r="YM5" s="256"/>
      <c r="YN5" s="256"/>
      <c r="YO5" s="256"/>
      <c r="YP5" s="256"/>
      <c r="YQ5" s="256"/>
      <c r="YR5" s="256"/>
      <c r="YS5" s="256"/>
      <c r="YT5" s="256"/>
      <c r="YU5" s="256"/>
      <c r="YV5" s="256"/>
      <c r="YW5" s="256"/>
      <c r="YX5" s="256"/>
      <c r="YY5" s="256"/>
      <c r="YZ5" s="256"/>
      <c r="ZA5" s="256"/>
      <c r="ZB5" s="256"/>
      <c r="ZC5" s="256"/>
      <c r="ZD5" s="256"/>
      <c r="ZE5" s="256"/>
      <c r="ZF5" s="256"/>
      <c r="ZG5" s="256"/>
      <c r="ZH5" s="256"/>
      <c r="ZI5" s="256"/>
      <c r="ZJ5" s="256"/>
      <c r="ZK5" s="256"/>
      <c r="ZL5" s="256"/>
      <c r="ZM5" s="256"/>
      <c r="ZN5" s="256"/>
      <c r="ZO5" s="256"/>
      <c r="ZP5" s="256"/>
      <c r="ZQ5" s="256"/>
      <c r="ZR5" s="256"/>
      <c r="ZS5" s="256"/>
      <c r="ZT5" s="256"/>
      <c r="ZU5" s="256"/>
      <c r="ZV5" s="256"/>
      <c r="ZW5" s="256"/>
      <c r="ZX5" s="256"/>
      <c r="ZY5" s="256"/>
      <c r="ZZ5" s="256"/>
      <c r="AAA5" s="256"/>
      <c r="AAB5" s="256"/>
      <c r="AAC5" s="256"/>
      <c r="AAD5" s="256"/>
      <c r="AAE5" s="256"/>
      <c r="AAF5" s="256"/>
      <c r="AAG5" s="256"/>
      <c r="AAH5" s="256"/>
      <c r="AAI5" s="256"/>
      <c r="AAJ5" s="256"/>
      <c r="AAK5" s="256"/>
      <c r="AAL5" s="256"/>
      <c r="AAM5" s="256"/>
      <c r="AAN5" s="256"/>
      <c r="AAO5" s="256"/>
      <c r="AAP5" s="256"/>
      <c r="AAQ5" s="256"/>
      <c r="AAR5" s="256"/>
      <c r="AAS5" s="256"/>
      <c r="AAT5" s="256"/>
      <c r="AAU5" s="256"/>
      <c r="AAV5" s="256"/>
      <c r="AAW5" s="256"/>
      <c r="AAX5" s="256"/>
      <c r="AAY5" s="256"/>
      <c r="AAZ5" s="256"/>
      <c r="ABA5" s="256"/>
      <c r="ABB5" s="256"/>
      <c r="ABC5" s="256"/>
      <c r="ABD5" s="256"/>
      <c r="ABE5" s="256"/>
      <c r="ABF5" s="256"/>
      <c r="ABG5" s="256"/>
      <c r="ABH5" s="256"/>
      <c r="ABI5" s="256"/>
      <c r="ABJ5" s="256"/>
      <c r="ABK5" s="256"/>
      <c r="ABL5" s="256"/>
      <c r="ABM5" s="256"/>
      <c r="ABN5" s="256"/>
      <c r="ABO5" s="256"/>
      <c r="ABP5" s="256"/>
      <c r="ABQ5" s="256"/>
      <c r="ABR5" s="256"/>
      <c r="ABS5" s="256"/>
      <c r="ABT5" s="256"/>
      <c r="ABU5" s="256"/>
      <c r="ABV5" s="256"/>
      <c r="ABW5" s="256"/>
      <c r="ABX5" s="256"/>
      <c r="ABY5" s="256"/>
      <c r="ABZ5" s="256"/>
      <c r="ACA5" s="256"/>
      <c r="ACB5" s="256"/>
      <c r="ACC5" s="256"/>
      <c r="ACD5" s="256"/>
      <c r="ACE5" s="256"/>
      <c r="ACF5" s="256"/>
      <c r="ACG5" s="256"/>
      <c r="ACH5" s="256"/>
      <c r="ACI5" s="256"/>
      <c r="ACJ5" s="256"/>
      <c r="ACK5" s="256"/>
      <c r="ACL5" s="256"/>
      <c r="ACM5" s="256"/>
      <c r="ACN5" s="256"/>
      <c r="ACO5" s="256"/>
      <c r="ACP5" s="256"/>
      <c r="ACQ5" s="256"/>
      <c r="ACR5" s="256"/>
      <c r="ACS5" s="256"/>
      <c r="ACT5" s="256"/>
      <c r="ACU5" s="256"/>
      <c r="ACV5" s="256"/>
      <c r="ACW5" s="256"/>
      <c r="ACX5" s="256"/>
      <c r="ACY5" s="256"/>
      <c r="ACZ5" s="256"/>
      <c r="ADA5" s="256"/>
      <c r="ADB5" s="256"/>
      <c r="ADC5" s="256"/>
      <c r="ADD5" s="256"/>
      <c r="ADE5" s="256"/>
      <c r="ADF5" s="256"/>
      <c r="ADG5" s="256"/>
      <c r="ADH5" s="256"/>
      <c r="ADI5" s="256"/>
      <c r="ADJ5" s="256"/>
      <c r="ADK5" s="256"/>
      <c r="ADL5" s="256"/>
      <c r="ADM5" s="256"/>
      <c r="ADN5" s="256"/>
      <c r="ADO5" s="256"/>
      <c r="ADP5" s="256"/>
      <c r="ADQ5" s="256"/>
      <c r="ADR5" s="256"/>
      <c r="ADS5" s="256"/>
      <c r="ADT5" s="256"/>
      <c r="ADU5" s="256"/>
      <c r="ADV5" s="256"/>
      <c r="ADW5" s="256"/>
      <c r="ADX5" s="256"/>
      <c r="ADY5" s="256"/>
      <c r="ADZ5" s="256"/>
      <c r="AEA5" s="256"/>
      <c r="AEB5" s="256"/>
      <c r="AEC5" s="256"/>
      <c r="AED5" s="256"/>
      <c r="AEE5" s="256"/>
      <c r="AEF5" s="256"/>
      <c r="AEG5" s="256"/>
      <c r="AEH5" s="256"/>
      <c r="AEI5" s="256"/>
      <c r="AEJ5" s="256"/>
      <c r="AEK5" s="256"/>
      <c r="AEL5" s="256"/>
      <c r="AEM5" s="256"/>
      <c r="AEN5" s="256"/>
      <c r="AEO5" s="256"/>
      <c r="AEP5" s="256"/>
      <c r="AEQ5" s="256"/>
      <c r="AER5" s="256"/>
      <c r="AES5" s="256"/>
      <c r="AET5" s="256"/>
      <c r="AEU5" s="256"/>
      <c r="AEV5" s="256"/>
      <c r="AEW5" s="256"/>
      <c r="AEX5" s="256"/>
      <c r="AEY5" s="256"/>
      <c r="AEZ5" s="256"/>
      <c r="AFA5" s="256"/>
      <c r="AFB5" s="256"/>
      <c r="AFC5" s="256"/>
      <c r="AFD5" s="256"/>
      <c r="AFE5" s="256"/>
      <c r="AFF5" s="256"/>
      <c r="AFG5" s="256"/>
      <c r="AFH5" s="256"/>
      <c r="AFI5" s="256"/>
      <c r="AFJ5" s="256"/>
      <c r="AFK5" s="256"/>
      <c r="AFL5" s="256"/>
      <c r="AFM5" s="256"/>
      <c r="AFN5" s="256"/>
      <c r="AFO5" s="256"/>
      <c r="AFP5" s="256"/>
      <c r="AFQ5" s="256"/>
      <c r="AFR5" s="256"/>
      <c r="AFS5" s="256"/>
      <c r="AFT5" s="256"/>
      <c r="AFU5" s="256"/>
      <c r="AFV5" s="256"/>
      <c r="AFW5" s="256"/>
      <c r="AFX5" s="256"/>
      <c r="AFY5" s="256"/>
      <c r="AFZ5" s="256"/>
      <c r="AGA5" s="256"/>
      <c r="AGB5" s="256"/>
      <c r="AGC5" s="256"/>
      <c r="AGD5" s="256"/>
      <c r="AGE5" s="256"/>
      <c r="AGF5" s="256"/>
      <c r="AGG5" s="256"/>
      <c r="AGH5" s="256"/>
      <c r="AGI5" s="256"/>
      <c r="AGJ5" s="256"/>
      <c r="AGK5" s="256"/>
      <c r="AGL5" s="256"/>
      <c r="AGM5" s="256"/>
      <c r="AGN5" s="256"/>
      <c r="AGO5" s="256"/>
      <c r="AGP5" s="256"/>
      <c r="AGQ5" s="256"/>
      <c r="AGR5" s="256"/>
      <c r="AGS5" s="256"/>
      <c r="AGT5" s="256"/>
      <c r="AGU5" s="256"/>
      <c r="AGV5" s="256"/>
      <c r="AGW5" s="256"/>
      <c r="AGX5" s="256"/>
      <c r="AGY5" s="256"/>
      <c r="AGZ5" s="256"/>
      <c r="AHA5" s="256"/>
      <c r="AHB5" s="256"/>
      <c r="AHC5" s="256"/>
      <c r="AHD5" s="256"/>
      <c r="AHE5" s="256"/>
      <c r="AHF5" s="256"/>
      <c r="AHG5" s="256"/>
      <c r="AHH5" s="256"/>
      <c r="AHI5" s="256"/>
      <c r="AHJ5" s="256"/>
      <c r="AHK5" s="256"/>
      <c r="AHL5" s="256"/>
      <c r="AHM5" s="256"/>
      <c r="AHN5" s="256"/>
      <c r="AHO5" s="256"/>
      <c r="AHP5" s="256"/>
      <c r="AHQ5" s="256"/>
      <c r="AHR5" s="256"/>
      <c r="AHS5" s="256"/>
      <c r="AHT5" s="256"/>
      <c r="AHU5" s="256"/>
      <c r="AHV5" s="256"/>
      <c r="AHW5" s="256"/>
      <c r="AHX5" s="256"/>
      <c r="AHY5" s="256"/>
      <c r="AHZ5" s="256"/>
      <c r="AIA5" s="256"/>
      <c r="AIB5" s="256"/>
      <c r="AIC5" s="256"/>
      <c r="AID5" s="256"/>
      <c r="AIE5" s="256"/>
      <c r="AIF5" s="256"/>
      <c r="AIG5" s="256"/>
      <c r="AIH5" s="256"/>
      <c r="AII5" s="256"/>
      <c r="AIJ5" s="256"/>
      <c r="AIK5" s="256"/>
      <c r="AIL5" s="256"/>
      <c r="AIM5" s="256"/>
      <c r="AIN5" s="256"/>
      <c r="AIO5" s="256"/>
      <c r="AIP5" s="256"/>
      <c r="AIQ5" s="256"/>
      <c r="AIR5" s="256"/>
      <c r="AIS5" s="256"/>
      <c r="AIT5" s="256"/>
      <c r="AIU5" s="256"/>
      <c r="AIV5" s="256"/>
      <c r="AIW5" s="256"/>
      <c r="AIX5" s="256"/>
      <c r="AIY5" s="256"/>
      <c r="AIZ5" s="256"/>
      <c r="AJA5" s="256"/>
      <c r="AJB5" s="256"/>
      <c r="AJC5" s="256"/>
      <c r="AJD5" s="256"/>
      <c r="AJE5" s="256"/>
      <c r="AJF5" s="256"/>
      <c r="AJG5" s="256"/>
      <c r="AJH5" s="256"/>
      <c r="AJI5" s="256"/>
      <c r="AJJ5" s="256"/>
      <c r="AJK5" s="256"/>
      <c r="AJL5" s="256"/>
      <c r="AJM5" s="256"/>
      <c r="AJN5" s="256"/>
      <c r="AJO5" s="256"/>
      <c r="AJP5" s="256"/>
      <c r="AJQ5" s="256"/>
      <c r="AJR5" s="256"/>
      <c r="AJS5" s="256"/>
      <c r="AJT5" s="256"/>
      <c r="AJU5" s="256"/>
      <c r="AJV5" s="256"/>
      <c r="AJW5" s="256"/>
      <c r="AJX5" s="256"/>
      <c r="AJY5" s="256"/>
      <c r="AJZ5" s="256"/>
      <c r="AKA5" s="256"/>
      <c r="AKB5" s="256"/>
      <c r="AKC5" s="256"/>
      <c r="AKD5" s="256"/>
      <c r="AKE5" s="256"/>
      <c r="AKF5" s="256"/>
      <c r="AKG5" s="256"/>
      <c r="AKH5" s="256"/>
      <c r="AKI5" s="256"/>
      <c r="AKJ5" s="256"/>
      <c r="AKK5" s="256"/>
      <c r="AKL5" s="256"/>
      <c r="AKM5" s="256"/>
      <c r="AKN5" s="256"/>
      <c r="AKO5" s="256"/>
      <c r="AKP5" s="256"/>
      <c r="AKQ5" s="256"/>
      <c r="AKR5" s="256"/>
      <c r="AKS5" s="256"/>
      <c r="AKT5" s="256"/>
      <c r="AKU5" s="256"/>
      <c r="AKV5" s="256"/>
      <c r="AKW5" s="256"/>
      <c r="AKX5" s="256"/>
      <c r="AKY5" s="256"/>
      <c r="AKZ5" s="256"/>
      <c r="ALA5" s="256"/>
      <c r="ALB5" s="256"/>
      <c r="ALC5" s="256"/>
      <c r="ALD5" s="256"/>
      <c r="ALE5" s="256"/>
      <c r="ALF5" s="256"/>
      <c r="ALG5" s="256"/>
      <c r="ALH5" s="256"/>
      <c r="ALI5" s="256"/>
      <c r="ALJ5" s="256"/>
      <c r="ALK5" s="256"/>
      <c r="ALL5" s="256"/>
      <c r="ALM5" s="256"/>
      <c r="ALN5" s="256"/>
      <c r="ALO5" s="256"/>
      <c r="ALP5" s="256"/>
      <c r="ALQ5" s="256"/>
      <c r="ALR5" s="256"/>
      <c r="ALS5" s="256"/>
      <c r="ALT5" s="256"/>
      <c r="ALU5" s="256"/>
      <c r="ALV5" s="256"/>
      <c r="ALW5" s="256"/>
      <c r="ALX5" s="256"/>
      <c r="ALY5" s="256"/>
      <c r="ALZ5" s="256"/>
      <c r="AMA5" s="258"/>
      <c r="AMB5" s="258"/>
      <c r="AMC5" s="258"/>
      <c r="AMD5" s="258"/>
      <c r="AME5" s="258"/>
      <c r="AMF5" s="258"/>
      <c r="AMG5" s="258"/>
      <c r="AMH5" s="258"/>
      <c r="AMI5" s="256"/>
    </row>
    <row r="6" spans="1:1023" s="259" customFormat="1" ht="8.25" customHeight="1" x14ac:dyDescent="0.25">
      <c r="A6" s="256"/>
      <c r="B6" s="260"/>
      <c r="C6" s="189"/>
      <c r="D6" s="188"/>
      <c r="E6" s="427"/>
      <c r="F6" s="427"/>
      <c r="G6" s="427"/>
      <c r="H6" s="427"/>
      <c r="I6" s="427"/>
      <c r="J6" s="256"/>
      <c r="K6" s="256"/>
      <c r="L6" s="256"/>
      <c r="M6" s="256"/>
      <c r="N6" s="256"/>
      <c r="O6" s="256"/>
      <c r="P6" s="256"/>
      <c r="Q6" s="256"/>
      <c r="R6" s="256"/>
      <c r="S6" s="256"/>
      <c r="T6" s="256"/>
      <c r="U6" s="256"/>
      <c r="V6" s="256"/>
      <c r="W6" s="256"/>
      <c r="X6" s="256"/>
      <c r="Y6" s="256"/>
      <c r="Z6" s="256"/>
      <c r="AA6" s="256"/>
      <c r="AB6" s="256"/>
      <c r="AC6" s="256"/>
      <c r="AD6" s="256"/>
      <c r="AE6" s="256"/>
      <c r="AF6" s="256"/>
      <c r="AG6" s="256"/>
      <c r="AH6" s="256"/>
      <c r="AI6" s="256"/>
      <c r="AJ6" s="256"/>
      <c r="AK6" s="256"/>
      <c r="AL6" s="256"/>
      <c r="AM6" s="256"/>
      <c r="AN6" s="256"/>
      <c r="AO6" s="256"/>
      <c r="AP6" s="256"/>
      <c r="AQ6" s="256"/>
      <c r="AR6" s="256"/>
      <c r="AS6" s="256"/>
      <c r="AT6" s="256"/>
      <c r="AU6" s="256"/>
      <c r="AV6" s="256"/>
      <c r="AW6" s="256"/>
      <c r="AX6" s="256"/>
      <c r="AY6" s="256"/>
      <c r="AZ6" s="256"/>
      <c r="BA6" s="256"/>
      <c r="BB6" s="256"/>
      <c r="BC6" s="256"/>
      <c r="BD6" s="256"/>
      <c r="BE6" s="256"/>
      <c r="BF6" s="256"/>
      <c r="BG6" s="256"/>
      <c r="BH6" s="256"/>
      <c r="BI6" s="256"/>
      <c r="BJ6" s="256"/>
      <c r="BK6" s="256"/>
      <c r="BL6" s="256"/>
      <c r="BM6" s="256"/>
      <c r="BN6" s="256"/>
      <c r="BO6" s="256"/>
      <c r="BP6" s="256"/>
      <c r="BQ6" s="256"/>
      <c r="BR6" s="256"/>
      <c r="BS6" s="256"/>
      <c r="BT6" s="256"/>
      <c r="BU6" s="256"/>
      <c r="BV6" s="256"/>
      <c r="BW6" s="256"/>
      <c r="BX6" s="256"/>
      <c r="BY6" s="256"/>
      <c r="BZ6" s="256"/>
      <c r="CA6" s="256"/>
      <c r="CB6" s="256"/>
      <c r="CC6" s="256"/>
      <c r="CD6" s="256"/>
      <c r="CE6" s="256"/>
      <c r="CF6" s="256"/>
      <c r="CG6" s="256"/>
      <c r="CH6" s="256"/>
      <c r="CI6" s="256"/>
      <c r="CJ6" s="256"/>
      <c r="CK6" s="256"/>
      <c r="CL6" s="256"/>
      <c r="CM6" s="256"/>
      <c r="CN6" s="256"/>
      <c r="CO6" s="256"/>
      <c r="CP6" s="256"/>
      <c r="CQ6" s="256"/>
      <c r="CR6" s="256"/>
      <c r="CS6" s="256"/>
      <c r="CT6" s="256"/>
      <c r="CU6" s="256"/>
      <c r="CV6" s="256"/>
      <c r="CW6" s="256"/>
      <c r="CX6" s="256"/>
      <c r="CY6" s="256"/>
      <c r="CZ6" s="256"/>
      <c r="DA6" s="256"/>
      <c r="DB6" s="256"/>
      <c r="DC6" s="256"/>
      <c r="DD6" s="256"/>
      <c r="DE6" s="256"/>
      <c r="DF6" s="256"/>
      <c r="DG6" s="256"/>
      <c r="DH6" s="256"/>
      <c r="DI6" s="256"/>
      <c r="DJ6" s="256"/>
      <c r="DK6" s="256"/>
      <c r="DL6" s="256"/>
      <c r="DM6" s="256"/>
      <c r="DN6" s="256"/>
      <c r="DO6" s="256"/>
      <c r="DP6" s="256"/>
      <c r="DQ6" s="256"/>
      <c r="DR6" s="256"/>
      <c r="DS6" s="256"/>
      <c r="DT6" s="256"/>
      <c r="DU6" s="256"/>
      <c r="DV6" s="256"/>
      <c r="DW6" s="256"/>
      <c r="DX6" s="256"/>
      <c r="DY6" s="256"/>
      <c r="DZ6" s="256"/>
      <c r="EA6" s="256"/>
      <c r="EB6" s="256"/>
      <c r="EC6" s="256"/>
      <c r="ED6" s="256"/>
      <c r="EE6" s="256"/>
      <c r="EF6" s="256"/>
      <c r="EG6" s="256"/>
      <c r="EH6" s="256"/>
      <c r="EI6" s="256"/>
      <c r="EJ6" s="256"/>
      <c r="EK6" s="256"/>
      <c r="EL6" s="256"/>
      <c r="EM6" s="256"/>
      <c r="EN6" s="256"/>
      <c r="EO6" s="256"/>
      <c r="EP6" s="256"/>
      <c r="EQ6" s="256"/>
      <c r="ER6" s="256"/>
      <c r="ES6" s="256"/>
      <c r="ET6" s="256"/>
      <c r="EU6" s="256"/>
      <c r="EV6" s="256"/>
      <c r="EW6" s="256"/>
      <c r="EX6" s="256"/>
      <c r="EY6" s="256"/>
      <c r="EZ6" s="256"/>
      <c r="FA6" s="256"/>
      <c r="FB6" s="256"/>
      <c r="FC6" s="256"/>
      <c r="FD6" s="256"/>
      <c r="FE6" s="256"/>
      <c r="FF6" s="256"/>
      <c r="FG6" s="256"/>
      <c r="FH6" s="256"/>
      <c r="FI6" s="256"/>
      <c r="FJ6" s="256"/>
      <c r="FK6" s="256"/>
      <c r="FL6" s="256"/>
      <c r="FM6" s="256"/>
      <c r="FN6" s="256"/>
      <c r="FO6" s="256"/>
      <c r="FP6" s="256"/>
      <c r="FQ6" s="256"/>
      <c r="FR6" s="256"/>
      <c r="FS6" s="256"/>
      <c r="FT6" s="256"/>
      <c r="FU6" s="256"/>
      <c r="FV6" s="256"/>
      <c r="FW6" s="256"/>
      <c r="FX6" s="256"/>
      <c r="FY6" s="256"/>
      <c r="FZ6" s="256"/>
      <c r="GA6" s="256"/>
      <c r="GB6" s="256"/>
      <c r="GC6" s="256"/>
      <c r="GD6" s="256"/>
      <c r="GE6" s="256"/>
      <c r="GF6" s="256"/>
      <c r="GG6" s="256"/>
      <c r="GH6" s="256"/>
      <c r="GI6" s="256"/>
      <c r="GJ6" s="256"/>
      <c r="GK6" s="256"/>
      <c r="GL6" s="256"/>
      <c r="GM6" s="256"/>
      <c r="GN6" s="256"/>
      <c r="GO6" s="256"/>
      <c r="GP6" s="256"/>
      <c r="GQ6" s="256"/>
      <c r="GR6" s="256"/>
      <c r="GS6" s="256"/>
      <c r="GT6" s="256"/>
      <c r="GU6" s="256"/>
      <c r="GV6" s="256"/>
      <c r="GW6" s="256"/>
      <c r="GX6" s="256"/>
      <c r="GY6" s="256"/>
      <c r="GZ6" s="256"/>
      <c r="HA6" s="256"/>
      <c r="HB6" s="256"/>
      <c r="HC6" s="256"/>
      <c r="HD6" s="256"/>
      <c r="HE6" s="256"/>
      <c r="HF6" s="256"/>
      <c r="HG6" s="256"/>
      <c r="HH6" s="256"/>
      <c r="HI6" s="256"/>
      <c r="HJ6" s="256"/>
      <c r="HK6" s="256"/>
      <c r="HL6" s="256"/>
      <c r="HM6" s="256"/>
      <c r="HN6" s="256"/>
      <c r="HO6" s="256"/>
      <c r="HP6" s="256"/>
      <c r="HQ6" s="256"/>
      <c r="HR6" s="256"/>
      <c r="HS6" s="256"/>
      <c r="HT6" s="256"/>
      <c r="HU6" s="256"/>
      <c r="HV6" s="256"/>
      <c r="HW6" s="256"/>
      <c r="HX6" s="256"/>
      <c r="HY6" s="256"/>
      <c r="HZ6" s="256"/>
      <c r="IA6" s="256"/>
      <c r="IB6" s="256"/>
      <c r="IC6" s="256"/>
      <c r="ID6" s="256"/>
      <c r="IE6" s="256"/>
      <c r="IF6" s="256"/>
      <c r="IG6" s="256"/>
      <c r="IH6" s="256"/>
      <c r="II6" s="256"/>
      <c r="IJ6" s="256"/>
      <c r="IK6" s="256"/>
      <c r="IL6" s="256"/>
      <c r="IM6" s="256"/>
      <c r="IN6" s="256"/>
      <c r="IO6" s="256"/>
      <c r="IP6" s="256"/>
      <c r="IQ6" s="256"/>
      <c r="IR6" s="256"/>
      <c r="IS6" s="256"/>
      <c r="IT6" s="256"/>
      <c r="IU6" s="256"/>
      <c r="IV6" s="256"/>
      <c r="IW6" s="256"/>
      <c r="IX6" s="256"/>
      <c r="IY6" s="256"/>
      <c r="IZ6" s="256"/>
      <c r="JA6" s="256"/>
      <c r="JB6" s="256"/>
      <c r="JC6" s="256"/>
      <c r="JD6" s="256"/>
      <c r="JE6" s="256"/>
      <c r="JF6" s="256"/>
      <c r="JG6" s="256"/>
      <c r="JH6" s="256"/>
      <c r="JI6" s="256"/>
      <c r="JJ6" s="256"/>
      <c r="JK6" s="256"/>
      <c r="JL6" s="256"/>
      <c r="JM6" s="256"/>
      <c r="JN6" s="256"/>
      <c r="JO6" s="256"/>
      <c r="JP6" s="256"/>
      <c r="JQ6" s="256"/>
      <c r="JR6" s="256"/>
      <c r="JS6" s="256"/>
      <c r="JT6" s="256"/>
      <c r="JU6" s="256"/>
      <c r="JV6" s="256"/>
      <c r="JW6" s="256"/>
      <c r="JX6" s="256"/>
      <c r="JY6" s="256"/>
      <c r="JZ6" s="256"/>
      <c r="KA6" s="256"/>
      <c r="KB6" s="256"/>
      <c r="KC6" s="256"/>
      <c r="KD6" s="256"/>
      <c r="KE6" s="256"/>
      <c r="KF6" s="256"/>
      <c r="KG6" s="256"/>
      <c r="KH6" s="256"/>
      <c r="KI6" s="256"/>
      <c r="KJ6" s="256"/>
      <c r="KK6" s="256"/>
      <c r="KL6" s="256"/>
      <c r="KM6" s="256"/>
      <c r="KN6" s="256"/>
      <c r="KO6" s="256"/>
      <c r="KP6" s="256"/>
      <c r="KQ6" s="256"/>
      <c r="KR6" s="256"/>
      <c r="KS6" s="256"/>
      <c r="KT6" s="256"/>
      <c r="KU6" s="256"/>
      <c r="KV6" s="256"/>
      <c r="KW6" s="256"/>
      <c r="KX6" s="256"/>
      <c r="KY6" s="256"/>
      <c r="KZ6" s="256"/>
      <c r="LA6" s="256"/>
      <c r="LB6" s="256"/>
      <c r="LC6" s="256"/>
      <c r="LD6" s="256"/>
      <c r="LE6" s="256"/>
      <c r="LF6" s="256"/>
      <c r="LG6" s="256"/>
      <c r="LH6" s="256"/>
      <c r="LI6" s="256"/>
      <c r="LJ6" s="256"/>
      <c r="LK6" s="256"/>
      <c r="LL6" s="256"/>
      <c r="LM6" s="256"/>
      <c r="LN6" s="256"/>
      <c r="LO6" s="256"/>
      <c r="LP6" s="256"/>
      <c r="LQ6" s="256"/>
      <c r="LR6" s="256"/>
      <c r="LS6" s="256"/>
      <c r="LT6" s="256"/>
      <c r="LU6" s="256"/>
      <c r="LV6" s="256"/>
      <c r="LW6" s="256"/>
      <c r="LX6" s="256"/>
      <c r="LY6" s="256"/>
      <c r="LZ6" s="256"/>
      <c r="MA6" s="256"/>
      <c r="MB6" s="256"/>
      <c r="MC6" s="256"/>
      <c r="MD6" s="256"/>
      <c r="ME6" s="256"/>
      <c r="MF6" s="256"/>
      <c r="MG6" s="256"/>
      <c r="MH6" s="256"/>
      <c r="MI6" s="256"/>
      <c r="MJ6" s="256"/>
      <c r="MK6" s="256"/>
      <c r="ML6" s="256"/>
      <c r="MM6" s="256"/>
      <c r="MN6" s="256"/>
      <c r="MO6" s="256"/>
      <c r="MP6" s="256"/>
      <c r="MQ6" s="256"/>
      <c r="MR6" s="256"/>
      <c r="MS6" s="256"/>
      <c r="MT6" s="256"/>
      <c r="MU6" s="256"/>
      <c r="MV6" s="256"/>
      <c r="MW6" s="256"/>
      <c r="MX6" s="256"/>
      <c r="MY6" s="256"/>
      <c r="MZ6" s="256"/>
      <c r="NA6" s="256"/>
      <c r="NB6" s="256"/>
      <c r="NC6" s="256"/>
      <c r="ND6" s="256"/>
      <c r="NE6" s="256"/>
      <c r="NF6" s="256"/>
      <c r="NG6" s="256"/>
      <c r="NH6" s="256"/>
      <c r="NI6" s="256"/>
      <c r="NJ6" s="256"/>
      <c r="NK6" s="256"/>
      <c r="NL6" s="256"/>
      <c r="NM6" s="256"/>
      <c r="NN6" s="256"/>
      <c r="NO6" s="256"/>
      <c r="NP6" s="256"/>
      <c r="NQ6" s="256"/>
      <c r="NR6" s="256"/>
      <c r="NS6" s="256"/>
      <c r="NT6" s="256"/>
      <c r="NU6" s="256"/>
      <c r="NV6" s="256"/>
      <c r="NW6" s="256"/>
      <c r="NX6" s="256"/>
      <c r="NY6" s="256"/>
      <c r="NZ6" s="256"/>
      <c r="OA6" s="256"/>
      <c r="OB6" s="256"/>
      <c r="OC6" s="256"/>
      <c r="OD6" s="256"/>
      <c r="OE6" s="256"/>
      <c r="OF6" s="256"/>
      <c r="OG6" s="256"/>
      <c r="OH6" s="256"/>
      <c r="OI6" s="256"/>
      <c r="OJ6" s="256"/>
      <c r="OK6" s="256"/>
      <c r="OL6" s="256"/>
      <c r="OM6" s="256"/>
      <c r="ON6" s="256"/>
      <c r="OO6" s="256"/>
      <c r="OP6" s="256"/>
      <c r="OQ6" s="256"/>
      <c r="OR6" s="256"/>
      <c r="OS6" s="256"/>
      <c r="OT6" s="256"/>
      <c r="OU6" s="256"/>
      <c r="OV6" s="256"/>
      <c r="OW6" s="256"/>
      <c r="OX6" s="256"/>
      <c r="OY6" s="256"/>
      <c r="OZ6" s="256"/>
      <c r="PA6" s="256"/>
      <c r="PB6" s="256"/>
      <c r="PC6" s="256"/>
      <c r="PD6" s="256"/>
      <c r="PE6" s="256"/>
      <c r="PF6" s="256"/>
      <c r="PG6" s="256"/>
      <c r="PH6" s="256"/>
      <c r="PI6" s="256"/>
      <c r="PJ6" s="256"/>
      <c r="PK6" s="256"/>
      <c r="PL6" s="256"/>
      <c r="PM6" s="256"/>
      <c r="PN6" s="256"/>
      <c r="PO6" s="256"/>
      <c r="PP6" s="256"/>
      <c r="PQ6" s="256"/>
      <c r="PR6" s="256"/>
      <c r="PS6" s="256"/>
      <c r="PT6" s="256"/>
      <c r="PU6" s="256"/>
      <c r="PV6" s="256"/>
      <c r="PW6" s="256"/>
      <c r="PX6" s="256"/>
      <c r="PY6" s="256"/>
      <c r="PZ6" s="256"/>
      <c r="QA6" s="256"/>
      <c r="QB6" s="256"/>
      <c r="QC6" s="256"/>
      <c r="QD6" s="256"/>
      <c r="QE6" s="256"/>
      <c r="QF6" s="256"/>
      <c r="QG6" s="256"/>
      <c r="QH6" s="256"/>
      <c r="QI6" s="256"/>
      <c r="QJ6" s="256"/>
      <c r="QK6" s="256"/>
      <c r="QL6" s="256"/>
      <c r="QM6" s="256"/>
      <c r="QN6" s="256"/>
      <c r="QO6" s="256"/>
      <c r="QP6" s="256"/>
      <c r="QQ6" s="256"/>
      <c r="QR6" s="256"/>
      <c r="QS6" s="256"/>
      <c r="QT6" s="256"/>
      <c r="QU6" s="256"/>
      <c r="QV6" s="256"/>
      <c r="QW6" s="256"/>
      <c r="QX6" s="256"/>
      <c r="QY6" s="256"/>
      <c r="QZ6" s="256"/>
      <c r="RA6" s="256"/>
      <c r="RB6" s="256"/>
      <c r="RC6" s="256"/>
      <c r="RD6" s="256"/>
      <c r="RE6" s="256"/>
      <c r="RF6" s="256"/>
      <c r="RG6" s="256"/>
      <c r="RH6" s="256"/>
      <c r="RI6" s="256"/>
      <c r="RJ6" s="256"/>
      <c r="RK6" s="256"/>
      <c r="RL6" s="256"/>
      <c r="RM6" s="256"/>
      <c r="RN6" s="256"/>
      <c r="RO6" s="256"/>
      <c r="RP6" s="256"/>
      <c r="RQ6" s="256"/>
      <c r="RR6" s="256"/>
      <c r="RS6" s="256"/>
      <c r="RT6" s="256"/>
      <c r="RU6" s="256"/>
      <c r="RV6" s="256"/>
      <c r="RW6" s="256"/>
      <c r="RX6" s="256"/>
      <c r="RY6" s="256"/>
      <c r="RZ6" s="256"/>
      <c r="SA6" s="256"/>
      <c r="SB6" s="256"/>
      <c r="SC6" s="256"/>
      <c r="SD6" s="256"/>
      <c r="SE6" s="256"/>
      <c r="SF6" s="256"/>
      <c r="SG6" s="256"/>
      <c r="SH6" s="256"/>
      <c r="SI6" s="256"/>
      <c r="SJ6" s="256"/>
      <c r="SK6" s="256"/>
      <c r="SL6" s="256"/>
      <c r="SM6" s="256"/>
      <c r="SN6" s="256"/>
      <c r="SO6" s="256"/>
      <c r="SP6" s="256"/>
      <c r="SQ6" s="256"/>
      <c r="SR6" s="256"/>
      <c r="SS6" s="256"/>
      <c r="ST6" s="256"/>
      <c r="SU6" s="256"/>
      <c r="SV6" s="256"/>
      <c r="SW6" s="256"/>
      <c r="SX6" s="256"/>
      <c r="SY6" s="256"/>
      <c r="SZ6" s="256"/>
      <c r="TA6" s="256"/>
      <c r="TB6" s="256"/>
      <c r="TC6" s="256"/>
      <c r="TD6" s="256"/>
      <c r="TE6" s="256"/>
      <c r="TF6" s="256"/>
      <c r="TG6" s="256"/>
      <c r="TH6" s="256"/>
      <c r="TI6" s="256"/>
      <c r="TJ6" s="256"/>
      <c r="TK6" s="256"/>
      <c r="TL6" s="256"/>
      <c r="TM6" s="256"/>
      <c r="TN6" s="256"/>
      <c r="TO6" s="256"/>
      <c r="TP6" s="256"/>
      <c r="TQ6" s="256"/>
      <c r="TR6" s="256"/>
      <c r="TS6" s="256"/>
      <c r="TT6" s="256"/>
      <c r="TU6" s="256"/>
      <c r="TV6" s="256"/>
      <c r="TW6" s="256"/>
      <c r="TX6" s="256"/>
      <c r="TY6" s="256"/>
      <c r="TZ6" s="256"/>
      <c r="UA6" s="256"/>
      <c r="UB6" s="256"/>
      <c r="UC6" s="256"/>
      <c r="UD6" s="256"/>
      <c r="UE6" s="256"/>
      <c r="UF6" s="256"/>
      <c r="UG6" s="256"/>
      <c r="UH6" s="256"/>
      <c r="UI6" s="256"/>
      <c r="UJ6" s="256"/>
      <c r="UK6" s="256"/>
      <c r="UL6" s="256"/>
      <c r="UM6" s="256"/>
      <c r="UN6" s="256"/>
      <c r="UO6" s="256"/>
      <c r="UP6" s="256"/>
      <c r="UQ6" s="256"/>
      <c r="UR6" s="256"/>
      <c r="US6" s="256"/>
      <c r="UT6" s="256"/>
      <c r="UU6" s="256"/>
      <c r="UV6" s="256"/>
      <c r="UW6" s="256"/>
      <c r="UX6" s="256"/>
      <c r="UY6" s="256"/>
      <c r="UZ6" s="256"/>
      <c r="VA6" s="256"/>
      <c r="VB6" s="256"/>
      <c r="VC6" s="256"/>
      <c r="VD6" s="256"/>
      <c r="VE6" s="256"/>
      <c r="VF6" s="256"/>
      <c r="VG6" s="256"/>
      <c r="VH6" s="256"/>
      <c r="VI6" s="256"/>
      <c r="VJ6" s="256"/>
      <c r="VK6" s="256"/>
      <c r="VL6" s="256"/>
      <c r="VM6" s="256"/>
      <c r="VN6" s="256"/>
      <c r="VO6" s="256"/>
      <c r="VP6" s="256"/>
      <c r="VQ6" s="256"/>
      <c r="VR6" s="256"/>
      <c r="VS6" s="256"/>
      <c r="VT6" s="256"/>
      <c r="VU6" s="256"/>
      <c r="VV6" s="256"/>
      <c r="VW6" s="256"/>
      <c r="VX6" s="256"/>
      <c r="VY6" s="256"/>
      <c r="VZ6" s="256"/>
      <c r="WA6" s="256"/>
      <c r="WB6" s="256"/>
      <c r="WC6" s="256"/>
      <c r="WD6" s="256"/>
      <c r="WE6" s="256"/>
      <c r="WF6" s="256"/>
      <c r="WG6" s="256"/>
      <c r="WH6" s="256"/>
      <c r="WI6" s="256"/>
      <c r="WJ6" s="256"/>
      <c r="WK6" s="256"/>
      <c r="WL6" s="256"/>
      <c r="WM6" s="256"/>
      <c r="WN6" s="256"/>
      <c r="WO6" s="256"/>
      <c r="WP6" s="256"/>
      <c r="WQ6" s="256"/>
      <c r="WR6" s="256"/>
      <c r="WS6" s="256"/>
      <c r="WT6" s="256"/>
      <c r="WU6" s="256"/>
      <c r="WV6" s="256"/>
      <c r="WW6" s="256"/>
      <c r="WX6" s="256"/>
      <c r="WY6" s="256"/>
      <c r="WZ6" s="256"/>
      <c r="XA6" s="256"/>
      <c r="XB6" s="256"/>
      <c r="XC6" s="256"/>
      <c r="XD6" s="256"/>
      <c r="XE6" s="256"/>
      <c r="XF6" s="256"/>
      <c r="XG6" s="256"/>
      <c r="XH6" s="256"/>
      <c r="XI6" s="256"/>
      <c r="XJ6" s="256"/>
      <c r="XK6" s="256"/>
      <c r="XL6" s="256"/>
      <c r="XM6" s="256"/>
      <c r="XN6" s="256"/>
      <c r="XO6" s="256"/>
      <c r="XP6" s="256"/>
      <c r="XQ6" s="256"/>
      <c r="XR6" s="256"/>
      <c r="XS6" s="256"/>
      <c r="XT6" s="256"/>
      <c r="XU6" s="256"/>
      <c r="XV6" s="256"/>
      <c r="XW6" s="256"/>
      <c r="XX6" s="256"/>
      <c r="XY6" s="256"/>
      <c r="XZ6" s="256"/>
      <c r="YA6" s="256"/>
      <c r="YB6" s="256"/>
      <c r="YC6" s="256"/>
      <c r="YD6" s="256"/>
      <c r="YE6" s="256"/>
      <c r="YF6" s="256"/>
      <c r="YG6" s="256"/>
      <c r="YH6" s="256"/>
      <c r="YI6" s="256"/>
      <c r="YJ6" s="256"/>
      <c r="YK6" s="256"/>
      <c r="YL6" s="256"/>
      <c r="YM6" s="256"/>
      <c r="YN6" s="256"/>
      <c r="YO6" s="256"/>
      <c r="YP6" s="256"/>
      <c r="YQ6" s="256"/>
      <c r="YR6" s="256"/>
      <c r="YS6" s="256"/>
      <c r="YT6" s="256"/>
      <c r="YU6" s="256"/>
      <c r="YV6" s="256"/>
      <c r="YW6" s="256"/>
      <c r="YX6" s="256"/>
      <c r="YY6" s="256"/>
      <c r="YZ6" s="256"/>
      <c r="ZA6" s="256"/>
      <c r="ZB6" s="256"/>
      <c r="ZC6" s="256"/>
      <c r="ZD6" s="256"/>
      <c r="ZE6" s="256"/>
      <c r="ZF6" s="256"/>
      <c r="ZG6" s="256"/>
      <c r="ZH6" s="256"/>
      <c r="ZI6" s="256"/>
      <c r="ZJ6" s="256"/>
      <c r="ZK6" s="256"/>
      <c r="ZL6" s="256"/>
      <c r="ZM6" s="256"/>
      <c r="ZN6" s="256"/>
      <c r="ZO6" s="256"/>
      <c r="ZP6" s="256"/>
      <c r="ZQ6" s="256"/>
      <c r="ZR6" s="256"/>
      <c r="ZS6" s="256"/>
      <c r="ZT6" s="256"/>
      <c r="ZU6" s="256"/>
      <c r="ZV6" s="256"/>
      <c r="ZW6" s="256"/>
      <c r="ZX6" s="256"/>
      <c r="ZY6" s="256"/>
      <c r="ZZ6" s="256"/>
      <c r="AAA6" s="256"/>
      <c r="AAB6" s="256"/>
      <c r="AAC6" s="256"/>
      <c r="AAD6" s="256"/>
      <c r="AAE6" s="256"/>
      <c r="AAF6" s="256"/>
      <c r="AAG6" s="256"/>
      <c r="AAH6" s="256"/>
      <c r="AAI6" s="256"/>
      <c r="AAJ6" s="256"/>
      <c r="AAK6" s="256"/>
      <c r="AAL6" s="256"/>
      <c r="AAM6" s="256"/>
      <c r="AAN6" s="256"/>
      <c r="AAO6" s="256"/>
      <c r="AAP6" s="256"/>
      <c r="AAQ6" s="256"/>
      <c r="AAR6" s="256"/>
      <c r="AAS6" s="256"/>
      <c r="AAT6" s="256"/>
      <c r="AAU6" s="256"/>
      <c r="AAV6" s="256"/>
      <c r="AAW6" s="256"/>
      <c r="AAX6" s="256"/>
      <c r="AAY6" s="256"/>
      <c r="AAZ6" s="256"/>
      <c r="ABA6" s="256"/>
      <c r="ABB6" s="256"/>
      <c r="ABC6" s="256"/>
      <c r="ABD6" s="256"/>
      <c r="ABE6" s="256"/>
      <c r="ABF6" s="256"/>
      <c r="ABG6" s="256"/>
      <c r="ABH6" s="256"/>
      <c r="ABI6" s="256"/>
      <c r="ABJ6" s="256"/>
      <c r="ABK6" s="256"/>
      <c r="ABL6" s="256"/>
      <c r="ABM6" s="256"/>
      <c r="ABN6" s="256"/>
      <c r="ABO6" s="256"/>
      <c r="ABP6" s="256"/>
      <c r="ABQ6" s="256"/>
      <c r="ABR6" s="256"/>
      <c r="ABS6" s="256"/>
      <c r="ABT6" s="256"/>
      <c r="ABU6" s="256"/>
      <c r="ABV6" s="256"/>
      <c r="ABW6" s="256"/>
      <c r="ABX6" s="256"/>
      <c r="ABY6" s="256"/>
      <c r="ABZ6" s="256"/>
      <c r="ACA6" s="256"/>
      <c r="ACB6" s="256"/>
      <c r="ACC6" s="256"/>
      <c r="ACD6" s="256"/>
      <c r="ACE6" s="256"/>
      <c r="ACF6" s="256"/>
      <c r="ACG6" s="256"/>
      <c r="ACH6" s="256"/>
      <c r="ACI6" s="256"/>
      <c r="ACJ6" s="256"/>
      <c r="ACK6" s="256"/>
      <c r="ACL6" s="256"/>
      <c r="ACM6" s="256"/>
      <c r="ACN6" s="256"/>
      <c r="ACO6" s="256"/>
      <c r="ACP6" s="256"/>
      <c r="ACQ6" s="256"/>
      <c r="ACR6" s="256"/>
      <c r="ACS6" s="256"/>
      <c r="ACT6" s="256"/>
      <c r="ACU6" s="256"/>
      <c r="ACV6" s="256"/>
      <c r="ACW6" s="256"/>
      <c r="ACX6" s="256"/>
      <c r="ACY6" s="256"/>
      <c r="ACZ6" s="256"/>
      <c r="ADA6" s="256"/>
      <c r="ADB6" s="256"/>
      <c r="ADC6" s="256"/>
      <c r="ADD6" s="256"/>
      <c r="ADE6" s="256"/>
      <c r="ADF6" s="256"/>
      <c r="ADG6" s="256"/>
      <c r="ADH6" s="256"/>
      <c r="ADI6" s="256"/>
      <c r="ADJ6" s="256"/>
      <c r="ADK6" s="256"/>
      <c r="ADL6" s="256"/>
      <c r="ADM6" s="256"/>
      <c r="ADN6" s="256"/>
      <c r="ADO6" s="256"/>
      <c r="ADP6" s="256"/>
      <c r="ADQ6" s="256"/>
      <c r="ADR6" s="256"/>
      <c r="ADS6" s="256"/>
      <c r="ADT6" s="256"/>
      <c r="ADU6" s="256"/>
      <c r="ADV6" s="256"/>
      <c r="ADW6" s="256"/>
      <c r="ADX6" s="256"/>
      <c r="ADY6" s="256"/>
      <c r="ADZ6" s="256"/>
      <c r="AEA6" s="256"/>
      <c r="AEB6" s="256"/>
      <c r="AEC6" s="256"/>
      <c r="AED6" s="256"/>
      <c r="AEE6" s="256"/>
      <c r="AEF6" s="256"/>
      <c r="AEG6" s="256"/>
      <c r="AEH6" s="256"/>
      <c r="AEI6" s="256"/>
      <c r="AEJ6" s="256"/>
      <c r="AEK6" s="256"/>
      <c r="AEL6" s="256"/>
      <c r="AEM6" s="256"/>
      <c r="AEN6" s="256"/>
      <c r="AEO6" s="256"/>
      <c r="AEP6" s="256"/>
      <c r="AEQ6" s="256"/>
      <c r="AER6" s="256"/>
      <c r="AES6" s="256"/>
      <c r="AET6" s="256"/>
      <c r="AEU6" s="256"/>
      <c r="AEV6" s="256"/>
      <c r="AEW6" s="256"/>
      <c r="AEX6" s="256"/>
      <c r="AEY6" s="256"/>
      <c r="AEZ6" s="256"/>
      <c r="AFA6" s="256"/>
      <c r="AFB6" s="256"/>
      <c r="AFC6" s="256"/>
      <c r="AFD6" s="256"/>
      <c r="AFE6" s="256"/>
      <c r="AFF6" s="256"/>
      <c r="AFG6" s="256"/>
      <c r="AFH6" s="256"/>
      <c r="AFI6" s="256"/>
      <c r="AFJ6" s="256"/>
      <c r="AFK6" s="256"/>
      <c r="AFL6" s="256"/>
      <c r="AFM6" s="256"/>
      <c r="AFN6" s="256"/>
      <c r="AFO6" s="256"/>
      <c r="AFP6" s="256"/>
      <c r="AFQ6" s="256"/>
      <c r="AFR6" s="256"/>
      <c r="AFS6" s="256"/>
      <c r="AFT6" s="256"/>
      <c r="AFU6" s="256"/>
      <c r="AFV6" s="256"/>
      <c r="AFW6" s="256"/>
      <c r="AFX6" s="256"/>
      <c r="AFY6" s="256"/>
      <c r="AFZ6" s="256"/>
      <c r="AGA6" s="256"/>
      <c r="AGB6" s="256"/>
      <c r="AGC6" s="256"/>
      <c r="AGD6" s="256"/>
      <c r="AGE6" s="256"/>
      <c r="AGF6" s="256"/>
      <c r="AGG6" s="256"/>
      <c r="AGH6" s="256"/>
      <c r="AGI6" s="256"/>
      <c r="AGJ6" s="256"/>
      <c r="AGK6" s="256"/>
      <c r="AGL6" s="256"/>
      <c r="AGM6" s="256"/>
      <c r="AGN6" s="256"/>
      <c r="AGO6" s="256"/>
      <c r="AGP6" s="256"/>
      <c r="AGQ6" s="256"/>
      <c r="AGR6" s="256"/>
      <c r="AGS6" s="256"/>
      <c r="AGT6" s="256"/>
      <c r="AGU6" s="256"/>
      <c r="AGV6" s="256"/>
      <c r="AGW6" s="256"/>
      <c r="AGX6" s="256"/>
      <c r="AGY6" s="256"/>
      <c r="AGZ6" s="256"/>
      <c r="AHA6" s="256"/>
      <c r="AHB6" s="256"/>
      <c r="AHC6" s="256"/>
      <c r="AHD6" s="256"/>
      <c r="AHE6" s="256"/>
      <c r="AHF6" s="256"/>
      <c r="AHG6" s="256"/>
      <c r="AHH6" s="256"/>
      <c r="AHI6" s="256"/>
      <c r="AHJ6" s="256"/>
      <c r="AHK6" s="256"/>
      <c r="AHL6" s="256"/>
      <c r="AHM6" s="256"/>
      <c r="AHN6" s="256"/>
      <c r="AHO6" s="256"/>
      <c r="AHP6" s="256"/>
      <c r="AHQ6" s="256"/>
      <c r="AHR6" s="256"/>
      <c r="AHS6" s="256"/>
      <c r="AHT6" s="256"/>
      <c r="AHU6" s="256"/>
      <c r="AHV6" s="256"/>
      <c r="AHW6" s="256"/>
      <c r="AHX6" s="256"/>
      <c r="AHY6" s="256"/>
      <c r="AHZ6" s="256"/>
      <c r="AIA6" s="256"/>
      <c r="AIB6" s="256"/>
      <c r="AIC6" s="256"/>
      <c r="AID6" s="256"/>
      <c r="AIE6" s="256"/>
      <c r="AIF6" s="256"/>
      <c r="AIG6" s="256"/>
      <c r="AIH6" s="256"/>
      <c r="AII6" s="256"/>
      <c r="AIJ6" s="256"/>
      <c r="AIK6" s="256"/>
      <c r="AIL6" s="256"/>
      <c r="AIM6" s="256"/>
      <c r="AIN6" s="256"/>
      <c r="AIO6" s="256"/>
      <c r="AIP6" s="256"/>
      <c r="AIQ6" s="256"/>
      <c r="AIR6" s="256"/>
      <c r="AIS6" s="256"/>
      <c r="AIT6" s="256"/>
      <c r="AIU6" s="256"/>
      <c r="AIV6" s="256"/>
      <c r="AIW6" s="256"/>
      <c r="AIX6" s="256"/>
      <c r="AIY6" s="256"/>
      <c r="AIZ6" s="256"/>
      <c r="AJA6" s="256"/>
      <c r="AJB6" s="256"/>
      <c r="AJC6" s="256"/>
      <c r="AJD6" s="256"/>
      <c r="AJE6" s="256"/>
      <c r="AJF6" s="256"/>
      <c r="AJG6" s="256"/>
      <c r="AJH6" s="256"/>
      <c r="AJI6" s="256"/>
      <c r="AJJ6" s="256"/>
      <c r="AJK6" s="256"/>
      <c r="AJL6" s="256"/>
      <c r="AJM6" s="256"/>
      <c r="AJN6" s="256"/>
      <c r="AJO6" s="256"/>
      <c r="AJP6" s="256"/>
      <c r="AJQ6" s="256"/>
      <c r="AJR6" s="256"/>
      <c r="AJS6" s="256"/>
      <c r="AJT6" s="256"/>
      <c r="AJU6" s="256"/>
      <c r="AJV6" s="256"/>
      <c r="AJW6" s="256"/>
      <c r="AJX6" s="256"/>
      <c r="AJY6" s="256"/>
      <c r="AJZ6" s="256"/>
      <c r="AKA6" s="256"/>
      <c r="AKB6" s="256"/>
      <c r="AKC6" s="256"/>
      <c r="AKD6" s="256"/>
      <c r="AKE6" s="256"/>
      <c r="AKF6" s="256"/>
      <c r="AKG6" s="256"/>
      <c r="AKH6" s="256"/>
      <c r="AKI6" s="256"/>
      <c r="AKJ6" s="256"/>
      <c r="AKK6" s="256"/>
      <c r="AKL6" s="256"/>
      <c r="AKM6" s="256"/>
      <c r="AKN6" s="256"/>
      <c r="AKO6" s="256"/>
      <c r="AKP6" s="256"/>
      <c r="AKQ6" s="256"/>
      <c r="AKR6" s="256"/>
      <c r="AKS6" s="256"/>
      <c r="AKT6" s="256"/>
      <c r="AKU6" s="256"/>
      <c r="AKV6" s="256"/>
      <c r="AKW6" s="256"/>
      <c r="AKX6" s="256"/>
      <c r="AKY6" s="256"/>
      <c r="AKZ6" s="256"/>
      <c r="ALA6" s="256"/>
      <c r="ALB6" s="256"/>
      <c r="ALC6" s="256"/>
      <c r="ALD6" s="256"/>
      <c r="ALE6" s="256"/>
      <c r="ALF6" s="256"/>
      <c r="ALG6" s="256"/>
      <c r="ALH6" s="256"/>
      <c r="ALI6" s="256"/>
      <c r="ALJ6" s="256"/>
      <c r="ALK6" s="256"/>
      <c r="ALL6" s="256"/>
      <c r="ALM6" s="256"/>
      <c r="ALN6" s="256"/>
      <c r="ALO6" s="256"/>
      <c r="ALP6" s="256"/>
      <c r="ALQ6" s="256"/>
      <c r="ALR6" s="256"/>
      <c r="ALS6" s="256"/>
      <c r="ALT6" s="256"/>
      <c r="ALU6" s="256"/>
      <c r="ALV6" s="256"/>
      <c r="ALW6" s="256"/>
      <c r="ALX6" s="256"/>
      <c r="ALY6" s="256"/>
      <c r="ALZ6" s="256"/>
      <c r="AMA6" s="258"/>
      <c r="AMB6" s="258"/>
      <c r="AMC6" s="258"/>
      <c r="AMD6" s="258"/>
      <c r="AME6" s="258"/>
      <c r="AMF6" s="258"/>
      <c r="AMG6" s="258"/>
      <c r="AMH6" s="258"/>
      <c r="AMI6" s="256"/>
    </row>
    <row r="7" spans="1:1023" s="259" customFormat="1" ht="15" customHeight="1" x14ac:dyDescent="0.25">
      <c r="A7" s="256"/>
      <c r="B7" s="256"/>
      <c r="C7" s="185" t="s">
        <v>29</v>
      </c>
      <c r="D7" s="188"/>
      <c r="E7" s="748" t="s">
        <v>418</v>
      </c>
      <c r="F7" s="749"/>
      <c r="G7" s="749"/>
      <c r="H7" s="749"/>
      <c r="I7" s="750"/>
      <c r="J7" s="180"/>
      <c r="K7" s="256"/>
      <c r="L7" s="256"/>
      <c r="M7" s="256"/>
      <c r="N7" s="180"/>
      <c r="O7" s="180"/>
      <c r="P7" s="256"/>
      <c r="Q7" s="256"/>
      <c r="R7" s="256"/>
      <c r="S7" s="256"/>
      <c r="T7" s="256"/>
      <c r="U7" s="256"/>
      <c r="V7" s="256"/>
      <c r="W7" s="256"/>
      <c r="X7" s="256"/>
      <c r="Y7" s="256"/>
      <c r="Z7" s="256"/>
      <c r="AA7" s="256"/>
      <c r="AB7" s="256"/>
      <c r="AC7" s="256"/>
      <c r="AD7" s="256"/>
      <c r="AE7" s="256"/>
      <c r="AF7" s="256"/>
      <c r="AG7" s="256"/>
      <c r="AH7" s="256"/>
      <c r="AI7" s="256"/>
      <c r="AJ7" s="256"/>
      <c r="AK7" s="256"/>
      <c r="AL7" s="256"/>
      <c r="AM7" s="256"/>
      <c r="AN7" s="256"/>
      <c r="AO7" s="256"/>
      <c r="AP7" s="256"/>
      <c r="AQ7" s="256"/>
      <c r="AR7" s="256"/>
      <c r="AS7" s="256"/>
      <c r="AT7" s="256"/>
      <c r="AU7" s="256"/>
      <c r="AV7" s="256"/>
      <c r="AW7" s="256"/>
      <c r="AX7" s="256"/>
      <c r="AY7" s="256"/>
      <c r="AZ7" s="256"/>
      <c r="BA7" s="256"/>
      <c r="BB7" s="256"/>
      <c r="BC7" s="256"/>
      <c r="BD7" s="256"/>
      <c r="BE7" s="256"/>
      <c r="BF7" s="256"/>
      <c r="BG7" s="256"/>
      <c r="BH7" s="256"/>
      <c r="BI7" s="256"/>
      <c r="BJ7" s="256"/>
      <c r="BK7" s="256"/>
      <c r="BL7" s="256"/>
      <c r="BM7" s="256"/>
      <c r="BN7" s="256"/>
      <c r="BO7" s="256"/>
      <c r="BP7" s="256"/>
      <c r="BQ7" s="256"/>
      <c r="BR7" s="256"/>
      <c r="BS7" s="256"/>
      <c r="BT7" s="256"/>
      <c r="BU7" s="256"/>
      <c r="BV7" s="256"/>
      <c r="BW7" s="256"/>
      <c r="BX7" s="256"/>
      <c r="BY7" s="256"/>
      <c r="BZ7" s="256"/>
      <c r="CA7" s="256"/>
      <c r="CB7" s="256"/>
      <c r="CC7" s="256"/>
      <c r="CD7" s="256"/>
      <c r="CE7" s="256"/>
      <c r="CF7" s="256"/>
      <c r="CG7" s="256"/>
      <c r="CH7" s="256"/>
      <c r="CI7" s="256"/>
      <c r="CJ7" s="256"/>
      <c r="CK7" s="256"/>
      <c r="CL7" s="256"/>
      <c r="CM7" s="256"/>
      <c r="CN7" s="256"/>
      <c r="CO7" s="256"/>
      <c r="CP7" s="256"/>
      <c r="CQ7" s="256"/>
      <c r="CR7" s="256"/>
      <c r="CS7" s="256"/>
      <c r="CT7" s="256"/>
      <c r="CU7" s="256"/>
      <c r="CV7" s="256"/>
      <c r="CW7" s="256"/>
      <c r="CX7" s="256"/>
      <c r="CY7" s="256"/>
      <c r="CZ7" s="256"/>
      <c r="DA7" s="256"/>
      <c r="DB7" s="256"/>
      <c r="DC7" s="256"/>
      <c r="DD7" s="256"/>
      <c r="DE7" s="256"/>
      <c r="DF7" s="256"/>
      <c r="DG7" s="256"/>
      <c r="DH7" s="256"/>
      <c r="DI7" s="256"/>
      <c r="DJ7" s="256"/>
      <c r="DK7" s="256"/>
      <c r="DL7" s="256"/>
      <c r="DM7" s="256"/>
      <c r="DN7" s="256"/>
      <c r="DO7" s="256"/>
      <c r="DP7" s="256"/>
      <c r="DQ7" s="256"/>
      <c r="DR7" s="256"/>
      <c r="DS7" s="256"/>
      <c r="DT7" s="256"/>
      <c r="DU7" s="256"/>
      <c r="DV7" s="256"/>
      <c r="DW7" s="256"/>
      <c r="DX7" s="256"/>
      <c r="DY7" s="256"/>
      <c r="DZ7" s="256"/>
      <c r="EA7" s="256"/>
      <c r="EB7" s="256"/>
      <c r="EC7" s="256"/>
      <c r="ED7" s="256"/>
      <c r="EE7" s="256"/>
      <c r="EF7" s="256"/>
      <c r="EG7" s="256"/>
      <c r="EH7" s="256"/>
      <c r="EI7" s="256"/>
      <c r="EJ7" s="256"/>
      <c r="EK7" s="256"/>
      <c r="EL7" s="256"/>
      <c r="EM7" s="256"/>
      <c r="EN7" s="256"/>
      <c r="EO7" s="256"/>
      <c r="EP7" s="256"/>
      <c r="EQ7" s="256"/>
      <c r="ER7" s="256"/>
      <c r="ES7" s="256"/>
      <c r="ET7" s="256"/>
      <c r="EU7" s="256"/>
      <c r="EV7" s="256"/>
      <c r="EW7" s="256"/>
      <c r="EX7" s="256"/>
      <c r="EY7" s="256"/>
      <c r="EZ7" s="256"/>
      <c r="FA7" s="256"/>
      <c r="FB7" s="256"/>
      <c r="FC7" s="256"/>
      <c r="FD7" s="256"/>
      <c r="FE7" s="256"/>
      <c r="FF7" s="256"/>
      <c r="FG7" s="256"/>
      <c r="FH7" s="256"/>
      <c r="FI7" s="256"/>
      <c r="FJ7" s="256"/>
      <c r="FK7" s="256"/>
      <c r="FL7" s="256"/>
      <c r="FM7" s="256"/>
      <c r="FN7" s="256"/>
      <c r="FO7" s="256"/>
      <c r="FP7" s="256"/>
      <c r="FQ7" s="256"/>
      <c r="FR7" s="256"/>
      <c r="FS7" s="256"/>
      <c r="FT7" s="256"/>
      <c r="FU7" s="256"/>
      <c r="FV7" s="256"/>
      <c r="FW7" s="256"/>
      <c r="FX7" s="256"/>
      <c r="FY7" s="256"/>
      <c r="FZ7" s="256"/>
      <c r="GA7" s="256"/>
      <c r="GB7" s="256"/>
      <c r="GC7" s="256"/>
      <c r="GD7" s="256"/>
      <c r="GE7" s="256"/>
      <c r="GF7" s="256"/>
      <c r="GG7" s="256"/>
      <c r="GH7" s="256"/>
      <c r="GI7" s="256"/>
      <c r="GJ7" s="256"/>
      <c r="GK7" s="256"/>
      <c r="GL7" s="256"/>
      <c r="GM7" s="256"/>
      <c r="GN7" s="256"/>
      <c r="GO7" s="256"/>
      <c r="GP7" s="256"/>
      <c r="GQ7" s="256"/>
      <c r="GR7" s="256"/>
      <c r="GS7" s="256"/>
      <c r="GT7" s="256"/>
      <c r="GU7" s="256"/>
      <c r="GV7" s="256"/>
      <c r="GW7" s="256"/>
      <c r="GX7" s="256"/>
      <c r="GY7" s="256"/>
      <c r="GZ7" s="256"/>
      <c r="HA7" s="256"/>
      <c r="HB7" s="256"/>
      <c r="HC7" s="256"/>
      <c r="HD7" s="256"/>
      <c r="HE7" s="256"/>
      <c r="HF7" s="256"/>
      <c r="HG7" s="256"/>
      <c r="HH7" s="256"/>
      <c r="HI7" s="256"/>
      <c r="HJ7" s="256"/>
      <c r="HK7" s="256"/>
      <c r="HL7" s="256"/>
      <c r="HM7" s="256"/>
      <c r="HN7" s="256"/>
      <c r="HO7" s="256"/>
      <c r="HP7" s="256"/>
      <c r="HQ7" s="256"/>
      <c r="HR7" s="256"/>
      <c r="HS7" s="256"/>
      <c r="HT7" s="256"/>
      <c r="HU7" s="256"/>
      <c r="HV7" s="256"/>
      <c r="HW7" s="256"/>
      <c r="HX7" s="256"/>
      <c r="HY7" s="256"/>
      <c r="HZ7" s="256"/>
      <c r="IA7" s="256"/>
      <c r="IB7" s="256"/>
      <c r="IC7" s="256"/>
      <c r="ID7" s="256"/>
      <c r="IE7" s="256"/>
      <c r="IF7" s="256"/>
      <c r="IG7" s="256"/>
      <c r="IH7" s="256"/>
      <c r="II7" s="256"/>
      <c r="IJ7" s="256"/>
      <c r="IK7" s="256"/>
      <c r="IL7" s="256"/>
      <c r="IM7" s="256"/>
      <c r="IN7" s="256"/>
      <c r="IO7" s="256"/>
      <c r="IP7" s="256"/>
      <c r="IQ7" s="256"/>
      <c r="IR7" s="256"/>
      <c r="IS7" s="256"/>
      <c r="IT7" s="256"/>
      <c r="IU7" s="256"/>
      <c r="IV7" s="256"/>
      <c r="IW7" s="256"/>
      <c r="IX7" s="256"/>
      <c r="IY7" s="256"/>
      <c r="IZ7" s="256"/>
      <c r="JA7" s="256"/>
      <c r="JB7" s="256"/>
      <c r="JC7" s="256"/>
      <c r="JD7" s="256"/>
      <c r="JE7" s="256"/>
      <c r="JF7" s="256"/>
      <c r="JG7" s="256"/>
      <c r="JH7" s="256"/>
      <c r="JI7" s="256"/>
      <c r="JJ7" s="256"/>
      <c r="JK7" s="256"/>
      <c r="JL7" s="256"/>
      <c r="JM7" s="256"/>
      <c r="JN7" s="256"/>
      <c r="JO7" s="256"/>
      <c r="JP7" s="256"/>
      <c r="JQ7" s="256"/>
      <c r="JR7" s="256"/>
      <c r="JS7" s="256"/>
      <c r="JT7" s="256"/>
      <c r="JU7" s="256"/>
      <c r="JV7" s="256"/>
      <c r="JW7" s="256"/>
      <c r="JX7" s="256"/>
      <c r="JY7" s="256"/>
      <c r="JZ7" s="256"/>
      <c r="KA7" s="256"/>
      <c r="KB7" s="256"/>
      <c r="KC7" s="256"/>
      <c r="KD7" s="256"/>
      <c r="KE7" s="256"/>
      <c r="KF7" s="256"/>
      <c r="KG7" s="256"/>
      <c r="KH7" s="256"/>
      <c r="KI7" s="256"/>
      <c r="KJ7" s="256"/>
      <c r="KK7" s="256"/>
      <c r="KL7" s="256"/>
      <c r="KM7" s="256"/>
      <c r="KN7" s="256"/>
      <c r="KO7" s="256"/>
      <c r="KP7" s="256"/>
      <c r="KQ7" s="256"/>
      <c r="KR7" s="256"/>
      <c r="KS7" s="256"/>
      <c r="KT7" s="256"/>
      <c r="KU7" s="256"/>
      <c r="KV7" s="256"/>
      <c r="KW7" s="256"/>
      <c r="KX7" s="256"/>
      <c r="KY7" s="256"/>
      <c r="KZ7" s="256"/>
      <c r="LA7" s="256"/>
      <c r="LB7" s="256"/>
      <c r="LC7" s="256"/>
      <c r="LD7" s="256"/>
      <c r="LE7" s="256"/>
      <c r="LF7" s="256"/>
      <c r="LG7" s="256"/>
      <c r="LH7" s="256"/>
      <c r="LI7" s="256"/>
      <c r="LJ7" s="256"/>
      <c r="LK7" s="256"/>
      <c r="LL7" s="256"/>
      <c r="LM7" s="256"/>
      <c r="LN7" s="256"/>
      <c r="LO7" s="256"/>
      <c r="LP7" s="256"/>
      <c r="LQ7" s="256"/>
      <c r="LR7" s="256"/>
      <c r="LS7" s="256"/>
      <c r="LT7" s="256"/>
      <c r="LU7" s="256"/>
      <c r="LV7" s="256"/>
      <c r="LW7" s="256"/>
      <c r="LX7" s="256"/>
      <c r="LY7" s="256"/>
      <c r="LZ7" s="256"/>
      <c r="MA7" s="256"/>
      <c r="MB7" s="256"/>
      <c r="MC7" s="256"/>
      <c r="MD7" s="256"/>
      <c r="ME7" s="256"/>
      <c r="MF7" s="256"/>
      <c r="MG7" s="256"/>
      <c r="MH7" s="256"/>
      <c r="MI7" s="256"/>
      <c r="MJ7" s="256"/>
      <c r="MK7" s="256"/>
      <c r="ML7" s="256"/>
      <c r="MM7" s="256"/>
      <c r="MN7" s="256"/>
      <c r="MO7" s="256"/>
      <c r="MP7" s="256"/>
      <c r="MQ7" s="256"/>
      <c r="MR7" s="256"/>
      <c r="MS7" s="256"/>
      <c r="MT7" s="256"/>
      <c r="MU7" s="256"/>
      <c r="MV7" s="256"/>
      <c r="MW7" s="256"/>
      <c r="MX7" s="256"/>
      <c r="MY7" s="256"/>
      <c r="MZ7" s="256"/>
      <c r="NA7" s="256"/>
      <c r="NB7" s="256"/>
      <c r="NC7" s="256"/>
      <c r="ND7" s="256"/>
      <c r="NE7" s="256"/>
      <c r="NF7" s="256"/>
      <c r="NG7" s="256"/>
      <c r="NH7" s="256"/>
      <c r="NI7" s="256"/>
      <c r="NJ7" s="256"/>
      <c r="NK7" s="256"/>
      <c r="NL7" s="256"/>
      <c r="NM7" s="256"/>
      <c r="NN7" s="256"/>
      <c r="NO7" s="256"/>
      <c r="NP7" s="256"/>
      <c r="NQ7" s="256"/>
      <c r="NR7" s="256"/>
      <c r="NS7" s="256"/>
      <c r="NT7" s="256"/>
      <c r="NU7" s="256"/>
      <c r="NV7" s="256"/>
      <c r="NW7" s="256"/>
      <c r="NX7" s="256"/>
      <c r="NY7" s="256"/>
      <c r="NZ7" s="256"/>
      <c r="OA7" s="256"/>
      <c r="OB7" s="256"/>
      <c r="OC7" s="256"/>
      <c r="OD7" s="256"/>
      <c r="OE7" s="256"/>
      <c r="OF7" s="256"/>
      <c r="OG7" s="256"/>
      <c r="OH7" s="256"/>
      <c r="OI7" s="256"/>
      <c r="OJ7" s="256"/>
      <c r="OK7" s="256"/>
      <c r="OL7" s="256"/>
      <c r="OM7" s="256"/>
      <c r="ON7" s="256"/>
      <c r="OO7" s="256"/>
      <c r="OP7" s="256"/>
      <c r="OQ7" s="256"/>
      <c r="OR7" s="256"/>
      <c r="OS7" s="256"/>
      <c r="OT7" s="256"/>
      <c r="OU7" s="256"/>
      <c r="OV7" s="256"/>
      <c r="OW7" s="256"/>
      <c r="OX7" s="256"/>
      <c r="OY7" s="256"/>
      <c r="OZ7" s="256"/>
      <c r="PA7" s="256"/>
      <c r="PB7" s="256"/>
      <c r="PC7" s="256"/>
      <c r="PD7" s="256"/>
      <c r="PE7" s="256"/>
      <c r="PF7" s="256"/>
      <c r="PG7" s="256"/>
      <c r="PH7" s="256"/>
      <c r="PI7" s="256"/>
      <c r="PJ7" s="256"/>
      <c r="PK7" s="256"/>
      <c r="PL7" s="256"/>
      <c r="PM7" s="256"/>
      <c r="PN7" s="256"/>
      <c r="PO7" s="256"/>
      <c r="PP7" s="256"/>
      <c r="PQ7" s="256"/>
      <c r="PR7" s="256"/>
      <c r="PS7" s="256"/>
      <c r="PT7" s="256"/>
      <c r="PU7" s="256"/>
      <c r="PV7" s="256"/>
      <c r="PW7" s="256"/>
      <c r="PX7" s="256"/>
      <c r="PY7" s="256"/>
      <c r="PZ7" s="256"/>
      <c r="QA7" s="256"/>
      <c r="QB7" s="256"/>
      <c r="QC7" s="256"/>
      <c r="QD7" s="256"/>
      <c r="QE7" s="256"/>
      <c r="QF7" s="256"/>
      <c r="QG7" s="256"/>
      <c r="QH7" s="256"/>
      <c r="QI7" s="256"/>
      <c r="QJ7" s="256"/>
      <c r="QK7" s="256"/>
      <c r="QL7" s="256"/>
      <c r="QM7" s="256"/>
      <c r="QN7" s="256"/>
      <c r="QO7" s="256"/>
      <c r="QP7" s="256"/>
      <c r="QQ7" s="256"/>
      <c r="QR7" s="256"/>
      <c r="QS7" s="256"/>
      <c r="QT7" s="256"/>
      <c r="QU7" s="256"/>
      <c r="QV7" s="256"/>
      <c r="QW7" s="256"/>
      <c r="QX7" s="256"/>
      <c r="QY7" s="256"/>
      <c r="QZ7" s="256"/>
      <c r="RA7" s="256"/>
      <c r="RB7" s="256"/>
      <c r="RC7" s="256"/>
      <c r="RD7" s="256"/>
      <c r="RE7" s="256"/>
      <c r="RF7" s="256"/>
      <c r="RG7" s="256"/>
      <c r="RH7" s="256"/>
      <c r="RI7" s="256"/>
      <c r="RJ7" s="256"/>
      <c r="RK7" s="256"/>
      <c r="RL7" s="256"/>
      <c r="RM7" s="256"/>
      <c r="RN7" s="256"/>
      <c r="RO7" s="256"/>
      <c r="RP7" s="256"/>
      <c r="RQ7" s="256"/>
      <c r="RR7" s="256"/>
      <c r="RS7" s="256"/>
      <c r="RT7" s="256"/>
      <c r="RU7" s="256"/>
      <c r="RV7" s="256"/>
      <c r="RW7" s="256"/>
      <c r="RX7" s="256"/>
      <c r="RY7" s="256"/>
      <c r="RZ7" s="256"/>
      <c r="SA7" s="256"/>
      <c r="SB7" s="256"/>
      <c r="SC7" s="256"/>
      <c r="SD7" s="256"/>
      <c r="SE7" s="256"/>
      <c r="SF7" s="256"/>
      <c r="SG7" s="256"/>
      <c r="SH7" s="256"/>
      <c r="SI7" s="256"/>
      <c r="SJ7" s="256"/>
      <c r="SK7" s="256"/>
      <c r="SL7" s="256"/>
      <c r="SM7" s="256"/>
      <c r="SN7" s="256"/>
      <c r="SO7" s="256"/>
      <c r="SP7" s="256"/>
      <c r="SQ7" s="256"/>
      <c r="SR7" s="256"/>
      <c r="SS7" s="256"/>
      <c r="ST7" s="256"/>
      <c r="SU7" s="256"/>
      <c r="SV7" s="256"/>
      <c r="SW7" s="256"/>
      <c r="SX7" s="256"/>
      <c r="SY7" s="256"/>
      <c r="SZ7" s="256"/>
      <c r="TA7" s="256"/>
      <c r="TB7" s="256"/>
      <c r="TC7" s="256"/>
      <c r="TD7" s="256"/>
      <c r="TE7" s="256"/>
      <c r="TF7" s="256"/>
      <c r="TG7" s="256"/>
      <c r="TH7" s="256"/>
      <c r="TI7" s="256"/>
      <c r="TJ7" s="256"/>
      <c r="TK7" s="256"/>
      <c r="TL7" s="256"/>
      <c r="TM7" s="256"/>
      <c r="TN7" s="256"/>
      <c r="TO7" s="256"/>
      <c r="TP7" s="256"/>
      <c r="TQ7" s="256"/>
      <c r="TR7" s="256"/>
      <c r="TS7" s="256"/>
      <c r="TT7" s="256"/>
      <c r="TU7" s="256"/>
      <c r="TV7" s="256"/>
      <c r="TW7" s="256"/>
      <c r="TX7" s="256"/>
      <c r="TY7" s="256"/>
      <c r="TZ7" s="256"/>
      <c r="UA7" s="256"/>
      <c r="UB7" s="256"/>
      <c r="UC7" s="256"/>
      <c r="UD7" s="256"/>
      <c r="UE7" s="256"/>
      <c r="UF7" s="256"/>
      <c r="UG7" s="256"/>
      <c r="UH7" s="256"/>
      <c r="UI7" s="256"/>
      <c r="UJ7" s="256"/>
      <c r="UK7" s="256"/>
      <c r="UL7" s="256"/>
      <c r="UM7" s="256"/>
      <c r="UN7" s="256"/>
      <c r="UO7" s="256"/>
      <c r="UP7" s="256"/>
      <c r="UQ7" s="256"/>
      <c r="UR7" s="256"/>
      <c r="US7" s="256"/>
      <c r="UT7" s="256"/>
      <c r="UU7" s="256"/>
      <c r="UV7" s="256"/>
      <c r="UW7" s="256"/>
      <c r="UX7" s="256"/>
      <c r="UY7" s="256"/>
      <c r="UZ7" s="256"/>
      <c r="VA7" s="256"/>
      <c r="VB7" s="256"/>
      <c r="VC7" s="256"/>
      <c r="VD7" s="256"/>
      <c r="VE7" s="256"/>
      <c r="VF7" s="256"/>
      <c r="VG7" s="256"/>
      <c r="VH7" s="256"/>
      <c r="VI7" s="256"/>
      <c r="VJ7" s="256"/>
      <c r="VK7" s="256"/>
      <c r="VL7" s="256"/>
      <c r="VM7" s="256"/>
      <c r="VN7" s="256"/>
      <c r="VO7" s="256"/>
      <c r="VP7" s="256"/>
      <c r="VQ7" s="256"/>
      <c r="VR7" s="256"/>
      <c r="VS7" s="256"/>
      <c r="VT7" s="256"/>
      <c r="VU7" s="256"/>
      <c r="VV7" s="256"/>
      <c r="VW7" s="256"/>
      <c r="VX7" s="256"/>
      <c r="VY7" s="256"/>
      <c r="VZ7" s="256"/>
      <c r="WA7" s="256"/>
      <c r="WB7" s="256"/>
      <c r="WC7" s="256"/>
      <c r="WD7" s="256"/>
      <c r="WE7" s="256"/>
      <c r="WF7" s="256"/>
      <c r="WG7" s="256"/>
      <c r="WH7" s="256"/>
      <c r="WI7" s="256"/>
      <c r="WJ7" s="256"/>
      <c r="WK7" s="256"/>
      <c r="WL7" s="256"/>
      <c r="WM7" s="256"/>
      <c r="WN7" s="256"/>
      <c r="WO7" s="256"/>
      <c r="WP7" s="256"/>
      <c r="WQ7" s="256"/>
      <c r="WR7" s="256"/>
      <c r="WS7" s="256"/>
      <c r="WT7" s="256"/>
      <c r="WU7" s="256"/>
      <c r="WV7" s="256"/>
      <c r="WW7" s="256"/>
      <c r="WX7" s="256"/>
      <c r="WY7" s="256"/>
      <c r="WZ7" s="256"/>
      <c r="XA7" s="256"/>
      <c r="XB7" s="256"/>
      <c r="XC7" s="256"/>
      <c r="XD7" s="256"/>
      <c r="XE7" s="256"/>
      <c r="XF7" s="256"/>
      <c r="XG7" s="256"/>
      <c r="XH7" s="256"/>
      <c r="XI7" s="256"/>
      <c r="XJ7" s="256"/>
      <c r="XK7" s="256"/>
      <c r="XL7" s="256"/>
      <c r="XM7" s="256"/>
      <c r="XN7" s="256"/>
      <c r="XO7" s="256"/>
      <c r="XP7" s="256"/>
      <c r="XQ7" s="256"/>
      <c r="XR7" s="256"/>
      <c r="XS7" s="256"/>
      <c r="XT7" s="256"/>
      <c r="XU7" s="256"/>
      <c r="XV7" s="256"/>
      <c r="XW7" s="256"/>
      <c r="XX7" s="256"/>
      <c r="XY7" s="256"/>
      <c r="XZ7" s="256"/>
      <c r="YA7" s="256"/>
      <c r="YB7" s="256"/>
      <c r="YC7" s="256"/>
      <c r="YD7" s="256"/>
      <c r="YE7" s="256"/>
      <c r="YF7" s="256"/>
      <c r="YG7" s="256"/>
      <c r="YH7" s="256"/>
      <c r="YI7" s="256"/>
      <c r="YJ7" s="256"/>
      <c r="YK7" s="256"/>
      <c r="YL7" s="256"/>
      <c r="YM7" s="256"/>
      <c r="YN7" s="256"/>
      <c r="YO7" s="256"/>
      <c r="YP7" s="256"/>
      <c r="YQ7" s="256"/>
      <c r="YR7" s="256"/>
      <c r="YS7" s="256"/>
      <c r="YT7" s="256"/>
      <c r="YU7" s="256"/>
      <c r="YV7" s="256"/>
      <c r="YW7" s="256"/>
      <c r="YX7" s="256"/>
      <c r="YY7" s="256"/>
      <c r="YZ7" s="256"/>
      <c r="ZA7" s="256"/>
      <c r="ZB7" s="256"/>
      <c r="ZC7" s="256"/>
      <c r="ZD7" s="256"/>
      <c r="ZE7" s="256"/>
      <c r="ZF7" s="256"/>
      <c r="ZG7" s="256"/>
      <c r="ZH7" s="256"/>
      <c r="ZI7" s="256"/>
      <c r="ZJ7" s="256"/>
      <c r="ZK7" s="256"/>
      <c r="ZL7" s="256"/>
      <c r="ZM7" s="256"/>
      <c r="ZN7" s="256"/>
      <c r="ZO7" s="256"/>
      <c r="ZP7" s="256"/>
      <c r="ZQ7" s="256"/>
      <c r="ZR7" s="256"/>
      <c r="ZS7" s="256"/>
      <c r="ZT7" s="256"/>
      <c r="ZU7" s="256"/>
      <c r="ZV7" s="256"/>
      <c r="ZW7" s="256"/>
      <c r="ZX7" s="256"/>
      <c r="ZY7" s="256"/>
      <c r="ZZ7" s="256"/>
      <c r="AAA7" s="256"/>
      <c r="AAB7" s="256"/>
      <c r="AAC7" s="256"/>
      <c r="AAD7" s="256"/>
      <c r="AAE7" s="256"/>
      <c r="AAF7" s="256"/>
      <c r="AAG7" s="256"/>
      <c r="AAH7" s="256"/>
      <c r="AAI7" s="256"/>
      <c r="AAJ7" s="256"/>
      <c r="AAK7" s="256"/>
      <c r="AAL7" s="256"/>
      <c r="AAM7" s="256"/>
      <c r="AAN7" s="256"/>
      <c r="AAO7" s="256"/>
      <c r="AAP7" s="256"/>
      <c r="AAQ7" s="256"/>
      <c r="AAR7" s="256"/>
      <c r="AAS7" s="256"/>
      <c r="AAT7" s="256"/>
      <c r="AAU7" s="256"/>
      <c r="AAV7" s="256"/>
      <c r="AAW7" s="256"/>
      <c r="AAX7" s="256"/>
      <c r="AAY7" s="256"/>
      <c r="AAZ7" s="256"/>
      <c r="ABA7" s="256"/>
      <c r="ABB7" s="256"/>
      <c r="ABC7" s="256"/>
      <c r="ABD7" s="256"/>
      <c r="ABE7" s="256"/>
      <c r="ABF7" s="256"/>
      <c r="ABG7" s="256"/>
      <c r="ABH7" s="256"/>
      <c r="ABI7" s="256"/>
      <c r="ABJ7" s="256"/>
      <c r="ABK7" s="256"/>
      <c r="ABL7" s="256"/>
      <c r="ABM7" s="256"/>
      <c r="ABN7" s="256"/>
      <c r="ABO7" s="256"/>
      <c r="ABP7" s="256"/>
      <c r="ABQ7" s="256"/>
      <c r="ABR7" s="256"/>
      <c r="ABS7" s="256"/>
      <c r="ABT7" s="256"/>
      <c r="ABU7" s="256"/>
      <c r="ABV7" s="256"/>
      <c r="ABW7" s="256"/>
      <c r="ABX7" s="256"/>
      <c r="ABY7" s="256"/>
      <c r="ABZ7" s="256"/>
      <c r="ACA7" s="256"/>
      <c r="ACB7" s="256"/>
      <c r="ACC7" s="256"/>
      <c r="ACD7" s="256"/>
      <c r="ACE7" s="256"/>
      <c r="ACF7" s="256"/>
      <c r="ACG7" s="256"/>
      <c r="ACH7" s="256"/>
      <c r="ACI7" s="256"/>
      <c r="ACJ7" s="256"/>
      <c r="ACK7" s="256"/>
      <c r="ACL7" s="256"/>
      <c r="ACM7" s="256"/>
      <c r="ACN7" s="256"/>
      <c r="ACO7" s="256"/>
      <c r="ACP7" s="256"/>
      <c r="ACQ7" s="256"/>
      <c r="ACR7" s="256"/>
      <c r="ACS7" s="256"/>
      <c r="ACT7" s="256"/>
      <c r="ACU7" s="256"/>
      <c r="ACV7" s="256"/>
      <c r="ACW7" s="256"/>
      <c r="ACX7" s="256"/>
      <c r="ACY7" s="256"/>
      <c r="ACZ7" s="256"/>
      <c r="ADA7" s="256"/>
      <c r="ADB7" s="256"/>
      <c r="ADC7" s="256"/>
      <c r="ADD7" s="256"/>
      <c r="ADE7" s="256"/>
      <c r="ADF7" s="256"/>
      <c r="ADG7" s="256"/>
      <c r="ADH7" s="256"/>
      <c r="ADI7" s="256"/>
      <c r="ADJ7" s="256"/>
      <c r="ADK7" s="256"/>
      <c r="ADL7" s="256"/>
      <c r="ADM7" s="256"/>
      <c r="ADN7" s="256"/>
      <c r="ADO7" s="256"/>
      <c r="ADP7" s="256"/>
      <c r="ADQ7" s="256"/>
      <c r="ADR7" s="256"/>
      <c r="ADS7" s="256"/>
      <c r="ADT7" s="256"/>
      <c r="ADU7" s="256"/>
      <c r="ADV7" s="256"/>
      <c r="ADW7" s="256"/>
      <c r="ADX7" s="256"/>
      <c r="ADY7" s="256"/>
      <c r="ADZ7" s="256"/>
      <c r="AEA7" s="256"/>
      <c r="AEB7" s="256"/>
      <c r="AEC7" s="256"/>
      <c r="AED7" s="256"/>
      <c r="AEE7" s="256"/>
      <c r="AEF7" s="256"/>
      <c r="AEG7" s="256"/>
      <c r="AEH7" s="256"/>
      <c r="AEI7" s="256"/>
      <c r="AEJ7" s="256"/>
      <c r="AEK7" s="256"/>
      <c r="AEL7" s="256"/>
      <c r="AEM7" s="256"/>
      <c r="AEN7" s="256"/>
      <c r="AEO7" s="256"/>
      <c r="AEP7" s="256"/>
      <c r="AEQ7" s="256"/>
      <c r="AER7" s="256"/>
      <c r="AES7" s="256"/>
      <c r="AET7" s="256"/>
      <c r="AEU7" s="256"/>
      <c r="AEV7" s="256"/>
      <c r="AEW7" s="256"/>
      <c r="AEX7" s="256"/>
      <c r="AEY7" s="256"/>
      <c r="AEZ7" s="256"/>
      <c r="AFA7" s="256"/>
      <c r="AFB7" s="256"/>
      <c r="AFC7" s="256"/>
      <c r="AFD7" s="256"/>
      <c r="AFE7" s="256"/>
      <c r="AFF7" s="256"/>
      <c r="AFG7" s="256"/>
      <c r="AFH7" s="256"/>
      <c r="AFI7" s="256"/>
      <c r="AFJ7" s="256"/>
      <c r="AFK7" s="256"/>
      <c r="AFL7" s="256"/>
      <c r="AFM7" s="256"/>
      <c r="AFN7" s="256"/>
      <c r="AFO7" s="256"/>
      <c r="AFP7" s="256"/>
      <c r="AFQ7" s="256"/>
      <c r="AFR7" s="256"/>
      <c r="AFS7" s="256"/>
      <c r="AFT7" s="256"/>
      <c r="AFU7" s="256"/>
      <c r="AFV7" s="256"/>
      <c r="AFW7" s="256"/>
      <c r="AFX7" s="256"/>
      <c r="AFY7" s="256"/>
      <c r="AFZ7" s="256"/>
      <c r="AGA7" s="256"/>
      <c r="AGB7" s="256"/>
      <c r="AGC7" s="256"/>
      <c r="AGD7" s="256"/>
      <c r="AGE7" s="256"/>
      <c r="AGF7" s="256"/>
      <c r="AGG7" s="256"/>
      <c r="AGH7" s="256"/>
      <c r="AGI7" s="256"/>
      <c r="AGJ7" s="256"/>
      <c r="AGK7" s="256"/>
      <c r="AGL7" s="256"/>
      <c r="AGM7" s="256"/>
      <c r="AGN7" s="256"/>
      <c r="AGO7" s="256"/>
      <c r="AGP7" s="256"/>
      <c r="AGQ7" s="256"/>
      <c r="AGR7" s="256"/>
      <c r="AGS7" s="256"/>
      <c r="AGT7" s="256"/>
      <c r="AGU7" s="256"/>
      <c r="AGV7" s="256"/>
      <c r="AGW7" s="256"/>
      <c r="AGX7" s="256"/>
      <c r="AGY7" s="256"/>
      <c r="AGZ7" s="256"/>
      <c r="AHA7" s="256"/>
      <c r="AHB7" s="256"/>
      <c r="AHC7" s="256"/>
      <c r="AHD7" s="256"/>
      <c r="AHE7" s="256"/>
      <c r="AHF7" s="256"/>
      <c r="AHG7" s="256"/>
      <c r="AHH7" s="256"/>
      <c r="AHI7" s="256"/>
      <c r="AHJ7" s="256"/>
      <c r="AHK7" s="256"/>
      <c r="AHL7" s="256"/>
      <c r="AHM7" s="256"/>
      <c r="AHN7" s="256"/>
      <c r="AHO7" s="256"/>
      <c r="AHP7" s="256"/>
      <c r="AHQ7" s="256"/>
      <c r="AHR7" s="256"/>
      <c r="AHS7" s="256"/>
      <c r="AHT7" s="256"/>
      <c r="AHU7" s="256"/>
      <c r="AHV7" s="256"/>
      <c r="AHW7" s="256"/>
      <c r="AHX7" s="256"/>
      <c r="AHY7" s="256"/>
      <c r="AHZ7" s="256"/>
      <c r="AIA7" s="256"/>
      <c r="AIB7" s="256"/>
      <c r="AIC7" s="256"/>
      <c r="AID7" s="256"/>
      <c r="AIE7" s="256"/>
      <c r="AIF7" s="256"/>
      <c r="AIG7" s="256"/>
      <c r="AIH7" s="256"/>
      <c r="AII7" s="256"/>
      <c r="AIJ7" s="256"/>
      <c r="AIK7" s="256"/>
      <c r="AIL7" s="256"/>
      <c r="AIM7" s="256"/>
      <c r="AIN7" s="256"/>
      <c r="AIO7" s="256"/>
      <c r="AIP7" s="256"/>
      <c r="AIQ7" s="256"/>
      <c r="AIR7" s="256"/>
      <c r="AIS7" s="256"/>
      <c r="AIT7" s="256"/>
      <c r="AIU7" s="256"/>
      <c r="AIV7" s="256"/>
      <c r="AIW7" s="256"/>
      <c r="AIX7" s="256"/>
      <c r="AIY7" s="256"/>
      <c r="AIZ7" s="256"/>
      <c r="AJA7" s="256"/>
      <c r="AJB7" s="256"/>
      <c r="AJC7" s="256"/>
      <c r="AJD7" s="256"/>
      <c r="AJE7" s="256"/>
      <c r="AJF7" s="256"/>
      <c r="AJG7" s="256"/>
      <c r="AJH7" s="256"/>
      <c r="AJI7" s="256"/>
      <c r="AJJ7" s="256"/>
      <c r="AJK7" s="256"/>
      <c r="AJL7" s="256"/>
      <c r="AJM7" s="256"/>
      <c r="AJN7" s="256"/>
      <c r="AJO7" s="256"/>
      <c r="AJP7" s="256"/>
      <c r="AJQ7" s="256"/>
      <c r="AJR7" s="256"/>
      <c r="AJS7" s="256"/>
      <c r="AJT7" s="256"/>
      <c r="AJU7" s="256"/>
      <c r="AJV7" s="256"/>
      <c r="AJW7" s="256"/>
      <c r="AJX7" s="256"/>
      <c r="AJY7" s="256"/>
      <c r="AJZ7" s="256"/>
      <c r="AKA7" s="256"/>
      <c r="AKB7" s="256"/>
      <c r="AKC7" s="256"/>
      <c r="AKD7" s="256"/>
      <c r="AKE7" s="256"/>
      <c r="AKF7" s="256"/>
      <c r="AKG7" s="256"/>
      <c r="AKH7" s="256"/>
      <c r="AKI7" s="256"/>
      <c r="AKJ7" s="256"/>
      <c r="AKK7" s="256"/>
      <c r="AKL7" s="256"/>
      <c r="AKM7" s="256"/>
      <c r="AKN7" s="256"/>
      <c r="AKO7" s="256"/>
      <c r="AKP7" s="256"/>
      <c r="AKQ7" s="256"/>
      <c r="AKR7" s="256"/>
      <c r="AKS7" s="256"/>
      <c r="AKT7" s="256"/>
      <c r="AKU7" s="256"/>
      <c r="AKV7" s="256"/>
      <c r="AKW7" s="256"/>
      <c r="AKX7" s="256"/>
      <c r="AKY7" s="256"/>
      <c r="AKZ7" s="256"/>
      <c r="ALA7" s="256"/>
      <c r="ALB7" s="256"/>
      <c r="ALC7" s="256"/>
      <c r="ALD7" s="256"/>
      <c r="ALE7" s="256"/>
      <c r="ALF7" s="256"/>
      <c r="ALG7" s="256"/>
      <c r="ALH7" s="256"/>
      <c r="ALI7" s="256"/>
      <c r="ALJ7" s="256"/>
      <c r="ALK7" s="256"/>
      <c r="ALL7" s="256"/>
      <c r="ALM7" s="256"/>
      <c r="ALN7" s="256"/>
      <c r="ALO7" s="256"/>
      <c r="ALP7" s="256"/>
      <c r="ALQ7" s="256"/>
      <c r="ALR7" s="256"/>
      <c r="ALS7" s="256"/>
      <c r="ALT7" s="256"/>
      <c r="ALU7" s="256"/>
      <c r="ALV7" s="256"/>
      <c r="ALW7" s="256"/>
      <c r="ALX7" s="256"/>
      <c r="ALY7" s="256"/>
      <c r="ALZ7" s="256"/>
      <c r="AMA7" s="258"/>
      <c r="AMB7" s="258"/>
      <c r="AMC7" s="258"/>
      <c r="AMD7" s="258"/>
      <c r="AME7" s="258"/>
      <c r="AMF7" s="258"/>
      <c r="AMG7" s="258"/>
      <c r="AMH7" s="258"/>
      <c r="AMI7" s="256"/>
    </row>
    <row r="8" spans="1:1023" s="259" customFormat="1" ht="8.25" customHeight="1" x14ac:dyDescent="0.25">
      <c r="A8" s="256"/>
      <c r="B8" s="260"/>
      <c r="C8" s="189"/>
      <c r="D8" s="188"/>
      <c r="E8" s="428"/>
      <c r="F8" s="428"/>
      <c r="G8" s="428"/>
      <c r="H8" s="428"/>
      <c r="I8" s="428"/>
      <c r="J8" s="180"/>
      <c r="K8" s="256"/>
      <c r="L8" s="256"/>
      <c r="M8" s="256"/>
      <c r="N8" s="180"/>
      <c r="O8" s="180"/>
      <c r="P8" s="180"/>
      <c r="Q8" s="256"/>
      <c r="R8" s="256"/>
      <c r="S8" s="256"/>
      <c r="T8" s="256"/>
      <c r="U8" s="256"/>
      <c r="V8" s="256"/>
      <c r="W8" s="256"/>
      <c r="X8" s="256"/>
      <c r="Y8" s="256"/>
      <c r="Z8" s="256"/>
      <c r="AA8" s="256"/>
      <c r="AB8" s="256"/>
      <c r="AC8" s="256"/>
      <c r="AD8" s="256"/>
      <c r="AE8" s="256"/>
      <c r="AF8" s="256"/>
      <c r="AG8" s="256"/>
      <c r="AH8" s="256"/>
      <c r="AI8" s="256"/>
      <c r="AJ8" s="256"/>
      <c r="AK8" s="256"/>
      <c r="AL8" s="256"/>
      <c r="AM8" s="256"/>
      <c r="AN8" s="256"/>
      <c r="AO8" s="256"/>
      <c r="AP8" s="256"/>
      <c r="AQ8" s="256"/>
      <c r="AR8" s="256"/>
      <c r="AS8" s="256"/>
      <c r="AT8" s="256"/>
      <c r="AU8" s="256"/>
      <c r="AV8" s="256"/>
      <c r="AW8" s="256"/>
      <c r="AX8" s="256"/>
      <c r="AY8" s="256"/>
      <c r="AZ8" s="256"/>
      <c r="BA8" s="256"/>
      <c r="BB8" s="256"/>
      <c r="BC8" s="256"/>
      <c r="BD8" s="256"/>
      <c r="BE8" s="256"/>
      <c r="BF8" s="256"/>
      <c r="BG8" s="256"/>
      <c r="BH8" s="256"/>
      <c r="BI8" s="256"/>
      <c r="BJ8" s="256"/>
      <c r="BK8" s="256"/>
      <c r="BL8" s="256"/>
      <c r="BM8" s="256"/>
      <c r="BN8" s="256"/>
      <c r="BO8" s="256"/>
      <c r="BP8" s="256"/>
      <c r="BQ8" s="256"/>
      <c r="BR8" s="256"/>
      <c r="BS8" s="256"/>
      <c r="BT8" s="256"/>
      <c r="BU8" s="256"/>
      <c r="BV8" s="256"/>
      <c r="BW8" s="256"/>
      <c r="BX8" s="256"/>
      <c r="BY8" s="256"/>
      <c r="BZ8" s="256"/>
      <c r="CA8" s="256"/>
      <c r="CB8" s="256"/>
      <c r="CC8" s="256"/>
      <c r="CD8" s="256"/>
      <c r="CE8" s="256"/>
      <c r="CF8" s="256"/>
      <c r="CG8" s="256"/>
      <c r="CH8" s="256"/>
      <c r="CI8" s="256"/>
      <c r="CJ8" s="256"/>
      <c r="CK8" s="256"/>
      <c r="CL8" s="256"/>
      <c r="CM8" s="256"/>
      <c r="CN8" s="256"/>
      <c r="CO8" s="256"/>
      <c r="CP8" s="256"/>
      <c r="CQ8" s="256"/>
      <c r="CR8" s="256"/>
      <c r="CS8" s="256"/>
      <c r="CT8" s="256"/>
      <c r="CU8" s="256"/>
      <c r="CV8" s="256"/>
      <c r="CW8" s="256"/>
      <c r="CX8" s="256"/>
      <c r="CY8" s="256"/>
      <c r="CZ8" s="256"/>
      <c r="DA8" s="256"/>
      <c r="DB8" s="256"/>
      <c r="DC8" s="256"/>
      <c r="DD8" s="256"/>
      <c r="DE8" s="256"/>
      <c r="DF8" s="256"/>
      <c r="DG8" s="256"/>
      <c r="DH8" s="256"/>
      <c r="DI8" s="256"/>
      <c r="DJ8" s="256"/>
      <c r="DK8" s="256"/>
      <c r="DL8" s="256"/>
      <c r="DM8" s="256"/>
      <c r="DN8" s="256"/>
      <c r="DO8" s="256"/>
      <c r="DP8" s="256"/>
      <c r="DQ8" s="256"/>
      <c r="DR8" s="256"/>
      <c r="DS8" s="256"/>
      <c r="DT8" s="256"/>
      <c r="DU8" s="256"/>
      <c r="DV8" s="256"/>
      <c r="DW8" s="256"/>
      <c r="DX8" s="256"/>
      <c r="DY8" s="256"/>
      <c r="DZ8" s="256"/>
      <c r="EA8" s="256"/>
      <c r="EB8" s="256"/>
      <c r="EC8" s="256"/>
      <c r="ED8" s="256"/>
      <c r="EE8" s="256"/>
      <c r="EF8" s="256"/>
      <c r="EG8" s="256"/>
      <c r="EH8" s="256"/>
      <c r="EI8" s="256"/>
      <c r="EJ8" s="256"/>
      <c r="EK8" s="256"/>
      <c r="EL8" s="256"/>
      <c r="EM8" s="256"/>
      <c r="EN8" s="256"/>
      <c r="EO8" s="256"/>
      <c r="EP8" s="256"/>
      <c r="EQ8" s="256"/>
      <c r="ER8" s="256"/>
      <c r="ES8" s="256"/>
      <c r="ET8" s="256"/>
      <c r="EU8" s="256"/>
      <c r="EV8" s="256"/>
      <c r="EW8" s="256"/>
      <c r="EX8" s="256"/>
      <c r="EY8" s="256"/>
      <c r="EZ8" s="256"/>
      <c r="FA8" s="256"/>
      <c r="FB8" s="256"/>
      <c r="FC8" s="256"/>
      <c r="FD8" s="256"/>
      <c r="FE8" s="256"/>
      <c r="FF8" s="256"/>
      <c r="FG8" s="256"/>
      <c r="FH8" s="256"/>
      <c r="FI8" s="256"/>
      <c r="FJ8" s="256"/>
      <c r="FK8" s="256"/>
      <c r="FL8" s="256"/>
      <c r="FM8" s="256"/>
      <c r="FN8" s="256"/>
      <c r="FO8" s="256"/>
      <c r="FP8" s="256"/>
      <c r="FQ8" s="256"/>
      <c r="FR8" s="256"/>
      <c r="FS8" s="256"/>
      <c r="FT8" s="256"/>
      <c r="FU8" s="256"/>
      <c r="FV8" s="256"/>
      <c r="FW8" s="256"/>
      <c r="FX8" s="256"/>
      <c r="FY8" s="256"/>
      <c r="FZ8" s="256"/>
      <c r="GA8" s="256"/>
      <c r="GB8" s="256"/>
      <c r="GC8" s="256"/>
      <c r="GD8" s="256"/>
      <c r="GE8" s="256"/>
      <c r="GF8" s="256"/>
      <c r="GG8" s="256"/>
      <c r="GH8" s="256"/>
      <c r="GI8" s="256"/>
      <c r="GJ8" s="256"/>
      <c r="GK8" s="256"/>
      <c r="GL8" s="256"/>
      <c r="GM8" s="256"/>
      <c r="GN8" s="256"/>
      <c r="GO8" s="256"/>
      <c r="GP8" s="256"/>
      <c r="GQ8" s="256"/>
      <c r="GR8" s="256"/>
      <c r="GS8" s="256"/>
      <c r="GT8" s="256"/>
      <c r="GU8" s="256"/>
      <c r="GV8" s="256"/>
      <c r="GW8" s="256"/>
      <c r="GX8" s="256"/>
      <c r="GY8" s="256"/>
      <c r="GZ8" s="256"/>
      <c r="HA8" s="256"/>
      <c r="HB8" s="256"/>
      <c r="HC8" s="256"/>
      <c r="HD8" s="256"/>
      <c r="HE8" s="256"/>
      <c r="HF8" s="256"/>
      <c r="HG8" s="256"/>
      <c r="HH8" s="256"/>
      <c r="HI8" s="256"/>
      <c r="HJ8" s="256"/>
      <c r="HK8" s="256"/>
      <c r="HL8" s="256"/>
      <c r="HM8" s="256"/>
      <c r="HN8" s="256"/>
      <c r="HO8" s="256"/>
      <c r="HP8" s="256"/>
      <c r="HQ8" s="256"/>
      <c r="HR8" s="256"/>
      <c r="HS8" s="256"/>
      <c r="HT8" s="256"/>
      <c r="HU8" s="256"/>
      <c r="HV8" s="256"/>
      <c r="HW8" s="256"/>
      <c r="HX8" s="256"/>
      <c r="HY8" s="256"/>
      <c r="HZ8" s="256"/>
      <c r="IA8" s="256"/>
      <c r="IB8" s="256"/>
      <c r="IC8" s="256"/>
      <c r="ID8" s="256"/>
      <c r="IE8" s="256"/>
      <c r="IF8" s="256"/>
      <c r="IG8" s="256"/>
      <c r="IH8" s="256"/>
      <c r="II8" s="256"/>
      <c r="IJ8" s="256"/>
      <c r="IK8" s="256"/>
      <c r="IL8" s="256"/>
      <c r="IM8" s="256"/>
      <c r="IN8" s="256"/>
      <c r="IO8" s="256"/>
      <c r="IP8" s="256"/>
      <c r="IQ8" s="256"/>
      <c r="IR8" s="256"/>
      <c r="IS8" s="256"/>
      <c r="IT8" s="256"/>
      <c r="IU8" s="256"/>
      <c r="IV8" s="256"/>
      <c r="IW8" s="256"/>
      <c r="IX8" s="256"/>
      <c r="IY8" s="256"/>
      <c r="IZ8" s="256"/>
      <c r="JA8" s="256"/>
      <c r="JB8" s="256"/>
      <c r="JC8" s="256"/>
      <c r="JD8" s="256"/>
      <c r="JE8" s="256"/>
      <c r="JF8" s="256"/>
      <c r="JG8" s="256"/>
      <c r="JH8" s="256"/>
      <c r="JI8" s="256"/>
      <c r="JJ8" s="256"/>
      <c r="JK8" s="256"/>
      <c r="JL8" s="256"/>
      <c r="JM8" s="256"/>
      <c r="JN8" s="256"/>
      <c r="JO8" s="256"/>
      <c r="JP8" s="256"/>
      <c r="JQ8" s="256"/>
      <c r="JR8" s="256"/>
      <c r="JS8" s="256"/>
      <c r="JT8" s="256"/>
      <c r="JU8" s="256"/>
      <c r="JV8" s="256"/>
      <c r="JW8" s="256"/>
      <c r="JX8" s="256"/>
      <c r="JY8" s="256"/>
      <c r="JZ8" s="256"/>
      <c r="KA8" s="256"/>
      <c r="KB8" s="256"/>
      <c r="KC8" s="256"/>
      <c r="KD8" s="256"/>
      <c r="KE8" s="256"/>
      <c r="KF8" s="256"/>
      <c r="KG8" s="256"/>
      <c r="KH8" s="256"/>
      <c r="KI8" s="256"/>
      <c r="KJ8" s="256"/>
      <c r="KK8" s="256"/>
      <c r="KL8" s="256"/>
      <c r="KM8" s="256"/>
      <c r="KN8" s="256"/>
      <c r="KO8" s="256"/>
      <c r="KP8" s="256"/>
      <c r="KQ8" s="256"/>
      <c r="KR8" s="256"/>
      <c r="KS8" s="256"/>
      <c r="KT8" s="256"/>
      <c r="KU8" s="256"/>
      <c r="KV8" s="256"/>
      <c r="KW8" s="256"/>
      <c r="KX8" s="256"/>
      <c r="KY8" s="256"/>
      <c r="KZ8" s="256"/>
      <c r="LA8" s="256"/>
      <c r="LB8" s="256"/>
      <c r="LC8" s="256"/>
      <c r="LD8" s="256"/>
      <c r="LE8" s="256"/>
      <c r="LF8" s="256"/>
      <c r="LG8" s="256"/>
      <c r="LH8" s="256"/>
      <c r="LI8" s="256"/>
      <c r="LJ8" s="256"/>
      <c r="LK8" s="256"/>
      <c r="LL8" s="256"/>
      <c r="LM8" s="256"/>
      <c r="LN8" s="256"/>
      <c r="LO8" s="256"/>
      <c r="LP8" s="256"/>
      <c r="LQ8" s="256"/>
      <c r="LR8" s="256"/>
      <c r="LS8" s="256"/>
      <c r="LT8" s="256"/>
      <c r="LU8" s="256"/>
      <c r="LV8" s="256"/>
      <c r="LW8" s="256"/>
      <c r="LX8" s="256"/>
      <c r="LY8" s="256"/>
      <c r="LZ8" s="256"/>
      <c r="MA8" s="256"/>
      <c r="MB8" s="256"/>
      <c r="MC8" s="256"/>
      <c r="MD8" s="256"/>
      <c r="ME8" s="256"/>
      <c r="MF8" s="256"/>
      <c r="MG8" s="256"/>
      <c r="MH8" s="256"/>
      <c r="MI8" s="256"/>
      <c r="MJ8" s="256"/>
      <c r="MK8" s="256"/>
      <c r="ML8" s="256"/>
      <c r="MM8" s="256"/>
      <c r="MN8" s="256"/>
      <c r="MO8" s="256"/>
      <c r="MP8" s="256"/>
      <c r="MQ8" s="256"/>
      <c r="MR8" s="256"/>
      <c r="MS8" s="256"/>
      <c r="MT8" s="256"/>
      <c r="MU8" s="256"/>
      <c r="MV8" s="256"/>
      <c r="MW8" s="256"/>
      <c r="MX8" s="256"/>
      <c r="MY8" s="256"/>
      <c r="MZ8" s="256"/>
      <c r="NA8" s="256"/>
      <c r="NB8" s="256"/>
      <c r="NC8" s="256"/>
      <c r="ND8" s="256"/>
      <c r="NE8" s="256"/>
      <c r="NF8" s="256"/>
      <c r="NG8" s="256"/>
      <c r="NH8" s="256"/>
      <c r="NI8" s="256"/>
      <c r="NJ8" s="256"/>
      <c r="NK8" s="256"/>
      <c r="NL8" s="256"/>
      <c r="NM8" s="256"/>
      <c r="NN8" s="256"/>
      <c r="NO8" s="256"/>
      <c r="NP8" s="256"/>
      <c r="NQ8" s="256"/>
      <c r="NR8" s="256"/>
      <c r="NS8" s="256"/>
      <c r="NT8" s="256"/>
      <c r="NU8" s="256"/>
      <c r="NV8" s="256"/>
      <c r="NW8" s="256"/>
      <c r="NX8" s="256"/>
      <c r="NY8" s="256"/>
      <c r="NZ8" s="256"/>
      <c r="OA8" s="256"/>
      <c r="OB8" s="256"/>
      <c r="OC8" s="256"/>
      <c r="OD8" s="256"/>
      <c r="OE8" s="256"/>
      <c r="OF8" s="256"/>
      <c r="OG8" s="256"/>
      <c r="OH8" s="256"/>
      <c r="OI8" s="256"/>
      <c r="OJ8" s="256"/>
      <c r="OK8" s="256"/>
      <c r="OL8" s="256"/>
      <c r="OM8" s="256"/>
      <c r="ON8" s="256"/>
      <c r="OO8" s="256"/>
      <c r="OP8" s="256"/>
      <c r="OQ8" s="256"/>
      <c r="OR8" s="256"/>
      <c r="OS8" s="256"/>
      <c r="OT8" s="256"/>
      <c r="OU8" s="256"/>
      <c r="OV8" s="256"/>
      <c r="OW8" s="256"/>
      <c r="OX8" s="256"/>
      <c r="OY8" s="256"/>
      <c r="OZ8" s="256"/>
      <c r="PA8" s="256"/>
      <c r="PB8" s="256"/>
      <c r="PC8" s="256"/>
      <c r="PD8" s="256"/>
      <c r="PE8" s="256"/>
      <c r="PF8" s="256"/>
      <c r="PG8" s="256"/>
      <c r="PH8" s="256"/>
      <c r="PI8" s="256"/>
      <c r="PJ8" s="256"/>
      <c r="PK8" s="256"/>
      <c r="PL8" s="256"/>
      <c r="PM8" s="256"/>
      <c r="PN8" s="256"/>
      <c r="PO8" s="256"/>
      <c r="PP8" s="256"/>
      <c r="PQ8" s="256"/>
      <c r="PR8" s="256"/>
      <c r="PS8" s="256"/>
      <c r="PT8" s="256"/>
      <c r="PU8" s="256"/>
      <c r="PV8" s="256"/>
      <c r="PW8" s="256"/>
      <c r="PX8" s="256"/>
      <c r="PY8" s="256"/>
      <c r="PZ8" s="256"/>
      <c r="QA8" s="256"/>
      <c r="QB8" s="256"/>
      <c r="QC8" s="256"/>
      <c r="QD8" s="256"/>
      <c r="QE8" s="256"/>
      <c r="QF8" s="256"/>
      <c r="QG8" s="256"/>
      <c r="QH8" s="256"/>
      <c r="QI8" s="256"/>
      <c r="QJ8" s="256"/>
      <c r="QK8" s="256"/>
      <c r="QL8" s="256"/>
      <c r="QM8" s="256"/>
      <c r="QN8" s="256"/>
      <c r="QO8" s="256"/>
      <c r="QP8" s="256"/>
      <c r="QQ8" s="256"/>
      <c r="QR8" s="256"/>
      <c r="QS8" s="256"/>
      <c r="QT8" s="256"/>
      <c r="QU8" s="256"/>
      <c r="QV8" s="256"/>
      <c r="QW8" s="256"/>
      <c r="QX8" s="256"/>
      <c r="QY8" s="256"/>
      <c r="QZ8" s="256"/>
      <c r="RA8" s="256"/>
      <c r="RB8" s="256"/>
      <c r="RC8" s="256"/>
      <c r="RD8" s="256"/>
      <c r="RE8" s="256"/>
      <c r="RF8" s="256"/>
      <c r="RG8" s="256"/>
      <c r="RH8" s="256"/>
      <c r="RI8" s="256"/>
      <c r="RJ8" s="256"/>
      <c r="RK8" s="256"/>
      <c r="RL8" s="256"/>
      <c r="RM8" s="256"/>
      <c r="RN8" s="256"/>
      <c r="RO8" s="256"/>
      <c r="RP8" s="256"/>
      <c r="RQ8" s="256"/>
      <c r="RR8" s="256"/>
      <c r="RS8" s="256"/>
      <c r="RT8" s="256"/>
      <c r="RU8" s="256"/>
      <c r="RV8" s="256"/>
      <c r="RW8" s="256"/>
      <c r="RX8" s="256"/>
      <c r="RY8" s="256"/>
      <c r="RZ8" s="256"/>
      <c r="SA8" s="256"/>
      <c r="SB8" s="256"/>
      <c r="SC8" s="256"/>
      <c r="SD8" s="256"/>
      <c r="SE8" s="256"/>
      <c r="SF8" s="256"/>
      <c r="SG8" s="256"/>
      <c r="SH8" s="256"/>
      <c r="SI8" s="256"/>
      <c r="SJ8" s="256"/>
      <c r="SK8" s="256"/>
      <c r="SL8" s="256"/>
      <c r="SM8" s="256"/>
      <c r="SN8" s="256"/>
      <c r="SO8" s="256"/>
      <c r="SP8" s="256"/>
      <c r="SQ8" s="256"/>
      <c r="SR8" s="256"/>
      <c r="SS8" s="256"/>
      <c r="ST8" s="256"/>
      <c r="SU8" s="256"/>
      <c r="SV8" s="256"/>
      <c r="SW8" s="256"/>
      <c r="SX8" s="256"/>
      <c r="SY8" s="256"/>
      <c r="SZ8" s="256"/>
      <c r="TA8" s="256"/>
      <c r="TB8" s="256"/>
      <c r="TC8" s="256"/>
      <c r="TD8" s="256"/>
      <c r="TE8" s="256"/>
      <c r="TF8" s="256"/>
      <c r="TG8" s="256"/>
      <c r="TH8" s="256"/>
      <c r="TI8" s="256"/>
      <c r="TJ8" s="256"/>
      <c r="TK8" s="256"/>
      <c r="TL8" s="256"/>
      <c r="TM8" s="256"/>
      <c r="TN8" s="256"/>
      <c r="TO8" s="256"/>
      <c r="TP8" s="256"/>
      <c r="TQ8" s="256"/>
      <c r="TR8" s="256"/>
      <c r="TS8" s="256"/>
      <c r="TT8" s="256"/>
      <c r="TU8" s="256"/>
      <c r="TV8" s="256"/>
      <c r="TW8" s="256"/>
      <c r="TX8" s="256"/>
      <c r="TY8" s="256"/>
      <c r="TZ8" s="256"/>
      <c r="UA8" s="256"/>
      <c r="UB8" s="256"/>
      <c r="UC8" s="256"/>
      <c r="UD8" s="256"/>
      <c r="UE8" s="256"/>
      <c r="UF8" s="256"/>
      <c r="UG8" s="256"/>
      <c r="UH8" s="256"/>
      <c r="UI8" s="256"/>
      <c r="UJ8" s="256"/>
      <c r="UK8" s="256"/>
      <c r="UL8" s="256"/>
      <c r="UM8" s="256"/>
      <c r="UN8" s="256"/>
      <c r="UO8" s="256"/>
      <c r="UP8" s="256"/>
      <c r="UQ8" s="256"/>
      <c r="UR8" s="256"/>
      <c r="US8" s="256"/>
      <c r="UT8" s="256"/>
      <c r="UU8" s="256"/>
      <c r="UV8" s="256"/>
      <c r="UW8" s="256"/>
      <c r="UX8" s="256"/>
      <c r="UY8" s="256"/>
      <c r="UZ8" s="256"/>
      <c r="VA8" s="256"/>
      <c r="VB8" s="256"/>
      <c r="VC8" s="256"/>
      <c r="VD8" s="256"/>
      <c r="VE8" s="256"/>
      <c r="VF8" s="256"/>
      <c r="VG8" s="256"/>
      <c r="VH8" s="256"/>
      <c r="VI8" s="256"/>
      <c r="VJ8" s="256"/>
      <c r="VK8" s="256"/>
      <c r="VL8" s="256"/>
      <c r="VM8" s="256"/>
      <c r="VN8" s="256"/>
      <c r="VO8" s="256"/>
      <c r="VP8" s="256"/>
      <c r="VQ8" s="256"/>
      <c r="VR8" s="256"/>
      <c r="VS8" s="256"/>
      <c r="VT8" s="256"/>
      <c r="VU8" s="256"/>
      <c r="VV8" s="256"/>
      <c r="VW8" s="256"/>
      <c r="VX8" s="256"/>
      <c r="VY8" s="256"/>
      <c r="VZ8" s="256"/>
      <c r="WA8" s="256"/>
      <c r="WB8" s="256"/>
      <c r="WC8" s="256"/>
      <c r="WD8" s="256"/>
      <c r="WE8" s="256"/>
      <c r="WF8" s="256"/>
      <c r="WG8" s="256"/>
      <c r="WH8" s="256"/>
      <c r="WI8" s="256"/>
      <c r="WJ8" s="256"/>
      <c r="WK8" s="256"/>
      <c r="WL8" s="256"/>
      <c r="WM8" s="256"/>
      <c r="WN8" s="256"/>
      <c r="WO8" s="256"/>
      <c r="WP8" s="256"/>
      <c r="WQ8" s="256"/>
      <c r="WR8" s="256"/>
      <c r="WS8" s="256"/>
      <c r="WT8" s="256"/>
      <c r="WU8" s="256"/>
      <c r="WV8" s="256"/>
      <c r="WW8" s="256"/>
      <c r="WX8" s="256"/>
      <c r="WY8" s="256"/>
      <c r="WZ8" s="256"/>
      <c r="XA8" s="256"/>
      <c r="XB8" s="256"/>
      <c r="XC8" s="256"/>
      <c r="XD8" s="256"/>
      <c r="XE8" s="256"/>
      <c r="XF8" s="256"/>
      <c r="XG8" s="256"/>
      <c r="XH8" s="256"/>
      <c r="XI8" s="256"/>
      <c r="XJ8" s="256"/>
      <c r="XK8" s="256"/>
      <c r="XL8" s="256"/>
      <c r="XM8" s="256"/>
      <c r="XN8" s="256"/>
      <c r="XO8" s="256"/>
      <c r="XP8" s="256"/>
      <c r="XQ8" s="256"/>
      <c r="XR8" s="256"/>
      <c r="XS8" s="256"/>
      <c r="XT8" s="256"/>
      <c r="XU8" s="256"/>
      <c r="XV8" s="256"/>
      <c r="XW8" s="256"/>
      <c r="XX8" s="256"/>
      <c r="XY8" s="256"/>
      <c r="XZ8" s="256"/>
      <c r="YA8" s="256"/>
      <c r="YB8" s="256"/>
      <c r="YC8" s="256"/>
      <c r="YD8" s="256"/>
      <c r="YE8" s="256"/>
      <c r="YF8" s="256"/>
      <c r="YG8" s="256"/>
      <c r="YH8" s="256"/>
      <c r="YI8" s="256"/>
      <c r="YJ8" s="256"/>
      <c r="YK8" s="256"/>
      <c r="YL8" s="256"/>
      <c r="YM8" s="256"/>
      <c r="YN8" s="256"/>
      <c r="YO8" s="256"/>
      <c r="YP8" s="256"/>
      <c r="YQ8" s="256"/>
      <c r="YR8" s="256"/>
      <c r="YS8" s="256"/>
      <c r="YT8" s="256"/>
      <c r="YU8" s="256"/>
      <c r="YV8" s="256"/>
      <c r="YW8" s="256"/>
      <c r="YX8" s="256"/>
      <c r="YY8" s="256"/>
      <c r="YZ8" s="256"/>
      <c r="ZA8" s="256"/>
      <c r="ZB8" s="256"/>
      <c r="ZC8" s="256"/>
      <c r="ZD8" s="256"/>
      <c r="ZE8" s="256"/>
      <c r="ZF8" s="256"/>
      <c r="ZG8" s="256"/>
      <c r="ZH8" s="256"/>
      <c r="ZI8" s="256"/>
      <c r="ZJ8" s="256"/>
      <c r="ZK8" s="256"/>
      <c r="ZL8" s="256"/>
      <c r="ZM8" s="256"/>
      <c r="ZN8" s="256"/>
      <c r="ZO8" s="256"/>
      <c r="ZP8" s="256"/>
      <c r="ZQ8" s="256"/>
      <c r="ZR8" s="256"/>
      <c r="ZS8" s="256"/>
      <c r="ZT8" s="256"/>
      <c r="ZU8" s="256"/>
      <c r="ZV8" s="256"/>
      <c r="ZW8" s="256"/>
      <c r="ZX8" s="256"/>
      <c r="ZY8" s="256"/>
      <c r="ZZ8" s="256"/>
      <c r="AAA8" s="256"/>
      <c r="AAB8" s="256"/>
      <c r="AAC8" s="256"/>
      <c r="AAD8" s="256"/>
      <c r="AAE8" s="256"/>
      <c r="AAF8" s="256"/>
      <c r="AAG8" s="256"/>
      <c r="AAH8" s="256"/>
      <c r="AAI8" s="256"/>
      <c r="AAJ8" s="256"/>
      <c r="AAK8" s="256"/>
      <c r="AAL8" s="256"/>
      <c r="AAM8" s="256"/>
      <c r="AAN8" s="256"/>
      <c r="AAO8" s="256"/>
      <c r="AAP8" s="256"/>
      <c r="AAQ8" s="256"/>
      <c r="AAR8" s="256"/>
      <c r="AAS8" s="256"/>
      <c r="AAT8" s="256"/>
      <c r="AAU8" s="256"/>
      <c r="AAV8" s="256"/>
      <c r="AAW8" s="256"/>
      <c r="AAX8" s="256"/>
      <c r="AAY8" s="256"/>
      <c r="AAZ8" s="256"/>
      <c r="ABA8" s="256"/>
      <c r="ABB8" s="256"/>
      <c r="ABC8" s="256"/>
      <c r="ABD8" s="256"/>
      <c r="ABE8" s="256"/>
      <c r="ABF8" s="256"/>
      <c r="ABG8" s="256"/>
      <c r="ABH8" s="256"/>
      <c r="ABI8" s="256"/>
      <c r="ABJ8" s="256"/>
      <c r="ABK8" s="256"/>
      <c r="ABL8" s="256"/>
      <c r="ABM8" s="256"/>
      <c r="ABN8" s="256"/>
      <c r="ABO8" s="256"/>
      <c r="ABP8" s="256"/>
      <c r="ABQ8" s="256"/>
      <c r="ABR8" s="256"/>
      <c r="ABS8" s="256"/>
      <c r="ABT8" s="256"/>
      <c r="ABU8" s="256"/>
      <c r="ABV8" s="256"/>
      <c r="ABW8" s="256"/>
      <c r="ABX8" s="256"/>
      <c r="ABY8" s="256"/>
      <c r="ABZ8" s="256"/>
      <c r="ACA8" s="256"/>
      <c r="ACB8" s="256"/>
      <c r="ACC8" s="256"/>
      <c r="ACD8" s="256"/>
      <c r="ACE8" s="256"/>
      <c r="ACF8" s="256"/>
      <c r="ACG8" s="256"/>
      <c r="ACH8" s="256"/>
      <c r="ACI8" s="256"/>
      <c r="ACJ8" s="256"/>
      <c r="ACK8" s="256"/>
      <c r="ACL8" s="256"/>
      <c r="ACM8" s="256"/>
      <c r="ACN8" s="256"/>
      <c r="ACO8" s="256"/>
      <c r="ACP8" s="256"/>
      <c r="ACQ8" s="256"/>
      <c r="ACR8" s="256"/>
      <c r="ACS8" s="256"/>
      <c r="ACT8" s="256"/>
      <c r="ACU8" s="256"/>
      <c r="ACV8" s="256"/>
      <c r="ACW8" s="256"/>
      <c r="ACX8" s="256"/>
      <c r="ACY8" s="256"/>
      <c r="ACZ8" s="256"/>
      <c r="ADA8" s="256"/>
      <c r="ADB8" s="256"/>
      <c r="ADC8" s="256"/>
      <c r="ADD8" s="256"/>
      <c r="ADE8" s="256"/>
      <c r="ADF8" s="256"/>
      <c r="ADG8" s="256"/>
      <c r="ADH8" s="256"/>
      <c r="ADI8" s="256"/>
      <c r="ADJ8" s="256"/>
      <c r="ADK8" s="256"/>
      <c r="ADL8" s="256"/>
      <c r="ADM8" s="256"/>
      <c r="ADN8" s="256"/>
      <c r="ADO8" s="256"/>
      <c r="ADP8" s="256"/>
      <c r="ADQ8" s="256"/>
      <c r="ADR8" s="256"/>
      <c r="ADS8" s="256"/>
      <c r="ADT8" s="256"/>
      <c r="ADU8" s="256"/>
      <c r="ADV8" s="256"/>
      <c r="ADW8" s="256"/>
      <c r="ADX8" s="256"/>
      <c r="ADY8" s="256"/>
      <c r="ADZ8" s="256"/>
      <c r="AEA8" s="256"/>
      <c r="AEB8" s="256"/>
      <c r="AEC8" s="256"/>
      <c r="AED8" s="256"/>
      <c r="AEE8" s="256"/>
      <c r="AEF8" s="256"/>
      <c r="AEG8" s="256"/>
      <c r="AEH8" s="256"/>
      <c r="AEI8" s="256"/>
      <c r="AEJ8" s="256"/>
      <c r="AEK8" s="256"/>
      <c r="AEL8" s="256"/>
      <c r="AEM8" s="256"/>
      <c r="AEN8" s="256"/>
      <c r="AEO8" s="256"/>
      <c r="AEP8" s="256"/>
      <c r="AEQ8" s="256"/>
      <c r="AER8" s="256"/>
      <c r="AES8" s="256"/>
      <c r="AET8" s="256"/>
      <c r="AEU8" s="256"/>
      <c r="AEV8" s="256"/>
      <c r="AEW8" s="256"/>
      <c r="AEX8" s="256"/>
      <c r="AEY8" s="256"/>
      <c r="AEZ8" s="256"/>
      <c r="AFA8" s="256"/>
      <c r="AFB8" s="256"/>
      <c r="AFC8" s="256"/>
      <c r="AFD8" s="256"/>
      <c r="AFE8" s="256"/>
      <c r="AFF8" s="256"/>
      <c r="AFG8" s="256"/>
      <c r="AFH8" s="256"/>
      <c r="AFI8" s="256"/>
      <c r="AFJ8" s="256"/>
      <c r="AFK8" s="256"/>
      <c r="AFL8" s="256"/>
      <c r="AFM8" s="256"/>
      <c r="AFN8" s="256"/>
      <c r="AFO8" s="256"/>
      <c r="AFP8" s="256"/>
      <c r="AFQ8" s="256"/>
      <c r="AFR8" s="256"/>
      <c r="AFS8" s="256"/>
      <c r="AFT8" s="256"/>
      <c r="AFU8" s="256"/>
      <c r="AFV8" s="256"/>
      <c r="AFW8" s="256"/>
      <c r="AFX8" s="256"/>
      <c r="AFY8" s="256"/>
      <c r="AFZ8" s="256"/>
      <c r="AGA8" s="256"/>
      <c r="AGB8" s="256"/>
      <c r="AGC8" s="256"/>
      <c r="AGD8" s="256"/>
      <c r="AGE8" s="256"/>
      <c r="AGF8" s="256"/>
      <c r="AGG8" s="256"/>
      <c r="AGH8" s="256"/>
      <c r="AGI8" s="256"/>
      <c r="AGJ8" s="256"/>
      <c r="AGK8" s="256"/>
      <c r="AGL8" s="256"/>
      <c r="AGM8" s="256"/>
      <c r="AGN8" s="256"/>
      <c r="AGO8" s="256"/>
      <c r="AGP8" s="256"/>
      <c r="AGQ8" s="256"/>
      <c r="AGR8" s="256"/>
      <c r="AGS8" s="256"/>
      <c r="AGT8" s="256"/>
      <c r="AGU8" s="256"/>
      <c r="AGV8" s="256"/>
      <c r="AGW8" s="256"/>
      <c r="AGX8" s="256"/>
      <c r="AGY8" s="256"/>
      <c r="AGZ8" s="256"/>
      <c r="AHA8" s="256"/>
      <c r="AHB8" s="256"/>
      <c r="AHC8" s="256"/>
      <c r="AHD8" s="256"/>
      <c r="AHE8" s="256"/>
      <c r="AHF8" s="256"/>
      <c r="AHG8" s="256"/>
      <c r="AHH8" s="256"/>
      <c r="AHI8" s="256"/>
      <c r="AHJ8" s="256"/>
      <c r="AHK8" s="256"/>
      <c r="AHL8" s="256"/>
      <c r="AHM8" s="256"/>
      <c r="AHN8" s="256"/>
      <c r="AHO8" s="256"/>
      <c r="AHP8" s="256"/>
      <c r="AHQ8" s="256"/>
      <c r="AHR8" s="256"/>
      <c r="AHS8" s="256"/>
      <c r="AHT8" s="256"/>
      <c r="AHU8" s="256"/>
      <c r="AHV8" s="256"/>
      <c r="AHW8" s="256"/>
      <c r="AHX8" s="256"/>
      <c r="AHY8" s="256"/>
      <c r="AHZ8" s="256"/>
      <c r="AIA8" s="256"/>
      <c r="AIB8" s="256"/>
      <c r="AIC8" s="256"/>
      <c r="AID8" s="256"/>
      <c r="AIE8" s="256"/>
      <c r="AIF8" s="256"/>
      <c r="AIG8" s="256"/>
      <c r="AIH8" s="256"/>
      <c r="AII8" s="256"/>
      <c r="AIJ8" s="256"/>
      <c r="AIK8" s="256"/>
      <c r="AIL8" s="256"/>
      <c r="AIM8" s="256"/>
      <c r="AIN8" s="256"/>
      <c r="AIO8" s="256"/>
      <c r="AIP8" s="256"/>
      <c r="AIQ8" s="256"/>
      <c r="AIR8" s="256"/>
      <c r="AIS8" s="256"/>
      <c r="AIT8" s="256"/>
      <c r="AIU8" s="256"/>
      <c r="AIV8" s="256"/>
      <c r="AIW8" s="256"/>
      <c r="AIX8" s="256"/>
      <c r="AIY8" s="256"/>
      <c r="AIZ8" s="256"/>
      <c r="AJA8" s="256"/>
      <c r="AJB8" s="256"/>
      <c r="AJC8" s="256"/>
      <c r="AJD8" s="256"/>
      <c r="AJE8" s="256"/>
      <c r="AJF8" s="256"/>
      <c r="AJG8" s="256"/>
      <c r="AJH8" s="256"/>
      <c r="AJI8" s="256"/>
      <c r="AJJ8" s="256"/>
      <c r="AJK8" s="256"/>
      <c r="AJL8" s="256"/>
      <c r="AJM8" s="256"/>
      <c r="AJN8" s="256"/>
      <c r="AJO8" s="256"/>
      <c r="AJP8" s="256"/>
      <c r="AJQ8" s="256"/>
      <c r="AJR8" s="256"/>
      <c r="AJS8" s="256"/>
      <c r="AJT8" s="256"/>
      <c r="AJU8" s="256"/>
      <c r="AJV8" s="256"/>
      <c r="AJW8" s="256"/>
      <c r="AJX8" s="256"/>
      <c r="AJY8" s="256"/>
      <c r="AJZ8" s="256"/>
      <c r="AKA8" s="256"/>
      <c r="AKB8" s="256"/>
      <c r="AKC8" s="256"/>
      <c r="AKD8" s="256"/>
      <c r="AKE8" s="256"/>
      <c r="AKF8" s="256"/>
      <c r="AKG8" s="256"/>
      <c r="AKH8" s="256"/>
      <c r="AKI8" s="256"/>
      <c r="AKJ8" s="256"/>
      <c r="AKK8" s="256"/>
      <c r="AKL8" s="256"/>
      <c r="AKM8" s="256"/>
      <c r="AKN8" s="256"/>
      <c r="AKO8" s="256"/>
      <c r="AKP8" s="256"/>
      <c r="AKQ8" s="256"/>
      <c r="AKR8" s="256"/>
      <c r="AKS8" s="256"/>
      <c r="AKT8" s="256"/>
      <c r="AKU8" s="256"/>
      <c r="AKV8" s="256"/>
      <c r="AKW8" s="256"/>
      <c r="AKX8" s="256"/>
      <c r="AKY8" s="256"/>
      <c r="AKZ8" s="256"/>
      <c r="ALA8" s="256"/>
      <c r="ALB8" s="256"/>
      <c r="ALC8" s="256"/>
      <c r="ALD8" s="256"/>
      <c r="ALE8" s="256"/>
      <c r="ALF8" s="256"/>
      <c r="ALG8" s="256"/>
      <c r="ALH8" s="256"/>
      <c r="ALI8" s="256"/>
      <c r="ALJ8" s="256"/>
      <c r="ALK8" s="256"/>
      <c r="ALL8" s="256"/>
      <c r="ALM8" s="256"/>
      <c r="ALN8" s="256"/>
      <c r="ALO8" s="256"/>
      <c r="ALP8" s="256"/>
      <c r="ALQ8" s="256"/>
      <c r="ALR8" s="256"/>
      <c r="ALS8" s="256"/>
      <c r="ALT8" s="256"/>
      <c r="ALU8" s="256"/>
      <c r="ALV8" s="256"/>
      <c r="ALW8" s="256"/>
      <c r="ALX8" s="256"/>
      <c r="ALY8" s="256"/>
      <c r="ALZ8" s="256"/>
      <c r="AMA8" s="258"/>
      <c r="AMB8" s="258"/>
      <c r="AMC8" s="258"/>
      <c r="AMD8" s="258"/>
      <c r="AME8" s="258"/>
      <c r="AMF8" s="258"/>
      <c r="AMG8" s="258"/>
      <c r="AMH8" s="258"/>
      <c r="AMI8" s="256"/>
    </row>
    <row r="9" spans="1:1023" s="259" customFormat="1" ht="15" customHeight="1" x14ac:dyDescent="0.25">
      <c r="A9" s="256"/>
      <c r="B9" s="256"/>
      <c r="C9" s="185" t="s">
        <v>242</v>
      </c>
      <c r="D9" s="261"/>
      <c r="E9" s="748"/>
      <c r="F9" s="749"/>
      <c r="G9" s="749"/>
      <c r="H9" s="749"/>
      <c r="I9" s="750"/>
      <c r="J9" s="180"/>
      <c r="K9" s="256"/>
      <c r="L9" s="256"/>
      <c r="M9" s="256"/>
      <c r="N9" s="180"/>
      <c r="O9" s="180"/>
      <c r="P9" s="180"/>
      <c r="Q9" s="256"/>
      <c r="R9" s="256"/>
      <c r="S9" s="256"/>
      <c r="T9" s="256"/>
      <c r="U9" s="256"/>
      <c r="V9" s="256"/>
      <c r="W9" s="256"/>
      <c r="X9" s="256"/>
      <c r="Y9" s="256"/>
      <c r="Z9" s="256"/>
      <c r="AA9" s="256"/>
      <c r="AB9" s="256"/>
      <c r="AC9" s="256"/>
      <c r="AD9" s="256"/>
      <c r="AE9" s="256"/>
      <c r="AF9" s="256"/>
      <c r="AG9" s="256"/>
      <c r="AH9" s="256"/>
      <c r="AI9" s="256"/>
      <c r="AJ9" s="256"/>
      <c r="AK9" s="256"/>
      <c r="AL9" s="256"/>
      <c r="AM9" s="256"/>
      <c r="AN9" s="256"/>
      <c r="AO9" s="256"/>
      <c r="AP9" s="256"/>
      <c r="AQ9" s="256"/>
      <c r="AR9" s="256"/>
      <c r="AS9" s="256"/>
      <c r="AT9" s="256"/>
      <c r="AU9" s="256"/>
      <c r="AV9" s="256"/>
      <c r="AW9" s="256"/>
      <c r="AX9" s="256"/>
      <c r="AY9" s="256"/>
      <c r="AZ9" s="256"/>
      <c r="BA9" s="256"/>
      <c r="BB9" s="256"/>
      <c r="BC9" s="256"/>
      <c r="BD9" s="256"/>
      <c r="BE9" s="256"/>
      <c r="BF9" s="256"/>
      <c r="BG9" s="256"/>
      <c r="BH9" s="256"/>
      <c r="BI9" s="256"/>
      <c r="BJ9" s="256"/>
      <c r="BK9" s="256"/>
      <c r="BL9" s="256"/>
      <c r="BM9" s="256"/>
      <c r="BN9" s="256"/>
      <c r="BO9" s="256"/>
      <c r="BP9" s="256"/>
      <c r="BQ9" s="256"/>
      <c r="BR9" s="256"/>
      <c r="BS9" s="256"/>
      <c r="BT9" s="256"/>
      <c r="BU9" s="256"/>
      <c r="BV9" s="256"/>
      <c r="BW9" s="256"/>
      <c r="BX9" s="256"/>
      <c r="BY9" s="256"/>
      <c r="BZ9" s="256"/>
      <c r="CA9" s="256"/>
      <c r="CB9" s="256"/>
      <c r="CC9" s="256"/>
      <c r="CD9" s="256"/>
      <c r="CE9" s="256"/>
      <c r="CF9" s="256"/>
      <c r="CG9" s="256"/>
      <c r="CH9" s="256"/>
      <c r="CI9" s="256"/>
      <c r="CJ9" s="256"/>
      <c r="CK9" s="256"/>
      <c r="CL9" s="256"/>
      <c r="CM9" s="256"/>
      <c r="CN9" s="256"/>
      <c r="CO9" s="256"/>
      <c r="CP9" s="256"/>
      <c r="CQ9" s="256"/>
      <c r="CR9" s="256"/>
      <c r="CS9" s="256"/>
      <c r="CT9" s="256"/>
      <c r="CU9" s="256"/>
      <c r="CV9" s="256"/>
      <c r="CW9" s="256"/>
      <c r="CX9" s="256"/>
      <c r="CY9" s="256"/>
      <c r="CZ9" s="256"/>
      <c r="DA9" s="256"/>
      <c r="DB9" s="256"/>
      <c r="DC9" s="256"/>
      <c r="DD9" s="256"/>
      <c r="DE9" s="256"/>
      <c r="DF9" s="256"/>
      <c r="DG9" s="256"/>
      <c r="DH9" s="256"/>
      <c r="DI9" s="256"/>
      <c r="DJ9" s="256"/>
      <c r="DK9" s="256"/>
      <c r="DL9" s="256"/>
      <c r="DM9" s="256"/>
      <c r="DN9" s="256"/>
      <c r="DO9" s="256"/>
      <c r="DP9" s="256"/>
      <c r="DQ9" s="256"/>
      <c r="DR9" s="256"/>
      <c r="DS9" s="256"/>
      <c r="DT9" s="256"/>
      <c r="DU9" s="256"/>
      <c r="DV9" s="256"/>
      <c r="DW9" s="256"/>
      <c r="DX9" s="256"/>
      <c r="DY9" s="256"/>
      <c r="DZ9" s="256"/>
      <c r="EA9" s="256"/>
      <c r="EB9" s="256"/>
      <c r="EC9" s="256"/>
      <c r="ED9" s="256"/>
      <c r="EE9" s="256"/>
      <c r="EF9" s="256"/>
      <c r="EG9" s="256"/>
      <c r="EH9" s="256"/>
      <c r="EI9" s="256"/>
      <c r="EJ9" s="256"/>
      <c r="EK9" s="256"/>
      <c r="EL9" s="256"/>
      <c r="EM9" s="256"/>
      <c r="EN9" s="256"/>
      <c r="EO9" s="256"/>
      <c r="EP9" s="256"/>
      <c r="EQ9" s="256"/>
      <c r="ER9" s="256"/>
      <c r="ES9" s="256"/>
      <c r="ET9" s="256"/>
      <c r="EU9" s="256"/>
      <c r="EV9" s="256"/>
      <c r="EW9" s="256"/>
      <c r="EX9" s="256"/>
      <c r="EY9" s="256"/>
      <c r="EZ9" s="256"/>
      <c r="FA9" s="256"/>
      <c r="FB9" s="256"/>
      <c r="FC9" s="256"/>
      <c r="FD9" s="256"/>
      <c r="FE9" s="256"/>
      <c r="FF9" s="256"/>
      <c r="FG9" s="256"/>
      <c r="FH9" s="256"/>
      <c r="FI9" s="256"/>
      <c r="FJ9" s="256"/>
      <c r="FK9" s="256"/>
      <c r="FL9" s="256"/>
      <c r="FM9" s="256"/>
      <c r="FN9" s="256"/>
      <c r="FO9" s="256"/>
      <c r="FP9" s="256"/>
      <c r="FQ9" s="256"/>
      <c r="FR9" s="256"/>
      <c r="FS9" s="256"/>
      <c r="FT9" s="256"/>
      <c r="FU9" s="256"/>
      <c r="FV9" s="256"/>
      <c r="FW9" s="256"/>
      <c r="FX9" s="256"/>
      <c r="FY9" s="256"/>
      <c r="FZ9" s="256"/>
      <c r="GA9" s="256"/>
      <c r="GB9" s="256"/>
      <c r="GC9" s="256"/>
      <c r="GD9" s="256"/>
      <c r="GE9" s="256"/>
      <c r="GF9" s="256"/>
      <c r="GG9" s="256"/>
      <c r="GH9" s="256"/>
      <c r="GI9" s="256"/>
      <c r="GJ9" s="256"/>
      <c r="GK9" s="256"/>
      <c r="GL9" s="256"/>
      <c r="GM9" s="256"/>
      <c r="GN9" s="256"/>
      <c r="GO9" s="256"/>
      <c r="GP9" s="256"/>
      <c r="GQ9" s="256"/>
      <c r="GR9" s="256"/>
      <c r="GS9" s="256"/>
      <c r="GT9" s="256"/>
      <c r="GU9" s="256"/>
      <c r="GV9" s="256"/>
      <c r="GW9" s="256"/>
      <c r="GX9" s="256"/>
      <c r="GY9" s="256"/>
      <c r="GZ9" s="256"/>
      <c r="HA9" s="256"/>
      <c r="HB9" s="256"/>
      <c r="HC9" s="256"/>
      <c r="HD9" s="256"/>
      <c r="HE9" s="256"/>
      <c r="HF9" s="256"/>
      <c r="HG9" s="256"/>
      <c r="HH9" s="256"/>
      <c r="HI9" s="256"/>
      <c r="HJ9" s="256"/>
      <c r="HK9" s="256"/>
      <c r="HL9" s="256"/>
      <c r="HM9" s="256"/>
      <c r="HN9" s="256"/>
      <c r="HO9" s="256"/>
      <c r="HP9" s="256"/>
      <c r="HQ9" s="256"/>
      <c r="HR9" s="256"/>
      <c r="HS9" s="256"/>
      <c r="HT9" s="256"/>
      <c r="HU9" s="256"/>
      <c r="HV9" s="256"/>
      <c r="HW9" s="256"/>
      <c r="HX9" s="256"/>
      <c r="HY9" s="256"/>
      <c r="HZ9" s="256"/>
      <c r="IA9" s="256"/>
      <c r="IB9" s="256"/>
      <c r="IC9" s="256"/>
      <c r="ID9" s="256"/>
      <c r="IE9" s="256"/>
      <c r="IF9" s="256"/>
      <c r="IG9" s="256"/>
      <c r="IH9" s="256"/>
      <c r="II9" s="256"/>
      <c r="IJ9" s="256"/>
      <c r="IK9" s="256"/>
      <c r="IL9" s="256"/>
      <c r="IM9" s="256"/>
      <c r="IN9" s="256"/>
      <c r="IO9" s="256"/>
      <c r="IP9" s="256"/>
      <c r="IQ9" s="256"/>
      <c r="IR9" s="256"/>
      <c r="IS9" s="256"/>
      <c r="IT9" s="256"/>
      <c r="IU9" s="256"/>
      <c r="IV9" s="256"/>
      <c r="IW9" s="256"/>
      <c r="IX9" s="256"/>
      <c r="IY9" s="256"/>
      <c r="IZ9" s="256"/>
      <c r="JA9" s="256"/>
      <c r="JB9" s="256"/>
      <c r="JC9" s="256"/>
      <c r="JD9" s="256"/>
      <c r="JE9" s="256"/>
      <c r="JF9" s="256"/>
      <c r="JG9" s="256"/>
      <c r="JH9" s="256"/>
      <c r="JI9" s="256"/>
      <c r="JJ9" s="256"/>
      <c r="JK9" s="256"/>
      <c r="JL9" s="256"/>
      <c r="JM9" s="256"/>
      <c r="JN9" s="256"/>
      <c r="JO9" s="256"/>
      <c r="JP9" s="256"/>
      <c r="JQ9" s="256"/>
      <c r="JR9" s="256"/>
      <c r="JS9" s="256"/>
      <c r="JT9" s="256"/>
      <c r="JU9" s="256"/>
      <c r="JV9" s="256"/>
      <c r="JW9" s="256"/>
      <c r="JX9" s="256"/>
      <c r="JY9" s="256"/>
      <c r="JZ9" s="256"/>
      <c r="KA9" s="256"/>
      <c r="KB9" s="256"/>
      <c r="KC9" s="256"/>
      <c r="KD9" s="256"/>
      <c r="KE9" s="256"/>
      <c r="KF9" s="256"/>
      <c r="KG9" s="256"/>
      <c r="KH9" s="256"/>
      <c r="KI9" s="256"/>
      <c r="KJ9" s="256"/>
      <c r="KK9" s="256"/>
      <c r="KL9" s="256"/>
      <c r="KM9" s="256"/>
      <c r="KN9" s="256"/>
      <c r="KO9" s="256"/>
      <c r="KP9" s="256"/>
      <c r="KQ9" s="256"/>
      <c r="KR9" s="256"/>
      <c r="KS9" s="256"/>
      <c r="KT9" s="256"/>
      <c r="KU9" s="256"/>
      <c r="KV9" s="256"/>
      <c r="KW9" s="256"/>
      <c r="KX9" s="256"/>
      <c r="KY9" s="256"/>
      <c r="KZ9" s="256"/>
      <c r="LA9" s="256"/>
      <c r="LB9" s="256"/>
      <c r="LC9" s="256"/>
      <c r="LD9" s="256"/>
      <c r="LE9" s="256"/>
      <c r="LF9" s="256"/>
      <c r="LG9" s="256"/>
      <c r="LH9" s="256"/>
      <c r="LI9" s="256"/>
      <c r="LJ9" s="256"/>
      <c r="LK9" s="256"/>
      <c r="LL9" s="256"/>
      <c r="LM9" s="256"/>
      <c r="LN9" s="256"/>
      <c r="LO9" s="256"/>
      <c r="LP9" s="256"/>
      <c r="LQ9" s="256"/>
      <c r="LR9" s="256"/>
      <c r="LS9" s="256"/>
      <c r="LT9" s="256"/>
      <c r="LU9" s="256"/>
      <c r="LV9" s="256"/>
      <c r="LW9" s="256"/>
      <c r="LX9" s="256"/>
      <c r="LY9" s="256"/>
      <c r="LZ9" s="256"/>
      <c r="MA9" s="256"/>
      <c r="MB9" s="256"/>
      <c r="MC9" s="256"/>
      <c r="MD9" s="256"/>
      <c r="ME9" s="256"/>
      <c r="MF9" s="256"/>
      <c r="MG9" s="256"/>
      <c r="MH9" s="256"/>
      <c r="MI9" s="256"/>
      <c r="MJ9" s="256"/>
      <c r="MK9" s="256"/>
      <c r="ML9" s="256"/>
      <c r="MM9" s="256"/>
      <c r="MN9" s="256"/>
      <c r="MO9" s="256"/>
      <c r="MP9" s="256"/>
      <c r="MQ9" s="256"/>
      <c r="MR9" s="256"/>
      <c r="MS9" s="256"/>
      <c r="MT9" s="256"/>
      <c r="MU9" s="256"/>
      <c r="MV9" s="256"/>
      <c r="MW9" s="256"/>
      <c r="MX9" s="256"/>
      <c r="MY9" s="256"/>
      <c r="MZ9" s="256"/>
      <c r="NA9" s="256"/>
      <c r="NB9" s="256"/>
      <c r="NC9" s="256"/>
      <c r="ND9" s="256"/>
      <c r="NE9" s="256"/>
      <c r="NF9" s="256"/>
      <c r="NG9" s="256"/>
      <c r="NH9" s="256"/>
      <c r="NI9" s="256"/>
      <c r="NJ9" s="256"/>
      <c r="NK9" s="256"/>
      <c r="NL9" s="256"/>
      <c r="NM9" s="256"/>
      <c r="NN9" s="256"/>
      <c r="NO9" s="256"/>
      <c r="NP9" s="256"/>
      <c r="NQ9" s="256"/>
      <c r="NR9" s="256"/>
      <c r="NS9" s="256"/>
      <c r="NT9" s="256"/>
      <c r="NU9" s="256"/>
      <c r="NV9" s="256"/>
      <c r="NW9" s="256"/>
      <c r="NX9" s="256"/>
      <c r="NY9" s="256"/>
      <c r="NZ9" s="256"/>
      <c r="OA9" s="256"/>
      <c r="OB9" s="256"/>
      <c r="OC9" s="256"/>
      <c r="OD9" s="256"/>
      <c r="OE9" s="256"/>
      <c r="OF9" s="256"/>
      <c r="OG9" s="256"/>
      <c r="OH9" s="256"/>
      <c r="OI9" s="256"/>
      <c r="OJ9" s="256"/>
      <c r="OK9" s="256"/>
      <c r="OL9" s="256"/>
      <c r="OM9" s="256"/>
      <c r="ON9" s="256"/>
      <c r="OO9" s="256"/>
      <c r="OP9" s="256"/>
      <c r="OQ9" s="256"/>
      <c r="OR9" s="256"/>
      <c r="OS9" s="256"/>
      <c r="OT9" s="256"/>
      <c r="OU9" s="256"/>
      <c r="OV9" s="256"/>
      <c r="OW9" s="256"/>
      <c r="OX9" s="256"/>
      <c r="OY9" s="256"/>
      <c r="OZ9" s="256"/>
      <c r="PA9" s="256"/>
      <c r="PB9" s="256"/>
      <c r="PC9" s="256"/>
      <c r="PD9" s="256"/>
      <c r="PE9" s="256"/>
      <c r="PF9" s="256"/>
      <c r="PG9" s="256"/>
      <c r="PH9" s="256"/>
      <c r="PI9" s="256"/>
      <c r="PJ9" s="256"/>
      <c r="PK9" s="256"/>
      <c r="PL9" s="256"/>
      <c r="PM9" s="256"/>
      <c r="PN9" s="256"/>
      <c r="PO9" s="256"/>
      <c r="PP9" s="256"/>
      <c r="PQ9" s="256"/>
      <c r="PR9" s="256"/>
      <c r="PS9" s="256"/>
      <c r="PT9" s="256"/>
      <c r="PU9" s="256"/>
      <c r="PV9" s="256"/>
      <c r="PW9" s="256"/>
      <c r="PX9" s="256"/>
      <c r="PY9" s="256"/>
      <c r="PZ9" s="256"/>
      <c r="QA9" s="256"/>
      <c r="QB9" s="256"/>
      <c r="QC9" s="256"/>
      <c r="QD9" s="256"/>
      <c r="QE9" s="256"/>
      <c r="QF9" s="256"/>
      <c r="QG9" s="256"/>
      <c r="QH9" s="256"/>
      <c r="QI9" s="256"/>
      <c r="QJ9" s="256"/>
      <c r="QK9" s="256"/>
      <c r="QL9" s="256"/>
      <c r="QM9" s="256"/>
      <c r="QN9" s="256"/>
      <c r="QO9" s="256"/>
      <c r="QP9" s="256"/>
      <c r="QQ9" s="256"/>
      <c r="QR9" s="256"/>
      <c r="QS9" s="256"/>
      <c r="QT9" s="256"/>
      <c r="QU9" s="256"/>
      <c r="QV9" s="256"/>
      <c r="QW9" s="256"/>
      <c r="QX9" s="256"/>
      <c r="QY9" s="256"/>
      <c r="QZ9" s="256"/>
      <c r="RA9" s="256"/>
      <c r="RB9" s="256"/>
      <c r="RC9" s="256"/>
      <c r="RD9" s="256"/>
      <c r="RE9" s="256"/>
      <c r="RF9" s="256"/>
      <c r="RG9" s="256"/>
      <c r="RH9" s="256"/>
      <c r="RI9" s="256"/>
      <c r="RJ9" s="256"/>
      <c r="RK9" s="256"/>
      <c r="RL9" s="256"/>
      <c r="RM9" s="256"/>
      <c r="RN9" s="256"/>
      <c r="RO9" s="256"/>
      <c r="RP9" s="256"/>
      <c r="RQ9" s="256"/>
      <c r="RR9" s="256"/>
      <c r="RS9" s="256"/>
      <c r="RT9" s="256"/>
      <c r="RU9" s="256"/>
      <c r="RV9" s="256"/>
      <c r="RW9" s="256"/>
      <c r="RX9" s="256"/>
      <c r="RY9" s="256"/>
      <c r="RZ9" s="256"/>
      <c r="SA9" s="256"/>
      <c r="SB9" s="256"/>
      <c r="SC9" s="256"/>
      <c r="SD9" s="256"/>
      <c r="SE9" s="256"/>
      <c r="SF9" s="256"/>
      <c r="SG9" s="256"/>
      <c r="SH9" s="256"/>
      <c r="SI9" s="256"/>
      <c r="SJ9" s="256"/>
      <c r="SK9" s="256"/>
      <c r="SL9" s="256"/>
      <c r="SM9" s="256"/>
      <c r="SN9" s="256"/>
      <c r="SO9" s="256"/>
      <c r="SP9" s="256"/>
      <c r="SQ9" s="256"/>
      <c r="SR9" s="256"/>
      <c r="SS9" s="256"/>
      <c r="ST9" s="256"/>
      <c r="SU9" s="256"/>
      <c r="SV9" s="256"/>
      <c r="SW9" s="256"/>
      <c r="SX9" s="256"/>
      <c r="SY9" s="256"/>
      <c r="SZ9" s="256"/>
      <c r="TA9" s="256"/>
      <c r="TB9" s="256"/>
      <c r="TC9" s="256"/>
      <c r="TD9" s="256"/>
      <c r="TE9" s="256"/>
      <c r="TF9" s="256"/>
      <c r="TG9" s="256"/>
      <c r="TH9" s="256"/>
      <c r="TI9" s="256"/>
      <c r="TJ9" s="256"/>
      <c r="TK9" s="256"/>
      <c r="TL9" s="256"/>
      <c r="TM9" s="256"/>
      <c r="TN9" s="256"/>
      <c r="TO9" s="256"/>
      <c r="TP9" s="256"/>
      <c r="TQ9" s="256"/>
      <c r="TR9" s="256"/>
      <c r="TS9" s="256"/>
      <c r="TT9" s="256"/>
      <c r="TU9" s="256"/>
      <c r="TV9" s="256"/>
      <c r="TW9" s="256"/>
      <c r="TX9" s="256"/>
      <c r="TY9" s="256"/>
      <c r="TZ9" s="256"/>
      <c r="UA9" s="256"/>
      <c r="UB9" s="256"/>
      <c r="UC9" s="256"/>
      <c r="UD9" s="256"/>
      <c r="UE9" s="256"/>
      <c r="UF9" s="256"/>
      <c r="UG9" s="256"/>
      <c r="UH9" s="256"/>
      <c r="UI9" s="256"/>
      <c r="UJ9" s="256"/>
      <c r="UK9" s="256"/>
      <c r="UL9" s="256"/>
      <c r="UM9" s="256"/>
      <c r="UN9" s="256"/>
      <c r="UO9" s="256"/>
      <c r="UP9" s="256"/>
      <c r="UQ9" s="256"/>
      <c r="UR9" s="256"/>
      <c r="US9" s="256"/>
      <c r="UT9" s="256"/>
      <c r="UU9" s="256"/>
      <c r="UV9" s="256"/>
      <c r="UW9" s="256"/>
      <c r="UX9" s="256"/>
      <c r="UY9" s="256"/>
      <c r="UZ9" s="256"/>
      <c r="VA9" s="256"/>
      <c r="VB9" s="256"/>
      <c r="VC9" s="256"/>
      <c r="VD9" s="256"/>
      <c r="VE9" s="256"/>
      <c r="VF9" s="256"/>
      <c r="VG9" s="256"/>
      <c r="VH9" s="256"/>
      <c r="VI9" s="256"/>
      <c r="VJ9" s="256"/>
      <c r="VK9" s="256"/>
      <c r="VL9" s="256"/>
      <c r="VM9" s="256"/>
      <c r="VN9" s="256"/>
      <c r="VO9" s="256"/>
      <c r="VP9" s="256"/>
      <c r="VQ9" s="256"/>
      <c r="VR9" s="256"/>
      <c r="VS9" s="256"/>
      <c r="VT9" s="256"/>
      <c r="VU9" s="256"/>
      <c r="VV9" s="256"/>
      <c r="VW9" s="256"/>
      <c r="VX9" s="256"/>
      <c r="VY9" s="256"/>
      <c r="VZ9" s="256"/>
      <c r="WA9" s="256"/>
      <c r="WB9" s="256"/>
      <c r="WC9" s="256"/>
      <c r="WD9" s="256"/>
      <c r="WE9" s="256"/>
      <c r="WF9" s="256"/>
      <c r="WG9" s="256"/>
      <c r="WH9" s="256"/>
      <c r="WI9" s="256"/>
      <c r="WJ9" s="256"/>
      <c r="WK9" s="256"/>
      <c r="WL9" s="256"/>
      <c r="WM9" s="256"/>
      <c r="WN9" s="256"/>
      <c r="WO9" s="256"/>
      <c r="WP9" s="256"/>
      <c r="WQ9" s="256"/>
      <c r="WR9" s="256"/>
      <c r="WS9" s="256"/>
      <c r="WT9" s="256"/>
      <c r="WU9" s="256"/>
      <c r="WV9" s="256"/>
      <c r="WW9" s="256"/>
      <c r="WX9" s="256"/>
      <c r="WY9" s="256"/>
      <c r="WZ9" s="256"/>
      <c r="XA9" s="256"/>
      <c r="XB9" s="256"/>
      <c r="XC9" s="256"/>
      <c r="XD9" s="256"/>
      <c r="XE9" s="256"/>
      <c r="XF9" s="256"/>
      <c r="XG9" s="256"/>
      <c r="XH9" s="256"/>
      <c r="XI9" s="256"/>
      <c r="XJ9" s="256"/>
      <c r="XK9" s="256"/>
      <c r="XL9" s="256"/>
      <c r="XM9" s="256"/>
      <c r="XN9" s="256"/>
      <c r="XO9" s="256"/>
      <c r="XP9" s="256"/>
      <c r="XQ9" s="256"/>
      <c r="XR9" s="256"/>
      <c r="XS9" s="256"/>
      <c r="XT9" s="256"/>
      <c r="XU9" s="256"/>
      <c r="XV9" s="256"/>
      <c r="XW9" s="256"/>
      <c r="XX9" s="256"/>
      <c r="XY9" s="256"/>
      <c r="XZ9" s="256"/>
      <c r="YA9" s="256"/>
      <c r="YB9" s="256"/>
      <c r="YC9" s="256"/>
      <c r="YD9" s="256"/>
      <c r="YE9" s="256"/>
      <c r="YF9" s="256"/>
      <c r="YG9" s="256"/>
      <c r="YH9" s="256"/>
      <c r="YI9" s="256"/>
      <c r="YJ9" s="256"/>
      <c r="YK9" s="256"/>
      <c r="YL9" s="256"/>
      <c r="YM9" s="256"/>
      <c r="YN9" s="256"/>
      <c r="YO9" s="256"/>
      <c r="YP9" s="256"/>
      <c r="YQ9" s="256"/>
      <c r="YR9" s="256"/>
      <c r="YS9" s="256"/>
      <c r="YT9" s="256"/>
      <c r="YU9" s="256"/>
      <c r="YV9" s="256"/>
      <c r="YW9" s="256"/>
      <c r="YX9" s="256"/>
      <c r="YY9" s="256"/>
      <c r="YZ9" s="256"/>
      <c r="ZA9" s="256"/>
      <c r="ZB9" s="256"/>
      <c r="ZC9" s="256"/>
      <c r="ZD9" s="256"/>
      <c r="ZE9" s="256"/>
      <c r="ZF9" s="256"/>
      <c r="ZG9" s="256"/>
      <c r="ZH9" s="256"/>
      <c r="ZI9" s="256"/>
      <c r="ZJ9" s="256"/>
      <c r="ZK9" s="256"/>
      <c r="ZL9" s="256"/>
      <c r="ZM9" s="256"/>
      <c r="ZN9" s="256"/>
      <c r="ZO9" s="256"/>
      <c r="ZP9" s="256"/>
      <c r="ZQ9" s="256"/>
      <c r="ZR9" s="256"/>
      <c r="ZS9" s="256"/>
      <c r="ZT9" s="256"/>
      <c r="ZU9" s="256"/>
      <c r="ZV9" s="256"/>
      <c r="ZW9" s="256"/>
      <c r="ZX9" s="256"/>
      <c r="ZY9" s="256"/>
      <c r="ZZ9" s="256"/>
      <c r="AAA9" s="256"/>
      <c r="AAB9" s="256"/>
      <c r="AAC9" s="256"/>
      <c r="AAD9" s="256"/>
      <c r="AAE9" s="256"/>
      <c r="AAF9" s="256"/>
      <c r="AAG9" s="256"/>
      <c r="AAH9" s="256"/>
      <c r="AAI9" s="256"/>
      <c r="AAJ9" s="256"/>
      <c r="AAK9" s="256"/>
      <c r="AAL9" s="256"/>
      <c r="AAM9" s="256"/>
      <c r="AAN9" s="256"/>
      <c r="AAO9" s="256"/>
      <c r="AAP9" s="256"/>
      <c r="AAQ9" s="256"/>
      <c r="AAR9" s="256"/>
      <c r="AAS9" s="256"/>
      <c r="AAT9" s="256"/>
      <c r="AAU9" s="256"/>
      <c r="AAV9" s="256"/>
      <c r="AAW9" s="256"/>
      <c r="AAX9" s="256"/>
      <c r="AAY9" s="256"/>
      <c r="AAZ9" s="256"/>
      <c r="ABA9" s="256"/>
      <c r="ABB9" s="256"/>
      <c r="ABC9" s="256"/>
      <c r="ABD9" s="256"/>
      <c r="ABE9" s="256"/>
      <c r="ABF9" s="256"/>
      <c r="ABG9" s="256"/>
      <c r="ABH9" s="256"/>
      <c r="ABI9" s="256"/>
      <c r="ABJ9" s="256"/>
      <c r="ABK9" s="256"/>
      <c r="ABL9" s="256"/>
      <c r="ABM9" s="256"/>
      <c r="ABN9" s="256"/>
      <c r="ABO9" s="256"/>
      <c r="ABP9" s="256"/>
      <c r="ABQ9" s="256"/>
      <c r="ABR9" s="256"/>
      <c r="ABS9" s="256"/>
      <c r="ABT9" s="256"/>
      <c r="ABU9" s="256"/>
      <c r="ABV9" s="256"/>
      <c r="ABW9" s="256"/>
      <c r="ABX9" s="256"/>
      <c r="ABY9" s="256"/>
      <c r="ABZ9" s="256"/>
      <c r="ACA9" s="256"/>
      <c r="ACB9" s="256"/>
      <c r="ACC9" s="256"/>
      <c r="ACD9" s="256"/>
      <c r="ACE9" s="256"/>
      <c r="ACF9" s="256"/>
      <c r="ACG9" s="256"/>
      <c r="ACH9" s="256"/>
      <c r="ACI9" s="256"/>
      <c r="ACJ9" s="256"/>
      <c r="ACK9" s="256"/>
      <c r="ACL9" s="256"/>
      <c r="ACM9" s="256"/>
      <c r="ACN9" s="256"/>
      <c r="ACO9" s="256"/>
      <c r="ACP9" s="256"/>
      <c r="ACQ9" s="256"/>
      <c r="ACR9" s="256"/>
      <c r="ACS9" s="256"/>
      <c r="ACT9" s="256"/>
      <c r="ACU9" s="256"/>
      <c r="ACV9" s="256"/>
      <c r="ACW9" s="256"/>
      <c r="ACX9" s="256"/>
      <c r="ACY9" s="256"/>
      <c r="ACZ9" s="256"/>
      <c r="ADA9" s="256"/>
      <c r="ADB9" s="256"/>
      <c r="ADC9" s="256"/>
      <c r="ADD9" s="256"/>
      <c r="ADE9" s="256"/>
      <c r="ADF9" s="256"/>
      <c r="ADG9" s="256"/>
      <c r="ADH9" s="256"/>
      <c r="ADI9" s="256"/>
      <c r="ADJ9" s="256"/>
      <c r="ADK9" s="256"/>
      <c r="ADL9" s="256"/>
      <c r="ADM9" s="256"/>
      <c r="ADN9" s="256"/>
      <c r="ADO9" s="256"/>
      <c r="ADP9" s="256"/>
      <c r="ADQ9" s="256"/>
      <c r="ADR9" s="256"/>
      <c r="ADS9" s="256"/>
      <c r="ADT9" s="256"/>
      <c r="ADU9" s="256"/>
      <c r="ADV9" s="256"/>
      <c r="ADW9" s="256"/>
      <c r="ADX9" s="256"/>
      <c r="ADY9" s="256"/>
      <c r="ADZ9" s="256"/>
      <c r="AEA9" s="256"/>
      <c r="AEB9" s="256"/>
      <c r="AEC9" s="256"/>
      <c r="AED9" s="256"/>
      <c r="AEE9" s="256"/>
      <c r="AEF9" s="256"/>
      <c r="AEG9" s="256"/>
      <c r="AEH9" s="256"/>
      <c r="AEI9" s="256"/>
      <c r="AEJ9" s="256"/>
      <c r="AEK9" s="256"/>
      <c r="AEL9" s="256"/>
      <c r="AEM9" s="256"/>
      <c r="AEN9" s="256"/>
      <c r="AEO9" s="256"/>
      <c r="AEP9" s="256"/>
      <c r="AEQ9" s="256"/>
      <c r="AER9" s="256"/>
      <c r="AES9" s="256"/>
      <c r="AET9" s="256"/>
      <c r="AEU9" s="256"/>
      <c r="AEV9" s="256"/>
      <c r="AEW9" s="256"/>
      <c r="AEX9" s="256"/>
      <c r="AEY9" s="256"/>
      <c r="AEZ9" s="256"/>
      <c r="AFA9" s="256"/>
      <c r="AFB9" s="256"/>
      <c r="AFC9" s="256"/>
      <c r="AFD9" s="256"/>
      <c r="AFE9" s="256"/>
      <c r="AFF9" s="256"/>
      <c r="AFG9" s="256"/>
      <c r="AFH9" s="256"/>
      <c r="AFI9" s="256"/>
      <c r="AFJ9" s="256"/>
      <c r="AFK9" s="256"/>
      <c r="AFL9" s="256"/>
      <c r="AFM9" s="256"/>
      <c r="AFN9" s="256"/>
      <c r="AFO9" s="256"/>
      <c r="AFP9" s="256"/>
      <c r="AFQ9" s="256"/>
      <c r="AFR9" s="256"/>
      <c r="AFS9" s="256"/>
      <c r="AFT9" s="256"/>
      <c r="AFU9" s="256"/>
      <c r="AFV9" s="256"/>
      <c r="AFW9" s="256"/>
      <c r="AFX9" s="256"/>
      <c r="AFY9" s="256"/>
      <c r="AFZ9" s="256"/>
      <c r="AGA9" s="256"/>
      <c r="AGB9" s="256"/>
      <c r="AGC9" s="256"/>
      <c r="AGD9" s="256"/>
      <c r="AGE9" s="256"/>
      <c r="AGF9" s="256"/>
      <c r="AGG9" s="256"/>
      <c r="AGH9" s="256"/>
      <c r="AGI9" s="256"/>
      <c r="AGJ9" s="256"/>
      <c r="AGK9" s="256"/>
      <c r="AGL9" s="256"/>
      <c r="AGM9" s="256"/>
      <c r="AGN9" s="256"/>
      <c r="AGO9" s="256"/>
      <c r="AGP9" s="256"/>
      <c r="AGQ9" s="256"/>
      <c r="AGR9" s="256"/>
      <c r="AGS9" s="256"/>
      <c r="AGT9" s="256"/>
      <c r="AGU9" s="256"/>
      <c r="AGV9" s="256"/>
      <c r="AGW9" s="256"/>
      <c r="AGX9" s="256"/>
      <c r="AGY9" s="256"/>
      <c r="AGZ9" s="256"/>
      <c r="AHA9" s="256"/>
      <c r="AHB9" s="256"/>
      <c r="AHC9" s="256"/>
      <c r="AHD9" s="256"/>
      <c r="AHE9" s="256"/>
      <c r="AHF9" s="256"/>
      <c r="AHG9" s="256"/>
      <c r="AHH9" s="256"/>
      <c r="AHI9" s="256"/>
      <c r="AHJ9" s="256"/>
      <c r="AHK9" s="256"/>
      <c r="AHL9" s="256"/>
      <c r="AHM9" s="256"/>
      <c r="AHN9" s="256"/>
      <c r="AHO9" s="256"/>
      <c r="AHP9" s="256"/>
      <c r="AHQ9" s="256"/>
      <c r="AHR9" s="256"/>
      <c r="AHS9" s="256"/>
      <c r="AHT9" s="256"/>
      <c r="AHU9" s="256"/>
      <c r="AHV9" s="256"/>
      <c r="AHW9" s="256"/>
      <c r="AHX9" s="256"/>
      <c r="AHY9" s="256"/>
      <c r="AHZ9" s="256"/>
      <c r="AIA9" s="256"/>
      <c r="AIB9" s="256"/>
      <c r="AIC9" s="256"/>
      <c r="AID9" s="256"/>
      <c r="AIE9" s="256"/>
      <c r="AIF9" s="256"/>
      <c r="AIG9" s="256"/>
      <c r="AIH9" s="256"/>
      <c r="AII9" s="256"/>
      <c r="AIJ9" s="256"/>
      <c r="AIK9" s="256"/>
      <c r="AIL9" s="256"/>
      <c r="AIM9" s="256"/>
      <c r="AIN9" s="256"/>
      <c r="AIO9" s="256"/>
      <c r="AIP9" s="256"/>
      <c r="AIQ9" s="256"/>
      <c r="AIR9" s="256"/>
      <c r="AIS9" s="256"/>
      <c r="AIT9" s="256"/>
      <c r="AIU9" s="256"/>
      <c r="AIV9" s="256"/>
      <c r="AIW9" s="256"/>
      <c r="AIX9" s="256"/>
      <c r="AIY9" s="256"/>
      <c r="AIZ9" s="256"/>
      <c r="AJA9" s="256"/>
      <c r="AJB9" s="256"/>
      <c r="AJC9" s="256"/>
      <c r="AJD9" s="256"/>
      <c r="AJE9" s="256"/>
      <c r="AJF9" s="256"/>
      <c r="AJG9" s="256"/>
      <c r="AJH9" s="256"/>
      <c r="AJI9" s="256"/>
      <c r="AJJ9" s="256"/>
      <c r="AJK9" s="256"/>
      <c r="AJL9" s="256"/>
      <c r="AJM9" s="256"/>
      <c r="AJN9" s="256"/>
      <c r="AJO9" s="256"/>
      <c r="AJP9" s="256"/>
      <c r="AJQ9" s="256"/>
      <c r="AJR9" s="256"/>
      <c r="AJS9" s="256"/>
      <c r="AJT9" s="256"/>
      <c r="AJU9" s="256"/>
      <c r="AJV9" s="256"/>
      <c r="AJW9" s="256"/>
      <c r="AJX9" s="256"/>
      <c r="AJY9" s="256"/>
      <c r="AJZ9" s="256"/>
      <c r="AKA9" s="256"/>
      <c r="AKB9" s="256"/>
      <c r="AKC9" s="256"/>
      <c r="AKD9" s="256"/>
      <c r="AKE9" s="256"/>
      <c r="AKF9" s="256"/>
      <c r="AKG9" s="256"/>
      <c r="AKH9" s="256"/>
      <c r="AKI9" s="256"/>
      <c r="AKJ9" s="256"/>
      <c r="AKK9" s="256"/>
      <c r="AKL9" s="256"/>
      <c r="AKM9" s="256"/>
      <c r="AKN9" s="256"/>
      <c r="AKO9" s="256"/>
      <c r="AKP9" s="256"/>
      <c r="AKQ9" s="256"/>
      <c r="AKR9" s="256"/>
      <c r="AKS9" s="256"/>
      <c r="AKT9" s="256"/>
      <c r="AKU9" s="256"/>
      <c r="AKV9" s="256"/>
      <c r="AKW9" s="256"/>
      <c r="AKX9" s="256"/>
      <c r="AKY9" s="256"/>
      <c r="AKZ9" s="256"/>
      <c r="ALA9" s="256"/>
      <c r="ALB9" s="256"/>
      <c r="ALC9" s="256"/>
      <c r="ALD9" s="256"/>
      <c r="ALE9" s="256"/>
      <c r="ALF9" s="256"/>
      <c r="ALG9" s="256"/>
      <c r="ALH9" s="256"/>
      <c r="ALI9" s="256"/>
      <c r="ALJ9" s="256"/>
      <c r="ALK9" s="256"/>
      <c r="ALL9" s="256"/>
      <c r="ALM9" s="256"/>
      <c r="ALN9" s="256"/>
      <c r="ALO9" s="256"/>
      <c r="ALP9" s="256"/>
      <c r="ALQ9" s="256"/>
      <c r="ALR9" s="256"/>
      <c r="ALS9" s="256"/>
      <c r="ALT9" s="256"/>
      <c r="ALU9" s="256"/>
      <c r="ALV9" s="256"/>
      <c r="ALW9" s="256"/>
      <c r="ALX9" s="256"/>
      <c r="ALY9" s="256"/>
      <c r="ALZ9" s="256"/>
      <c r="AMA9" s="258"/>
      <c r="AMB9" s="258"/>
      <c r="AMC9" s="258"/>
      <c r="AMD9" s="258"/>
      <c r="AME9" s="258"/>
      <c r="AMF9" s="258"/>
      <c r="AMG9" s="258"/>
      <c r="AMH9" s="258"/>
      <c r="AMI9" s="256"/>
    </row>
    <row r="10" spans="1:1023" s="259" customFormat="1" ht="15" customHeight="1" x14ac:dyDescent="0.25">
      <c r="A10" s="256"/>
      <c r="B10" s="256"/>
      <c r="C10" s="262"/>
      <c r="D10" s="256"/>
      <c r="E10" s="256"/>
      <c r="F10" s="256"/>
      <c r="G10" s="263"/>
      <c r="H10" s="256"/>
      <c r="I10" s="256"/>
      <c r="J10" s="256"/>
      <c r="K10" s="256"/>
      <c r="L10" s="258"/>
      <c r="M10" s="256"/>
      <c r="N10" s="256"/>
      <c r="O10" s="256"/>
      <c r="P10" s="256"/>
      <c r="Q10" s="256"/>
      <c r="R10" s="256"/>
      <c r="S10" s="256"/>
      <c r="T10" s="256"/>
      <c r="U10" s="256"/>
      <c r="V10" s="256"/>
      <c r="W10" s="256"/>
      <c r="X10" s="256"/>
      <c r="Y10" s="256"/>
      <c r="Z10" s="256"/>
      <c r="AA10" s="256"/>
      <c r="AB10" s="256"/>
      <c r="AC10" s="256"/>
      <c r="AD10" s="256"/>
      <c r="AE10" s="256"/>
      <c r="AF10" s="256"/>
      <c r="AG10" s="256"/>
      <c r="AH10" s="256"/>
      <c r="AI10" s="256"/>
      <c r="AJ10" s="256"/>
      <c r="AK10" s="256"/>
      <c r="AL10" s="256"/>
      <c r="AM10" s="256"/>
      <c r="AN10" s="256"/>
      <c r="AO10" s="256"/>
      <c r="AP10" s="256"/>
      <c r="AQ10" s="256"/>
      <c r="AR10" s="256"/>
      <c r="AS10" s="256"/>
      <c r="AT10" s="256"/>
      <c r="AU10" s="256"/>
      <c r="AV10" s="256"/>
      <c r="AW10" s="256"/>
      <c r="AX10" s="256"/>
      <c r="AY10" s="256"/>
      <c r="AZ10" s="256"/>
      <c r="BA10" s="256"/>
      <c r="BB10" s="256"/>
      <c r="BC10" s="256"/>
      <c r="BD10" s="256"/>
      <c r="BE10" s="256"/>
      <c r="BF10" s="256"/>
      <c r="BG10" s="256"/>
      <c r="BH10" s="256"/>
      <c r="BI10" s="256"/>
      <c r="BJ10" s="256"/>
      <c r="BK10" s="256"/>
      <c r="BL10" s="256"/>
      <c r="BM10" s="256"/>
      <c r="BN10" s="256"/>
      <c r="BO10" s="256"/>
      <c r="BP10" s="256"/>
      <c r="BQ10" s="256"/>
      <c r="BR10" s="256"/>
      <c r="BS10" s="256"/>
      <c r="BT10" s="256"/>
      <c r="BU10" s="256"/>
      <c r="BV10" s="256"/>
      <c r="BW10" s="256"/>
      <c r="BX10" s="256"/>
      <c r="BY10" s="256"/>
      <c r="BZ10" s="256"/>
      <c r="CA10" s="256"/>
      <c r="CB10" s="256"/>
      <c r="CC10" s="256"/>
      <c r="CD10" s="256"/>
      <c r="CE10" s="256"/>
      <c r="CF10" s="256"/>
      <c r="CG10" s="256"/>
      <c r="CH10" s="256"/>
      <c r="CI10" s="256"/>
      <c r="CJ10" s="256"/>
      <c r="CK10" s="256"/>
      <c r="CL10" s="256"/>
      <c r="CM10" s="256"/>
      <c r="CN10" s="256"/>
      <c r="CO10" s="256"/>
      <c r="CP10" s="256"/>
      <c r="CQ10" s="256"/>
      <c r="CR10" s="256"/>
      <c r="CS10" s="256"/>
      <c r="CT10" s="256"/>
      <c r="CU10" s="256"/>
      <c r="CV10" s="256"/>
      <c r="CW10" s="256"/>
      <c r="CX10" s="256"/>
      <c r="CY10" s="256"/>
      <c r="CZ10" s="256"/>
      <c r="DA10" s="256"/>
      <c r="DB10" s="256"/>
      <c r="DC10" s="256"/>
      <c r="DD10" s="256"/>
      <c r="DE10" s="256"/>
      <c r="DF10" s="256"/>
      <c r="DG10" s="256"/>
      <c r="DH10" s="256"/>
      <c r="DI10" s="256"/>
      <c r="DJ10" s="256"/>
      <c r="DK10" s="256"/>
      <c r="DL10" s="256"/>
      <c r="DM10" s="256"/>
      <c r="DN10" s="256"/>
      <c r="DO10" s="256"/>
      <c r="DP10" s="256"/>
      <c r="DQ10" s="256"/>
      <c r="DR10" s="256"/>
      <c r="DS10" s="256"/>
      <c r="DT10" s="256"/>
      <c r="DU10" s="256"/>
      <c r="DV10" s="256"/>
      <c r="DW10" s="256"/>
      <c r="DX10" s="256"/>
      <c r="DY10" s="256"/>
      <c r="DZ10" s="256"/>
      <c r="EA10" s="256"/>
      <c r="EB10" s="256"/>
      <c r="EC10" s="256"/>
      <c r="ED10" s="256"/>
      <c r="EE10" s="256"/>
      <c r="EF10" s="256"/>
      <c r="EG10" s="256"/>
      <c r="EH10" s="256"/>
      <c r="EI10" s="256"/>
      <c r="EJ10" s="256"/>
      <c r="EK10" s="256"/>
      <c r="EL10" s="256"/>
      <c r="EM10" s="256"/>
      <c r="EN10" s="256"/>
      <c r="EO10" s="256"/>
      <c r="EP10" s="256"/>
      <c r="EQ10" s="256"/>
      <c r="ER10" s="256"/>
      <c r="ES10" s="256"/>
      <c r="ET10" s="256"/>
      <c r="EU10" s="256"/>
      <c r="EV10" s="256"/>
      <c r="EW10" s="256"/>
      <c r="EX10" s="256"/>
      <c r="EY10" s="256"/>
      <c r="EZ10" s="256"/>
      <c r="FA10" s="256"/>
      <c r="FB10" s="256"/>
      <c r="FC10" s="256"/>
      <c r="FD10" s="256"/>
      <c r="FE10" s="256"/>
      <c r="FF10" s="256"/>
      <c r="FG10" s="256"/>
      <c r="FH10" s="256"/>
      <c r="FI10" s="256"/>
      <c r="FJ10" s="256"/>
      <c r="FK10" s="256"/>
      <c r="FL10" s="256"/>
      <c r="FM10" s="256"/>
      <c r="FN10" s="256"/>
      <c r="FO10" s="256"/>
      <c r="FP10" s="256"/>
      <c r="FQ10" s="256"/>
      <c r="FR10" s="256"/>
      <c r="FS10" s="256"/>
      <c r="FT10" s="256"/>
      <c r="FU10" s="256"/>
      <c r="FV10" s="256"/>
      <c r="FW10" s="256"/>
      <c r="FX10" s="256"/>
      <c r="FY10" s="256"/>
      <c r="FZ10" s="256"/>
      <c r="GA10" s="256"/>
      <c r="GB10" s="256"/>
      <c r="GC10" s="256"/>
      <c r="GD10" s="256"/>
      <c r="GE10" s="256"/>
      <c r="GF10" s="256"/>
      <c r="GG10" s="256"/>
      <c r="GH10" s="256"/>
      <c r="GI10" s="256"/>
      <c r="GJ10" s="256"/>
      <c r="GK10" s="256"/>
      <c r="GL10" s="256"/>
      <c r="GM10" s="256"/>
      <c r="GN10" s="256"/>
      <c r="GO10" s="256"/>
      <c r="GP10" s="256"/>
      <c r="GQ10" s="256"/>
      <c r="GR10" s="256"/>
      <c r="GS10" s="256"/>
      <c r="GT10" s="256"/>
      <c r="GU10" s="256"/>
      <c r="GV10" s="256"/>
      <c r="GW10" s="256"/>
      <c r="GX10" s="256"/>
      <c r="GY10" s="256"/>
      <c r="GZ10" s="256"/>
      <c r="HA10" s="256"/>
      <c r="HB10" s="256"/>
      <c r="HC10" s="256"/>
      <c r="HD10" s="256"/>
      <c r="HE10" s="256"/>
      <c r="HF10" s="256"/>
      <c r="HG10" s="256"/>
      <c r="HH10" s="256"/>
      <c r="HI10" s="256"/>
      <c r="HJ10" s="256"/>
      <c r="HK10" s="256"/>
      <c r="HL10" s="256"/>
      <c r="HM10" s="256"/>
      <c r="HN10" s="256"/>
      <c r="HO10" s="256"/>
      <c r="HP10" s="256"/>
      <c r="HQ10" s="256"/>
      <c r="HR10" s="256"/>
      <c r="HS10" s="256"/>
      <c r="HT10" s="256"/>
      <c r="HU10" s="256"/>
      <c r="HV10" s="256"/>
      <c r="HW10" s="256"/>
      <c r="HX10" s="256"/>
      <c r="HY10" s="256"/>
      <c r="HZ10" s="256"/>
      <c r="IA10" s="256"/>
      <c r="IB10" s="256"/>
      <c r="IC10" s="256"/>
      <c r="ID10" s="256"/>
      <c r="IE10" s="256"/>
      <c r="IF10" s="256"/>
      <c r="IG10" s="256"/>
      <c r="IH10" s="256"/>
      <c r="II10" s="256"/>
      <c r="IJ10" s="256"/>
      <c r="IK10" s="256"/>
      <c r="IL10" s="256"/>
      <c r="IM10" s="256"/>
      <c r="IN10" s="256"/>
      <c r="IO10" s="256"/>
      <c r="IP10" s="256"/>
      <c r="IQ10" s="256"/>
      <c r="IR10" s="256"/>
      <c r="IS10" s="256"/>
      <c r="IT10" s="256"/>
      <c r="IU10" s="256"/>
      <c r="IV10" s="256"/>
      <c r="IW10" s="256"/>
      <c r="IX10" s="256"/>
      <c r="IY10" s="256"/>
      <c r="IZ10" s="256"/>
      <c r="JA10" s="256"/>
      <c r="JB10" s="256"/>
      <c r="JC10" s="256"/>
      <c r="JD10" s="256"/>
      <c r="JE10" s="256"/>
      <c r="JF10" s="256"/>
      <c r="JG10" s="256"/>
      <c r="JH10" s="256"/>
      <c r="JI10" s="256"/>
      <c r="JJ10" s="256"/>
      <c r="JK10" s="256"/>
      <c r="JL10" s="256"/>
      <c r="JM10" s="256"/>
      <c r="JN10" s="256"/>
      <c r="JO10" s="256"/>
      <c r="JP10" s="256"/>
      <c r="JQ10" s="256"/>
      <c r="JR10" s="256"/>
      <c r="JS10" s="256"/>
      <c r="JT10" s="256"/>
      <c r="JU10" s="256"/>
      <c r="JV10" s="256"/>
      <c r="JW10" s="256"/>
      <c r="JX10" s="256"/>
      <c r="JY10" s="256"/>
      <c r="JZ10" s="256"/>
      <c r="KA10" s="256"/>
      <c r="KB10" s="256"/>
      <c r="KC10" s="256"/>
      <c r="KD10" s="256"/>
      <c r="KE10" s="256"/>
      <c r="KF10" s="256"/>
      <c r="KG10" s="256"/>
      <c r="KH10" s="256"/>
      <c r="KI10" s="256"/>
      <c r="KJ10" s="256"/>
      <c r="KK10" s="256"/>
      <c r="KL10" s="256"/>
      <c r="KM10" s="256"/>
      <c r="KN10" s="256"/>
      <c r="KO10" s="256"/>
      <c r="KP10" s="256"/>
      <c r="KQ10" s="256"/>
      <c r="KR10" s="256"/>
      <c r="KS10" s="256"/>
      <c r="KT10" s="256"/>
      <c r="KU10" s="256"/>
      <c r="KV10" s="256"/>
      <c r="KW10" s="256"/>
      <c r="KX10" s="256"/>
      <c r="KY10" s="256"/>
      <c r="KZ10" s="256"/>
      <c r="LA10" s="256"/>
      <c r="LB10" s="256"/>
      <c r="LC10" s="256"/>
      <c r="LD10" s="256"/>
      <c r="LE10" s="256"/>
      <c r="LF10" s="256"/>
      <c r="LG10" s="256"/>
      <c r="LH10" s="256"/>
      <c r="LI10" s="256"/>
      <c r="LJ10" s="256"/>
      <c r="LK10" s="256"/>
      <c r="LL10" s="256"/>
      <c r="LM10" s="256"/>
      <c r="LN10" s="256"/>
      <c r="LO10" s="256"/>
      <c r="LP10" s="256"/>
      <c r="LQ10" s="256"/>
      <c r="LR10" s="256"/>
      <c r="LS10" s="256"/>
      <c r="LT10" s="256"/>
      <c r="LU10" s="256"/>
      <c r="LV10" s="256"/>
      <c r="LW10" s="256"/>
      <c r="LX10" s="256"/>
      <c r="LY10" s="256"/>
      <c r="LZ10" s="256"/>
      <c r="MA10" s="256"/>
      <c r="MB10" s="256"/>
      <c r="MC10" s="256"/>
      <c r="MD10" s="256"/>
      <c r="ME10" s="256"/>
      <c r="MF10" s="256"/>
      <c r="MG10" s="256"/>
      <c r="MH10" s="256"/>
      <c r="MI10" s="256"/>
      <c r="MJ10" s="256"/>
      <c r="MK10" s="256"/>
      <c r="ML10" s="256"/>
      <c r="MM10" s="256"/>
      <c r="MN10" s="256"/>
      <c r="MO10" s="256"/>
      <c r="MP10" s="256"/>
      <c r="MQ10" s="256"/>
      <c r="MR10" s="256"/>
      <c r="MS10" s="256"/>
      <c r="MT10" s="256"/>
      <c r="MU10" s="256"/>
      <c r="MV10" s="256"/>
      <c r="MW10" s="256"/>
      <c r="MX10" s="256"/>
      <c r="MY10" s="256"/>
      <c r="MZ10" s="256"/>
      <c r="NA10" s="256"/>
      <c r="NB10" s="256"/>
      <c r="NC10" s="256"/>
      <c r="ND10" s="256"/>
      <c r="NE10" s="256"/>
      <c r="NF10" s="256"/>
      <c r="NG10" s="256"/>
      <c r="NH10" s="256"/>
      <c r="NI10" s="256"/>
      <c r="NJ10" s="256"/>
      <c r="NK10" s="256"/>
      <c r="NL10" s="256"/>
      <c r="NM10" s="256"/>
      <c r="NN10" s="256"/>
      <c r="NO10" s="256"/>
      <c r="NP10" s="256"/>
      <c r="NQ10" s="256"/>
      <c r="NR10" s="256"/>
      <c r="NS10" s="256"/>
      <c r="NT10" s="256"/>
      <c r="NU10" s="256"/>
      <c r="NV10" s="256"/>
      <c r="NW10" s="256"/>
      <c r="NX10" s="256"/>
      <c r="NY10" s="256"/>
      <c r="NZ10" s="256"/>
      <c r="OA10" s="256"/>
      <c r="OB10" s="256"/>
      <c r="OC10" s="256"/>
      <c r="OD10" s="256"/>
      <c r="OE10" s="256"/>
      <c r="OF10" s="256"/>
      <c r="OG10" s="256"/>
      <c r="OH10" s="256"/>
      <c r="OI10" s="256"/>
      <c r="OJ10" s="256"/>
      <c r="OK10" s="256"/>
      <c r="OL10" s="256"/>
      <c r="OM10" s="256"/>
      <c r="ON10" s="256"/>
      <c r="OO10" s="256"/>
      <c r="OP10" s="256"/>
      <c r="OQ10" s="256"/>
      <c r="OR10" s="256"/>
      <c r="OS10" s="256"/>
      <c r="OT10" s="256"/>
      <c r="OU10" s="256"/>
      <c r="OV10" s="256"/>
      <c r="OW10" s="256"/>
      <c r="OX10" s="256"/>
      <c r="OY10" s="256"/>
      <c r="OZ10" s="256"/>
      <c r="PA10" s="256"/>
      <c r="PB10" s="256"/>
      <c r="PC10" s="256"/>
      <c r="PD10" s="256"/>
      <c r="PE10" s="256"/>
      <c r="PF10" s="256"/>
      <c r="PG10" s="256"/>
      <c r="PH10" s="256"/>
      <c r="PI10" s="256"/>
      <c r="PJ10" s="256"/>
      <c r="PK10" s="256"/>
      <c r="PL10" s="256"/>
      <c r="PM10" s="256"/>
      <c r="PN10" s="256"/>
      <c r="PO10" s="256"/>
      <c r="PP10" s="256"/>
      <c r="PQ10" s="256"/>
      <c r="PR10" s="256"/>
      <c r="PS10" s="256"/>
      <c r="PT10" s="256"/>
      <c r="PU10" s="256"/>
      <c r="PV10" s="256"/>
      <c r="PW10" s="256"/>
      <c r="PX10" s="256"/>
      <c r="PY10" s="256"/>
      <c r="PZ10" s="256"/>
      <c r="QA10" s="256"/>
      <c r="QB10" s="256"/>
      <c r="QC10" s="256"/>
      <c r="QD10" s="256"/>
      <c r="QE10" s="256"/>
      <c r="QF10" s="256"/>
      <c r="QG10" s="256"/>
      <c r="QH10" s="256"/>
      <c r="QI10" s="256"/>
      <c r="QJ10" s="256"/>
      <c r="QK10" s="256"/>
      <c r="QL10" s="256"/>
      <c r="QM10" s="256"/>
      <c r="QN10" s="256"/>
      <c r="QO10" s="256"/>
      <c r="QP10" s="256"/>
      <c r="QQ10" s="256"/>
      <c r="QR10" s="256"/>
      <c r="QS10" s="256"/>
      <c r="QT10" s="256"/>
      <c r="QU10" s="256"/>
      <c r="QV10" s="256"/>
      <c r="QW10" s="256"/>
      <c r="QX10" s="256"/>
      <c r="QY10" s="256"/>
      <c r="QZ10" s="256"/>
      <c r="RA10" s="256"/>
      <c r="RB10" s="256"/>
      <c r="RC10" s="256"/>
      <c r="RD10" s="256"/>
      <c r="RE10" s="256"/>
      <c r="RF10" s="256"/>
      <c r="RG10" s="256"/>
      <c r="RH10" s="256"/>
      <c r="RI10" s="256"/>
      <c r="RJ10" s="256"/>
      <c r="RK10" s="256"/>
      <c r="RL10" s="256"/>
      <c r="RM10" s="256"/>
      <c r="RN10" s="256"/>
      <c r="RO10" s="256"/>
      <c r="RP10" s="256"/>
      <c r="RQ10" s="256"/>
      <c r="RR10" s="256"/>
      <c r="RS10" s="256"/>
      <c r="RT10" s="256"/>
      <c r="RU10" s="256"/>
      <c r="RV10" s="256"/>
      <c r="RW10" s="256"/>
      <c r="RX10" s="256"/>
      <c r="RY10" s="256"/>
      <c r="RZ10" s="256"/>
      <c r="SA10" s="256"/>
      <c r="SB10" s="256"/>
      <c r="SC10" s="256"/>
      <c r="SD10" s="256"/>
      <c r="SE10" s="256"/>
      <c r="SF10" s="256"/>
      <c r="SG10" s="256"/>
      <c r="SH10" s="256"/>
      <c r="SI10" s="256"/>
      <c r="SJ10" s="256"/>
      <c r="SK10" s="256"/>
      <c r="SL10" s="256"/>
      <c r="SM10" s="256"/>
      <c r="SN10" s="256"/>
      <c r="SO10" s="256"/>
      <c r="SP10" s="256"/>
      <c r="SQ10" s="256"/>
      <c r="SR10" s="256"/>
      <c r="SS10" s="256"/>
      <c r="ST10" s="256"/>
      <c r="SU10" s="256"/>
      <c r="SV10" s="256"/>
      <c r="SW10" s="256"/>
      <c r="SX10" s="256"/>
      <c r="SY10" s="256"/>
      <c r="SZ10" s="256"/>
      <c r="TA10" s="256"/>
      <c r="TB10" s="256"/>
      <c r="TC10" s="256"/>
      <c r="TD10" s="256"/>
      <c r="TE10" s="256"/>
      <c r="TF10" s="256"/>
      <c r="TG10" s="256"/>
      <c r="TH10" s="256"/>
      <c r="TI10" s="256"/>
      <c r="TJ10" s="256"/>
      <c r="TK10" s="256"/>
      <c r="TL10" s="256"/>
      <c r="TM10" s="256"/>
      <c r="TN10" s="256"/>
      <c r="TO10" s="256"/>
      <c r="TP10" s="256"/>
      <c r="TQ10" s="256"/>
      <c r="TR10" s="256"/>
      <c r="TS10" s="256"/>
      <c r="TT10" s="256"/>
      <c r="TU10" s="256"/>
      <c r="TV10" s="256"/>
      <c r="TW10" s="256"/>
      <c r="TX10" s="256"/>
      <c r="TY10" s="256"/>
      <c r="TZ10" s="256"/>
      <c r="UA10" s="256"/>
      <c r="UB10" s="256"/>
      <c r="UC10" s="256"/>
      <c r="UD10" s="256"/>
      <c r="UE10" s="256"/>
      <c r="UF10" s="256"/>
      <c r="UG10" s="256"/>
      <c r="UH10" s="256"/>
      <c r="UI10" s="256"/>
      <c r="UJ10" s="256"/>
      <c r="UK10" s="256"/>
      <c r="UL10" s="256"/>
      <c r="UM10" s="256"/>
      <c r="UN10" s="256"/>
      <c r="UO10" s="256"/>
      <c r="UP10" s="256"/>
      <c r="UQ10" s="256"/>
      <c r="UR10" s="256"/>
      <c r="US10" s="256"/>
      <c r="UT10" s="256"/>
      <c r="UU10" s="256"/>
      <c r="UV10" s="256"/>
      <c r="UW10" s="256"/>
      <c r="UX10" s="256"/>
      <c r="UY10" s="256"/>
      <c r="UZ10" s="256"/>
      <c r="VA10" s="256"/>
      <c r="VB10" s="256"/>
      <c r="VC10" s="256"/>
      <c r="VD10" s="256"/>
      <c r="VE10" s="256"/>
      <c r="VF10" s="256"/>
      <c r="VG10" s="256"/>
      <c r="VH10" s="256"/>
      <c r="VI10" s="256"/>
      <c r="VJ10" s="256"/>
      <c r="VK10" s="256"/>
      <c r="VL10" s="256"/>
      <c r="VM10" s="256"/>
      <c r="VN10" s="256"/>
      <c r="VO10" s="256"/>
      <c r="VP10" s="256"/>
      <c r="VQ10" s="256"/>
      <c r="VR10" s="256"/>
      <c r="VS10" s="256"/>
      <c r="VT10" s="256"/>
      <c r="VU10" s="256"/>
      <c r="VV10" s="256"/>
      <c r="VW10" s="256"/>
      <c r="VX10" s="256"/>
      <c r="VY10" s="256"/>
      <c r="VZ10" s="256"/>
      <c r="WA10" s="256"/>
      <c r="WB10" s="256"/>
      <c r="WC10" s="256"/>
      <c r="WD10" s="256"/>
      <c r="WE10" s="256"/>
      <c r="WF10" s="256"/>
      <c r="WG10" s="256"/>
      <c r="WH10" s="256"/>
      <c r="WI10" s="256"/>
      <c r="WJ10" s="256"/>
      <c r="WK10" s="256"/>
      <c r="WL10" s="256"/>
      <c r="WM10" s="256"/>
      <c r="WN10" s="256"/>
      <c r="WO10" s="256"/>
      <c r="WP10" s="256"/>
      <c r="WQ10" s="256"/>
      <c r="WR10" s="256"/>
      <c r="WS10" s="256"/>
      <c r="WT10" s="256"/>
      <c r="WU10" s="256"/>
      <c r="WV10" s="256"/>
      <c r="WW10" s="256"/>
      <c r="WX10" s="256"/>
      <c r="WY10" s="256"/>
      <c r="WZ10" s="256"/>
      <c r="XA10" s="256"/>
      <c r="XB10" s="256"/>
      <c r="XC10" s="256"/>
      <c r="XD10" s="256"/>
      <c r="XE10" s="256"/>
      <c r="XF10" s="256"/>
      <c r="XG10" s="256"/>
      <c r="XH10" s="256"/>
      <c r="XI10" s="256"/>
      <c r="XJ10" s="256"/>
      <c r="XK10" s="256"/>
      <c r="XL10" s="256"/>
      <c r="XM10" s="256"/>
      <c r="XN10" s="256"/>
      <c r="XO10" s="256"/>
      <c r="XP10" s="256"/>
      <c r="XQ10" s="256"/>
      <c r="XR10" s="256"/>
      <c r="XS10" s="256"/>
      <c r="XT10" s="256"/>
      <c r="XU10" s="256"/>
      <c r="XV10" s="256"/>
      <c r="XW10" s="256"/>
      <c r="XX10" s="256"/>
      <c r="XY10" s="256"/>
      <c r="XZ10" s="256"/>
      <c r="YA10" s="256"/>
      <c r="YB10" s="256"/>
      <c r="YC10" s="256"/>
      <c r="YD10" s="256"/>
      <c r="YE10" s="256"/>
      <c r="YF10" s="256"/>
      <c r="YG10" s="256"/>
      <c r="YH10" s="256"/>
      <c r="YI10" s="256"/>
      <c r="YJ10" s="256"/>
      <c r="YK10" s="256"/>
      <c r="YL10" s="256"/>
      <c r="YM10" s="256"/>
      <c r="YN10" s="256"/>
      <c r="YO10" s="256"/>
      <c r="YP10" s="256"/>
      <c r="YQ10" s="256"/>
      <c r="YR10" s="256"/>
      <c r="YS10" s="256"/>
      <c r="YT10" s="256"/>
      <c r="YU10" s="256"/>
      <c r="YV10" s="256"/>
      <c r="YW10" s="256"/>
      <c r="YX10" s="256"/>
      <c r="YY10" s="256"/>
      <c r="YZ10" s="256"/>
      <c r="ZA10" s="256"/>
      <c r="ZB10" s="256"/>
      <c r="ZC10" s="256"/>
      <c r="ZD10" s="256"/>
      <c r="ZE10" s="256"/>
      <c r="ZF10" s="256"/>
      <c r="ZG10" s="256"/>
      <c r="ZH10" s="256"/>
      <c r="ZI10" s="256"/>
      <c r="ZJ10" s="256"/>
      <c r="ZK10" s="256"/>
      <c r="ZL10" s="256"/>
      <c r="ZM10" s="256"/>
      <c r="ZN10" s="256"/>
      <c r="ZO10" s="256"/>
      <c r="ZP10" s="256"/>
      <c r="ZQ10" s="256"/>
      <c r="ZR10" s="256"/>
      <c r="ZS10" s="256"/>
      <c r="ZT10" s="256"/>
      <c r="ZU10" s="256"/>
      <c r="ZV10" s="256"/>
      <c r="ZW10" s="256"/>
      <c r="ZX10" s="256"/>
      <c r="ZY10" s="256"/>
      <c r="ZZ10" s="256"/>
      <c r="AAA10" s="256"/>
      <c r="AAB10" s="256"/>
      <c r="AAC10" s="256"/>
      <c r="AAD10" s="256"/>
      <c r="AAE10" s="256"/>
      <c r="AAF10" s="256"/>
      <c r="AAG10" s="256"/>
      <c r="AAH10" s="256"/>
      <c r="AAI10" s="256"/>
      <c r="AAJ10" s="256"/>
      <c r="AAK10" s="256"/>
      <c r="AAL10" s="256"/>
      <c r="AAM10" s="256"/>
      <c r="AAN10" s="256"/>
      <c r="AAO10" s="256"/>
      <c r="AAP10" s="256"/>
      <c r="AAQ10" s="256"/>
      <c r="AAR10" s="256"/>
      <c r="AAS10" s="256"/>
      <c r="AAT10" s="256"/>
      <c r="AAU10" s="256"/>
      <c r="AAV10" s="256"/>
      <c r="AAW10" s="256"/>
      <c r="AAX10" s="256"/>
      <c r="AAY10" s="256"/>
      <c r="AAZ10" s="256"/>
      <c r="ABA10" s="256"/>
      <c r="ABB10" s="256"/>
      <c r="ABC10" s="256"/>
      <c r="ABD10" s="256"/>
      <c r="ABE10" s="256"/>
      <c r="ABF10" s="256"/>
      <c r="ABG10" s="256"/>
      <c r="ABH10" s="256"/>
      <c r="ABI10" s="256"/>
      <c r="ABJ10" s="256"/>
      <c r="ABK10" s="256"/>
      <c r="ABL10" s="256"/>
      <c r="ABM10" s="256"/>
      <c r="ABN10" s="256"/>
      <c r="ABO10" s="256"/>
      <c r="ABP10" s="256"/>
      <c r="ABQ10" s="256"/>
      <c r="ABR10" s="256"/>
      <c r="ABS10" s="256"/>
      <c r="ABT10" s="256"/>
      <c r="ABU10" s="256"/>
      <c r="ABV10" s="256"/>
      <c r="ABW10" s="256"/>
      <c r="ABX10" s="256"/>
      <c r="ABY10" s="256"/>
      <c r="ABZ10" s="256"/>
      <c r="ACA10" s="256"/>
      <c r="ACB10" s="256"/>
      <c r="ACC10" s="256"/>
      <c r="ACD10" s="256"/>
      <c r="ACE10" s="256"/>
      <c r="ACF10" s="256"/>
      <c r="ACG10" s="256"/>
      <c r="ACH10" s="256"/>
      <c r="ACI10" s="256"/>
      <c r="ACJ10" s="256"/>
      <c r="ACK10" s="256"/>
      <c r="ACL10" s="256"/>
      <c r="ACM10" s="256"/>
      <c r="ACN10" s="256"/>
      <c r="ACO10" s="256"/>
      <c r="ACP10" s="256"/>
      <c r="ACQ10" s="256"/>
      <c r="ACR10" s="256"/>
      <c r="ACS10" s="256"/>
      <c r="ACT10" s="256"/>
      <c r="ACU10" s="256"/>
      <c r="ACV10" s="256"/>
      <c r="ACW10" s="256"/>
      <c r="ACX10" s="256"/>
      <c r="ACY10" s="256"/>
      <c r="ACZ10" s="256"/>
      <c r="ADA10" s="256"/>
      <c r="ADB10" s="256"/>
      <c r="ADC10" s="256"/>
      <c r="ADD10" s="256"/>
      <c r="ADE10" s="256"/>
      <c r="ADF10" s="256"/>
      <c r="ADG10" s="256"/>
      <c r="ADH10" s="256"/>
      <c r="ADI10" s="256"/>
      <c r="ADJ10" s="256"/>
      <c r="ADK10" s="256"/>
      <c r="ADL10" s="256"/>
      <c r="ADM10" s="256"/>
      <c r="ADN10" s="256"/>
      <c r="ADO10" s="256"/>
      <c r="ADP10" s="256"/>
      <c r="ADQ10" s="256"/>
      <c r="ADR10" s="256"/>
      <c r="ADS10" s="256"/>
      <c r="ADT10" s="256"/>
      <c r="ADU10" s="256"/>
      <c r="ADV10" s="256"/>
      <c r="ADW10" s="256"/>
      <c r="ADX10" s="256"/>
      <c r="ADY10" s="256"/>
      <c r="ADZ10" s="256"/>
      <c r="AEA10" s="256"/>
      <c r="AEB10" s="256"/>
      <c r="AEC10" s="256"/>
      <c r="AED10" s="256"/>
      <c r="AEE10" s="256"/>
      <c r="AEF10" s="256"/>
      <c r="AEG10" s="256"/>
      <c r="AEH10" s="256"/>
      <c r="AEI10" s="256"/>
      <c r="AEJ10" s="256"/>
      <c r="AEK10" s="256"/>
      <c r="AEL10" s="256"/>
      <c r="AEM10" s="256"/>
      <c r="AEN10" s="256"/>
      <c r="AEO10" s="256"/>
      <c r="AEP10" s="256"/>
      <c r="AEQ10" s="256"/>
      <c r="AER10" s="256"/>
      <c r="AES10" s="256"/>
      <c r="AET10" s="256"/>
      <c r="AEU10" s="256"/>
      <c r="AEV10" s="256"/>
      <c r="AEW10" s="256"/>
      <c r="AEX10" s="256"/>
      <c r="AEY10" s="256"/>
      <c r="AEZ10" s="256"/>
      <c r="AFA10" s="256"/>
      <c r="AFB10" s="256"/>
      <c r="AFC10" s="256"/>
      <c r="AFD10" s="256"/>
      <c r="AFE10" s="256"/>
      <c r="AFF10" s="256"/>
      <c r="AFG10" s="256"/>
      <c r="AFH10" s="256"/>
      <c r="AFI10" s="256"/>
      <c r="AFJ10" s="256"/>
      <c r="AFK10" s="256"/>
      <c r="AFL10" s="256"/>
      <c r="AFM10" s="256"/>
      <c r="AFN10" s="256"/>
      <c r="AFO10" s="256"/>
      <c r="AFP10" s="256"/>
      <c r="AFQ10" s="256"/>
      <c r="AFR10" s="256"/>
      <c r="AFS10" s="256"/>
      <c r="AFT10" s="256"/>
      <c r="AFU10" s="256"/>
      <c r="AFV10" s="256"/>
      <c r="AFW10" s="256"/>
      <c r="AFX10" s="256"/>
      <c r="AFY10" s="256"/>
      <c r="AFZ10" s="256"/>
      <c r="AGA10" s="256"/>
      <c r="AGB10" s="256"/>
      <c r="AGC10" s="256"/>
      <c r="AGD10" s="256"/>
      <c r="AGE10" s="256"/>
      <c r="AGF10" s="256"/>
      <c r="AGG10" s="256"/>
      <c r="AGH10" s="256"/>
      <c r="AGI10" s="256"/>
      <c r="AGJ10" s="256"/>
      <c r="AGK10" s="256"/>
      <c r="AGL10" s="256"/>
      <c r="AGM10" s="256"/>
      <c r="AGN10" s="256"/>
      <c r="AGO10" s="256"/>
      <c r="AGP10" s="256"/>
      <c r="AGQ10" s="256"/>
      <c r="AGR10" s="256"/>
      <c r="AGS10" s="256"/>
      <c r="AGT10" s="256"/>
      <c r="AGU10" s="256"/>
      <c r="AGV10" s="256"/>
      <c r="AGW10" s="256"/>
      <c r="AGX10" s="256"/>
      <c r="AGY10" s="256"/>
      <c r="AGZ10" s="256"/>
      <c r="AHA10" s="256"/>
      <c r="AHB10" s="256"/>
      <c r="AHC10" s="256"/>
      <c r="AHD10" s="256"/>
      <c r="AHE10" s="256"/>
      <c r="AHF10" s="256"/>
      <c r="AHG10" s="256"/>
      <c r="AHH10" s="256"/>
      <c r="AHI10" s="256"/>
      <c r="AHJ10" s="256"/>
      <c r="AHK10" s="256"/>
      <c r="AHL10" s="256"/>
      <c r="AHM10" s="256"/>
      <c r="AHN10" s="256"/>
      <c r="AHO10" s="256"/>
      <c r="AHP10" s="256"/>
      <c r="AHQ10" s="256"/>
      <c r="AHR10" s="256"/>
      <c r="AHS10" s="256"/>
      <c r="AHT10" s="256"/>
      <c r="AHU10" s="256"/>
      <c r="AHV10" s="256"/>
      <c r="AHW10" s="256"/>
      <c r="AHX10" s="256"/>
      <c r="AHY10" s="256"/>
      <c r="AHZ10" s="256"/>
      <c r="AIA10" s="256"/>
      <c r="AIB10" s="256"/>
      <c r="AIC10" s="256"/>
      <c r="AID10" s="256"/>
      <c r="AIE10" s="256"/>
      <c r="AIF10" s="256"/>
      <c r="AIG10" s="256"/>
      <c r="AIH10" s="256"/>
      <c r="AII10" s="256"/>
      <c r="AIJ10" s="256"/>
      <c r="AIK10" s="256"/>
      <c r="AIL10" s="256"/>
      <c r="AIM10" s="256"/>
      <c r="AIN10" s="256"/>
      <c r="AIO10" s="256"/>
      <c r="AIP10" s="256"/>
      <c r="AIQ10" s="256"/>
      <c r="AIR10" s="256"/>
      <c r="AIS10" s="256"/>
      <c r="AIT10" s="256"/>
      <c r="AIU10" s="256"/>
      <c r="AIV10" s="256"/>
      <c r="AIW10" s="256"/>
      <c r="AIX10" s="256"/>
      <c r="AIY10" s="256"/>
      <c r="AIZ10" s="256"/>
      <c r="AJA10" s="256"/>
      <c r="AJB10" s="256"/>
      <c r="AJC10" s="256"/>
      <c r="AJD10" s="256"/>
      <c r="AJE10" s="256"/>
      <c r="AJF10" s="256"/>
      <c r="AJG10" s="256"/>
      <c r="AJH10" s="256"/>
      <c r="AJI10" s="256"/>
      <c r="AJJ10" s="256"/>
      <c r="AJK10" s="256"/>
      <c r="AJL10" s="256"/>
      <c r="AJM10" s="256"/>
      <c r="AJN10" s="256"/>
      <c r="AJO10" s="256"/>
      <c r="AJP10" s="256"/>
      <c r="AJQ10" s="256"/>
      <c r="AJR10" s="256"/>
      <c r="AJS10" s="256"/>
      <c r="AJT10" s="256"/>
      <c r="AJU10" s="256"/>
      <c r="AJV10" s="256"/>
      <c r="AJW10" s="256"/>
      <c r="AJX10" s="256"/>
      <c r="AJY10" s="256"/>
      <c r="AJZ10" s="256"/>
      <c r="AKA10" s="256"/>
      <c r="AKB10" s="256"/>
      <c r="AKC10" s="256"/>
      <c r="AKD10" s="256"/>
      <c r="AKE10" s="256"/>
      <c r="AKF10" s="256"/>
      <c r="AKG10" s="256"/>
      <c r="AKH10" s="256"/>
      <c r="AKI10" s="256"/>
      <c r="AKJ10" s="256"/>
      <c r="AKK10" s="256"/>
      <c r="AKL10" s="256"/>
      <c r="AKM10" s="256"/>
      <c r="AKN10" s="256"/>
      <c r="AKO10" s="256"/>
      <c r="AKP10" s="256"/>
      <c r="AKQ10" s="256"/>
      <c r="AKR10" s="256"/>
      <c r="AKS10" s="256"/>
      <c r="AKT10" s="256"/>
      <c r="AKU10" s="256"/>
      <c r="AKV10" s="256"/>
      <c r="AKW10" s="256"/>
      <c r="AKX10" s="256"/>
      <c r="AKY10" s="256"/>
      <c r="AKZ10" s="256"/>
      <c r="ALA10" s="256"/>
      <c r="ALB10" s="256"/>
      <c r="ALC10" s="256"/>
      <c r="ALD10" s="256"/>
      <c r="ALE10" s="256"/>
      <c r="ALF10" s="256"/>
      <c r="ALG10" s="256"/>
      <c r="ALH10" s="256"/>
      <c r="ALI10" s="256"/>
      <c r="ALJ10" s="256"/>
      <c r="ALK10" s="256"/>
      <c r="ALL10" s="256"/>
      <c r="ALM10" s="256"/>
      <c r="ALN10" s="256"/>
      <c r="ALO10" s="256"/>
      <c r="ALP10" s="256"/>
      <c r="ALQ10" s="256"/>
      <c r="ALR10" s="256"/>
      <c r="ALS10" s="256"/>
      <c r="ALT10" s="256"/>
      <c r="ALU10" s="258"/>
      <c r="ALV10" s="258"/>
      <c r="ALW10" s="258"/>
      <c r="ALX10" s="258"/>
      <c r="ALY10" s="258"/>
      <c r="ALZ10" s="258"/>
      <c r="AMA10" s="258"/>
      <c r="AMB10" s="258"/>
      <c r="AMC10" s="258"/>
      <c r="AMD10" s="258"/>
      <c r="AME10" s="258"/>
      <c r="AMF10" s="258"/>
      <c r="AMG10" s="258"/>
      <c r="AMH10" s="258"/>
      <c r="AMI10" s="256"/>
    </row>
    <row r="11" spans="1:1023" s="259" customFormat="1" ht="51.75" customHeight="1" x14ac:dyDescent="0.25">
      <c r="A11" s="264"/>
      <c r="B11" s="265"/>
      <c r="C11" s="265"/>
      <c r="D11" s="265"/>
      <c r="E11" s="266" t="s">
        <v>325</v>
      </c>
      <c r="F11" s="267"/>
      <c r="G11" s="266" t="s">
        <v>326</v>
      </c>
      <c r="H11" s="267"/>
      <c r="I11" s="266" t="s">
        <v>327</v>
      </c>
      <c r="J11" s="267"/>
      <c r="K11" s="266" t="s">
        <v>328</v>
      </c>
      <c r="L11" s="268"/>
      <c r="M11" s="266" t="s">
        <v>329</v>
      </c>
      <c r="N11" s="265"/>
      <c r="O11" s="265"/>
      <c r="P11" s="265"/>
      <c r="Q11" s="269"/>
      <c r="R11" s="269"/>
      <c r="S11" s="269"/>
      <c r="T11" s="269"/>
      <c r="U11" s="269"/>
      <c r="V11" s="269"/>
      <c r="W11" s="269"/>
      <c r="X11" s="269"/>
      <c r="Y11" s="269"/>
      <c r="Z11" s="269"/>
      <c r="AA11" s="269"/>
      <c r="AB11" s="269"/>
      <c r="AC11" s="269"/>
      <c r="AD11" s="269"/>
      <c r="AE11" s="269"/>
      <c r="AF11" s="269"/>
      <c r="AG11" s="269"/>
      <c r="AH11" s="269"/>
      <c r="AI11" s="269"/>
      <c r="AJ11" s="269"/>
      <c r="AK11" s="269"/>
      <c r="AL11" s="269"/>
      <c r="AM11" s="269"/>
      <c r="AN11" s="269"/>
      <c r="AO11" s="269"/>
      <c r="AP11" s="269"/>
      <c r="AQ11" s="269"/>
      <c r="AR11" s="269"/>
      <c r="AS11" s="269"/>
      <c r="AT11" s="269"/>
      <c r="AU11" s="269"/>
      <c r="AV11" s="269"/>
      <c r="AW11" s="269"/>
      <c r="AX11" s="269"/>
      <c r="AY11" s="269"/>
      <c r="AZ11" s="269"/>
      <c r="BA11" s="269"/>
      <c r="BB11" s="269"/>
      <c r="BC11" s="269"/>
      <c r="BD11" s="269"/>
      <c r="BE11" s="269"/>
      <c r="BF11" s="269"/>
      <c r="BG11" s="269"/>
      <c r="BH11" s="269"/>
      <c r="BI11" s="269"/>
      <c r="BJ11" s="269"/>
      <c r="BK11" s="269"/>
      <c r="BL11" s="269"/>
      <c r="BM11" s="269"/>
      <c r="BN11" s="269"/>
      <c r="BO11" s="269"/>
      <c r="BP11" s="269"/>
      <c r="BQ11" s="269"/>
      <c r="BR11" s="269"/>
      <c r="BS11" s="269"/>
      <c r="BT11" s="269"/>
      <c r="BU11" s="269"/>
      <c r="BV11" s="269"/>
      <c r="BW11" s="269"/>
      <c r="BX11" s="269"/>
      <c r="BY11" s="269"/>
      <c r="BZ11" s="269"/>
      <c r="CA11" s="269"/>
      <c r="CB11" s="269"/>
      <c r="CC11" s="269"/>
      <c r="CD11" s="269"/>
      <c r="CE11" s="269"/>
      <c r="CF11" s="269"/>
      <c r="CG11" s="269"/>
      <c r="CH11" s="269"/>
      <c r="CI11" s="269"/>
      <c r="CJ11" s="269"/>
      <c r="CK11" s="269"/>
      <c r="CL11" s="269"/>
      <c r="CM11" s="269"/>
      <c r="CN11" s="269"/>
      <c r="CO11" s="269"/>
      <c r="CP11" s="269"/>
      <c r="CQ11" s="269"/>
      <c r="CR11" s="269"/>
      <c r="CS11" s="269"/>
      <c r="CT11" s="269"/>
      <c r="CU11" s="269"/>
      <c r="CV11" s="269"/>
      <c r="CW11" s="269"/>
      <c r="CX11" s="269"/>
      <c r="CY11" s="269"/>
      <c r="CZ11" s="269"/>
      <c r="DA11" s="269"/>
      <c r="DB11" s="269"/>
      <c r="DC11" s="269"/>
      <c r="DD11" s="269"/>
      <c r="DE11" s="269"/>
      <c r="DF11" s="269"/>
      <c r="DG11" s="269"/>
      <c r="DH11" s="269"/>
      <c r="DI11" s="269"/>
      <c r="DJ11" s="269"/>
      <c r="DK11" s="269"/>
      <c r="DL11" s="269"/>
      <c r="DM11" s="269"/>
      <c r="DN11" s="269"/>
      <c r="DO11" s="269"/>
      <c r="DP11" s="269"/>
      <c r="DQ11" s="269"/>
      <c r="DR11" s="269"/>
      <c r="DS11" s="269"/>
      <c r="DT11" s="269"/>
      <c r="DU11" s="269"/>
      <c r="DV11" s="269"/>
      <c r="DW11" s="269"/>
      <c r="DX11" s="269"/>
      <c r="DY11" s="269"/>
      <c r="DZ11" s="269"/>
      <c r="EA11" s="269"/>
      <c r="EB11" s="269"/>
      <c r="EC11" s="269"/>
      <c r="ED11" s="269"/>
      <c r="EE11" s="269"/>
      <c r="EF11" s="269"/>
      <c r="EG11" s="269"/>
      <c r="EH11" s="269"/>
      <c r="EI11" s="269"/>
      <c r="EJ11" s="269"/>
      <c r="EK11" s="269"/>
      <c r="EL11" s="269"/>
      <c r="EM11" s="269"/>
      <c r="EN11" s="269"/>
      <c r="EO11" s="269"/>
      <c r="EP11" s="269"/>
      <c r="EQ11" s="269"/>
      <c r="ER11" s="269"/>
      <c r="ES11" s="269"/>
      <c r="ET11" s="269"/>
      <c r="EU11" s="269"/>
      <c r="EV11" s="269"/>
      <c r="EW11" s="269"/>
      <c r="EX11" s="269"/>
      <c r="EY11" s="269"/>
      <c r="EZ11" s="269"/>
      <c r="FA11" s="269"/>
      <c r="FB11" s="269"/>
      <c r="FC11" s="269"/>
      <c r="FD11" s="269"/>
      <c r="FE11" s="269"/>
      <c r="FF11" s="269"/>
      <c r="FG11" s="269"/>
      <c r="FH11" s="269"/>
      <c r="FI11" s="269"/>
      <c r="FJ11" s="269"/>
      <c r="FK11" s="269"/>
      <c r="FL11" s="269"/>
      <c r="FM11" s="269"/>
      <c r="FN11" s="269"/>
      <c r="FO11" s="269"/>
      <c r="FP11" s="269"/>
      <c r="FQ11" s="269"/>
      <c r="FR11" s="269"/>
      <c r="FS11" s="269"/>
      <c r="FT11" s="269"/>
      <c r="FU11" s="269"/>
      <c r="FV11" s="269"/>
      <c r="FW11" s="269"/>
      <c r="FX11" s="269"/>
      <c r="FY11" s="269"/>
      <c r="FZ11" s="269"/>
      <c r="GA11" s="269"/>
      <c r="GB11" s="269"/>
      <c r="GC11" s="269"/>
      <c r="GD11" s="269"/>
      <c r="GE11" s="269"/>
      <c r="GF11" s="269"/>
      <c r="GG11" s="269"/>
      <c r="GH11" s="269"/>
      <c r="GI11" s="269"/>
      <c r="GJ11" s="269"/>
      <c r="GK11" s="269"/>
      <c r="GL11" s="269"/>
      <c r="GM11" s="269"/>
      <c r="GN11" s="269"/>
      <c r="GO11" s="269"/>
      <c r="GP11" s="269"/>
      <c r="GQ11" s="269"/>
      <c r="GR11" s="269"/>
      <c r="GS11" s="269"/>
      <c r="GT11" s="269"/>
      <c r="GU11" s="269"/>
      <c r="GV11" s="269"/>
      <c r="GW11" s="269"/>
      <c r="GX11" s="269"/>
      <c r="GY11" s="269"/>
      <c r="GZ11" s="269"/>
      <c r="HA11" s="269"/>
      <c r="HB11" s="269"/>
      <c r="HC11" s="269"/>
      <c r="HD11" s="269"/>
      <c r="HE11" s="269"/>
      <c r="HF11" s="269"/>
      <c r="HG11" s="269"/>
      <c r="HH11" s="269"/>
      <c r="HI11" s="269"/>
      <c r="HJ11" s="269"/>
      <c r="HK11" s="269"/>
      <c r="HL11" s="269"/>
      <c r="HM11" s="269"/>
      <c r="HN11" s="269"/>
      <c r="HO11" s="269"/>
      <c r="HP11" s="269"/>
      <c r="HQ11" s="269"/>
      <c r="HR11" s="269"/>
      <c r="HS11" s="269"/>
      <c r="HT11" s="269"/>
      <c r="HU11" s="269"/>
      <c r="HV11" s="269"/>
      <c r="HW11" s="269"/>
      <c r="HX11" s="269"/>
      <c r="HY11" s="269"/>
      <c r="HZ11" s="269"/>
      <c r="IA11" s="269"/>
      <c r="IB11" s="269"/>
      <c r="IC11" s="269"/>
      <c r="ID11" s="269"/>
      <c r="IE11" s="269"/>
      <c r="IF11" s="269"/>
      <c r="IG11" s="269"/>
      <c r="IH11" s="269"/>
      <c r="II11" s="269"/>
      <c r="IJ11" s="269"/>
      <c r="IK11" s="269"/>
      <c r="IL11" s="269"/>
      <c r="IM11" s="269"/>
      <c r="IN11" s="269"/>
      <c r="IO11" s="269"/>
      <c r="IP11" s="269"/>
      <c r="IQ11" s="269"/>
      <c r="IR11" s="269"/>
      <c r="IS11" s="269"/>
      <c r="IT11" s="269"/>
      <c r="IU11" s="269"/>
      <c r="IV11" s="269"/>
      <c r="IW11" s="269"/>
      <c r="IX11" s="269"/>
      <c r="IY11" s="269"/>
      <c r="IZ11" s="269"/>
      <c r="JA11" s="269"/>
      <c r="JB11" s="269"/>
      <c r="JC11" s="269"/>
      <c r="JD11" s="269"/>
      <c r="JE11" s="269"/>
      <c r="JF11" s="269"/>
      <c r="JG11" s="269"/>
      <c r="JH11" s="269"/>
      <c r="JI11" s="269"/>
      <c r="JJ11" s="269"/>
      <c r="JK11" s="269"/>
      <c r="JL11" s="269"/>
      <c r="JM11" s="269"/>
      <c r="JN11" s="269"/>
      <c r="JO11" s="269"/>
      <c r="JP11" s="269"/>
      <c r="JQ11" s="269"/>
      <c r="JR11" s="269"/>
      <c r="JS11" s="269"/>
      <c r="JT11" s="269"/>
      <c r="JU11" s="269"/>
      <c r="JV11" s="269"/>
      <c r="JW11" s="269"/>
      <c r="JX11" s="269"/>
      <c r="JY11" s="269"/>
      <c r="JZ11" s="269"/>
      <c r="KA11" s="269"/>
      <c r="KB11" s="269"/>
      <c r="KC11" s="269"/>
      <c r="KD11" s="269"/>
      <c r="KE11" s="269"/>
      <c r="KF11" s="269"/>
      <c r="KG11" s="269"/>
      <c r="KH11" s="269"/>
      <c r="KI11" s="269"/>
      <c r="KJ11" s="269"/>
      <c r="KK11" s="269"/>
      <c r="KL11" s="269"/>
      <c r="KM11" s="269"/>
      <c r="KN11" s="269"/>
      <c r="KO11" s="269"/>
      <c r="KP11" s="269"/>
      <c r="KQ11" s="269"/>
      <c r="KR11" s="269"/>
      <c r="KS11" s="269"/>
      <c r="KT11" s="269"/>
      <c r="KU11" s="269"/>
      <c r="KV11" s="269"/>
      <c r="KW11" s="269"/>
      <c r="KX11" s="269"/>
      <c r="KY11" s="269"/>
      <c r="KZ11" s="269"/>
      <c r="LA11" s="269"/>
      <c r="LB11" s="269"/>
      <c r="LC11" s="269"/>
      <c r="LD11" s="269"/>
      <c r="LE11" s="269"/>
      <c r="LF11" s="269"/>
      <c r="LG11" s="269"/>
      <c r="LH11" s="269"/>
      <c r="LI11" s="269"/>
      <c r="LJ11" s="269"/>
      <c r="LK11" s="269"/>
      <c r="LL11" s="269"/>
      <c r="LM11" s="269"/>
      <c r="LN11" s="269"/>
      <c r="LO11" s="269"/>
      <c r="LP11" s="269"/>
      <c r="LQ11" s="269"/>
      <c r="LR11" s="269"/>
      <c r="LS11" s="269"/>
      <c r="LT11" s="269"/>
      <c r="LU11" s="269"/>
      <c r="LV11" s="269"/>
      <c r="LW11" s="269"/>
      <c r="LX11" s="269"/>
      <c r="LY11" s="269"/>
      <c r="LZ11" s="269"/>
      <c r="MA11" s="269"/>
      <c r="MB11" s="269"/>
      <c r="MC11" s="269"/>
      <c r="MD11" s="269"/>
      <c r="ME11" s="269"/>
      <c r="MF11" s="269"/>
      <c r="MG11" s="269"/>
      <c r="MH11" s="269"/>
      <c r="MI11" s="269"/>
      <c r="MJ11" s="269"/>
      <c r="MK11" s="269"/>
      <c r="ML11" s="269"/>
      <c r="MM11" s="269"/>
      <c r="MN11" s="269"/>
      <c r="MO11" s="269"/>
      <c r="MP11" s="269"/>
      <c r="MQ11" s="269"/>
      <c r="MR11" s="269"/>
      <c r="MS11" s="269"/>
      <c r="MT11" s="269"/>
      <c r="MU11" s="269"/>
      <c r="MV11" s="269"/>
      <c r="MW11" s="269"/>
      <c r="MX11" s="269"/>
      <c r="MY11" s="269"/>
      <c r="MZ11" s="269"/>
      <c r="NA11" s="269"/>
      <c r="NB11" s="269"/>
      <c r="NC11" s="269"/>
      <c r="ND11" s="269"/>
      <c r="NE11" s="269"/>
      <c r="NF11" s="269"/>
      <c r="NG11" s="269"/>
      <c r="NH11" s="269"/>
      <c r="NI11" s="269"/>
      <c r="NJ11" s="269"/>
      <c r="NK11" s="269"/>
      <c r="NL11" s="269"/>
      <c r="NM11" s="269"/>
      <c r="NN11" s="269"/>
      <c r="NO11" s="269"/>
      <c r="NP11" s="269"/>
      <c r="NQ11" s="269"/>
      <c r="NR11" s="269"/>
      <c r="NS11" s="269"/>
      <c r="NT11" s="269"/>
      <c r="NU11" s="269"/>
      <c r="NV11" s="269"/>
      <c r="NW11" s="269"/>
      <c r="NX11" s="269"/>
      <c r="NY11" s="269"/>
      <c r="NZ11" s="269"/>
      <c r="OA11" s="269"/>
      <c r="OB11" s="269"/>
      <c r="OC11" s="269"/>
      <c r="OD11" s="269"/>
      <c r="OE11" s="269"/>
      <c r="OF11" s="269"/>
      <c r="OG11" s="269"/>
      <c r="OH11" s="269"/>
      <c r="OI11" s="269"/>
      <c r="OJ11" s="269"/>
      <c r="OK11" s="269"/>
      <c r="OL11" s="269"/>
      <c r="OM11" s="269"/>
      <c r="ON11" s="269"/>
      <c r="OO11" s="269"/>
      <c r="OP11" s="269"/>
      <c r="OQ11" s="269"/>
      <c r="OR11" s="269"/>
      <c r="OS11" s="269"/>
      <c r="OT11" s="269"/>
      <c r="OU11" s="269"/>
      <c r="OV11" s="269"/>
      <c r="OW11" s="269"/>
      <c r="OX11" s="269"/>
      <c r="OY11" s="269"/>
      <c r="OZ11" s="269"/>
      <c r="PA11" s="269"/>
      <c r="PB11" s="269"/>
      <c r="PC11" s="269"/>
      <c r="PD11" s="269"/>
      <c r="PE11" s="269"/>
      <c r="PF11" s="269"/>
      <c r="PG11" s="269"/>
      <c r="PH11" s="269"/>
      <c r="PI11" s="269"/>
      <c r="PJ11" s="269"/>
      <c r="PK11" s="269"/>
      <c r="PL11" s="269"/>
      <c r="PM11" s="269"/>
      <c r="PN11" s="269"/>
      <c r="PO11" s="269"/>
      <c r="PP11" s="269"/>
      <c r="PQ11" s="269"/>
      <c r="PR11" s="269"/>
      <c r="PS11" s="269"/>
      <c r="PT11" s="269"/>
      <c r="PU11" s="269"/>
      <c r="PV11" s="269"/>
      <c r="PW11" s="269"/>
      <c r="PX11" s="269"/>
      <c r="PY11" s="269"/>
      <c r="PZ11" s="269"/>
      <c r="QA11" s="269"/>
      <c r="QB11" s="269"/>
      <c r="QC11" s="269"/>
      <c r="QD11" s="269"/>
      <c r="QE11" s="269"/>
      <c r="QF11" s="269"/>
      <c r="QG11" s="269"/>
      <c r="QH11" s="269"/>
      <c r="QI11" s="269"/>
      <c r="QJ11" s="269"/>
      <c r="QK11" s="269"/>
      <c r="QL11" s="269"/>
      <c r="QM11" s="269"/>
      <c r="QN11" s="269"/>
      <c r="QO11" s="269"/>
      <c r="QP11" s="269"/>
      <c r="QQ11" s="269"/>
      <c r="QR11" s="269"/>
      <c r="QS11" s="269"/>
      <c r="QT11" s="269"/>
      <c r="QU11" s="269"/>
      <c r="QV11" s="269"/>
      <c r="QW11" s="269"/>
      <c r="QX11" s="269"/>
      <c r="QY11" s="269"/>
      <c r="QZ11" s="269"/>
      <c r="RA11" s="269"/>
      <c r="RB11" s="269"/>
      <c r="RC11" s="269"/>
      <c r="RD11" s="269"/>
      <c r="RE11" s="269"/>
      <c r="RF11" s="269"/>
      <c r="RG11" s="269"/>
      <c r="RH11" s="269"/>
      <c r="RI11" s="269"/>
      <c r="RJ11" s="269"/>
      <c r="RK11" s="269"/>
      <c r="RL11" s="269"/>
      <c r="RM11" s="269"/>
      <c r="RN11" s="269"/>
      <c r="RO11" s="269"/>
      <c r="RP11" s="269"/>
      <c r="RQ11" s="269"/>
      <c r="RR11" s="269"/>
      <c r="RS11" s="269"/>
      <c r="RT11" s="269"/>
      <c r="RU11" s="269"/>
      <c r="RV11" s="269"/>
      <c r="RW11" s="269"/>
      <c r="RX11" s="269"/>
      <c r="RY11" s="269"/>
      <c r="RZ11" s="269"/>
      <c r="SA11" s="269"/>
      <c r="SB11" s="269"/>
      <c r="SC11" s="269"/>
      <c r="SD11" s="269"/>
      <c r="SE11" s="269"/>
      <c r="SF11" s="269"/>
      <c r="SG11" s="269"/>
      <c r="SH11" s="269"/>
      <c r="SI11" s="269"/>
      <c r="SJ11" s="269"/>
      <c r="SK11" s="269"/>
      <c r="SL11" s="269"/>
      <c r="SM11" s="269"/>
      <c r="SN11" s="269"/>
      <c r="SO11" s="269"/>
      <c r="SP11" s="269"/>
      <c r="SQ11" s="269"/>
      <c r="SR11" s="269"/>
      <c r="SS11" s="269"/>
      <c r="ST11" s="269"/>
      <c r="SU11" s="269"/>
      <c r="SV11" s="269"/>
      <c r="SW11" s="269"/>
      <c r="SX11" s="269"/>
      <c r="SY11" s="269"/>
      <c r="SZ11" s="269"/>
      <c r="TA11" s="269"/>
      <c r="TB11" s="269"/>
      <c r="TC11" s="269"/>
      <c r="TD11" s="269"/>
      <c r="TE11" s="269"/>
      <c r="TF11" s="269"/>
      <c r="TG11" s="269"/>
      <c r="TH11" s="269"/>
      <c r="TI11" s="269"/>
      <c r="TJ11" s="269"/>
      <c r="TK11" s="269"/>
      <c r="TL11" s="269"/>
      <c r="TM11" s="269"/>
      <c r="TN11" s="269"/>
      <c r="TO11" s="269"/>
      <c r="TP11" s="269"/>
      <c r="TQ11" s="269"/>
      <c r="TR11" s="269"/>
      <c r="TS11" s="269"/>
      <c r="TT11" s="269"/>
      <c r="TU11" s="269"/>
      <c r="TV11" s="269"/>
      <c r="TW11" s="269"/>
      <c r="TX11" s="269"/>
      <c r="TY11" s="269"/>
      <c r="TZ11" s="269"/>
      <c r="UA11" s="269"/>
      <c r="UB11" s="269"/>
      <c r="UC11" s="269"/>
      <c r="UD11" s="269"/>
      <c r="UE11" s="269"/>
      <c r="UF11" s="269"/>
      <c r="UG11" s="269"/>
      <c r="UH11" s="269"/>
      <c r="UI11" s="269"/>
      <c r="UJ11" s="269"/>
      <c r="UK11" s="269"/>
      <c r="UL11" s="269"/>
      <c r="UM11" s="269"/>
      <c r="UN11" s="269"/>
      <c r="UO11" s="269"/>
      <c r="UP11" s="269"/>
      <c r="UQ11" s="269"/>
      <c r="UR11" s="269"/>
      <c r="US11" s="269"/>
      <c r="UT11" s="269"/>
      <c r="UU11" s="269"/>
      <c r="UV11" s="269"/>
      <c r="UW11" s="269"/>
      <c r="UX11" s="269"/>
      <c r="UY11" s="269"/>
      <c r="UZ11" s="269"/>
      <c r="VA11" s="269"/>
      <c r="VB11" s="269"/>
      <c r="VC11" s="269"/>
      <c r="VD11" s="269"/>
      <c r="VE11" s="269"/>
      <c r="VF11" s="269"/>
      <c r="VG11" s="269"/>
      <c r="VH11" s="269"/>
      <c r="VI11" s="269"/>
      <c r="VJ11" s="269"/>
      <c r="VK11" s="269"/>
      <c r="VL11" s="269"/>
      <c r="VM11" s="269"/>
      <c r="VN11" s="269"/>
      <c r="VO11" s="269"/>
      <c r="VP11" s="269"/>
      <c r="VQ11" s="269"/>
      <c r="VR11" s="269"/>
      <c r="VS11" s="269"/>
      <c r="VT11" s="269"/>
      <c r="VU11" s="269"/>
      <c r="VV11" s="269"/>
      <c r="VW11" s="269"/>
      <c r="VX11" s="269"/>
      <c r="VY11" s="269"/>
      <c r="VZ11" s="269"/>
      <c r="WA11" s="269"/>
      <c r="WB11" s="269"/>
      <c r="WC11" s="269"/>
      <c r="WD11" s="269"/>
      <c r="WE11" s="269"/>
      <c r="WF11" s="269"/>
      <c r="WG11" s="269"/>
      <c r="WH11" s="269"/>
      <c r="WI11" s="269"/>
      <c r="WJ11" s="269"/>
      <c r="WK11" s="269"/>
      <c r="WL11" s="269"/>
      <c r="WM11" s="269"/>
      <c r="WN11" s="269"/>
      <c r="WO11" s="269"/>
      <c r="WP11" s="269"/>
      <c r="WQ11" s="269"/>
      <c r="WR11" s="269"/>
      <c r="WS11" s="269"/>
      <c r="WT11" s="269"/>
      <c r="WU11" s="269"/>
      <c r="WV11" s="269"/>
      <c r="WW11" s="269"/>
      <c r="WX11" s="269"/>
      <c r="WY11" s="269"/>
      <c r="WZ11" s="269"/>
      <c r="XA11" s="269"/>
      <c r="XB11" s="269"/>
      <c r="XC11" s="269"/>
      <c r="XD11" s="269"/>
      <c r="XE11" s="269"/>
      <c r="XF11" s="269"/>
      <c r="XG11" s="269"/>
      <c r="XH11" s="269"/>
      <c r="XI11" s="269"/>
      <c r="XJ11" s="269"/>
      <c r="XK11" s="269"/>
      <c r="XL11" s="269"/>
      <c r="XM11" s="269"/>
      <c r="XN11" s="269"/>
      <c r="XO11" s="269"/>
      <c r="XP11" s="269"/>
      <c r="XQ11" s="269"/>
      <c r="XR11" s="269"/>
      <c r="XS11" s="269"/>
      <c r="XT11" s="269"/>
      <c r="XU11" s="269"/>
      <c r="XV11" s="269"/>
      <c r="XW11" s="269"/>
      <c r="XX11" s="269"/>
      <c r="XY11" s="269"/>
      <c r="XZ11" s="269"/>
      <c r="YA11" s="269"/>
      <c r="YB11" s="269"/>
      <c r="YC11" s="269"/>
      <c r="YD11" s="269"/>
      <c r="YE11" s="269"/>
      <c r="YF11" s="269"/>
      <c r="YG11" s="269"/>
      <c r="YH11" s="269"/>
      <c r="YI11" s="269"/>
      <c r="YJ11" s="269"/>
      <c r="YK11" s="269"/>
      <c r="YL11" s="269"/>
      <c r="YM11" s="269"/>
      <c r="YN11" s="269"/>
      <c r="YO11" s="269"/>
      <c r="YP11" s="269"/>
      <c r="YQ11" s="269"/>
      <c r="YR11" s="269"/>
      <c r="YS11" s="269"/>
      <c r="YT11" s="269"/>
      <c r="YU11" s="269"/>
      <c r="YV11" s="269"/>
      <c r="YW11" s="269"/>
      <c r="YX11" s="269"/>
      <c r="YY11" s="269"/>
      <c r="YZ11" s="269"/>
      <c r="ZA11" s="269"/>
      <c r="ZB11" s="269"/>
      <c r="ZC11" s="269"/>
      <c r="ZD11" s="269"/>
      <c r="ZE11" s="269"/>
      <c r="ZF11" s="269"/>
      <c r="ZG11" s="269"/>
      <c r="ZH11" s="269"/>
      <c r="ZI11" s="269"/>
      <c r="ZJ11" s="269"/>
      <c r="ZK11" s="269"/>
      <c r="ZL11" s="269"/>
      <c r="ZM11" s="269"/>
      <c r="ZN11" s="269"/>
      <c r="ZO11" s="269"/>
      <c r="ZP11" s="269"/>
      <c r="ZQ11" s="269"/>
      <c r="ZR11" s="269"/>
      <c r="ZS11" s="269"/>
      <c r="ZT11" s="269"/>
      <c r="ZU11" s="269"/>
      <c r="ZV11" s="269"/>
      <c r="ZW11" s="269"/>
      <c r="ZX11" s="269"/>
      <c r="ZY11" s="269"/>
      <c r="ZZ11" s="269"/>
      <c r="AAA11" s="269"/>
      <c r="AAB11" s="269"/>
      <c r="AAC11" s="269"/>
      <c r="AAD11" s="269"/>
      <c r="AAE11" s="269"/>
      <c r="AAF11" s="269"/>
      <c r="AAG11" s="269"/>
      <c r="AAH11" s="269"/>
      <c r="AAI11" s="269"/>
      <c r="AAJ11" s="269"/>
      <c r="AAK11" s="269"/>
      <c r="AAL11" s="269"/>
      <c r="AAM11" s="269"/>
      <c r="AAN11" s="269"/>
      <c r="AAO11" s="269"/>
      <c r="AAP11" s="269"/>
      <c r="AAQ11" s="269"/>
      <c r="AAR11" s="269"/>
      <c r="AAS11" s="269"/>
      <c r="AAT11" s="269"/>
      <c r="AAU11" s="269"/>
      <c r="AAV11" s="269"/>
      <c r="AAW11" s="269"/>
      <c r="AAX11" s="269"/>
      <c r="AAY11" s="269"/>
      <c r="AAZ11" s="269"/>
      <c r="ABA11" s="269"/>
      <c r="ABB11" s="269"/>
      <c r="ABC11" s="269"/>
      <c r="ABD11" s="269"/>
      <c r="ABE11" s="269"/>
      <c r="ABF11" s="269"/>
      <c r="ABG11" s="269"/>
      <c r="ABH11" s="269"/>
      <c r="ABI11" s="269"/>
      <c r="ABJ11" s="269"/>
      <c r="ABK11" s="269"/>
      <c r="ABL11" s="269"/>
      <c r="ABM11" s="269"/>
      <c r="ABN11" s="269"/>
      <c r="ABO11" s="269"/>
      <c r="ABP11" s="269"/>
      <c r="ABQ11" s="269"/>
      <c r="ABR11" s="269"/>
      <c r="ABS11" s="269"/>
      <c r="ABT11" s="269"/>
      <c r="ABU11" s="269"/>
      <c r="ABV11" s="269"/>
      <c r="ABW11" s="269"/>
      <c r="ABX11" s="269"/>
      <c r="ABY11" s="269"/>
      <c r="ABZ11" s="269"/>
      <c r="ACA11" s="269"/>
      <c r="ACB11" s="269"/>
      <c r="ACC11" s="269"/>
      <c r="ACD11" s="269"/>
      <c r="ACE11" s="269"/>
      <c r="ACF11" s="269"/>
      <c r="ACG11" s="269"/>
      <c r="ACH11" s="269"/>
      <c r="ACI11" s="269"/>
      <c r="ACJ11" s="269"/>
      <c r="ACK11" s="269"/>
      <c r="ACL11" s="269"/>
      <c r="ACM11" s="269"/>
      <c r="ACN11" s="269"/>
      <c r="ACO11" s="269"/>
      <c r="ACP11" s="269"/>
      <c r="ACQ11" s="269"/>
      <c r="ACR11" s="269"/>
      <c r="ACS11" s="269"/>
      <c r="ACT11" s="269"/>
      <c r="ACU11" s="269"/>
      <c r="ACV11" s="269"/>
      <c r="ACW11" s="269"/>
      <c r="ACX11" s="269"/>
      <c r="ACY11" s="269"/>
      <c r="ACZ11" s="269"/>
      <c r="ADA11" s="269"/>
      <c r="ADB11" s="269"/>
      <c r="ADC11" s="269"/>
      <c r="ADD11" s="269"/>
      <c r="ADE11" s="269"/>
      <c r="ADF11" s="269"/>
      <c r="ADG11" s="269"/>
      <c r="ADH11" s="269"/>
      <c r="ADI11" s="269"/>
      <c r="ADJ11" s="269"/>
      <c r="ADK11" s="269"/>
      <c r="ADL11" s="269"/>
      <c r="ADM11" s="269"/>
      <c r="ADN11" s="269"/>
      <c r="ADO11" s="269"/>
      <c r="ADP11" s="269"/>
      <c r="ADQ11" s="269"/>
      <c r="ADR11" s="269"/>
      <c r="ADS11" s="269"/>
      <c r="ADT11" s="269"/>
      <c r="ADU11" s="269"/>
      <c r="ADV11" s="269"/>
      <c r="ADW11" s="269"/>
      <c r="ADX11" s="269"/>
      <c r="ADY11" s="269"/>
      <c r="ADZ11" s="269"/>
      <c r="AEA11" s="269"/>
      <c r="AEB11" s="269"/>
      <c r="AEC11" s="269"/>
      <c r="AED11" s="269"/>
      <c r="AEE11" s="269"/>
      <c r="AEF11" s="269"/>
      <c r="AEG11" s="269"/>
      <c r="AEH11" s="269"/>
      <c r="AEI11" s="269"/>
      <c r="AEJ11" s="269"/>
      <c r="AEK11" s="269"/>
      <c r="AEL11" s="269"/>
      <c r="AEM11" s="269"/>
      <c r="AEN11" s="269"/>
      <c r="AEO11" s="269"/>
      <c r="AEP11" s="269"/>
      <c r="AEQ11" s="269"/>
      <c r="AER11" s="269"/>
      <c r="AES11" s="269"/>
      <c r="AET11" s="269"/>
      <c r="AEU11" s="269"/>
      <c r="AEV11" s="269"/>
      <c r="AEW11" s="269"/>
      <c r="AEX11" s="269"/>
      <c r="AEY11" s="269"/>
      <c r="AEZ11" s="269"/>
      <c r="AFA11" s="269"/>
      <c r="AFB11" s="269"/>
      <c r="AFC11" s="269"/>
      <c r="AFD11" s="269"/>
      <c r="AFE11" s="269"/>
      <c r="AFF11" s="269"/>
      <c r="AFG11" s="269"/>
      <c r="AFH11" s="269"/>
      <c r="AFI11" s="269"/>
      <c r="AFJ11" s="269"/>
      <c r="AFK11" s="269"/>
      <c r="AFL11" s="269"/>
      <c r="AFM11" s="269"/>
      <c r="AFN11" s="269"/>
      <c r="AFO11" s="269"/>
      <c r="AFP11" s="269"/>
      <c r="AFQ11" s="269"/>
      <c r="AFR11" s="269"/>
      <c r="AFS11" s="269"/>
      <c r="AFT11" s="269"/>
      <c r="AFU11" s="269"/>
      <c r="AFV11" s="269"/>
      <c r="AFW11" s="269"/>
      <c r="AFX11" s="269"/>
      <c r="AFY11" s="269"/>
      <c r="AFZ11" s="269"/>
      <c r="AGA11" s="269"/>
      <c r="AGB11" s="269"/>
      <c r="AGC11" s="269"/>
      <c r="AGD11" s="269"/>
      <c r="AGE11" s="269"/>
      <c r="AGF11" s="269"/>
      <c r="AGG11" s="269"/>
      <c r="AGH11" s="269"/>
      <c r="AGI11" s="269"/>
      <c r="AGJ11" s="269"/>
      <c r="AGK11" s="269"/>
      <c r="AGL11" s="269"/>
      <c r="AGM11" s="269"/>
      <c r="AGN11" s="269"/>
      <c r="AGO11" s="269"/>
      <c r="AGP11" s="269"/>
      <c r="AGQ11" s="269"/>
      <c r="AGR11" s="269"/>
      <c r="AGS11" s="269"/>
      <c r="AGT11" s="269"/>
      <c r="AGU11" s="269"/>
      <c r="AGV11" s="269"/>
      <c r="AGW11" s="269"/>
      <c r="AGX11" s="269"/>
      <c r="AGY11" s="269"/>
      <c r="AGZ11" s="269"/>
      <c r="AHA11" s="269"/>
      <c r="AHB11" s="269"/>
      <c r="AHC11" s="269"/>
      <c r="AHD11" s="269"/>
      <c r="AHE11" s="269"/>
      <c r="AHF11" s="269"/>
      <c r="AHG11" s="269"/>
      <c r="AHH11" s="269"/>
      <c r="AHI11" s="269"/>
      <c r="AHJ11" s="269"/>
      <c r="AHK11" s="269"/>
      <c r="AHL11" s="269"/>
      <c r="AHM11" s="269"/>
      <c r="AHN11" s="269"/>
      <c r="AHO11" s="269"/>
      <c r="AHP11" s="269"/>
      <c r="AHQ11" s="269"/>
      <c r="AHR11" s="269"/>
      <c r="AHS11" s="269"/>
      <c r="AHT11" s="269"/>
      <c r="AHU11" s="269"/>
      <c r="AHV11" s="269"/>
      <c r="AHW11" s="269"/>
      <c r="AHX11" s="269"/>
      <c r="AHY11" s="269"/>
      <c r="AHZ11" s="269"/>
      <c r="AIA11" s="269"/>
      <c r="AIB11" s="269"/>
      <c r="AIC11" s="269"/>
      <c r="AID11" s="269"/>
      <c r="AIE11" s="269"/>
      <c r="AIF11" s="269"/>
      <c r="AIG11" s="269"/>
      <c r="AIH11" s="269"/>
      <c r="AII11" s="269"/>
      <c r="AIJ11" s="269"/>
      <c r="AIK11" s="269"/>
      <c r="AIL11" s="269"/>
      <c r="AIM11" s="269"/>
      <c r="AIN11" s="269"/>
      <c r="AIO11" s="269"/>
      <c r="AIP11" s="269"/>
      <c r="AIQ11" s="269"/>
      <c r="AIR11" s="269"/>
      <c r="AIS11" s="269"/>
      <c r="AIT11" s="269"/>
      <c r="AIU11" s="269"/>
      <c r="AIV11" s="269"/>
      <c r="AIW11" s="269"/>
      <c r="AIX11" s="269"/>
      <c r="AIY11" s="269"/>
      <c r="AIZ11" s="269"/>
      <c r="AJA11" s="269"/>
      <c r="AJB11" s="269"/>
      <c r="AJC11" s="269"/>
      <c r="AJD11" s="269"/>
      <c r="AJE11" s="269"/>
      <c r="AJF11" s="269"/>
      <c r="AJG11" s="269"/>
      <c r="AJH11" s="269"/>
      <c r="AJI11" s="269"/>
      <c r="AJJ11" s="269"/>
      <c r="AJK11" s="269"/>
      <c r="AJL11" s="269"/>
      <c r="AJM11" s="269"/>
      <c r="AJN11" s="269"/>
      <c r="AJO11" s="269"/>
      <c r="AJP11" s="269"/>
      <c r="AJQ11" s="269"/>
      <c r="AJR11" s="269"/>
      <c r="AJS11" s="269"/>
      <c r="AJT11" s="269"/>
      <c r="AJU11" s="269"/>
      <c r="AJV11" s="269"/>
      <c r="AJW11" s="269"/>
      <c r="AJX11" s="269"/>
      <c r="AJY11" s="269"/>
      <c r="AJZ11" s="269"/>
      <c r="AKA11" s="269"/>
      <c r="AKB11" s="269"/>
      <c r="AKC11" s="269"/>
      <c r="AKD11" s="269"/>
      <c r="AKE11" s="269"/>
      <c r="AKF11" s="269"/>
      <c r="AKG11" s="269"/>
      <c r="AKH11" s="269"/>
      <c r="AKI11" s="269"/>
      <c r="AKJ11" s="269"/>
      <c r="AKK11" s="269"/>
      <c r="AKL11" s="269"/>
      <c r="AKM11" s="269"/>
      <c r="AKN11" s="269"/>
      <c r="AKO11" s="269"/>
      <c r="AKP11" s="269"/>
      <c r="AKQ11" s="269"/>
      <c r="AKR11" s="269"/>
      <c r="AKS11" s="269"/>
      <c r="AKT11" s="269"/>
      <c r="AKU11" s="269"/>
      <c r="AKV11" s="269"/>
      <c r="AKW11" s="269"/>
      <c r="AKX11" s="269"/>
      <c r="AKY11" s="269"/>
      <c r="AKZ11" s="269"/>
      <c r="ALA11" s="269"/>
      <c r="ALB11" s="269"/>
      <c r="ALC11" s="269"/>
      <c r="ALD11" s="269"/>
      <c r="ALE11" s="269"/>
      <c r="ALF11" s="269"/>
      <c r="ALG11" s="269"/>
      <c r="ALH11" s="269"/>
      <c r="ALI11" s="269"/>
      <c r="ALJ11" s="269"/>
      <c r="ALK11" s="269"/>
      <c r="ALL11" s="269"/>
      <c r="ALM11" s="269"/>
      <c r="ALN11" s="269"/>
      <c r="ALO11" s="269"/>
      <c r="ALP11" s="269"/>
      <c r="ALQ11" s="269"/>
      <c r="ALR11" s="269"/>
      <c r="ALS11" s="269"/>
      <c r="ALT11" s="269"/>
      <c r="ALU11" s="269"/>
      <c r="ALV11" s="269"/>
      <c r="ALW11" s="269"/>
      <c r="ALX11" s="269"/>
      <c r="ALY11" s="269"/>
      <c r="ALZ11" s="269"/>
      <c r="AMA11" s="270"/>
      <c r="AMB11" s="270"/>
      <c r="AMC11" s="270"/>
      <c r="AMD11" s="270"/>
      <c r="AME11" s="270"/>
      <c r="AMF11" s="270"/>
      <c r="AMG11" s="270"/>
      <c r="AMH11" s="270"/>
      <c r="AMI11" s="271"/>
    </row>
    <row r="12" spans="1:1023" s="259" customFormat="1" ht="35.25" customHeight="1" x14ac:dyDescent="0.25">
      <c r="A12" s="272"/>
      <c r="B12" s="273"/>
      <c r="C12" s="274" t="s">
        <v>330</v>
      </c>
      <c r="D12" s="180"/>
      <c r="E12" s="494">
        <v>0</v>
      </c>
      <c r="F12" s="506"/>
      <c r="G12" s="494">
        <v>0</v>
      </c>
      <c r="H12" s="276"/>
      <c r="I12" s="277">
        <v>0</v>
      </c>
      <c r="J12" s="275"/>
      <c r="K12" s="277">
        <v>0</v>
      </c>
      <c r="L12" s="278"/>
      <c r="M12" s="277">
        <v>0</v>
      </c>
      <c r="N12" s="180"/>
      <c r="O12" s="180"/>
      <c r="P12" s="180"/>
      <c r="Q12" s="180"/>
      <c r="R12" s="180"/>
      <c r="S12" s="180"/>
      <c r="T12" s="180"/>
      <c r="U12" s="180"/>
      <c r="V12" s="180"/>
      <c r="W12" s="180"/>
      <c r="X12" s="180"/>
      <c r="Y12" s="180"/>
      <c r="Z12" s="180"/>
      <c r="AA12" s="180"/>
      <c r="AB12" s="180"/>
      <c r="AC12" s="180"/>
      <c r="AD12" s="180"/>
      <c r="AE12" s="180"/>
      <c r="AF12" s="180"/>
      <c r="AG12" s="180"/>
      <c r="AH12" s="180"/>
      <c r="AI12" s="180"/>
      <c r="AJ12" s="180"/>
      <c r="AK12" s="180"/>
      <c r="AL12" s="180"/>
      <c r="AM12" s="180"/>
      <c r="AN12" s="180"/>
      <c r="AO12" s="180"/>
      <c r="AP12" s="180"/>
      <c r="AQ12" s="180"/>
      <c r="AR12" s="180"/>
      <c r="AS12" s="180"/>
      <c r="AT12" s="180"/>
      <c r="AU12" s="180"/>
      <c r="AV12" s="180"/>
      <c r="AW12" s="180"/>
      <c r="AX12" s="180"/>
      <c r="AY12" s="180"/>
      <c r="AZ12" s="180"/>
      <c r="BA12" s="180"/>
      <c r="BB12" s="180"/>
      <c r="BC12" s="180"/>
      <c r="BD12" s="180"/>
      <c r="BE12" s="180"/>
      <c r="BF12" s="180"/>
      <c r="BG12" s="180"/>
      <c r="BH12" s="180"/>
      <c r="BI12" s="180"/>
      <c r="BJ12" s="180"/>
      <c r="BK12" s="180"/>
      <c r="BL12" s="180"/>
      <c r="BM12" s="180"/>
      <c r="BN12" s="180"/>
      <c r="BO12" s="180"/>
      <c r="BP12" s="180"/>
      <c r="BQ12" s="180"/>
      <c r="BR12" s="180"/>
      <c r="BS12" s="180"/>
      <c r="BT12" s="180"/>
      <c r="BU12" s="180"/>
      <c r="BV12" s="180"/>
      <c r="BW12" s="180"/>
      <c r="BX12" s="180"/>
      <c r="BY12" s="180"/>
      <c r="BZ12" s="180"/>
      <c r="CA12" s="180"/>
      <c r="CB12" s="180"/>
      <c r="CC12" s="180"/>
      <c r="CD12" s="180"/>
      <c r="CE12" s="180"/>
      <c r="CF12" s="180"/>
      <c r="CG12" s="180"/>
      <c r="CH12" s="180"/>
      <c r="CI12" s="180"/>
      <c r="CJ12" s="180"/>
      <c r="CK12" s="180"/>
      <c r="CL12" s="180"/>
      <c r="CM12" s="180"/>
      <c r="CN12" s="180"/>
      <c r="CO12" s="180"/>
      <c r="CP12" s="180"/>
      <c r="CQ12" s="180"/>
      <c r="CR12" s="180"/>
      <c r="CS12" s="180"/>
      <c r="CT12" s="180"/>
      <c r="CU12" s="180"/>
      <c r="CV12" s="180"/>
      <c r="CW12" s="180"/>
      <c r="CX12" s="180"/>
      <c r="CY12" s="180"/>
      <c r="CZ12" s="180"/>
      <c r="DA12" s="180"/>
      <c r="DB12" s="180"/>
      <c r="DC12" s="180"/>
      <c r="DD12" s="180"/>
      <c r="DE12" s="180"/>
      <c r="DF12" s="180"/>
      <c r="DG12" s="180"/>
      <c r="DH12" s="180"/>
      <c r="DI12" s="180"/>
      <c r="DJ12" s="180"/>
      <c r="DK12" s="180"/>
      <c r="DL12" s="180"/>
      <c r="DM12" s="180"/>
      <c r="DN12" s="180"/>
      <c r="DO12" s="180"/>
      <c r="DP12" s="180"/>
      <c r="DQ12" s="180"/>
      <c r="DR12" s="180"/>
      <c r="DS12" s="180"/>
      <c r="DT12" s="180"/>
      <c r="DU12" s="180"/>
      <c r="DV12" s="180"/>
      <c r="DW12" s="180"/>
      <c r="DX12" s="180"/>
      <c r="DY12" s="180"/>
      <c r="DZ12" s="180"/>
      <c r="EA12" s="180"/>
      <c r="EB12" s="180"/>
      <c r="EC12" s="180"/>
      <c r="ED12" s="180"/>
      <c r="EE12" s="180"/>
      <c r="EF12" s="180"/>
      <c r="EG12" s="180"/>
      <c r="EH12" s="180"/>
      <c r="EI12" s="180"/>
      <c r="EJ12" s="180"/>
      <c r="EK12" s="180"/>
      <c r="EL12" s="180"/>
      <c r="EM12" s="180"/>
      <c r="EN12" s="180"/>
      <c r="EO12" s="180"/>
      <c r="EP12" s="180"/>
      <c r="EQ12" s="180"/>
      <c r="ER12" s="180"/>
      <c r="ES12" s="180"/>
      <c r="ET12" s="180"/>
      <c r="EU12" s="180"/>
      <c r="EV12" s="180"/>
      <c r="EW12" s="180"/>
      <c r="EX12" s="180"/>
      <c r="EY12" s="180"/>
      <c r="EZ12" s="180"/>
      <c r="FA12" s="180"/>
      <c r="FB12" s="180"/>
      <c r="FC12" s="180"/>
      <c r="FD12" s="180"/>
      <c r="FE12" s="180"/>
      <c r="FF12" s="180"/>
      <c r="FG12" s="180"/>
      <c r="FH12" s="180"/>
      <c r="FI12" s="180"/>
      <c r="FJ12" s="180"/>
      <c r="FK12" s="180"/>
      <c r="FL12" s="180"/>
      <c r="FM12" s="180"/>
      <c r="FN12" s="180"/>
      <c r="FO12" s="180"/>
      <c r="FP12" s="180"/>
      <c r="FQ12" s="180"/>
      <c r="FR12" s="180"/>
      <c r="FS12" s="180"/>
      <c r="FT12" s="180"/>
      <c r="FU12" s="180"/>
      <c r="FV12" s="180"/>
      <c r="FW12" s="180"/>
      <c r="FX12" s="180"/>
      <c r="FY12" s="180"/>
      <c r="FZ12" s="180"/>
      <c r="GA12" s="180"/>
      <c r="GB12" s="180"/>
      <c r="GC12" s="180"/>
      <c r="GD12" s="180"/>
      <c r="GE12" s="180"/>
      <c r="GF12" s="180"/>
      <c r="GG12" s="180"/>
      <c r="GH12" s="180"/>
      <c r="GI12" s="180"/>
      <c r="GJ12" s="180"/>
      <c r="GK12" s="180"/>
      <c r="GL12" s="180"/>
      <c r="GM12" s="180"/>
      <c r="GN12" s="180"/>
      <c r="GO12" s="180"/>
      <c r="GP12" s="180"/>
      <c r="GQ12" s="180"/>
      <c r="GR12" s="180"/>
      <c r="GS12" s="180"/>
      <c r="GT12" s="180"/>
      <c r="GU12" s="180"/>
      <c r="GV12" s="180"/>
      <c r="GW12" s="180"/>
      <c r="GX12" s="180"/>
      <c r="GY12" s="180"/>
      <c r="GZ12" s="180"/>
      <c r="HA12" s="180"/>
      <c r="HB12" s="180"/>
      <c r="HC12" s="180"/>
      <c r="HD12" s="180"/>
      <c r="HE12" s="180"/>
      <c r="HF12" s="180"/>
      <c r="HG12" s="180"/>
      <c r="HH12" s="180"/>
      <c r="HI12" s="180"/>
      <c r="HJ12" s="180"/>
      <c r="HK12" s="180"/>
      <c r="HL12" s="180"/>
      <c r="HM12" s="180"/>
      <c r="HN12" s="180"/>
      <c r="HO12" s="180"/>
      <c r="HP12" s="180"/>
      <c r="HQ12" s="180"/>
      <c r="HR12" s="180"/>
      <c r="HS12" s="180"/>
      <c r="HT12" s="180"/>
      <c r="HU12" s="180"/>
      <c r="HV12" s="180"/>
      <c r="HW12" s="180"/>
      <c r="HX12" s="180"/>
      <c r="HY12" s="180"/>
      <c r="HZ12" s="180"/>
      <c r="IA12" s="180"/>
      <c r="IB12" s="180"/>
      <c r="IC12" s="180"/>
      <c r="ID12" s="180"/>
      <c r="IE12" s="180"/>
      <c r="IF12" s="180"/>
      <c r="IG12" s="180"/>
      <c r="IH12" s="180"/>
      <c r="II12" s="180"/>
      <c r="IJ12" s="180"/>
      <c r="IK12" s="180"/>
      <c r="IL12" s="180"/>
      <c r="IM12" s="180"/>
      <c r="IN12" s="180"/>
      <c r="IO12" s="180"/>
      <c r="IP12" s="180"/>
      <c r="IQ12" s="180"/>
      <c r="IR12" s="180"/>
      <c r="IS12" s="180"/>
      <c r="IT12" s="180"/>
      <c r="IU12" s="180"/>
      <c r="IV12" s="180"/>
      <c r="IW12" s="180"/>
      <c r="IX12" s="180"/>
      <c r="IY12" s="180"/>
      <c r="IZ12" s="180"/>
      <c r="JA12" s="180"/>
      <c r="JB12" s="180"/>
      <c r="JC12" s="180"/>
      <c r="JD12" s="180"/>
      <c r="JE12" s="180"/>
      <c r="JF12" s="180"/>
      <c r="JG12" s="180"/>
      <c r="JH12" s="180"/>
      <c r="JI12" s="180"/>
      <c r="JJ12" s="180"/>
      <c r="JK12" s="180"/>
      <c r="JL12" s="180"/>
      <c r="JM12" s="180"/>
      <c r="JN12" s="180"/>
      <c r="JO12" s="180"/>
      <c r="JP12" s="180"/>
      <c r="JQ12" s="180"/>
      <c r="JR12" s="180"/>
      <c r="JS12" s="180"/>
      <c r="JT12" s="180"/>
      <c r="JU12" s="180"/>
      <c r="JV12" s="180"/>
      <c r="JW12" s="180"/>
      <c r="JX12" s="180"/>
      <c r="JY12" s="180"/>
      <c r="JZ12" s="180"/>
      <c r="KA12" s="180"/>
      <c r="KB12" s="180"/>
      <c r="KC12" s="180"/>
      <c r="KD12" s="180"/>
      <c r="KE12" s="180"/>
      <c r="KF12" s="180"/>
      <c r="KG12" s="180"/>
      <c r="KH12" s="180"/>
      <c r="KI12" s="180"/>
      <c r="KJ12" s="180"/>
      <c r="KK12" s="180"/>
      <c r="KL12" s="180"/>
      <c r="KM12" s="180"/>
      <c r="KN12" s="180"/>
      <c r="KO12" s="180"/>
      <c r="KP12" s="180"/>
      <c r="KQ12" s="180"/>
      <c r="KR12" s="180"/>
      <c r="KS12" s="180"/>
      <c r="KT12" s="180"/>
      <c r="KU12" s="180"/>
      <c r="KV12" s="180"/>
      <c r="KW12" s="180"/>
      <c r="KX12" s="180"/>
      <c r="KY12" s="180"/>
      <c r="KZ12" s="180"/>
      <c r="LA12" s="180"/>
      <c r="LB12" s="180"/>
      <c r="LC12" s="180"/>
      <c r="LD12" s="180"/>
      <c r="LE12" s="180"/>
      <c r="LF12" s="180"/>
      <c r="LG12" s="180"/>
      <c r="LH12" s="180"/>
      <c r="LI12" s="180"/>
      <c r="LJ12" s="180"/>
      <c r="LK12" s="180"/>
      <c r="LL12" s="180"/>
      <c r="LM12" s="180"/>
      <c r="LN12" s="180"/>
      <c r="LO12" s="180"/>
      <c r="LP12" s="180"/>
      <c r="LQ12" s="180"/>
      <c r="LR12" s="180"/>
      <c r="LS12" s="180"/>
      <c r="LT12" s="180"/>
      <c r="LU12" s="180"/>
      <c r="LV12" s="180"/>
      <c r="LW12" s="180"/>
      <c r="LX12" s="180"/>
      <c r="LY12" s="180"/>
      <c r="LZ12" s="180"/>
      <c r="MA12" s="180"/>
      <c r="MB12" s="180"/>
      <c r="MC12" s="180"/>
      <c r="MD12" s="180"/>
      <c r="ME12" s="180"/>
      <c r="MF12" s="180"/>
      <c r="MG12" s="180"/>
      <c r="MH12" s="180"/>
      <c r="MI12" s="180"/>
      <c r="MJ12" s="180"/>
      <c r="MK12" s="180"/>
      <c r="ML12" s="180"/>
      <c r="MM12" s="180"/>
      <c r="MN12" s="180"/>
      <c r="MO12" s="180"/>
      <c r="MP12" s="180"/>
      <c r="MQ12" s="180"/>
      <c r="MR12" s="180"/>
      <c r="MS12" s="180"/>
      <c r="MT12" s="180"/>
      <c r="MU12" s="180"/>
      <c r="MV12" s="180"/>
      <c r="MW12" s="180"/>
      <c r="MX12" s="180"/>
      <c r="MY12" s="180"/>
      <c r="MZ12" s="180"/>
      <c r="NA12" s="180"/>
      <c r="NB12" s="180"/>
      <c r="NC12" s="180"/>
      <c r="ND12" s="180"/>
      <c r="NE12" s="180"/>
      <c r="NF12" s="180"/>
      <c r="NG12" s="180"/>
      <c r="NH12" s="180"/>
      <c r="NI12" s="180"/>
      <c r="NJ12" s="180"/>
      <c r="NK12" s="180"/>
      <c r="NL12" s="180"/>
      <c r="NM12" s="180"/>
      <c r="NN12" s="180"/>
      <c r="NO12" s="180"/>
      <c r="NP12" s="180"/>
      <c r="NQ12" s="180"/>
      <c r="NR12" s="180"/>
      <c r="NS12" s="180"/>
      <c r="NT12" s="180"/>
      <c r="NU12" s="180"/>
      <c r="NV12" s="180"/>
      <c r="NW12" s="180"/>
      <c r="NX12" s="180"/>
      <c r="NY12" s="180"/>
      <c r="NZ12" s="180"/>
      <c r="OA12" s="180"/>
      <c r="OB12" s="180"/>
      <c r="OC12" s="180"/>
      <c r="OD12" s="180"/>
      <c r="OE12" s="180"/>
      <c r="OF12" s="180"/>
      <c r="OG12" s="180"/>
      <c r="OH12" s="180"/>
      <c r="OI12" s="180"/>
      <c r="OJ12" s="180"/>
      <c r="OK12" s="180"/>
      <c r="OL12" s="180"/>
      <c r="OM12" s="180"/>
      <c r="ON12" s="180"/>
      <c r="OO12" s="180"/>
      <c r="OP12" s="180"/>
      <c r="OQ12" s="180"/>
      <c r="OR12" s="180"/>
      <c r="OS12" s="180"/>
      <c r="OT12" s="180"/>
      <c r="OU12" s="180"/>
      <c r="OV12" s="180"/>
      <c r="OW12" s="180"/>
      <c r="OX12" s="180"/>
      <c r="OY12" s="180"/>
      <c r="OZ12" s="180"/>
      <c r="PA12" s="180"/>
      <c r="PB12" s="180"/>
      <c r="PC12" s="180"/>
      <c r="PD12" s="180"/>
      <c r="PE12" s="180"/>
      <c r="PF12" s="180"/>
      <c r="PG12" s="180"/>
      <c r="PH12" s="180"/>
      <c r="PI12" s="180"/>
      <c r="PJ12" s="180"/>
      <c r="PK12" s="180"/>
      <c r="PL12" s="180"/>
      <c r="PM12" s="180"/>
      <c r="PN12" s="180"/>
      <c r="PO12" s="180"/>
      <c r="PP12" s="180"/>
      <c r="PQ12" s="180"/>
      <c r="PR12" s="180"/>
      <c r="PS12" s="180"/>
      <c r="PT12" s="180"/>
      <c r="PU12" s="180"/>
      <c r="PV12" s="180"/>
      <c r="PW12" s="180"/>
      <c r="PX12" s="180"/>
      <c r="PY12" s="180"/>
      <c r="PZ12" s="180"/>
      <c r="QA12" s="180"/>
      <c r="QB12" s="180"/>
      <c r="QC12" s="180"/>
      <c r="QD12" s="180"/>
      <c r="QE12" s="180"/>
      <c r="QF12" s="180"/>
      <c r="QG12" s="180"/>
      <c r="QH12" s="180"/>
      <c r="QI12" s="180"/>
      <c r="QJ12" s="180"/>
      <c r="QK12" s="180"/>
      <c r="QL12" s="180"/>
      <c r="QM12" s="180"/>
      <c r="QN12" s="180"/>
      <c r="QO12" s="180"/>
      <c r="QP12" s="180"/>
      <c r="QQ12" s="180"/>
      <c r="QR12" s="180"/>
      <c r="QS12" s="180"/>
      <c r="QT12" s="180"/>
      <c r="QU12" s="180"/>
      <c r="QV12" s="180"/>
      <c r="QW12" s="180"/>
      <c r="QX12" s="180"/>
      <c r="QY12" s="180"/>
      <c r="QZ12" s="180"/>
      <c r="RA12" s="180"/>
      <c r="RB12" s="180"/>
      <c r="RC12" s="180"/>
      <c r="RD12" s="180"/>
      <c r="RE12" s="180"/>
      <c r="RF12" s="180"/>
      <c r="RG12" s="180"/>
      <c r="RH12" s="180"/>
      <c r="RI12" s="180"/>
      <c r="RJ12" s="180"/>
      <c r="RK12" s="180"/>
      <c r="RL12" s="180"/>
      <c r="RM12" s="180"/>
      <c r="RN12" s="180"/>
      <c r="RO12" s="180"/>
      <c r="RP12" s="180"/>
      <c r="RQ12" s="180"/>
      <c r="RR12" s="180"/>
      <c r="RS12" s="180"/>
      <c r="RT12" s="180"/>
      <c r="RU12" s="180"/>
      <c r="RV12" s="180"/>
      <c r="RW12" s="180"/>
      <c r="RX12" s="180"/>
      <c r="RY12" s="180"/>
      <c r="RZ12" s="180"/>
      <c r="SA12" s="180"/>
      <c r="SB12" s="180"/>
      <c r="SC12" s="180"/>
      <c r="SD12" s="180"/>
      <c r="SE12" s="180"/>
      <c r="SF12" s="180"/>
      <c r="SG12" s="180"/>
      <c r="SH12" s="180"/>
      <c r="SI12" s="180"/>
      <c r="SJ12" s="180"/>
      <c r="SK12" s="180"/>
      <c r="SL12" s="180"/>
      <c r="SM12" s="180"/>
      <c r="SN12" s="180"/>
      <c r="SO12" s="180"/>
      <c r="SP12" s="180"/>
      <c r="SQ12" s="180"/>
      <c r="SR12" s="180"/>
      <c r="SS12" s="180"/>
      <c r="ST12" s="180"/>
      <c r="SU12" s="180"/>
      <c r="SV12" s="180"/>
      <c r="SW12" s="180"/>
      <c r="SX12" s="180"/>
      <c r="SY12" s="180"/>
      <c r="SZ12" s="180"/>
      <c r="TA12" s="180"/>
      <c r="TB12" s="180"/>
      <c r="TC12" s="180"/>
      <c r="TD12" s="180"/>
      <c r="TE12" s="180"/>
      <c r="TF12" s="180"/>
      <c r="TG12" s="180"/>
      <c r="TH12" s="180"/>
      <c r="TI12" s="180"/>
      <c r="TJ12" s="180"/>
      <c r="TK12" s="180"/>
      <c r="TL12" s="180"/>
      <c r="TM12" s="180"/>
      <c r="TN12" s="180"/>
      <c r="TO12" s="180"/>
      <c r="TP12" s="180"/>
      <c r="TQ12" s="180"/>
      <c r="TR12" s="180"/>
      <c r="TS12" s="180"/>
      <c r="TT12" s="180"/>
      <c r="TU12" s="180"/>
      <c r="TV12" s="180"/>
      <c r="TW12" s="180"/>
      <c r="TX12" s="180"/>
      <c r="TY12" s="180"/>
      <c r="TZ12" s="180"/>
      <c r="UA12" s="180"/>
      <c r="UB12" s="180"/>
      <c r="UC12" s="180"/>
      <c r="UD12" s="180"/>
      <c r="UE12" s="180"/>
      <c r="UF12" s="180"/>
      <c r="UG12" s="180"/>
      <c r="UH12" s="180"/>
      <c r="UI12" s="180"/>
      <c r="UJ12" s="180"/>
      <c r="UK12" s="180"/>
      <c r="UL12" s="180"/>
      <c r="UM12" s="180"/>
      <c r="UN12" s="180"/>
      <c r="UO12" s="180"/>
      <c r="UP12" s="180"/>
      <c r="UQ12" s="180"/>
      <c r="UR12" s="180"/>
      <c r="US12" s="180"/>
      <c r="UT12" s="180"/>
      <c r="UU12" s="180"/>
      <c r="UV12" s="180"/>
      <c r="UW12" s="180"/>
      <c r="UX12" s="180"/>
      <c r="UY12" s="180"/>
      <c r="UZ12" s="180"/>
      <c r="VA12" s="180"/>
      <c r="VB12" s="180"/>
      <c r="VC12" s="180"/>
      <c r="VD12" s="180"/>
      <c r="VE12" s="180"/>
      <c r="VF12" s="180"/>
      <c r="VG12" s="180"/>
      <c r="VH12" s="180"/>
      <c r="VI12" s="180"/>
      <c r="VJ12" s="180"/>
      <c r="VK12" s="180"/>
      <c r="VL12" s="180"/>
      <c r="VM12" s="180"/>
      <c r="VN12" s="180"/>
      <c r="VO12" s="180"/>
      <c r="VP12" s="180"/>
      <c r="VQ12" s="180"/>
      <c r="VR12" s="180"/>
      <c r="VS12" s="180"/>
      <c r="VT12" s="180"/>
      <c r="VU12" s="180"/>
      <c r="VV12" s="180"/>
      <c r="VW12" s="180"/>
      <c r="VX12" s="180"/>
      <c r="VY12" s="180"/>
      <c r="VZ12" s="180"/>
      <c r="WA12" s="180"/>
      <c r="WB12" s="180"/>
      <c r="WC12" s="180"/>
      <c r="WD12" s="180"/>
      <c r="WE12" s="180"/>
      <c r="WF12" s="180"/>
      <c r="WG12" s="180"/>
      <c r="WH12" s="180"/>
      <c r="WI12" s="180"/>
      <c r="WJ12" s="180"/>
      <c r="WK12" s="180"/>
      <c r="WL12" s="180"/>
      <c r="WM12" s="180"/>
      <c r="WN12" s="180"/>
      <c r="WO12" s="180"/>
      <c r="WP12" s="180"/>
      <c r="WQ12" s="180"/>
      <c r="WR12" s="180"/>
      <c r="WS12" s="180"/>
      <c r="WT12" s="180"/>
      <c r="WU12" s="180"/>
      <c r="WV12" s="180"/>
      <c r="WW12" s="180"/>
      <c r="WX12" s="180"/>
      <c r="WY12" s="180"/>
      <c r="WZ12" s="180"/>
      <c r="XA12" s="180"/>
      <c r="XB12" s="180"/>
      <c r="XC12" s="180"/>
      <c r="XD12" s="180"/>
      <c r="XE12" s="180"/>
      <c r="XF12" s="180"/>
      <c r="XG12" s="180"/>
      <c r="XH12" s="180"/>
      <c r="XI12" s="180"/>
      <c r="XJ12" s="180"/>
      <c r="XK12" s="180"/>
      <c r="XL12" s="180"/>
      <c r="XM12" s="180"/>
      <c r="XN12" s="180"/>
      <c r="XO12" s="180"/>
      <c r="XP12" s="180"/>
      <c r="XQ12" s="180"/>
      <c r="XR12" s="180"/>
      <c r="XS12" s="180"/>
      <c r="XT12" s="180"/>
      <c r="XU12" s="180"/>
      <c r="XV12" s="180"/>
      <c r="XW12" s="180"/>
      <c r="XX12" s="180"/>
      <c r="XY12" s="180"/>
      <c r="XZ12" s="180"/>
      <c r="YA12" s="180"/>
      <c r="YB12" s="180"/>
      <c r="YC12" s="180"/>
      <c r="YD12" s="180"/>
      <c r="YE12" s="180"/>
      <c r="YF12" s="180"/>
      <c r="YG12" s="180"/>
      <c r="YH12" s="180"/>
      <c r="YI12" s="180"/>
      <c r="YJ12" s="180"/>
      <c r="YK12" s="180"/>
      <c r="YL12" s="180"/>
      <c r="YM12" s="180"/>
      <c r="YN12" s="180"/>
      <c r="YO12" s="180"/>
      <c r="YP12" s="180"/>
      <c r="YQ12" s="180"/>
      <c r="YR12" s="180"/>
      <c r="YS12" s="180"/>
      <c r="YT12" s="180"/>
      <c r="YU12" s="180"/>
      <c r="YV12" s="180"/>
      <c r="YW12" s="180"/>
      <c r="YX12" s="180"/>
      <c r="YY12" s="180"/>
      <c r="YZ12" s="180"/>
      <c r="ZA12" s="180"/>
      <c r="ZB12" s="180"/>
      <c r="ZC12" s="180"/>
      <c r="ZD12" s="180"/>
      <c r="ZE12" s="180"/>
      <c r="ZF12" s="180"/>
      <c r="ZG12" s="180"/>
      <c r="ZH12" s="180"/>
      <c r="ZI12" s="180"/>
      <c r="ZJ12" s="180"/>
      <c r="ZK12" s="180"/>
      <c r="ZL12" s="180"/>
      <c r="ZM12" s="180"/>
      <c r="ZN12" s="180"/>
      <c r="ZO12" s="180"/>
      <c r="ZP12" s="180"/>
      <c r="ZQ12" s="180"/>
      <c r="ZR12" s="180"/>
      <c r="ZS12" s="180"/>
      <c r="ZT12" s="180"/>
      <c r="ZU12" s="180"/>
      <c r="ZV12" s="180"/>
      <c r="ZW12" s="180"/>
      <c r="ZX12" s="180"/>
      <c r="ZY12" s="180"/>
      <c r="ZZ12" s="180"/>
      <c r="AAA12" s="180"/>
      <c r="AAB12" s="180"/>
      <c r="AAC12" s="180"/>
      <c r="AAD12" s="180"/>
      <c r="AAE12" s="180"/>
      <c r="AAF12" s="180"/>
      <c r="AAG12" s="180"/>
      <c r="AAH12" s="180"/>
      <c r="AAI12" s="180"/>
      <c r="AAJ12" s="180"/>
      <c r="AAK12" s="180"/>
      <c r="AAL12" s="180"/>
      <c r="AAM12" s="180"/>
      <c r="AAN12" s="180"/>
      <c r="AAO12" s="180"/>
      <c r="AAP12" s="180"/>
      <c r="AAQ12" s="180"/>
      <c r="AAR12" s="180"/>
      <c r="AAS12" s="180"/>
      <c r="AAT12" s="180"/>
      <c r="AAU12" s="180"/>
      <c r="AAV12" s="180"/>
      <c r="AAW12" s="180"/>
      <c r="AAX12" s="180"/>
      <c r="AAY12" s="180"/>
      <c r="AAZ12" s="180"/>
      <c r="ABA12" s="180"/>
      <c r="ABB12" s="180"/>
      <c r="ABC12" s="180"/>
      <c r="ABD12" s="180"/>
      <c r="ABE12" s="180"/>
      <c r="ABF12" s="180"/>
      <c r="ABG12" s="180"/>
      <c r="ABH12" s="180"/>
      <c r="ABI12" s="180"/>
      <c r="ABJ12" s="180"/>
      <c r="ABK12" s="180"/>
      <c r="ABL12" s="180"/>
      <c r="ABM12" s="180"/>
      <c r="ABN12" s="180"/>
      <c r="ABO12" s="180"/>
      <c r="ABP12" s="180"/>
      <c r="ABQ12" s="180"/>
      <c r="ABR12" s="180"/>
      <c r="ABS12" s="180"/>
      <c r="ABT12" s="180"/>
      <c r="ABU12" s="180"/>
      <c r="ABV12" s="180"/>
      <c r="ABW12" s="180"/>
      <c r="ABX12" s="180"/>
      <c r="ABY12" s="180"/>
      <c r="ABZ12" s="180"/>
      <c r="ACA12" s="180"/>
      <c r="ACB12" s="180"/>
      <c r="ACC12" s="180"/>
      <c r="ACD12" s="180"/>
      <c r="ACE12" s="180"/>
      <c r="ACF12" s="180"/>
      <c r="ACG12" s="180"/>
      <c r="ACH12" s="180"/>
      <c r="ACI12" s="180"/>
      <c r="ACJ12" s="180"/>
      <c r="ACK12" s="180"/>
      <c r="ACL12" s="180"/>
      <c r="ACM12" s="180"/>
      <c r="ACN12" s="180"/>
      <c r="ACO12" s="180"/>
      <c r="ACP12" s="180"/>
      <c r="ACQ12" s="180"/>
      <c r="ACR12" s="180"/>
      <c r="ACS12" s="180"/>
      <c r="ACT12" s="180"/>
      <c r="ACU12" s="180"/>
      <c r="ACV12" s="180"/>
      <c r="ACW12" s="180"/>
      <c r="ACX12" s="180"/>
      <c r="ACY12" s="180"/>
      <c r="ACZ12" s="180"/>
      <c r="ADA12" s="180"/>
      <c r="ADB12" s="180"/>
      <c r="ADC12" s="180"/>
      <c r="ADD12" s="180"/>
      <c r="ADE12" s="180"/>
      <c r="ADF12" s="180"/>
      <c r="ADG12" s="180"/>
      <c r="ADH12" s="180"/>
      <c r="ADI12" s="180"/>
      <c r="ADJ12" s="180"/>
      <c r="ADK12" s="180"/>
      <c r="ADL12" s="180"/>
      <c r="ADM12" s="180"/>
      <c r="ADN12" s="180"/>
      <c r="ADO12" s="180"/>
      <c r="ADP12" s="180"/>
      <c r="ADQ12" s="180"/>
      <c r="ADR12" s="180"/>
      <c r="ADS12" s="180"/>
      <c r="ADT12" s="180"/>
      <c r="ADU12" s="180"/>
      <c r="ADV12" s="180"/>
      <c r="ADW12" s="180"/>
      <c r="ADX12" s="180"/>
      <c r="ADY12" s="180"/>
      <c r="ADZ12" s="180"/>
      <c r="AEA12" s="180"/>
      <c r="AEB12" s="180"/>
      <c r="AEC12" s="180"/>
      <c r="AED12" s="180"/>
      <c r="AEE12" s="180"/>
      <c r="AEF12" s="180"/>
      <c r="AEG12" s="180"/>
      <c r="AEH12" s="180"/>
      <c r="AEI12" s="180"/>
      <c r="AEJ12" s="180"/>
      <c r="AEK12" s="180"/>
      <c r="AEL12" s="180"/>
      <c r="AEM12" s="180"/>
      <c r="AEN12" s="180"/>
      <c r="AEO12" s="180"/>
      <c r="AEP12" s="180"/>
      <c r="AEQ12" s="180"/>
      <c r="AER12" s="180"/>
      <c r="AES12" s="180"/>
      <c r="AET12" s="180"/>
      <c r="AEU12" s="180"/>
      <c r="AEV12" s="180"/>
      <c r="AEW12" s="180"/>
      <c r="AEX12" s="180"/>
      <c r="AEY12" s="180"/>
      <c r="AEZ12" s="180"/>
      <c r="AFA12" s="180"/>
      <c r="AFB12" s="180"/>
      <c r="AFC12" s="180"/>
      <c r="AFD12" s="180"/>
      <c r="AFE12" s="180"/>
      <c r="AFF12" s="180"/>
      <c r="AFG12" s="180"/>
      <c r="AFH12" s="180"/>
      <c r="AFI12" s="180"/>
      <c r="AFJ12" s="180"/>
      <c r="AFK12" s="180"/>
      <c r="AFL12" s="180"/>
      <c r="AFM12" s="180"/>
      <c r="AFN12" s="180"/>
      <c r="AFO12" s="180"/>
      <c r="AFP12" s="180"/>
      <c r="AFQ12" s="180"/>
      <c r="AFR12" s="180"/>
      <c r="AFS12" s="180"/>
      <c r="AFT12" s="180"/>
      <c r="AFU12" s="180"/>
      <c r="AFV12" s="180"/>
      <c r="AFW12" s="180"/>
      <c r="AFX12" s="180"/>
      <c r="AFY12" s="180"/>
      <c r="AFZ12" s="180"/>
      <c r="AGA12" s="180"/>
      <c r="AGB12" s="180"/>
      <c r="AGC12" s="180"/>
      <c r="AGD12" s="180"/>
      <c r="AGE12" s="180"/>
      <c r="AGF12" s="180"/>
      <c r="AGG12" s="180"/>
      <c r="AGH12" s="180"/>
      <c r="AGI12" s="180"/>
      <c r="AGJ12" s="180"/>
      <c r="AGK12" s="180"/>
      <c r="AGL12" s="180"/>
      <c r="AGM12" s="180"/>
      <c r="AGN12" s="180"/>
      <c r="AGO12" s="180"/>
      <c r="AGP12" s="180"/>
      <c r="AGQ12" s="180"/>
      <c r="AGR12" s="180"/>
      <c r="AGS12" s="180"/>
      <c r="AGT12" s="180"/>
      <c r="AGU12" s="180"/>
      <c r="AGV12" s="180"/>
      <c r="AGW12" s="180"/>
      <c r="AGX12" s="180"/>
      <c r="AGY12" s="180"/>
      <c r="AGZ12" s="180"/>
      <c r="AHA12" s="180"/>
      <c r="AHB12" s="180"/>
      <c r="AHC12" s="180"/>
      <c r="AHD12" s="180"/>
      <c r="AHE12" s="180"/>
      <c r="AHF12" s="180"/>
      <c r="AHG12" s="180"/>
      <c r="AHH12" s="180"/>
      <c r="AHI12" s="180"/>
      <c r="AHJ12" s="180"/>
      <c r="AHK12" s="180"/>
      <c r="AHL12" s="180"/>
      <c r="AHM12" s="180"/>
      <c r="AHN12" s="180"/>
      <c r="AHO12" s="180"/>
      <c r="AHP12" s="180"/>
      <c r="AHQ12" s="180"/>
      <c r="AHR12" s="180"/>
      <c r="AHS12" s="180"/>
      <c r="AHT12" s="180"/>
      <c r="AHU12" s="180"/>
      <c r="AHV12" s="180"/>
      <c r="AHW12" s="180"/>
      <c r="AHX12" s="180"/>
      <c r="AHY12" s="180"/>
      <c r="AHZ12" s="180"/>
      <c r="AIA12" s="180"/>
      <c r="AIB12" s="180"/>
      <c r="AIC12" s="180"/>
      <c r="AID12" s="180"/>
      <c r="AIE12" s="180"/>
      <c r="AIF12" s="180"/>
      <c r="AIG12" s="180"/>
      <c r="AIH12" s="180"/>
      <c r="AII12" s="180"/>
      <c r="AIJ12" s="180"/>
      <c r="AIK12" s="180"/>
      <c r="AIL12" s="180"/>
      <c r="AIM12" s="180"/>
      <c r="AIN12" s="180"/>
      <c r="AIO12" s="180"/>
      <c r="AIP12" s="180"/>
      <c r="AIQ12" s="180"/>
      <c r="AIR12" s="180"/>
      <c r="AIS12" s="180"/>
      <c r="AIT12" s="180"/>
      <c r="AIU12" s="180"/>
      <c r="AIV12" s="180"/>
      <c r="AIW12" s="180"/>
      <c r="AIX12" s="180"/>
      <c r="AIY12" s="180"/>
      <c r="AIZ12" s="180"/>
      <c r="AJA12" s="180"/>
      <c r="AJB12" s="180"/>
      <c r="AJC12" s="180"/>
      <c r="AJD12" s="180"/>
      <c r="AJE12" s="180"/>
      <c r="AJF12" s="180"/>
      <c r="AJG12" s="180"/>
      <c r="AJH12" s="180"/>
      <c r="AJI12" s="180"/>
      <c r="AJJ12" s="180"/>
      <c r="AJK12" s="180"/>
      <c r="AJL12" s="180"/>
      <c r="AJM12" s="180"/>
      <c r="AJN12" s="180"/>
      <c r="AJO12" s="180"/>
      <c r="AJP12" s="180"/>
      <c r="AJQ12" s="180"/>
      <c r="AJR12" s="180"/>
      <c r="AJS12" s="180"/>
      <c r="AJT12" s="180"/>
      <c r="AJU12" s="180"/>
      <c r="AJV12" s="180"/>
      <c r="AJW12" s="180"/>
      <c r="AJX12" s="180"/>
      <c r="AJY12" s="180"/>
      <c r="AJZ12" s="180"/>
      <c r="AKA12" s="180"/>
      <c r="AKB12" s="180"/>
      <c r="AKC12" s="180"/>
      <c r="AKD12" s="180"/>
      <c r="AKE12" s="180"/>
      <c r="AKF12" s="180"/>
      <c r="AKG12" s="180"/>
      <c r="AKH12" s="180"/>
      <c r="AKI12" s="180"/>
      <c r="AKJ12" s="180"/>
      <c r="AKK12" s="180"/>
      <c r="AKL12" s="180"/>
      <c r="AKM12" s="180"/>
      <c r="AKN12" s="180"/>
      <c r="AKO12" s="180"/>
      <c r="AKP12" s="180"/>
      <c r="AKQ12" s="180"/>
      <c r="AKR12" s="180"/>
      <c r="AKS12" s="180"/>
      <c r="AKT12" s="180"/>
      <c r="AKU12" s="180"/>
      <c r="AKV12" s="180"/>
      <c r="AKW12" s="180"/>
      <c r="AKX12" s="180"/>
      <c r="AKY12" s="180"/>
      <c r="AKZ12" s="180"/>
      <c r="ALA12" s="180"/>
      <c r="ALB12" s="180"/>
      <c r="ALC12" s="180"/>
      <c r="ALD12" s="180"/>
      <c r="ALE12" s="180"/>
      <c r="ALF12" s="180"/>
      <c r="ALG12" s="180"/>
      <c r="ALH12" s="180"/>
      <c r="ALI12" s="180"/>
      <c r="ALJ12" s="180"/>
      <c r="ALK12" s="180"/>
      <c r="ALL12" s="180"/>
      <c r="ALM12" s="180"/>
      <c r="ALN12" s="180"/>
      <c r="ALO12" s="180"/>
      <c r="ALP12" s="180"/>
      <c r="ALQ12" s="180"/>
      <c r="ALR12" s="180"/>
      <c r="ALS12" s="180"/>
      <c r="ALT12" s="180"/>
      <c r="ALU12" s="180"/>
      <c r="ALV12" s="180"/>
      <c r="ALW12" s="180"/>
      <c r="ALX12" s="180"/>
      <c r="ALY12" s="180"/>
      <c r="ALZ12" s="180"/>
      <c r="AMA12" s="279"/>
      <c r="AMB12" s="279"/>
      <c r="AMC12" s="279"/>
      <c r="AMD12" s="279"/>
      <c r="AME12" s="279"/>
      <c r="AMF12" s="279"/>
      <c r="AMG12" s="279"/>
      <c r="AMH12" s="279"/>
      <c r="AMI12" s="280"/>
    </row>
    <row r="13" spans="1:1023" s="259" customFormat="1" x14ac:dyDescent="0.25">
      <c r="A13" s="281"/>
      <c r="B13" s="180"/>
      <c r="C13" s="180"/>
      <c r="D13" s="180"/>
      <c r="E13" s="506"/>
      <c r="F13" s="506"/>
      <c r="G13" s="506"/>
      <c r="H13" s="276"/>
      <c r="I13" s="275"/>
      <c r="J13" s="275"/>
      <c r="K13" s="275"/>
      <c r="L13" s="279"/>
      <c r="M13" s="275"/>
      <c r="N13" s="180"/>
      <c r="O13" s="180"/>
      <c r="P13" s="180"/>
      <c r="Q13" s="180"/>
      <c r="R13" s="180"/>
      <c r="S13" s="180"/>
      <c r="T13" s="180"/>
      <c r="U13" s="180"/>
      <c r="V13" s="180"/>
      <c r="W13" s="180"/>
      <c r="X13" s="180"/>
      <c r="Y13" s="180"/>
      <c r="Z13" s="180"/>
      <c r="AA13" s="180"/>
      <c r="AB13" s="180"/>
      <c r="AC13" s="180"/>
      <c r="AD13" s="180"/>
      <c r="AE13" s="180"/>
      <c r="AF13" s="180"/>
      <c r="AG13" s="180"/>
      <c r="AH13" s="180"/>
      <c r="AI13" s="180"/>
      <c r="AJ13" s="180"/>
      <c r="AK13" s="180"/>
      <c r="AL13" s="180"/>
      <c r="AM13" s="180"/>
      <c r="AN13" s="180"/>
      <c r="AO13" s="180"/>
      <c r="AP13" s="180"/>
      <c r="AQ13" s="180"/>
      <c r="AR13" s="180"/>
      <c r="AS13" s="180"/>
      <c r="AT13" s="180"/>
      <c r="AU13" s="180"/>
      <c r="AV13" s="180"/>
      <c r="AW13" s="180"/>
      <c r="AX13" s="180"/>
      <c r="AY13" s="180"/>
      <c r="AZ13" s="180"/>
      <c r="BA13" s="180"/>
      <c r="BB13" s="180"/>
      <c r="BC13" s="180"/>
      <c r="BD13" s="180"/>
      <c r="BE13" s="180"/>
      <c r="BF13" s="180"/>
      <c r="BG13" s="180"/>
      <c r="BH13" s="180"/>
      <c r="BI13" s="180"/>
      <c r="BJ13" s="180"/>
      <c r="BK13" s="180"/>
      <c r="BL13" s="180"/>
      <c r="BM13" s="180"/>
      <c r="BN13" s="180"/>
      <c r="BO13" s="180"/>
      <c r="BP13" s="180"/>
      <c r="BQ13" s="180"/>
      <c r="BR13" s="180"/>
      <c r="BS13" s="180"/>
      <c r="BT13" s="180"/>
      <c r="BU13" s="180"/>
      <c r="BV13" s="180"/>
      <c r="BW13" s="180"/>
      <c r="BX13" s="180"/>
      <c r="BY13" s="180"/>
      <c r="BZ13" s="180"/>
      <c r="CA13" s="180"/>
      <c r="CB13" s="180"/>
      <c r="CC13" s="180"/>
      <c r="CD13" s="180"/>
      <c r="CE13" s="180"/>
      <c r="CF13" s="180"/>
      <c r="CG13" s="180"/>
      <c r="CH13" s="180"/>
      <c r="CI13" s="180"/>
      <c r="CJ13" s="180"/>
      <c r="CK13" s="180"/>
      <c r="CL13" s="180"/>
      <c r="CM13" s="180"/>
      <c r="CN13" s="180"/>
      <c r="CO13" s="180"/>
      <c r="CP13" s="180"/>
      <c r="CQ13" s="180"/>
      <c r="CR13" s="180"/>
      <c r="CS13" s="180"/>
      <c r="CT13" s="180"/>
      <c r="CU13" s="180"/>
      <c r="CV13" s="180"/>
      <c r="CW13" s="180"/>
      <c r="CX13" s="180"/>
      <c r="CY13" s="180"/>
      <c r="CZ13" s="180"/>
      <c r="DA13" s="180"/>
      <c r="DB13" s="180"/>
      <c r="DC13" s="180"/>
      <c r="DD13" s="180"/>
      <c r="DE13" s="180"/>
      <c r="DF13" s="180"/>
      <c r="DG13" s="180"/>
      <c r="DH13" s="180"/>
      <c r="DI13" s="180"/>
      <c r="DJ13" s="180"/>
      <c r="DK13" s="180"/>
      <c r="DL13" s="180"/>
      <c r="DM13" s="180"/>
      <c r="DN13" s="180"/>
      <c r="DO13" s="180"/>
      <c r="DP13" s="180"/>
      <c r="DQ13" s="180"/>
      <c r="DR13" s="180"/>
      <c r="DS13" s="180"/>
      <c r="DT13" s="180"/>
      <c r="DU13" s="180"/>
      <c r="DV13" s="180"/>
      <c r="DW13" s="180"/>
      <c r="DX13" s="180"/>
      <c r="DY13" s="180"/>
      <c r="DZ13" s="180"/>
      <c r="EA13" s="180"/>
      <c r="EB13" s="180"/>
      <c r="EC13" s="180"/>
      <c r="ED13" s="180"/>
      <c r="EE13" s="180"/>
      <c r="EF13" s="180"/>
      <c r="EG13" s="180"/>
      <c r="EH13" s="180"/>
      <c r="EI13" s="180"/>
      <c r="EJ13" s="180"/>
      <c r="EK13" s="180"/>
      <c r="EL13" s="180"/>
      <c r="EM13" s="180"/>
      <c r="EN13" s="180"/>
      <c r="EO13" s="180"/>
      <c r="EP13" s="180"/>
      <c r="EQ13" s="180"/>
      <c r="ER13" s="180"/>
      <c r="ES13" s="180"/>
      <c r="ET13" s="180"/>
      <c r="EU13" s="180"/>
      <c r="EV13" s="180"/>
      <c r="EW13" s="180"/>
      <c r="EX13" s="180"/>
      <c r="EY13" s="180"/>
      <c r="EZ13" s="180"/>
      <c r="FA13" s="180"/>
      <c r="FB13" s="180"/>
      <c r="FC13" s="180"/>
      <c r="FD13" s="180"/>
      <c r="FE13" s="180"/>
      <c r="FF13" s="180"/>
      <c r="FG13" s="180"/>
      <c r="FH13" s="180"/>
      <c r="FI13" s="180"/>
      <c r="FJ13" s="180"/>
      <c r="FK13" s="180"/>
      <c r="FL13" s="180"/>
      <c r="FM13" s="180"/>
      <c r="FN13" s="180"/>
      <c r="FO13" s="180"/>
      <c r="FP13" s="180"/>
      <c r="FQ13" s="180"/>
      <c r="FR13" s="180"/>
      <c r="FS13" s="180"/>
      <c r="FT13" s="180"/>
      <c r="FU13" s="180"/>
      <c r="FV13" s="180"/>
      <c r="FW13" s="180"/>
      <c r="FX13" s="180"/>
      <c r="FY13" s="180"/>
      <c r="FZ13" s="180"/>
      <c r="GA13" s="180"/>
      <c r="GB13" s="180"/>
      <c r="GC13" s="180"/>
      <c r="GD13" s="180"/>
      <c r="GE13" s="180"/>
      <c r="GF13" s="180"/>
      <c r="GG13" s="180"/>
      <c r="GH13" s="180"/>
      <c r="GI13" s="180"/>
      <c r="GJ13" s="180"/>
      <c r="GK13" s="180"/>
      <c r="GL13" s="180"/>
      <c r="GM13" s="180"/>
      <c r="GN13" s="180"/>
      <c r="GO13" s="180"/>
      <c r="GP13" s="180"/>
      <c r="GQ13" s="180"/>
      <c r="GR13" s="180"/>
      <c r="GS13" s="180"/>
      <c r="GT13" s="180"/>
      <c r="GU13" s="180"/>
      <c r="GV13" s="180"/>
      <c r="GW13" s="180"/>
      <c r="GX13" s="180"/>
      <c r="GY13" s="180"/>
      <c r="GZ13" s="180"/>
      <c r="HA13" s="180"/>
      <c r="HB13" s="180"/>
      <c r="HC13" s="180"/>
      <c r="HD13" s="180"/>
      <c r="HE13" s="180"/>
      <c r="HF13" s="180"/>
      <c r="HG13" s="180"/>
      <c r="HH13" s="180"/>
      <c r="HI13" s="180"/>
      <c r="HJ13" s="180"/>
      <c r="HK13" s="180"/>
      <c r="HL13" s="180"/>
      <c r="HM13" s="180"/>
      <c r="HN13" s="180"/>
      <c r="HO13" s="180"/>
      <c r="HP13" s="180"/>
      <c r="HQ13" s="180"/>
      <c r="HR13" s="180"/>
      <c r="HS13" s="180"/>
      <c r="HT13" s="180"/>
      <c r="HU13" s="180"/>
      <c r="HV13" s="180"/>
      <c r="HW13" s="180"/>
      <c r="HX13" s="180"/>
      <c r="HY13" s="180"/>
      <c r="HZ13" s="180"/>
      <c r="IA13" s="180"/>
      <c r="IB13" s="180"/>
      <c r="IC13" s="180"/>
      <c r="ID13" s="180"/>
      <c r="IE13" s="180"/>
      <c r="IF13" s="180"/>
      <c r="IG13" s="180"/>
      <c r="IH13" s="180"/>
      <c r="II13" s="180"/>
      <c r="IJ13" s="180"/>
      <c r="IK13" s="180"/>
      <c r="IL13" s="180"/>
      <c r="IM13" s="180"/>
      <c r="IN13" s="180"/>
      <c r="IO13" s="180"/>
      <c r="IP13" s="180"/>
      <c r="IQ13" s="180"/>
      <c r="IR13" s="180"/>
      <c r="IS13" s="180"/>
      <c r="IT13" s="180"/>
      <c r="IU13" s="180"/>
      <c r="IV13" s="180"/>
      <c r="IW13" s="180"/>
      <c r="IX13" s="180"/>
      <c r="IY13" s="180"/>
      <c r="IZ13" s="180"/>
      <c r="JA13" s="180"/>
      <c r="JB13" s="180"/>
      <c r="JC13" s="180"/>
      <c r="JD13" s="180"/>
      <c r="JE13" s="180"/>
      <c r="JF13" s="180"/>
      <c r="JG13" s="180"/>
      <c r="JH13" s="180"/>
      <c r="JI13" s="180"/>
      <c r="JJ13" s="180"/>
      <c r="JK13" s="180"/>
      <c r="JL13" s="180"/>
      <c r="JM13" s="180"/>
      <c r="JN13" s="180"/>
      <c r="JO13" s="180"/>
      <c r="JP13" s="180"/>
      <c r="JQ13" s="180"/>
      <c r="JR13" s="180"/>
      <c r="JS13" s="180"/>
      <c r="JT13" s="180"/>
      <c r="JU13" s="180"/>
      <c r="JV13" s="180"/>
      <c r="JW13" s="180"/>
      <c r="JX13" s="180"/>
      <c r="JY13" s="180"/>
      <c r="JZ13" s="180"/>
      <c r="KA13" s="180"/>
      <c r="KB13" s="180"/>
      <c r="KC13" s="180"/>
      <c r="KD13" s="180"/>
      <c r="KE13" s="180"/>
      <c r="KF13" s="180"/>
      <c r="KG13" s="180"/>
      <c r="KH13" s="180"/>
      <c r="KI13" s="180"/>
      <c r="KJ13" s="180"/>
      <c r="KK13" s="180"/>
      <c r="KL13" s="180"/>
      <c r="KM13" s="180"/>
      <c r="KN13" s="180"/>
      <c r="KO13" s="180"/>
      <c r="KP13" s="180"/>
      <c r="KQ13" s="180"/>
      <c r="KR13" s="180"/>
      <c r="KS13" s="180"/>
      <c r="KT13" s="180"/>
      <c r="KU13" s="180"/>
      <c r="KV13" s="180"/>
      <c r="KW13" s="180"/>
      <c r="KX13" s="180"/>
      <c r="KY13" s="180"/>
      <c r="KZ13" s="180"/>
      <c r="LA13" s="180"/>
      <c r="LB13" s="180"/>
      <c r="LC13" s="180"/>
      <c r="LD13" s="180"/>
      <c r="LE13" s="180"/>
      <c r="LF13" s="180"/>
      <c r="LG13" s="180"/>
      <c r="LH13" s="180"/>
      <c r="LI13" s="180"/>
      <c r="LJ13" s="180"/>
      <c r="LK13" s="180"/>
      <c r="LL13" s="180"/>
      <c r="LM13" s="180"/>
      <c r="LN13" s="180"/>
      <c r="LO13" s="180"/>
      <c r="LP13" s="180"/>
      <c r="LQ13" s="180"/>
      <c r="LR13" s="180"/>
      <c r="LS13" s="180"/>
      <c r="LT13" s="180"/>
      <c r="LU13" s="180"/>
      <c r="LV13" s="180"/>
      <c r="LW13" s="180"/>
      <c r="LX13" s="180"/>
      <c r="LY13" s="180"/>
      <c r="LZ13" s="180"/>
      <c r="MA13" s="180"/>
      <c r="MB13" s="180"/>
      <c r="MC13" s="180"/>
      <c r="MD13" s="180"/>
      <c r="ME13" s="180"/>
      <c r="MF13" s="180"/>
      <c r="MG13" s="180"/>
      <c r="MH13" s="180"/>
      <c r="MI13" s="180"/>
      <c r="MJ13" s="180"/>
      <c r="MK13" s="180"/>
      <c r="ML13" s="180"/>
      <c r="MM13" s="180"/>
      <c r="MN13" s="180"/>
      <c r="MO13" s="180"/>
      <c r="MP13" s="180"/>
      <c r="MQ13" s="180"/>
      <c r="MR13" s="180"/>
      <c r="MS13" s="180"/>
      <c r="MT13" s="180"/>
      <c r="MU13" s="180"/>
      <c r="MV13" s="180"/>
      <c r="MW13" s="180"/>
      <c r="MX13" s="180"/>
      <c r="MY13" s="180"/>
      <c r="MZ13" s="180"/>
      <c r="NA13" s="180"/>
      <c r="NB13" s="180"/>
      <c r="NC13" s="180"/>
      <c r="ND13" s="180"/>
      <c r="NE13" s="180"/>
      <c r="NF13" s="180"/>
      <c r="NG13" s="180"/>
      <c r="NH13" s="180"/>
      <c r="NI13" s="180"/>
      <c r="NJ13" s="180"/>
      <c r="NK13" s="180"/>
      <c r="NL13" s="180"/>
      <c r="NM13" s="180"/>
      <c r="NN13" s="180"/>
      <c r="NO13" s="180"/>
      <c r="NP13" s="180"/>
      <c r="NQ13" s="180"/>
      <c r="NR13" s="180"/>
      <c r="NS13" s="180"/>
      <c r="NT13" s="180"/>
      <c r="NU13" s="180"/>
      <c r="NV13" s="180"/>
      <c r="NW13" s="180"/>
      <c r="NX13" s="180"/>
      <c r="NY13" s="180"/>
      <c r="NZ13" s="180"/>
      <c r="OA13" s="180"/>
      <c r="OB13" s="180"/>
      <c r="OC13" s="180"/>
      <c r="OD13" s="180"/>
      <c r="OE13" s="180"/>
      <c r="OF13" s="180"/>
      <c r="OG13" s="180"/>
      <c r="OH13" s="180"/>
      <c r="OI13" s="180"/>
      <c r="OJ13" s="180"/>
      <c r="OK13" s="180"/>
      <c r="OL13" s="180"/>
      <c r="OM13" s="180"/>
      <c r="ON13" s="180"/>
      <c r="OO13" s="180"/>
      <c r="OP13" s="180"/>
      <c r="OQ13" s="180"/>
      <c r="OR13" s="180"/>
      <c r="OS13" s="180"/>
      <c r="OT13" s="180"/>
      <c r="OU13" s="180"/>
      <c r="OV13" s="180"/>
      <c r="OW13" s="180"/>
      <c r="OX13" s="180"/>
      <c r="OY13" s="180"/>
      <c r="OZ13" s="180"/>
      <c r="PA13" s="180"/>
      <c r="PB13" s="180"/>
      <c r="PC13" s="180"/>
      <c r="PD13" s="180"/>
      <c r="PE13" s="180"/>
      <c r="PF13" s="180"/>
      <c r="PG13" s="180"/>
      <c r="PH13" s="180"/>
      <c r="PI13" s="180"/>
      <c r="PJ13" s="180"/>
      <c r="PK13" s="180"/>
      <c r="PL13" s="180"/>
      <c r="PM13" s="180"/>
      <c r="PN13" s="180"/>
      <c r="PO13" s="180"/>
      <c r="PP13" s="180"/>
      <c r="PQ13" s="180"/>
      <c r="PR13" s="180"/>
      <c r="PS13" s="180"/>
      <c r="PT13" s="180"/>
      <c r="PU13" s="180"/>
      <c r="PV13" s="180"/>
      <c r="PW13" s="180"/>
      <c r="PX13" s="180"/>
      <c r="PY13" s="180"/>
      <c r="PZ13" s="180"/>
      <c r="QA13" s="180"/>
      <c r="QB13" s="180"/>
      <c r="QC13" s="180"/>
      <c r="QD13" s="180"/>
      <c r="QE13" s="180"/>
      <c r="QF13" s="180"/>
      <c r="QG13" s="180"/>
      <c r="QH13" s="180"/>
      <c r="QI13" s="180"/>
      <c r="QJ13" s="180"/>
      <c r="QK13" s="180"/>
      <c r="QL13" s="180"/>
      <c r="QM13" s="180"/>
      <c r="QN13" s="180"/>
      <c r="QO13" s="180"/>
      <c r="QP13" s="180"/>
      <c r="QQ13" s="180"/>
      <c r="QR13" s="180"/>
      <c r="QS13" s="180"/>
      <c r="QT13" s="180"/>
      <c r="QU13" s="180"/>
      <c r="QV13" s="180"/>
      <c r="QW13" s="180"/>
      <c r="QX13" s="180"/>
      <c r="QY13" s="180"/>
      <c r="QZ13" s="180"/>
      <c r="RA13" s="180"/>
      <c r="RB13" s="180"/>
      <c r="RC13" s="180"/>
      <c r="RD13" s="180"/>
      <c r="RE13" s="180"/>
      <c r="RF13" s="180"/>
      <c r="RG13" s="180"/>
      <c r="RH13" s="180"/>
      <c r="RI13" s="180"/>
      <c r="RJ13" s="180"/>
      <c r="RK13" s="180"/>
      <c r="RL13" s="180"/>
      <c r="RM13" s="180"/>
      <c r="RN13" s="180"/>
      <c r="RO13" s="180"/>
      <c r="RP13" s="180"/>
      <c r="RQ13" s="180"/>
      <c r="RR13" s="180"/>
      <c r="RS13" s="180"/>
      <c r="RT13" s="180"/>
      <c r="RU13" s="180"/>
      <c r="RV13" s="180"/>
      <c r="RW13" s="180"/>
      <c r="RX13" s="180"/>
      <c r="RY13" s="180"/>
      <c r="RZ13" s="180"/>
      <c r="SA13" s="180"/>
      <c r="SB13" s="180"/>
      <c r="SC13" s="180"/>
      <c r="SD13" s="180"/>
      <c r="SE13" s="180"/>
      <c r="SF13" s="180"/>
      <c r="SG13" s="180"/>
      <c r="SH13" s="180"/>
      <c r="SI13" s="180"/>
      <c r="SJ13" s="180"/>
      <c r="SK13" s="180"/>
      <c r="SL13" s="180"/>
      <c r="SM13" s="180"/>
      <c r="SN13" s="180"/>
      <c r="SO13" s="180"/>
      <c r="SP13" s="180"/>
      <c r="SQ13" s="180"/>
      <c r="SR13" s="180"/>
      <c r="SS13" s="180"/>
      <c r="ST13" s="180"/>
      <c r="SU13" s="180"/>
      <c r="SV13" s="180"/>
      <c r="SW13" s="180"/>
      <c r="SX13" s="180"/>
      <c r="SY13" s="180"/>
      <c r="SZ13" s="180"/>
      <c r="TA13" s="180"/>
      <c r="TB13" s="180"/>
      <c r="TC13" s="180"/>
      <c r="TD13" s="180"/>
      <c r="TE13" s="180"/>
      <c r="TF13" s="180"/>
      <c r="TG13" s="180"/>
      <c r="TH13" s="180"/>
      <c r="TI13" s="180"/>
      <c r="TJ13" s="180"/>
      <c r="TK13" s="180"/>
      <c r="TL13" s="180"/>
      <c r="TM13" s="180"/>
      <c r="TN13" s="180"/>
      <c r="TO13" s="180"/>
      <c r="TP13" s="180"/>
      <c r="TQ13" s="180"/>
      <c r="TR13" s="180"/>
      <c r="TS13" s="180"/>
      <c r="TT13" s="180"/>
      <c r="TU13" s="180"/>
      <c r="TV13" s="180"/>
      <c r="TW13" s="180"/>
      <c r="TX13" s="180"/>
      <c r="TY13" s="180"/>
      <c r="TZ13" s="180"/>
      <c r="UA13" s="180"/>
      <c r="UB13" s="180"/>
      <c r="UC13" s="180"/>
      <c r="UD13" s="180"/>
      <c r="UE13" s="180"/>
      <c r="UF13" s="180"/>
      <c r="UG13" s="180"/>
      <c r="UH13" s="180"/>
      <c r="UI13" s="180"/>
      <c r="UJ13" s="180"/>
      <c r="UK13" s="180"/>
      <c r="UL13" s="180"/>
      <c r="UM13" s="180"/>
      <c r="UN13" s="180"/>
      <c r="UO13" s="180"/>
      <c r="UP13" s="180"/>
      <c r="UQ13" s="180"/>
      <c r="UR13" s="180"/>
      <c r="US13" s="180"/>
      <c r="UT13" s="180"/>
      <c r="UU13" s="180"/>
      <c r="UV13" s="180"/>
      <c r="UW13" s="180"/>
      <c r="UX13" s="180"/>
      <c r="UY13" s="180"/>
      <c r="UZ13" s="180"/>
      <c r="VA13" s="180"/>
      <c r="VB13" s="180"/>
      <c r="VC13" s="180"/>
      <c r="VD13" s="180"/>
      <c r="VE13" s="180"/>
      <c r="VF13" s="180"/>
      <c r="VG13" s="180"/>
      <c r="VH13" s="180"/>
      <c r="VI13" s="180"/>
      <c r="VJ13" s="180"/>
      <c r="VK13" s="180"/>
      <c r="VL13" s="180"/>
      <c r="VM13" s="180"/>
      <c r="VN13" s="180"/>
      <c r="VO13" s="180"/>
      <c r="VP13" s="180"/>
      <c r="VQ13" s="180"/>
      <c r="VR13" s="180"/>
      <c r="VS13" s="180"/>
      <c r="VT13" s="180"/>
      <c r="VU13" s="180"/>
      <c r="VV13" s="180"/>
      <c r="VW13" s="180"/>
      <c r="VX13" s="180"/>
      <c r="VY13" s="180"/>
      <c r="VZ13" s="180"/>
      <c r="WA13" s="180"/>
      <c r="WB13" s="180"/>
      <c r="WC13" s="180"/>
      <c r="WD13" s="180"/>
      <c r="WE13" s="180"/>
      <c r="WF13" s="180"/>
      <c r="WG13" s="180"/>
      <c r="WH13" s="180"/>
      <c r="WI13" s="180"/>
      <c r="WJ13" s="180"/>
      <c r="WK13" s="180"/>
      <c r="WL13" s="180"/>
      <c r="WM13" s="180"/>
      <c r="WN13" s="180"/>
      <c r="WO13" s="180"/>
      <c r="WP13" s="180"/>
      <c r="WQ13" s="180"/>
      <c r="WR13" s="180"/>
      <c r="WS13" s="180"/>
      <c r="WT13" s="180"/>
      <c r="WU13" s="180"/>
      <c r="WV13" s="180"/>
      <c r="WW13" s="180"/>
      <c r="WX13" s="180"/>
      <c r="WY13" s="180"/>
      <c r="WZ13" s="180"/>
      <c r="XA13" s="180"/>
      <c r="XB13" s="180"/>
      <c r="XC13" s="180"/>
      <c r="XD13" s="180"/>
      <c r="XE13" s="180"/>
      <c r="XF13" s="180"/>
      <c r="XG13" s="180"/>
      <c r="XH13" s="180"/>
      <c r="XI13" s="180"/>
      <c r="XJ13" s="180"/>
      <c r="XK13" s="180"/>
      <c r="XL13" s="180"/>
      <c r="XM13" s="180"/>
      <c r="XN13" s="180"/>
      <c r="XO13" s="180"/>
      <c r="XP13" s="180"/>
      <c r="XQ13" s="180"/>
      <c r="XR13" s="180"/>
      <c r="XS13" s="180"/>
      <c r="XT13" s="180"/>
      <c r="XU13" s="180"/>
      <c r="XV13" s="180"/>
      <c r="XW13" s="180"/>
      <c r="XX13" s="180"/>
      <c r="XY13" s="180"/>
      <c r="XZ13" s="180"/>
      <c r="YA13" s="180"/>
      <c r="YB13" s="180"/>
      <c r="YC13" s="180"/>
      <c r="YD13" s="180"/>
      <c r="YE13" s="180"/>
      <c r="YF13" s="180"/>
      <c r="YG13" s="180"/>
      <c r="YH13" s="180"/>
      <c r="YI13" s="180"/>
      <c r="YJ13" s="180"/>
      <c r="YK13" s="180"/>
      <c r="YL13" s="180"/>
      <c r="YM13" s="180"/>
      <c r="YN13" s="180"/>
      <c r="YO13" s="180"/>
      <c r="YP13" s="180"/>
      <c r="YQ13" s="180"/>
      <c r="YR13" s="180"/>
      <c r="YS13" s="180"/>
      <c r="YT13" s="180"/>
      <c r="YU13" s="180"/>
      <c r="YV13" s="180"/>
      <c r="YW13" s="180"/>
      <c r="YX13" s="180"/>
      <c r="YY13" s="180"/>
      <c r="YZ13" s="180"/>
      <c r="ZA13" s="180"/>
      <c r="ZB13" s="180"/>
      <c r="ZC13" s="180"/>
      <c r="ZD13" s="180"/>
      <c r="ZE13" s="180"/>
      <c r="ZF13" s="180"/>
      <c r="ZG13" s="180"/>
      <c r="ZH13" s="180"/>
      <c r="ZI13" s="180"/>
      <c r="ZJ13" s="180"/>
      <c r="ZK13" s="180"/>
      <c r="ZL13" s="180"/>
      <c r="ZM13" s="180"/>
      <c r="ZN13" s="180"/>
      <c r="ZO13" s="180"/>
      <c r="ZP13" s="180"/>
      <c r="ZQ13" s="180"/>
      <c r="ZR13" s="180"/>
      <c r="ZS13" s="180"/>
      <c r="ZT13" s="180"/>
      <c r="ZU13" s="180"/>
      <c r="ZV13" s="180"/>
      <c r="ZW13" s="180"/>
      <c r="ZX13" s="180"/>
      <c r="ZY13" s="180"/>
      <c r="ZZ13" s="180"/>
      <c r="AAA13" s="180"/>
      <c r="AAB13" s="180"/>
      <c r="AAC13" s="180"/>
      <c r="AAD13" s="180"/>
      <c r="AAE13" s="180"/>
      <c r="AAF13" s="180"/>
      <c r="AAG13" s="180"/>
      <c r="AAH13" s="180"/>
      <c r="AAI13" s="180"/>
      <c r="AAJ13" s="180"/>
      <c r="AAK13" s="180"/>
      <c r="AAL13" s="180"/>
      <c r="AAM13" s="180"/>
      <c r="AAN13" s="180"/>
      <c r="AAO13" s="180"/>
      <c r="AAP13" s="180"/>
      <c r="AAQ13" s="180"/>
      <c r="AAR13" s="180"/>
      <c r="AAS13" s="180"/>
      <c r="AAT13" s="180"/>
      <c r="AAU13" s="180"/>
      <c r="AAV13" s="180"/>
      <c r="AAW13" s="180"/>
      <c r="AAX13" s="180"/>
      <c r="AAY13" s="180"/>
      <c r="AAZ13" s="180"/>
      <c r="ABA13" s="180"/>
      <c r="ABB13" s="180"/>
      <c r="ABC13" s="180"/>
      <c r="ABD13" s="180"/>
      <c r="ABE13" s="180"/>
      <c r="ABF13" s="180"/>
      <c r="ABG13" s="180"/>
      <c r="ABH13" s="180"/>
      <c r="ABI13" s="180"/>
      <c r="ABJ13" s="180"/>
      <c r="ABK13" s="180"/>
      <c r="ABL13" s="180"/>
      <c r="ABM13" s="180"/>
      <c r="ABN13" s="180"/>
      <c r="ABO13" s="180"/>
      <c r="ABP13" s="180"/>
      <c r="ABQ13" s="180"/>
      <c r="ABR13" s="180"/>
      <c r="ABS13" s="180"/>
      <c r="ABT13" s="180"/>
      <c r="ABU13" s="180"/>
      <c r="ABV13" s="180"/>
      <c r="ABW13" s="180"/>
      <c r="ABX13" s="180"/>
      <c r="ABY13" s="180"/>
      <c r="ABZ13" s="180"/>
      <c r="ACA13" s="180"/>
      <c r="ACB13" s="180"/>
      <c r="ACC13" s="180"/>
      <c r="ACD13" s="180"/>
      <c r="ACE13" s="180"/>
      <c r="ACF13" s="180"/>
      <c r="ACG13" s="180"/>
      <c r="ACH13" s="180"/>
      <c r="ACI13" s="180"/>
      <c r="ACJ13" s="180"/>
      <c r="ACK13" s="180"/>
      <c r="ACL13" s="180"/>
      <c r="ACM13" s="180"/>
      <c r="ACN13" s="180"/>
      <c r="ACO13" s="180"/>
      <c r="ACP13" s="180"/>
      <c r="ACQ13" s="180"/>
      <c r="ACR13" s="180"/>
      <c r="ACS13" s="180"/>
      <c r="ACT13" s="180"/>
      <c r="ACU13" s="180"/>
      <c r="ACV13" s="180"/>
      <c r="ACW13" s="180"/>
      <c r="ACX13" s="180"/>
      <c r="ACY13" s="180"/>
      <c r="ACZ13" s="180"/>
      <c r="ADA13" s="180"/>
      <c r="ADB13" s="180"/>
      <c r="ADC13" s="180"/>
      <c r="ADD13" s="180"/>
      <c r="ADE13" s="180"/>
      <c r="ADF13" s="180"/>
      <c r="ADG13" s="180"/>
      <c r="ADH13" s="180"/>
      <c r="ADI13" s="180"/>
      <c r="ADJ13" s="180"/>
      <c r="ADK13" s="180"/>
      <c r="ADL13" s="180"/>
      <c r="ADM13" s="180"/>
      <c r="ADN13" s="180"/>
      <c r="ADO13" s="180"/>
      <c r="ADP13" s="180"/>
      <c r="ADQ13" s="180"/>
      <c r="ADR13" s="180"/>
      <c r="ADS13" s="180"/>
      <c r="ADT13" s="180"/>
      <c r="ADU13" s="180"/>
      <c r="ADV13" s="180"/>
      <c r="ADW13" s="180"/>
      <c r="ADX13" s="180"/>
      <c r="ADY13" s="180"/>
      <c r="ADZ13" s="180"/>
      <c r="AEA13" s="180"/>
      <c r="AEB13" s="180"/>
      <c r="AEC13" s="180"/>
      <c r="AED13" s="180"/>
      <c r="AEE13" s="180"/>
      <c r="AEF13" s="180"/>
      <c r="AEG13" s="180"/>
      <c r="AEH13" s="180"/>
      <c r="AEI13" s="180"/>
      <c r="AEJ13" s="180"/>
      <c r="AEK13" s="180"/>
      <c r="AEL13" s="180"/>
      <c r="AEM13" s="180"/>
      <c r="AEN13" s="180"/>
      <c r="AEO13" s="180"/>
      <c r="AEP13" s="180"/>
      <c r="AEQ13" s="180"/>
      <c r="AER13" s="180"/>
      <c r="AES13" s="180"/>
      <c r="AET13" s="180"/>
      <c r="AEU13" s="180"/>
      <c r="AEV13" s="180"/>
      <c r="AEW13" s="180"/>
      <c r="AEX13" s="180"/>
      <c r="AEY13" s="180"/>
      <c r="AEZ13" s="180"/>
      <c r="AFA13" s="180"/>
      <c r="AFB13" s="180"/>
      <c r="AFC13" s="180"/>
      <c r="AFD13" s="180"/>
      <c r="AFE13" s="180"/>
      <c r="AFF13" s="180"/>
      <c r="AFG13" s="180"/>
      <c r="AFH13" s="180"/>
      <c r="AFI13" s="180"/>
      <c r="AFJ13" s="180"/>
      <c r="AFK13" s="180"/>
      <c r="AFL13" s="180"/>
      <c r="AFM13" s="180"/>
      <c r="AFN13" s="180"/>
      <c r="AFO13" s="180"/>
      <c r="AFP13" s="180"/>
      <c r="AFQ13" s="180"/>
      <c r="AFR13" s="180"/>
      <c r="AFS13" s="180"/>
      <c r="AFT13" s="180"/>
      <c r="AFU13" s="180"/>
      <c r="AFV13" s="180"/>
      <c r="AFW13" s="180"/>
      <c r="AFX13" s="180"/>
      <c r="AFY13" s="180"/>
      <c r="AFZ13" s="180"/>
      <c r="AGA13" s="180"/>
      <c r="AGB13" s="180"/>
      <c r="AGC13" s="180"/>
      <c r="AGD13" s="180"/>
      <c r="AGE13" s="180"/>
      <c r="AGF13" s="180"/>
      <c r="AGG13" s="180"/>
      <c r="AGH13" s="180"/>
      <c r="AGI13" s="180"/>
      <c r="AGJ13" s="180"/>
      <c r="AGK13" s="180"/>
      <c r="AGL13" s="180"/>
      <c r="AGM13" s="180"/>
      <c r="AGN13" s="180"/>
      <c r="AGO13" s="180"/>
      <c r="AGP13" s="180"/>
      <c r="AGQ13" s="180"/>
      <c r="AGR13" s="180"/>
      <c r="AGS13" s="180"/>
      <c r="AGT13" s="180"/>
      <c r="AGU13" s="180"/>
      <c r="AGV13" s="180"/>
      <c r="AGW13" s="180"/>
      <c r="AGX13" s="180"/>
      <c r="AGY13" s="180"/>
      <c r="AGZ13" s="180"/>
      <c r="AHA13" s="180"/>
      <c r="AHB13" s="180"/>
      <c r="AHC13" s="180"/>
      <c r="AHD13" s="180"/>
      <c r="AHE13" s="180"/>
      <c r="AHF13" s="180"/>
      <c r="AHG13" s="180"/>
      <c r="AHH13" s="180"/>
      <c r="AHI13" s="180"/>
      <c r="AHJ13" s="180"/>
      <c r="AHK13" s="180"/>
      <c r="AHL13" s="180"/>
      <c r="AHM13" s="180"/>
      <c r="AHN13" s="180"/>
      <c r="AHO13" s="180"/>
      <c r="AHP13" s="180"/>
      <c r="AHQ13" s="180"/>
      <c r="AHR13" s="180"/>
      <c r="AHS13" s="180"/>
      <c r="AHT13" s="180"/>
      <c r="AHU13" s="180"/>
      <c r="AHV13" s="180"/>
      <c r="AHW13" s="180"/>
      <c r="AHX13" s="180"/>
      <c r="AHY13" s="180"/>
      <c r="AHZ13" s="180"/>
      <c r="AIA13" s="180"/>
      <c r="AIB13" s="180"/>
      <c r="AIC13" s="180"/>
      <c r="AID13" s="180"/>
      <c r="AIE13" s="180"/>
      <c r="AIF13" s="180"/>
      <c r="AIG13" s="180"/>
      <c r="AIH13" s="180"/>
      <c r="AII13" s="180"/>
      <c r="AIJ13" s="180"/>
      <c r="AIK13" s="180"/>
      <c r="AIL13" s="180"/>
      <c r="AIM13" s="180"/>
      <c r="AIN13" s="180"/>
      <c r="AIO13" s="180"/>
      <c r="AIP13" s="180"/>
      <c r="AIQ13" s="180"/>
      <c r="AIR13" s="180"/>
      <c r="AIS13" s="180"/>
      <c r="AIT13" s="180"/>
      <c r="AIU13" s="180"/>
      <c r="AIV13" s="180"/>
      <c r="AIW13" s="180"/>
      <c r="AIX13" s="180"/>
      <c r="AIY13" s="180"/>
      <c r="AIZ13" s="180"/>
      <c r="AJA13" s="180"/>
      <c r="AJB13" s="180"/>
      <c r="AJC13" s="180"/>
      <c r="AJD13" s="180"/>
      <c r="AJE13" s="180"/>
      <c r="AJF13" s="180"/>
      <c r="AJG13" s="180"/>
      <c r="AJH13" s="180"/>
      <c r="AJI13" s="180"/>
      <c r="AJJ13" s="180"/>
      <c r="AJK13" s="180"/>
      <c r="AJL13" s="180"/>
      <c r="AJM13" s="180"/>
      <c r="AJN13" s="180"/>
      <c r="AJO13" s="180"/>
      <c r="AJP13" s="180"/>
      <c r="AJQ13" s="180"/>
      <c r="AJR13" s="180"/>
      <c r="AJS13" s="180"/>
      <c r="AJT13" s="180"/>
      <c r="AJU13" s="180"/>
      <c r="AJV13" s="180"/>
      <c r="AJW13" s="180"/>
      <c r="AJX13" s="180"/>
      <c r="AJY13" s="180"/>
      <c r="AJZ13" s="180"/>
      <c r="AKA13" s="180"/>
      <c r="AKB13" s="180"/>
      <c r="AKC13" s="180"/>
      <c r="AKD13" s="180"/>
      <c r="AKE13" s="180"/>
      <c r="AKF13" s="180"/>
      <c r="AKG13" s="180"/>
      <c r="AKH13" s="180"/>
      <c r="AKI13" s="180"/>
      <c r="AKJ13" s="180"/>
      <c r="AKK13" s="180"/>
      <c r="AKL13" s="180"/>
      <c r="AKM13" s="180"/>
      <c r="AKN13" s="180"/>
      <c r="AKO13" s="180"/>
      <c r="AKP13" s="180"/>
      <c r="AKQ13" s="180"/>
      <c r="AKR13" s="180"/>
      <c r="AKS13" s="180"/>
      <c r="AKT13" s="180"/>
      <c r="AKU13" s="180"/>
      <c r="AKV13" s="180"/>
      <c r="AKW13" s="180"/>
      <c r="AKX13" s="180"/>
      <c r="AKY13" s="180"/>
      <c r="AKZ13" s="180"/>
      <c r="ALA13" s="180"/>
      <c r="ALB13" s="180"/>
      <c r="ALC13" s="180"/>
      <c r="ALD13" s="180"/>
      <c r="ALE13" s="180"/>
      <c r="ALF13" s="180"/>
      <c r="ALG13" s="180"/>
      <c r="ALH13" s="180"/>
      <c r="ALI13" s="180"/>
      <c r="ALJ13" s="180"/>
      <c r="ALK13" s="180"/>
      <c r="ALL13" s="180"/>
      <c r="ALM13" s="180"/>
      <c r="ALN13" s="180"/>
      <c r="ALO13" s="180"/>
      <c r="ALP13" s="180"/>
      <c r="ALQ13" s="180"/>
      <c r="ALR13" s="180"/>
      <c r="ALS13" s="180"/>
      <c r="ALT13" s="180"/>
      <c r="ALU13" s="180"/>
      <c r="ALV13" s="180"/>
      <c r="ALW13" s="180"/>
      <c r="ALX13" s="180"/>
      <c r="ALY13" s="180"/>
      <c r="ALZ13" s="180"/>
      <c r="AMA13" s="279"/>
      <c r="AMB13" s="279"/>
      <c r="AMC13" s="279"/>
      <c r="AMD13" s="279"/>
      <c r="AME13" s="279"/>
      <c r="AMF13" s="279"/>
      <c r="AMG13" s="279"/>
      <c r="AMH13" s="279"/>
      <c r="AMI13" s="280"/>
    </row>
    <row r="14" spans="1:1023" s="259" customFormat="1" ht="31.5" customHeight="1" x14ac:dyDescent="0.25">
      <c r="A14" s="282"/>
      <c r="B14" s="283"/>
      <c r="C14" s="283" t="s">
        <v>331</v>
      </c>
      <c r="D14" s="180"/>
      <c r="E14" s="494">
        <v>0</v>
      </c>
      <c r="F14" s="506"/>
      <c r="G14" s="494">
        <v>0</v>
      </c>
      <c r="H14" s="276"/>
      <c r="I14" s="277">
        <v>0</v>
      </c>
      <c r="J14" s="275"/>
      <c r="K14" s="277">
        <v>0</v>
      </c>
      <c r="L14" s="278"/>
      <c r="M14" s="277">
        <v>0</v>
      </c>
      <c r="N14" s="180"/>
      <c r="O14" s="180"/>
      <c r="P14" s="180"/>
      <c r="Q14" s="180"/>
      <c r="R14" s="180"/>
      <c r="S14" s="180"/>
      <c r="T14" s="180"/>
      <c r="U14" s="180"/>
      <c r="V14" s="180"/>
      <c r="W14" s="180"/>
      <c r="X14" s="180"/>
      <c r="Y14" s="180"/>
      <c r="Z14" s="180"/>
      <c r="AA14" s="180"/>
      <c r="AB14" s="180"/>
      <c r="AC14" s="180"/>
      <c r="AD14" s="180"/>
      <c r="AE14" s="180"/>
      <c r="AF14" s="180"/>
      <c r="AG14" s="180"/>
      <c r="AH14" s="180"/>
      <c r="AI14" s="180"/>
      <c r="AJ14" s="180"/>
      <c r="AK14" s="180"/>
      <c r="AL14" s="180"/>
      <c r="AM14" s="180"/>
      <c r="AN14" s="180"/>
      <c r="AO14" s="180"/>
      <c r="AP14" s="180"/>
      <c r="AQ14" s="180"/>
      <c r="AR14" s="180"/>
      <c r="AS14" s="180"/>
      <c r="AT14" s="180"/>
      <c r="AU14" s="180"/>
      <c r="AV14" s="180"/>
      <c r="AW14" s="180"/>
      <c r="AX14" s="180"/>
      <c r="AY14" s="180"/>
      <c r="AZ14" s="180"/>
      <c r="BA14" s="180"/>
      <c r="BB14" s="180"/>
      <c r="BC14" s="180"/>
      <c r="BD14" s="180"/>
      <c r="BE14" s="180"/>
      <c r="BF14" s="180"/>
      <c r="BG14" s="180"/>
      <c r="BH14" s="180"/>
      <c r="BI14" s="180"/>
      <c r="BJ14" s="180"/>
      <c r="BK14" s="180"/>
      <c r="BL14" s="180"/>
      <c r="BM14" s="180"/>
      <c r="BN14" s="180"/>
      <c r="BO14" s="180"/>
      <c r="BP14" s="180"/>
      <c r="BQ14" s="180"/>
      <c r="BR14" s="180"/>
      <c r="BS14" s="180"/>
      <c r="BT14" s="180"/>
      <c r="BU14" s="180"/>
      <c r="BV14" s="180"/>
      <c r="BW14" s="180"/>
      <c r="BX14" s="180"/>
      <c r="BY14" s="180"/>
      <c r="BZ14" s="180"/>
      <c r="CA14" s="180"/>
      <c r="CB14" s="180"/>
      <c r="CC14" s="180"/>
      <c r="CD14" s="180"/>
      <c r="CE14" s="180"/>
      <c r="CF14" s="180"/>
      <c r="CG14" s="180"/>
      <c r="CH14" s="180"/>
      <c r="CI14" s="180"/>
      <c r="CJ14" s="180"/>
      <c r="CK14" s="180"/>
      <c r="CL14" s="180"/>
      <c r="CM14" s="180"/>
      <c r="CN14" s="180"/>
      <c r="CO14" s="180"/>
      <c r="CP14" s="180"/>
      <c r="CQ14" s="180"/>
      <c r="CR14" s="180"/>
      <c r="CS14" s="180"/>
      <c r="CT14" s="180"/>
      <c r="CU14" s="180"/>
      <c r="CV14" s="180"/>
      <c r="CW14" s="180"/>
      <c r="CX14" s="180"/>
      <c r="CY14" s="180"/>
      <c r="CZ14" s="180"/>
      <c r="DA14" s="180"/>
      <c r="DB14" s="180"/>
      <c r="DC14" s="180"/>
      <c r="DD14" s="180"/>
      <c r="DE14" s="180"/>
      <c r="DF14" s="180"/>
      <c r="DG14" s="180"/>
      <c r="DH14" s="180"/>
      <c r="DI14" s="180"/>
      <c r="DJ14" s="180"/>
      <c r="DK14" s="180"/>
      <c r="DL14" s="180"/>
      <c r="DM14" s="180"/>
      <c r="DN14" s="180"/>
      <c r="DO14" s="180"/>
      <c r="DP14" s="180"/>
      <c r="DQ14" s="180"/>
      <c r="DR14" s="180"/>
      <c r="DS14" s="180"/>
      <c r="DT14" s="180"/>
      <c r="DU14" s="180"/>
      <c r="DV14" s="180"/>
      <c r="DW14" s="180"/>
      <c r="DX14" s="180"/>
      <c r="DY14" s="180"/>
      <c r="DZ14" s="180"/>
      <c r="EA14" s="180"/>
      <c r="EB14" s="180"/>
      <c r="EC14" s="180"/>
      <c r="ED14" s="180"/>
      <c r="EE14" s="180"/>
      <c r="EF14" s="180"/>
      <c r="EG14" s="180"/>
      <c r="EH14" s="180"/>
      <c r="EI14" s="180"/>
      <c r="EJ14" s="180"/>
      <c r="EK14" s="180"/>
      <c r="EL14" s="180"/>
      <c r="EM14" s="180"/>
      <c r="EN14" s="180"/>
      <c r="EO14" s="180"/>
      <c r="EP14" s="180"/>
      <c r="EQ14" s="180"/>
      <c r="ER14" s="180"/>
      <c r="ES14" s="180"/>
      <c r="ET14" s="180"/>
      <c r="EU14" s="180"/>
      <c r="EV14" s="180"/>
      <c r="EW14" s="180"/>
      <c r="EX14" s="180"/>
      <c r="EY14" s="180"/>
      <c r="EZ14" s="180"/>
      <c r="FA14" s="180"/>
      <c r="FB14" s="180"/>
      <c r="FC14" s="180"/>
      <c r="FD14" s="180"/>
      <c r="FE14" s="180"/>
      <c r="FF14" s="180"/>
      <c r="FG14" s="180"/>
      <c r="FH14" s="180"/>
      <c r="FI14" s="180"/>
      <c r="FJ14" s="180"/>
      <c r="FK14" s="180"/>
      <c r="FL14" s="180"/>
      <c r="FM14" s="180"/>
      <c r="FN14" s="180"/>
      <c r="FO14" s="180"/>
      <c r="FP14" s="180"/>
      <c r="FQ14" s="180"/>
      <c r="FR14" s="180"/>
      <c r="FS14" s="180"/>
      <c r="FT14" s="180"/>
      <c r="FU14" s="180"/>
      <c r="FV14" s="180"/>
      <c r="FW14" s="180"/>
      <c r="FX14" s="180"/>
      <c r="FY14" s="180"/>
      <c r="FZ14" s="180"/>
      <c r="GA14" s="180"/>
      <c r="GB14" s="180"/>
      <c r="GC14" s="180"/>
      <c r="GD14" s="180"/>
      <c r="GE14" s="180"/>
      <c r="GF14" s="180"/>
      <c r="GG14" s="180"/>
      <c r="GH14" s="180"/>
      <c r="GI14" s="180"/>
      <c r="GJ14" s="180"/>
      <c r="GK14" s="180"/>
      <c r="GL14" s="180"/>
      <c r="GM14" s="180"/>
      <c r="GN14" s="180"/>
      <c r="GO14" s="180"/>
      <c r="GP14" s="180"/>
      <c r="GQ14" s="180"/>
      <c r="GR14" s="180"/>
      <c r="GS14" s="180"/>
      <c r="GT14" s="180"/>
      <c r="GU14" s="180"/>
      <c r="GV14" s="180"/>
      <c r="GW14" s="180"/>
      <c r="GX14" s="180"/>
      <c r="GY14" s="180"/>
      <c r="GZ14" s="180"/>
      <c r="HA14" s="180"/>
      <c r="HB14" s="180"/>
      <c r="HC14" s="180"/>
      <c r="HD14" s="180"/>
      <c r="HE14" s="180"/>
      <c r="HF14" s="180"/>
      <c r="HG14" s="180"/>
      <c r="HH14" s="180"/>
      <c r="HI14" s="180"/>
      <c r="HJ14" s="180"/>
      <c r="HK14" s="180"/>
      <c r="HL14" s="180"/>
      <c r="HM14" s="180"/>
      <c r="HN14" s="180"/>
      <c r="HO14" s="180"/>
      <c r="HP14" s="180"/>
      <c r="HQ14" s="180"/>
      <c r="HR14" s="180"/>
      <c r="HS14" s="180"/>
      <c r="HT14" s="180"/>
      <c r="HU14" s="180"/>
      <c r="HV14" s="180"/>
      <c r="HW14" s="180"/>
      <c r="HX14" s="180"/>
      <c r="HY14" s="180"/>
      <c r="HZ14" s="180"/>
      <c r="IA14" s="180"/>
      <c r="IB14" s="180"/>
      <c r="IC14" s="180"/>
      <c r="ID14" s="180"/>
      <c r="IE14" s="180"/>
      <c r="IF14" s="180"/>
      <c r="IG14" s="180"/>
      <c r="IH14" s="180"/>
      <c r="II14" s="180"/>
      <c r="IJ14" s="180"/>
      <c r="IK14" s="180"/>
      <c r="IL14" s="180"/>
      <c r="IM14" s="180"/>
      <c r="IN14" s="180"/>
      <c r="IO14" s="180"/>
      <c r="IP14" s="180"/>
      <c r="IQ14" s="180"/>
      <c r="IR14" s="180"/>
      <c r="IS14" s="180"/>
      <c r="IT14" s="180"/>
      <c r="IU14" s="180"/>
      <c r="IV14" s="180"/>
      <c r="IW14" s="180"/>
      <c r="IX14" s="180"/>
      <c r="IY14" s="180"/>
      <c r="IZ14" s="180"/>
      <c r="JA14" s="180"/>
      <c r="JB14" s="180"/>
      <c r="JC14" s="180"/>
      <c r="JD14" s="180"/>
      <c r="JE14" s="180"/>
      <c r="JF14" s="180"/>
      <c r="JG14" s="180"/>
      <c r="JH14" s="180"/>
      <c r="JI14" s="180"/>
      <c r="JJ14" s="180"/>
      <c r="JK14" s="180"/>
      <c r="JL14" s="180"/>
      <c r="JM14" s="180"/>
      <c r="JN14" s="180"/>
      <c r="JO14" s="180"/>
      <c r="JP14" s="180"/>
      <c r="JQ14" s="180"/>
      <c r="JR14" s="180"/>
      <c r="JS14" s="180"/>
      <c r="JT14" s="180"/>
      <c r="JU14" s="180"/>
      <c r="JV14" s="180"/>
      <c r="JW14" s="180"/>
      <c r="JX14" s="180"/>
      <c r="JY14" s="180"/>
      <c r="JZ14" s="180"/>
      <c r="KA14" s="180"/>
      <c r="KB14" s="180"/>
      <c r="KC14" s="180"/>
      <c r="KD14" s="180"/>
      <c r="KE14" s="180"/>
      <c r="KF14" s="180"/>
      <c r="KG14" s="180"/>
      <c r="KH14" s="180"/>
      <c r="KI14" s="180"/>
      <c r="KJ14" s="180"/>
      <c r="KK14" s="180"/>
      <c r="KL14" s="180"/>
      <c r="KM14" s="180"/>
      <c r="KN14" s="180"/>
      <c r="KO14" s="180"/>
      <c r="KP14" s="180"/>
      <c r="KQ14" s="180"/>
      <c r="KR14" s="180"/>
      <c r="KS14" s="180"/>
      <c r="KT14" s="180"/>
      <c r="KU14" s="180"/>
      <c r="KV14" s="180"/>
      <c r="KW14" s="180"/>
      <c r="KX14" s="180"/>
      <c r="KY14" s="180"/>
      <c r="KZ14" s="180"/>
      <c r="LA14" s="180"/>
      <c r="LB14" s="180"/>
      <c r="LC14" s="180"/>
      <c r="LD14" s="180"/>
      <c r="LE14" s="180"/>
      <c r="LF14" s="180"/>
      <c r="LG14" s="180"/>
      <c r="LH14" s="180"/>
      <c r="LI14" s="180"/>
      <c r="LJ14" s="180"/>
      <c r="LK14" s="180"/>
      <c r="LL14" s="180"/>
      <c r="LM14" s="180"/>
      <c r="LN14" s="180"/>
      <c r="LO14" s="180"/>
      <c r="LP14" s="180"/>
      <c r="LQ14" s="180"/>
      <c r="LR14" s="180"/>
      <c r="LS14" s="180"/>
      <c r="LT14" s="180"/>
      <c r="LU14" s="180"/>
      <c r="LV14" s="180"/>
      <c r="LW14" s="180"/>
      <c r="LX14" s="180"/>
      <c r="LY14" s="180"/>
      <c r="LZ14" s="180"/>
      <c r="MA14" s="180"/>
      <c r="MB14" s="180"/>
      <c r="MC14" s="180"/>
      <c r="MD14" s="180"/>
      <c r="ME14" s="180"/>
      <c r="MF14" s="180"/>
      <c r="MG14" s="180"/>
      <c r="MH14" s="180"/>
      <c r="MI14" s="180"/>
      <c r="MJ14" s="180"/>
      <c r="MK14" s="180"/>
      <c r="ML14" s="180"/>
      <c r="MM14" s="180"/>
      <c r="MN14" s="180"/>
      <c r="MO14" s="180"/>
      <c r="MP14" s="180"/>
      <c r="MQ14" s="180"/>
      <c r="MR14" s="180"/>
      <c r="MS14" s="180"/>
      <c r="MT14" s="180"/>
      <c r="MU14" s="180"/>
      <c r="MV14" s="180"/>
      <c r="MW14" s="180"/>
      <c r="MX14" s="180"/>
      <c r="MY14" s="180"/>
      <c r="MZ14" s="180"/>
      <c r="NA14" s="180"/>
      <c r="NB14" s="180"/>
      <c r="NC14" s="180"/>
      <c r="ND14" s="180"/>
      <c r="NE14" s="180"/>
      <c r="NF14" s="180"/>
      <c r="NG14" s="180"/>
      <c r="NH14" s="180"/>
      <c r="NI14" s="180"/>
      <c r="NJ14" s="180"/>
      <c r="NK14" s="180"/>
      <c r="NL14" s="180"/>
      <c r="NM14" s="180"/>
      <c r="NN14" s="180"/>
      <c r="NO14" s="180"/>
      <c r="NP14" s="180"/>
      <c r="NQ14" s="180"/>
      <c r="NR14" s="180"/>
      <c r="NS14" s="180"/>
      <c r="NT14" s="180"/>
      <c r="NU14" s="180"/>
      <c r="NV14" s="180"/>
      <c r="NW14" s="180"/>
      <c r="NX14" s="180"/>
      <c r="NY14" s="180"/>
      <c r="NZ14" s="180"/>
      <c r="OA14" s="180"/>
      <c r="OB14" s="180"/>
      <c r="OC14" s="180"/>
      <c r="OD14" s="180"/>
      <c r="OE14" s="180"/>
      <c r="OF14" s="180"/>
      <c r="OG14" s="180"/>
      <c r="OH14" s="180"/>
      <c r="OI14" s="180"/>
      <c r="OJ14" s="180"/>
      <c r="OK14" s="180"/>
      <c r="OL14" s="180"/>
      <c r="OM14" s="180"/>
      <c r="ON14" s="180"/>
      <c r="OO14" s="180"/>
      <c r="OP14" s="180"/>
      <c r="OQ14" s="180"/>
      <c r="OR14" s="180"/>
      <c r="OS14" s="180"/>
      <c r="OT14" s="180"/>
      <c r="OU14" s="180"/>
      <c r="OV14" s="180"/>
      <c r="OW14" s="180"/>
      <c r="OX14" s="180"/>
      <c r="OY14" s="180"/>
      <c r="OZ14" s="180"/>
      <c r="PA14" s="180"/>
      <c r="PB14" s="180"/>
      <c r="PC14" s="180"/>
      <c r="PD14" s="180"/>
      <c r="PE14" s="180"/>
      <c r="PF14" s="180"/>
      <c r="PG14" s="180"/>
      <c r="PH14" s="180"/>
      <c r="PI14" s="180"/>
      <c r="PJ14" s="180"/>
      <c r="PK14" s="180"/>
      <c r="PL14" s="180"/>
      <c r="PM14" s="180"/>
      <c r="PN14" s="180"/>
      <c r="PO14" s="180"/>
      <c r="PP14" s="180"/>
      <c r="PQ14" s="180"/>
      <c r="PR14" s="180"/>
      <c r="PS14" s="180"/>
      <c r="PT14" s="180"/>
      <c r="PU14" s="180"/>
      <c r="PV14" s="180"/>
      <c r="PW14" s="180"/>
      <c r="PX14" s="180"/>
      <c r="PY14" s="180"/>
      <c r="PZ14" s="180"/>
      <c r="QA14" s="180"/>
      <c r="QB14" s="180"/>
      <c r="QC14" s="180"/>
      <c r="QD14" s="180"/>
      <c r="QE14" s="180"/>
      <c r="QF14" s="180"/>
      <c r="QG14" s="180"/>
      <c r="QH14" s="180"/>
      <c r="QI14" s="180"/>
      <c r="QJ14" s="180"/>
      <c r="QK14" s="180"/>
      <c r="QL14" s="180"/>
      <c r="QM14" s="180"/>
      <c r="QN14" s="180"/>
      <c r="QO14" s="180"/>
      <c r="QP14" s="180"/>
      <c r="QQ14" s="180"/>
      <c r="QR14" s="180"/>
      <c r="QS14" s="180"/>
      <c r="QT14" s="180"/>
      <c r="QU14" s="180"/>
      <c r="QV14" s="180"/>
      <c r="QW14" s="180"/>
      <c r="QX14" s="180"/>
      <c r="QY14" s="180"/>
      <c r="QZ14" s="180"/>
      <c r="RA14" s="180"/>
      <c r="RB14" s="180"/>
      <c r="RC14" s="180"/>
      <c r="RD14" s="180"/>
      <c r="RE14" s="180"/>
      <c r="RF14" s="180"/>
      <c r="RG14" s="180"/>
      <c r="RH14" s="180"/>
      <c r="RI14" s="180"/>
      <c r="RJ14" s="180"/>
      <c r="RK14" s="180"/>
      <c r="RL14" s="180"/>
      <c r="RM14" s="180"/>
      <c r="RN14" s="180"/>
      <c r="RO14" s="180"/>
      <c r="RP14" s="180"/>
      <c r="RQ14" s="180"/>
      <c r="RR14" s="180"/>
      <c r="RS14" s="180"/>
      <c r="RT14" s="180"/>
      <c r="RU14" s="180"/>
      <c r="RV14" s="180"/>
      <c r="RW14" s="180"/>
      <c r="RX14" s="180"/>
      <c r="RY14" s="180"/>
      <c r="RZ14" s="180"/>
      <c r="SA14" s="180"/>
      <c r="SB14" s="180"/>
      <c r="SC14" s="180"/>
      <c r="SD14" s="180"/>
      <c r="SE14" s="180"/>
      <c r="SF14" s="180"/>
      <c r="SG14" s="180"/>
      <c r="SH14" s="180"/>
      <c r="SI14" s="180"/>
      <c r="SJ14" s="180"/>
      <c r="SK14" s="180"/>
      <c r="SL14" s="180"/>
      <c r="SM14" s="180"/>
      <c r="SN14" s="180"/>
      <c r="SO14" s="180"/>
      <c r="SP14" s="180"/>
      <c r="SQ14" s="180"/>
      <c r="SR14" s="180"/>
      <c r="SS14" s="180"/>
      <c r="ST14" s="180"/>
      <c r="SU14" s="180"/>
      <c r="SV14" s="180"/>
      <c r="SW14" s="180"/>
      <c r="SX14" s="180"/>
      <c r="SY14" s="180"/>
      <c r="SZ14" s="180"/>
      <c r="TA14" s="180"/>
      <c r="TB14" s="180"/>
      <c r="TC14" s="180"/>
      <c r="TD14" s="180"/>
      <c r="TE14" s="180"/>
      <c r="TF14" s="180"/>
      <c r="TG14" s="180"/>
      <c r="TH14" s="180"/>
      <c r="TI14" s="180"/>
      <c r="TJ14" s="180"/>
      <c r="TK14" s="180"/>
      <c r="TL14" s="180"/>
      <c r="TM14" s="180"/>
      <c r="TN14" s="180"/>
      <c r="TO14" s="180"/>
      <c r="TP14" s="180"/>
      <c r="TQ14" s="180"/>
      <c r="TR14" s="180"/>
      <c r="TS14" s="180"/>
      <c r="TT14" s="180"/>
      <c r="TU14" s="180"/>
      <c r="TV14" s="180"/>
      <c r="TW14" s="180"/>
      <c r="TX14" s="180"/>
      <c r="TY14" s="180"/>
      <c r="TZ14" s="180"/>
      <c r="UA14" s="180"/>
      <c r="UB14" s="180"/>
      <c r="UC14" s="180"/>
      <c r="UD14" s="180"/>
      <c r="UE14" s="180"/>
      <c r="UF14" s="180"/>
      <c r="UG14" s="180"/>
      <c r="UH14" s="180"/>
      <c r="UI14" s="180"/>
      <c r="UJ14" s="180"/>
      <c r="UK14" s="180"/>
      <c r="UL14" s="180"/>
      <c r="UM14" s="180"/>
      <c r="UN14" s="180"/>
      <c r="UO14" s="180"/>
      <c r="UP14" s="180"/>
      <c r="UQ14" s="180"/>
      <c r="UR14" s="180"/>
      <c r="US14" s="180"/>
      <c r="UT14" s="180"/>
      <c r="UU14" s="180"/>
      <c r="UV14" s="180"/>
      <c r="UW14" s="180"/>
      <c r="UX14" s="180"/>
      <c r="UY14" s="180"/>
      <c r="UZ14" s="180"/>
      <c r="VA14" s="180"/>
      <c r="VB14" s="180"/>
      <c r="VC14" s="180"/>
      <c r="VD14" s="180"/>
      <c r="VE14" s="180"/>
      <c r="VF14" s="180"/>
      <c r="VG14" s="180"/>
      <c r="VH14" s="180"/>
      <c r="VI14" s="180"/>
      <c r="VJ14" s="180"/>
      <c r="VK14" s="180"/>
      <c r="VL14" s="180"/>
      <c r="VM14" s="180"/>
      <c r="VN14" s="180"/>
      <c r="VO14" s="180"/>
      <c r="VP14" s="180"/>
      <c r="VQ14" s="180"/>
      <c r="VR14" s="180"/>
      <c r="VS14" s="180"/>
      <c r="VT14" s="180"/>
      <c r="VU14" s="180"/>
      <c r="VV14" s="180"/>
      <c r="VW14" s="180"/>
      <c r="VX14" s="180"/>
      <c r="VY14" s="180"/>
      <c r="VZ14" s="180"/>
      <c r="WA14" s="180"/>
      <c r="WB14" s="180"/>
      <c r="WC14" s="180"/>
      <c r="WD14" s="180"/>
      <c r="WE14" s="180"/>
      <c r="WF14" s="180"/>
      <c r="WG14" s="180"/>
      <c r="WH14" s="180"/>
      <c r="WI14" s="180"/>
      <c r="WJ14" s="180"/>
      <c r="WK14" s="180"/>
      <c r="WL14" s="180"/>
      <c r="WM14" s="180"/>
      <c r="WN14" s="180"/>
      <c r="WO14" s="180"/>
      <c r="WP14" s="180"/>
      <c r="WQ14" s="180"/>
      <c r="WR14" s="180"/>
      <c r="WS14" s="180"/>
      <c r="WT14" s="180"/>
      <c r="WU14" s="180"/>
      <c r="WV14" s="180"/>
      <c r="WW14" s="180"/>
      <c r="WX14" s="180"/>
      <c r="WY14" s="180"/>
      <c r="WZ14" s="180"/>
      <c r="XA14" s="180"/>
      <c r="XB14" s="180"/>
      <c r="XC14" s="180"/>
      <c r="XD14" s="180"/>
      <c r="XE14" s="180"/>
      <c r="XF14" s="180"/>
      <c r="XG14" s="180"/>
      <c r="XH14" s="180"/>
      <c r="XI14" s="180"/>
      <c r="XJ14" s="180"/>
      <c r="XK14" s="180"/>
      <c r="XL14" s="180"/>
      <c r="XM14" s="180"/>
      <c r="XN14" s="180"/>
      <c r="XO14" s="180"/>
      <c r="XP14" s="180"/>
      <c r="XQ14" s="180"/>
      <c r="XR14" s="180"/>
      <c r="XS14" s="180"/>
      <c r="XT14" s="180"/>
      <c r="XU14" s="180"/>
      <c r="XV14" s="180"/>
      <c r="XW14" s="180"/>
      <c r="XX14" s="180"/>
      <c r="XY14" s="180"/>
      <c r="XZ14" s="180"/>
      <c r="YA14" s="180"/>
      <c r="YB14" s="180"/>
      <c r="YC14" s="180"/>
      <c r="YD14" s="180"/>
      <c r="YE14" s="180"/>
      <c r="YF14" s="180"/>
      <c r="YG14" s="180"/>
      <c r="YH14" s="180"/>
      <c r="YI14" s="180"/>
      <c r="YJ14" s="180"/>
      <c r="YK14" s="180"/>
      <c r="YL14" s="180"/>
      <c r="YM14" s="180"/>
      <c r="YN14" s="180"/>
      <c r="YO14" s="180"/>
      <c r="YP14" s="180"/>
      <c r="YQ14" s="180"/>
      <c r="YR14" s="180"/>
      <c r="YS14" s="180"/>
      <c r="YT14" s="180"/>
      <c r="YU14" s="180"/>
      <c r="YV14" s="180"/>
      <c r="YW14" s="180"/>
      <c r="YX14" s="180"/>
      <c r="YY14" s="180"/>
      <c r="YZ14" s="180"/>
      <c r="ZA14" s="180"/>
      <c r="ZB14" s="180"/>
      <c r="ZC14" s="180"/>
      <c r="ZD14" s="180"/>
      <c r="ZE14" s="180"/>
      <c r="ZF14" s="180"/>
      <c r="ZG14" s="180"/>
      <c r="ZH14" s="180"/>
      <c r="ZI14" s="180"/>
      <c r="ZJ14" s="180"/>
      <c r="ZK14" s="180"/>
      <c r="ZL14" s="180"/>
      <c r="ZM14" s="180"/>
      <c r="ZN14" s="180"/>
      <c r="ZO14" s="180"/>
      <c r="ZP14" s="180"/>
      <c r="ZQ14" s="180"/>
      <c r="ZR14" s="180"/>
      <c r="ZS14" s="180"/>
      <c r="ZT14" s="180"/>
      <c r="ZU14" s="180"/>
      <c r="ZV14" s="180"/>
      <c r="ZW14" s="180"/>
      <c r="ZX14" s="180"/>
      <c r="ZY14" s="180"/>
      <c r="ZZ14" s="180"/>
      <c r="AAA14" s="180"/>
      <c r="AAB14" s="180"/>
      <c r="AAC14" s="180"/>
      <c r="AAD14" s="180"/>
      <c r="AAE14" s="180"/>
      <c r="AAF14" s="180"/>
      <c r="AAG14" s="180"/>
      <c r="AAH14" s="180"/>
      <c r="AAI14" s="180"/>
      <c r="AAJ14" s="180"/>
      <c r="AAK14" s="180"/>
      <c r="AAL14" s="180"/>
      <c r="AAM14" s="180"/>
      <c r="AAN14" s="180"/>
      <c r="AAO14" s="180"/>
      <c r="AAP14" s="180"/>
      <c r="AAQ14" s="180"/>
      <c r="AAR14" s="180"/>
      <c r="AAS14" s="180"/>
      <c r="AAT14" s="180"/>
      <c r="AAU14" s="180"/>
      <c r="AAV14" s="180"/>
      <c r="AAW14" s="180"/>
      <c r="AAX14" s="180"/>
      <c r="AAY14" s="180"/>
      <c r="AAZ14" s="180"/>
      <c r="ABA14" s="180"/>
      <c r="ABB14" s="180"/>
      <c r="ABC14" s="180"/>
      <c r="ABD14" s="180"/>
      <c r="ABE14" s="180"/>
      <c r="ABF14" s="180"/>
      <c r="ABG14" s="180"/>
      <c r="ABH14" s="180"/>
      <c r="ABI14" s="180"/>
      <c r="ABJ14" s="180"/>
      <c r="ABK14" s="180"/>
      <c r="ABL14" s="180"/>
      <c r="ABM14" s="180"/>
      <c r="ABN14" s="180"/>
      <c r="ABO14" s="180"/>
      <c r="ABP14" s="180"/>
      <c r="ABQ14" s="180"/>
      <c r="ABR14" s="180"/>
      <c r="ABS14" s="180"/>
      <c r="ABT14" s="180"/>
      <c r="ABU14" s="180"/>
      <c r="ABV14" s="180"/>
      <c r="ABW14" s="180"/>
      <c r="ABX14" s="180"/>
      <c r="ABY14" s="180"/>
      <c r="ABZ14" s="180"/>
      <c r="ACA14" s="180"/>
      <c r="ACB14" s="180"/>
      <c r="ACC14" s="180"/>
      <c r="ACD14" s="180"/>
      <c r="ACE14" s="180"/>
      <c r="ACF14" s="180"/>
      <c r="ACG14" s="180"/>
      <c r="ACH14" s="180"/>
      <c r="ACI14" s="180"/>
      <c r="ACJ14" s="180"/>
      <c r="ACK14" s="180"/>
      <c r="ACL14" s="180"/>
      <c r="ACM14" s="180"/>
      <c r="ACN14" s="180"/>
      <c r="ACO14" s="180"/>
      <c r="ACP14" s="180"/>
      <c r="ACQ14" s="180"/>
      <c r="ACR14" s="180"/>
      <c r="ACS14" s="180"/>
      <c r="ACT14" s="180"/>
      <c r="ACU14" s="180"/>
      <c r="ACV14" s="180"/>
      <c r="ACW14" s="180"/>
      <c r="ACX14" s="180"/>
      <c r="ACY14" s="180"/>
      <c r="ACZ14" s="180"/>
      <c r="ADA14" s="180"/>
      <c r="ADB14" s="180"/>
      <c r="ADC14" s="180"/>
      <c r="ADD14" s="180"/>
      <c r="ADE14" s="180"/>
      <c r="ADF14" s="180"/>
      <c r="ADG14" s="180"/>
      <c r="ADH14" s="180"/>
      <c r="ADI14" s="180"/>
      <c r="ADJ14" s="180"/>
      <c r="ADK14" s="180"/>
      <c r="ADL14" s="180"/>
      <c r="ADM14" s="180"/>
      <c r="ADN14" s="180"/>
      <c r="ADO14" s="180"/>
      <c r="ADP14" s="180"/>
      <c r="ADQ14" s="180"/>
      <c r="ADR14" s="180"/>
      <c r="ADS14" s="180"/>
      <c r="ADT14" s="180"/>
      <c r="ADU14" s="180"/>
      <c r="ADV14" s="180"/>
      <c r="ADW14" s="180"/>
      <c r="ADX14" s="180"/>
      <c r="ADY14" s="180"/>
      <c r="ADZ14" s="180"/>
      <c r="AEA14" s="180"/>
      <c r="AEB14" s="180"/>
      <c r="AEC14" s="180"/>
      <c r="AED14" s="180"/>
      <c r="AEE14" s="180"/>
      <c r="AEF14" s="180"/>
      <c r="AEG14" s="180"/>
      <c r="AEH14" s="180"/>
      <c r="AEI14" s="180"/>
      <c r="AEJ14" s="180"/>
      <c r="AEK14" s="180"/>
      <c r="AEL14" s="180"/>
      <c r="AEM14" s="180"/>
      <c r="AEN14" s="180"/>
      <c r="AEO14" s="180"/>
      <c r="AEP14" s="180"/>
      <c r="AEQ14" s="180"/>
      <c r="AER14" s="180"/>
      <c r="AES14" s="180"/>
      <c r="AET14" s="180"/>
      <c r="AEU14" s="180"/>
      <c r="AEV14" s="180"/>
      <c r="AEW14" s="180"/>
      <c r="AEX14" s="180"/>
      <c r="AEY14" s="180"/>
      <c r="AEZ14" s="180"/>
      <c r="AFA14" s="180"/>
      <c r="AFB14" s="180"/>
      <c r="AFC14" s="180"/>
      <c r="AFD14" s="180"/>
      <c r="AFE14" s="180"/>
      <c r="AFF14" s="180"/>
      <c r="AFG14" s="180"/>
      <c r="AFH14" s="180"/>
      <c r="AFI14" s="180"/>
      <c r="AFJ14" s="180"/>
      <c r="AFK14" s="180"/>
      <c r="AFL14" s="180"/>
      <c r="AFM14" s="180"/>
      <c r="AFN14" s="180"/>
      <c r="AFO14" s="180"/>
      <c r="AFP14" s="180"/>
      <c r="AFQ14" s="180"/>
      <c r="AFR14" s="180"/>
      <c r="AFS14" s="180"/>
      <c r="AFT14" s="180"/>
      <c r="AFU14" s="180"/>
      <c r="AFV14" s="180"/>
      <c r="AFW14" s="180"/>
      <c r="AFX14" s="180"/>
      <c r="AFY14" s="180"/>
      <c r="AFZ14" s="180"/>
      <c r="AGA14" s="180"/>
      <c r="AGB14" s="180"/>
      <c r="AGC14" s="180"/>
      <c r="AGD14" s="180"/>
      <c r="AGE14" s="180"/>
      <c r="AGF14" s="180"/>
      <c r="AGG14" s="180"/>
      <c r="AGH14" s="180"/>
      <c r="AGI14" s="180"/>
      <c r="AGJ14" s="180"/>
      <c r="AGK14" s="180"/>
      <c r="AGL14" s="180"/>
      <c r="AGM14" s="180"/>
      <c r="AGN14" s="180"/>
      <c r="AGO14" s="180"/>
      <c r="AGP14" s="180"/>
      <c r="AGQ14" s="180"/>
      <c r="AGR14" s="180"/>
      <c r="AGS14" s="180"/>
      <c r="AGT14" s="180"/>
      <c r="AGU14" s="180"/>
      <c r="AGV14" s="180"/>
      <c r="AGW14" s="180"/>
      <c r="AGX14" s="180"/>
      <c r="AGY14" s="180"/>
      <c r="AGZ14" s="180"/>
      <c r="AHA14" s="180"/>
      <c r="AHB14" s="180"/>
      <c r="AHC14" s="180"/>
      <c r="AHD14" s="180"/>
      <c r="AHE14" s="180"/>
      <c r="AHF14" s="180"/>
      <c r="AHG14" s="180"/>
      <c r="AHH14" s="180"/>
      <c r="AHI14" s="180"/>
      <c r="AHJ14" s="180"/>
      <c r="AHK14" s="180"/>
      <c r="AHL14" s="180"/>
      <c r="AHM14" s="180"/>
      <c r="AHN14" s="180"/>
      <c r="AHO14" s="180"/>
      <c r="AHP14" s="180"/>
      <c r="AHQ14" s="180"/>
      <c r="AHR14" s="180"/>
      <c r="AHS14" s="180"/>
      <c r="AHT14" s="180"/>
      <c r="AHU14" s="180"/>
      <c r="AHV14" s="180"/>
      <c r="AHW14" s="180"/>
      <c r="AHX14" s="180"/>
      <c r="AHY14" s="180"/>
      <c r="AHZ14" s="180"/>
      <c r="AIA14" s="180"/>
      <c r="AIB14" s="180"/>
      <c r="AIC14" s="180"/>
      <c r="AID14" s="180"/>
      <c r="AIE14" s="180"/>
      <c r="AIF14" s="180"/>
      <c r="AIG14" s="180"/>
      <c r="AIH14" s="180"/>
      <c r="AII14" s="180"/>
      <c r="AIJ14" s="180"/>
      <c r="AIK14" s="180"/>
      <c r="AIL14" s="180"/>
      <c r="AIM14" s="180"/>
      <c r="AIN14" s="180"/>
      <c r="AIO14" s="180"/>
      <c r="AIP14" s="180"/>
      <c r="AIQ14" s="180"/>
      <c r="AIR14" s="180"/>
      <c r="AIS14" s="180"/>
      <c r="AIT14" s="180"/>
      <c r="AIU14" s="180"/>
      <c r="AIV14" s="180"/>
      <c r="AIW14" s="180"/>
      <c r="AIX14" s="180"/>
      <c r="AIY14" s="180"/>
      <c r="AIZ14" s="180"/>
      <c r="AJA14" s="180"/>
      <c r="AJB14" s="180"/>
      <c r="AJC14" s="180"/>
      <c r="AJD14" s="180"/>
      <c r="AJE14" s="180"/>
      <c r="AJF14" s="180"/>
      <c r="AJG14" s="180"/>
      <c r="AJH14" s="180"/>
      <c r="AJI14" s="180"/>
      <c r="AJJ14" s="180"/>
      <c r="AJK14" s="180"/>
      <c r="AJL14" s="180"/>
      <c r="AJM14" s="180"/>
      <c r="AJN14" s="180"/>
      <c r="AJO14" s="180"/>
      <c r="AJP14" s="180"/>
      <c r="AJQ14" s="180"/>
      <c r="AJR14" s="180"/>
      <c r="AJS14" s="180"/>
      <c r="AJT14" s="180"/>
      <c r="AJU14" s="180"/>
      <c r="AJV14" s="180"/>
      <c r="AJW14" s="180"/>
      <c r="AJX14" s="180"/>
      <c r="AJY14" s="180"/>
      <c r="AJZ14" s="180"/>
      <c r="AKA14" s="180"/>
      <c r="AKB14" s="180"/>
      <c r="AKC14" s="180"/>
      <c r="AKD14" s="180"/>
      <c r="AKE14" s="180"/>
      <c r="AKF14" s="180"/>
      <c r="AKG14" s="180"/>
      <c r="AKH14" s="180"/>
      <c r="AKI14" s="180"/>
      <c r="AKJ14" s="180"/>
      <c r="AKK14" s="180"/>
      <c r="AKL14" s="180"/>
      <c r="AKM14" s="180"/>
      <c r="AKN14" s="180"/>
      <c r="AKO14" s="180"/>
      <c r="AKP14" s="180"/>
      <c r="AKQ14" s="180"/>
      <c r="AKR14" s="180"/>
      <c r="AKS14" s="180"/>
      <c r="AKT14" s="180"/>
      <c r="AKU14" s="180"/>
      <c r="AKV14" s="180"/>
      <c r="AKW14" s="180"/>
      <c r="AKX14" s="180"/>
      <c r="AKY14" s="180"/>
      <c r="AKZ14" s="180"/>
      <c r="ALA14" s="180"/>
      <c r="ALB14" s="180"/>
      <c r="ALC14" s="180"/>
      <c r="ALD14" s="180"/>
      <c r="ALE14" s="180"/>
      <c r="ALF14" s="180"/>
      <c r="ALG14" s="180"/>
      <c r="ALH14" s="180"/>
      <c r="ALI14" s="180"/>
      <c r="ALJ14" s="180"/>
      <c r="ALK14" s="180"/>
      <c r="ALL14" s="180"/>
      <c r="ALM14" s="180"/>
      <c r="ALN14" s="180"/>
      <c r="ALO14" s="180"/>
      <c r="ALP14" s="180"/>
      <c r="ALQ14" s="180"/>
      <c r="ALR14" s="180"/>
      <c r="ALS14" s="180"/>
      <c r="ALT14" s="180"/>
      <c r="ALU14" s="180"/>
      <c r="ALV14" s="180"/>
      <c r="ALW14" s="180"/>
      <c r="ALX14" s="180"/>
      <c r="ALY14" s="180"/>
      <c r="ALZ14" s="180"/>
      <c r="AMA14" s="279"/>
      <c r="AMB14" s="279"/>
      <c r="AMC14" s="279"/>
      <c r="AMD14" s="279"/>
      <c r="AME14" s="279"/>
      <c r="AMF14" s="279"/>
      <c r="AMG14" s="279"/>
      <c r="AMH14" s="279"/>
      <c r="AMI14" s="280"/>
    </row>
    <row r="15" spans="1:1023" s="259" customFormat="1" x14ac:dyDescent="0.25">
      <c r="A15" s="281"/>
      <c r="B15" s="180"/>
      <c r="C15" s="180"/>
      <c r="D15" s="180"/>
      <c r="E15" s="506"/>
      <c r="F15" s="506"/>
      <c r="G15" s="506"/>
      <c r="H15" s="276"/>
      <c r="I15" s="275"/>
      <c r="J15" s="275"/>
      <c r="K15" s="275"/>
      <c r="L15" s="279"/>
      <c r="M15" s="275"/>
      <c r="N15" s="180"/>
      <c r="O15" s="180"/>
      <c r="P15" s="180"/>
      <c r="Q15" s="180"/>
      <c r="R15" s="180"/>
      <c r="S15" s="180"/>
      <c r="T15" s="180"/>
      <c r="U15" s="180"/>
      <c r="V15" s="180"/>
      <c r="W15" s="180"/>
      <c r="X15" s="180"/>
      <c r="Y15" s="180"/>
      <c r="Z15" s="180"/>
      <c r="AA15" s="180"/>
      <c r="AB15" s="180"/>
      <c r="AC15" s="180"/>
      <c r="AD15" s="180"/>
      <c r="AE15" s="180"/>
      <c r="AF15" s="180"/>
      <c r="AG15" s="180"/>
      <c r="AH15" s="180"/>
      <c r="AI15" s="180"/>
      <c r="AJ15" s="180"/>
      <c r="AK15" s="180"/>
      <c r="AL15" s="180"/>
      <c r="AM15" s="180"/>
      <c r="AN15" s="180"/>
      <c r="AO15" s="180"/>
      <c r="AP15" s="180"/>
      <c r="AQ15" s="180"/>
      <c r="AR15" s="180"/>
      <c r="AS15" s="180"/>
      <c r="AT15" s="180"/>
      <c r="AU15" s="180"/>
      <c r="AV15" s="180"/>
      <c r="AW15" s="180"/>
      <c r="AX15" s="180"/>
      <c r="AY15" s="180"/>
      <c r="AZ15" s="180"/>
      <c r="BA15" s="180"/>
      <c r="BB15" s="180"/>
      <c r="BC15" s="180"/>
      <c r="BD15" s="180"/>
      <c r="BE15" s="180"/>
      <c r="BF15" s="180"/>
      <c r="BG15" s="180"/>
      <c r="BH15" s="180"/>
      <c r="BI15" s="180"/>
      <c r="BJ15" s="180"/>
      <c r="BK15" s="180"/>
      <c r="BL15" s="180"/>
      <c r="BM15" s="180"/>
      <c r="BN15" s="180"/>
      <c r="BO15" s="180"/>
      <c r="BP15" s="180"/>
      <c r="BQ15" s="180"/>
      <c r="BR15" s="180"/>
      <c r="BS15" s="180"/>
      <c r="BT15" s="180"/>
      <c r="BU15" s="180"/>
      <c r="BV15" s="180"/>
      <c r="BW15" s="180"/>
      <c r="BX15" s="180"/>
      <c r="BY15" s="180"/>
      <c r="BZ15" s="180"/>
      <c r="CA15" s="180"/>
      <c r="CB15" s="180"/>
      <c r="CC15" s="180"/>
      <c r="CD15" s="180"/>
      <c r="CE15" s="180"/>
      <c r="CF15" s="180"/>
      <c r="CG15" s="180"/>
      <c r="CH15" s="180"/>
      <c r="CI15" s="180"/>
      <c r="CJ15" s="180"/>
      <c r="CK15" s="180"/>
      <c r="CL15" s="180"/>
      <c r="CM15" s="180"/>
      <c r="CN15" s="180"/>
      <c r="CO15" s="180"/>
      <c r="CP15" s="180"/>
      <c r="CQ15" s="180"/>
      <c r="CR15" s="180"/>
      <c r="CS15" s="180"/>
      <c r="CT15" s="180"/>
      <c r="CU15" s="180"/>
      <c r="CV15" s="180"/>
      <c r="CW15" s="180"/>
      <c r="CX15" s="180"/>
      <c r="CY15" s="180"/>
      <c r="CZ15" s="180"/>
      <c r="DA15" s="180"/>
      <c r="DB15" s="180"/>
      <c r="DC15" s="180"/>
      <c r="DD15" s="180"/>
      <c r="DE15" s="180"/>
      <c r="DF15" s="180"/>
      <c r="DG15" s="180"/>
      <c r="DH15" s="180"/>
      <c r="DI15" s="180"/>
      <c r="DJ15" s="180"/>
      <c r="DK15" s="180"/>
      <c r="DL15" s="180"/>
      <c r="DM15" s="180"/>
      <c r="DN15" s="180"/>
      <c r="DO15" s="180"/>
      <c r="DP15" s="180"/>
      <c r="DQ15" s="180"/>
      <c r="DR15" s="180"/>
      <c r="DS15" s="180"/>
      <c r="DT15" s="180"/>
      <c r="DU15" s="180"/>
      <c r="DV15" s="180"/>
      <c r="DW15" s="180"/>
      <c r="DX15" s="180"/>
      <c r="DY15" s="180"/>
      <c r="DZ15" s="180"/>
      <c r="EA15" s="180"/>
      <c r="EB15" s="180"/>
      <c r="EC15" s="180"/>
      <c r="ED15" s="180"/>
      <c r="EE15" s="180"/>
      <c r="EF15" s="180"/>
      <c r="EG15" s="180"/>
      <c r="EH15" s="180"/>
      <c r="EI15" s="180"/>
      <c r="EJ15" s="180"/>
      <c r="EK15" s="180"/>
      <c r="EL15" s="180"/>
      <c r="EM15" s="180"/>
      <c r="EN15" s="180"/>
      <c r="EO15" s="180"/>
      <c r="EP15" s="180"/>
      <c r="EQ15" s="180"/>
      <c r="ER15" s="180"/>
      <c r="ES15" s="180"/>
      <c r="ET15" s="180"/>
      <c r="EU15" s="180"/>
      <c r="EV15" s="180"/>
      <c r="EW15" s="180"/>
      <c r="EX15" s="180"/>
      <c r="EY15" s="180"/>
      <c r="EZ15" s="180"/>
      <c r="FA15" s="180"/>
      <c r="FB15" s="180"/>
      <c r="FC15" s="180"/>
      <c r="FD15" s="180"/>
      <c r="FE15" s="180"/>
      <c r="FF15" s="180"/>
      <c r="FG15" s="180"/>
      <c r="FH15" s="180"/>
      <c r="FI15" s="180"/>
      <c r="FJ15" s="180"/>
      <c r="FK15" s="180"/>
      <c r="FL15" s="180"/>
      <c r="FM15" s="180"/>
      <c r="FN15" s="180"/>
      <c r="FO15" s="180"/>
      <c r="FP15" s="180"/>
      <c r="FQ15" s="180"/>
      <c r="FR15" s="180"/>
      <c r="FS15" s="180"/>
      <c r="FT15" s="180"/>
      <c r="FU15" s="180"/>
      <c r="FV15" s="180"/>
      <c r="FW15" s="180"/>
      <c r="FX15" s="180"/>
      <c r="FY15" s="180"/>
      <c r="FZ15" s="180"/>
      <c r="GA15" s="180"/>
      <c r="GB15" s="180"/>
      <c r="GC15" s="180"/>
      <c r="GD15" s="180"/>
      <c r="GE15" s="180"/>
      <c r="GF15" s="180"/>
      <c r="GG15" s="180"/>
      <c r="GH15" s="180"/>
      <c r="GI15" s="180"/>
      <c r="GJ15" s="180"/>
      <c r="GK15" s="180"/>
      <c r="GL15" s="180"/>
      <c r="GM15" s="180"/>
      <c r="GN15" s="180"/>
      <c r="GO15" s="180"/>
      <c r="GP15" s="180"/>
      <c r="GQ15" s="180"/>
      <c r="GR15" s="180"/>
      <c r="GS15" s="180"/>
      <c r="GT15" s="180"/>
      <c r="GU15" s="180"/>
      <c r="GV15" s="180"/>
      <c r="GW15" s="180"/>
      <c r="GX15" s="180"/>
      <c r="GY15" s="180"/>
      <c r="GZ15" s="180"/>
      <c r="HA15" s="180"/>
      <c r="HB15" s="180"/>
      <c r="HC15" s="180"/>
      <c r="HD15" s="180"/>
      <c r="HE15" s="180"/>
      <c r="HF15" s="180"/>
      <c r="HG15" s="180"/>
      <c r="HH15" s="180"/>
      <c r="HI15" s="180"/>
      <c r="HJ15" s="180"/>
      <c r="HK15" s="180"/>
      <c r="HL15" s="180"/>
      <c r="HM15" s="180"/>
      <c r="HN15" s="180"/>
      <c r="HO15" s="180"/>
      <c r="HP15" s="180"/>
      <c r="HQ15" s="180"/>
      <c r="HR15" s="180"/>
      <c r="HS15" s="180"/>
      <c r="HT15" s="180"/>
      <c r="HU15" s="180"/>
      <c r="HV15" s="180"/>
      <c r="HW15" s="180"/>
      <c r="HX15" s="180"/>
      <c r="HY15" s="180"/>
      <c r="HZ15" s="180"/>
      <c r="IA15" s="180"/>
      <c r="IB15" s="180"/>
      <c r="IC15" s="180"/>
      <c r="ID15" s="180"/>
      <c r="IE15" s="180"/>
      <c r="IF15" s="180"/>
      <c r="IG15" s="180"/>
      <c r="IH15" s="180"/>
      <c r="II15" s="180"/>
      <c r="IJ15" s="180"/>
      <c r="IK15" s="180"/>
      <c r="IL15" s="180"/>
      <c r="IM15" s="180"/>
      <c r="IN15" s="180"/>
      <c r="IO15" s="180"/>
      <c r="IP15" s="180"/>
      <c r="IQ15" s="180"/>
      <c r="IR15" s="180"/>
      <c r="IS15" s="180"/>
      <c r="IT15" s="180"/>
      <c r="IU15" s="180"/>
      <c r="IV15" s="180"/>
      <c r="IW15" s="180"/>
      <c r="IX15" s="180"/>
      <c r="IY15" s="180"/>
      <c r="IZ15" s="180"/>
      <c r="JA15" s="180"/>
      <c r="JB15" s="180"/>
      <c r="JC15" s="180"/>
      <c r="JD15" s="180"/>
      <c r="JE15" s="180"/>
      <c r="JF15" s="180"/>
      <c r="JG15" s="180"/>
      <c r="JH15" s="180"/>
      <c r="JI15" s="180"/>
      <c r="JJ15" s="180"/>
      <c r="JK15" s="180"/>
      <c r="JL15" s="180"/>
      <c r="JM15" s="180"/>
      <c r="JN15" s="180"/>
      <c r="JO15" s="180"/>
      <c r="JP15" s="180"/>
      <c r="JQ15" s="180"/>
      <c r="JR15" s="180"/>
      <c r="JS15" s="180"/>
      <c r="JT15" s="180"/>
      <c r="JU15" s="180"/>
      <c r="JV15" s="180"/>
      <c r="JW15" s="180"/>
      <c r="JX15" s="180"/>
      <c r="JY15" s="180"/>
      <c r="JZ15" s="180"/>
      <c r="KA15" s="180"/>
      <c r="KB15" s="180"/>
      <c r="KC15" s="180"/>
      <c r="KD15" s="180"/>
      <c r="KE15" s="180"/>
      <c r="KF15" s="180"/>
      <c r="KG15" s="180"/>
      <c r="KH15" s="180"/>
      <c r="KI15" s="180"/>
      <c r="KJ15" s="180"/>
      <c r="KK15" s="180"/>
      <c r="KL15" s="180"/>
      <c r="KM15" s="180"/>
      <c r="KN15" s="180"/>
      <c r="KO15" s="180"/>
      <c r="KP15" s="180"/>
      <c r="KQ15" s="180"/>
      <c r="KR15" s="180"/>
      <c r="KS15" s="180"/>
      <c r="KT15" s="180"/>
      <c r="KU15" s="180"/>
      <c r="KV15" s="180"/>
      <c r="KW15" s="180"/>
      <c r="KX15" s="180"/>
      <c r="KY15" s="180"/>
      <c r="KZ15" s="180"/>
      <c r="LA15" s="180"/>
      <c r="LB15" s="180"/>
      <c r="LC15" s="180"/>
      <c r="LD15" s="180"/>
      <c r="LE15" s="180"/>
      <c r="LF15" s="180"/>
      <c r="LG15" s="180"/>
      <c r="LH15" s="180"/>
      <c r="LI15" s="180"/>
      <c r="LJ15" s="180"/>
      <c r="LK15" s="180"/>
      <c r="LL15" s="180"/>
      <c r="LM15" s="180"/>
      <c r="LN15" s="180"/>
      <c r="LO15" s="180"/>
      <c r="LP15" s="180"/>
      <c r="LQ15" s="180"/>
      <c r="LR15" s="180"/>
      <c r="LS15" s="180"/>
      <c r="LT15" s="180"/>
      <c r="LU15" s="180"/>
      <c r="LV15" s="180"/>
      <c r="LW15" s="180"/>
      <c r="LX15" s="180"/>
      <c r="LY15" s="180"/>
      <c r="LZ15" s="180"/>
      <c r="MA15" s="180"/>
      <c r="MB15" s="180"/>
      <c r="MC15" s="180"/>
      <c r="MD15" s="180"/>
      <c r="ME15" s="180"/>
      <c r="MF15" s="180"/>
      <c r="MG15" s="180"/>
      <c r="MH15" s="180"/>
      <c r="MI15" s="180"/>
      <c r="MJ15" s="180"/>
      <c r="MK15" s="180"/>
      <c r="ML15" s="180"/>
      <c r="MM15" s="180"/>
      <c r="MN15" s="180"/>
      <c r="MO15" s="180"/>
      <c r="MP15" s="180"/>
      <c r="MQ15" s="180"/>
      <c r="MR15" s="180"/>
      <c r="MS15" s="180"/>
      <c r="MT15" s="180"/>
      <c r="MU15" s="180"/>
      <c r="MV15" s="180"/>
      <c r="MW15" s="180"/>
      <c r="MX15" s="180"/>
      <c r="MY15" s="180"/>
      <c r="MZ15" s="180"/>
      <c r="NA15" s="180"/>
      <c r="NB15" s="180"/>
      <c r="NC15" s="180"/>
      <c r="ND15" s="180"/>
      <c r="NE15" s="180"/>
      <c r="NF15" s="180"/>
      <c r="NG15" s="180"/>
      <c r="NH15" s="180"/>
      <c r="NI15" s="180"/>
      <c r="NJ15" s="180"/>
      <c r="NK15" s="180"/>
      <c r="NL15" s="180"/>
      <c r="NM15" s="180"/>
      <c r="NN15" s="180"/>
      <c r="NO15" s="180"/>
      <c r="NP15" s="180"/>
      <c r="NQ15" s="180"/>
      <c r="NR15" s="180"/>
      <c r="NS15" s="180"/>
      <c r="NT15" s="180"/>
      <c r="NU15" s="180"/>
      <c r="NV15" s="180"/>
      <c r="NW15" s="180"/>
      <c r="NX15" s="180"/>
      <c r="NY15" s="180"/>
      <c r="NZ15" s="180"/>
      <c r="OA15" s="180"/>
      <c r="OB15" s="180"/>
      <c r="OC15" s="180"/>
      <c r="OD15" s="180"/>
      <c r="OE15" s="180"/>
      <c r="OF15" s="180"/>
      <c r="OG15" s="180"/>
      <c r="OH15" s="180"/>
      <c r="OI15" s="180"/>
      <c r="OJ15" s="180"/>
      <c r="OK15" s="180"/>
      <c r="OL15" s="180"/>
      <c r="OM15" s="180"/>
      <c r="ON15" s="180"/>
      <c r="OO15" s="180"/>
      <c r="OP15" s="180"/>
      <c r="OQ15" s="180"/>
      <c r="OR15" s="180"/>
      <c r="OS15" s="180"/>
      <c r="OT15" s="180"/>
      <c r="OU15" s="180"/>
      <c r="OV15" s="180"/>
      <c r="OW15" s="180"/>
      <c r="OX15" s="180"/>
      <c r="OY15" s="180"/>
      <c r="OZ15" s="180"/>
      <c r="PA15" s="180"/>
      <c r="PB15" s="180"/>
      <c r="PC15" s="180"/>
      <c r="PD15" s="180"/>
      <c r="PE15" s="180"/>
      <c r="PF15" s="180"/>
      <c r="PG15" s="180"/>
      <c r="PH15" s="180"/>
      <c r="PI15" s="180"/>
      <c r="PJ15" s="180"/>
      <c r="PK15" s="180"/>
      <c r="PL15" s="180"/>
      <c r="PM15" s="180"/>
      <c r="PN15" s="180"/>
      <c r="PO15" s="180"/>
      <c r="PP15" s="180"/>
      <c r="PQ15" s="180"/>
      <c r="PR15" s="180"/>
      <c r="PS15" s="180"/>
      <c r="PT15" s="180"/>
      <c r="PU15" s="180"/>
      <c r="PV15" s="180"/>
      <c r="PW15" s="180"/>
      <c r="PX15" s="180"/>
      <c r="PY15" s="180"/>
      <c r="PZ15" s="180"/>
      <c r="QA15" s="180"/>
      <c r="QB15" s="180"/>
      <c r="QC15" s="180"/>
      <c r="QD15" s="180"/>
      <c r="QE15" s="180"/>
      <c r="QF15" s="180"/>
      <c r="QG15" s="180"/>
      <c r="QH15" s="180"/>
      <c r="QI15" s="180"/>
      <c r="QJ15" s="180"/>
      <c r="QK15" s="180"/>
      <c r="QL15" s="180"/>
      <c r="QM15" s="180"/>
      <c r="QN15" s="180"/>
      <c r="QO15" s="180"/>
      <c r="QP15" s="180"/>
      <c r="QQ15" s="180"/>
      <c r="QR15" s="180"/>
      <c r="QS15" s="180"/>
      <c r="QT15" s="180"/>
      <c r="QU15" s="180"/>
      <c r="QV15" s="180"/>
      <c r="QW15" s="180"/>
      <c r="QX15" s="180"/>
      <c r="QY15" s="180"/>
      <c r="QZ15" s="180"/>
      <c r="RA15" s="180"/>
      <c r="RB15" s="180"/>
      <c r="RC15" s="180"/>
      <c r="RD15" s="180"/>
      <c r="RE15" s="180"/>
      <c r="RF15" s="180"/>
      <c r="RG15" s="180"/>
      <c r="RH15" s="180"/>
      <c r="RI15" s="180"/>
      <c r="RJ15" s="180"/>
      <c r="RK15" s="180"/>
      <c r="RL15" s="180"/>
      <c r="RM15" s="180"/>
      <c r="RN15" s="180"/>
      <c r="RO15" s="180"/>
      <c r="RP15" s="180"/>
      <c r="RQ15" s="180"/>
      <c r="RR15" s="180"/>
      <c r="RS15" s="180"/>
      <c r="RT15" s="180"/>
      <c r="RU15" s="180"/>
      <c r="RV15" s="180"/>
      <c r="RW15" s="180"/>
      <c r="RX15" s="180"/>
      <c r="RY15" s="180"/>
      <c r="RZ15" s="180"/>
      <c r="SA15" s="180"/>
      <c r="SB15" s="180"/>
      <c r="SC15" s="180"/>
      <c r="SD15" s="180"/>
      <c r="SE15" s="180"/>
      <c r="SF15" s="180"/>
      <c r="SG15" s="180"/>
      <c r="SH15" s="180"/>
      <c r="SI15" s="180"/>
      <c r="SJ15" s="180"/>
      <c r="SK15" s="180"/>
      <c r="SL15" s="180"/>
      <c r="SM15" s="180"/>
      <c r="SN15" s="180"/>
      <c r="SO15" s="180"/>
      <c r="SP15" s="180"/>
      <c r="SQ15" s="180"/>
      <c r="SR15" s="180"/>
      <c r="SS15" s="180"/>
      <c r="ST15" s="180"/>
      <c r="SU15" s="180"/>
      <c r="SV15" s="180"/>
      <c r="SW15" s="180"/>
      <c r="SX15" s="180"/>
      <c r="SY15" s="180"/>
      <c r="SZ15" s="180"/>
      <c r="TA15" s="180"/>
      <c r="TB15" s="180"/>
      <c r="TC15" s="180"/>
      <c r="TD15" s="180"/>
      <c r="TE15" s="180"/>
      <c r="TF15" s="180"/>
      <c r="TG15" s="180"/>
      <c r="TH15" s="180"/>
      <c r="TI15" s="180"/>
      <c r="TJ15" s="180"/>
      <c r="TK15" s="180"/>
      <c r="TL15" s="180"/>
      <c r="TM15" s="180"/>
      <c r="TN15" s="180"/>
      <c r="TO15" s="180"/>
      <c r="TP15" s="180"/>
      <c r="TQ15" s="180"/>
      <c r="TR15" s="180"/>
      <c r="TS15" s="180"/>
      <c r="TT15" s="180"/>
      <c r="TU15" s="180"/>
      <c r="TV15" s="180"/>
      <c r="TW15" s="180"/>
      <c r="TX15" s="180"/>
      <c r="TY15" s="180"/>
      <c r="TZ15" s="180"/>
      <c r="UA15" s="180"/>
      <c r="UB15" s="180"/>
      <c r="UC15" s="180"/>
      <c r="UD15" s="180"/>
      <c r="UE15" s="180"/>
      <c r="UF15" s="180"/>
      <c r="UG15" s="180"/>
      <c r="UH15" s="180"/>
      <c r="UI15" s="180"/>
      <c r="UJ15" s="180"/>
      <c r="UK15" s="180"/>
      <c r="UL15" s="180"/>
      <c r="UM15" s="180"/>
      <c r="UN15" s="180"/>
      <c r="UO15" s="180"/>
      <c r="UP15" s="180"/>
      <c r="UQ15" s="180"/>
      <c r="UR15" s="180"/>
      <c r="US15" s="180"/>
      <c r="UT15" s="180"/>
      <c r="UU15" s="180"/>
      <c r="UV15" s="180"/>
      <c r="UW15" s="180"/>
      <c r="UX15" s="180"/>
      <c r="UY15" s="180"/>
      <c r="UZ15" s="180"/>
      <c r="VA15" s="180"/>
      <c r="VB15" s="180"/>
      <c r="VC15" s="180"/>
      <c r="VD15" s="180"/>
      <c r="VE15" s="180"/>
      <c r="VF15" s="180"/>
      <c r="VG15" s="180"/>
      <c r="VH15" s="180"/>
      <c r="VI15" s="180"/>
      <c r="VJ15" s="180"/>
      <c r="VK15" s="180"/>
      <c r="VL15" s="180"/>
      <c r="VM15" s="180"/>
      <c r="VN15" s="180"/>
      <c r="VO15" s="180"/>
      <c r="VP15" s="180"/>
      <c r="VQ15" s="180"/>
      <c r="VR15" s="180"/>
      <c r="VS15" s="180"/>
      <c r="VT15" s="180"/>
      <c r="VU15" s="180"/>
      <c r="VV15" s="180"/>
      <c r="VW15" s="180"/>
      <c r="VX15" s="180"/>
      <c r="VY15" s="180"/>
      <c r="VZ15" s="180"/>
      <c r="WA15" s="180"/>
      <c r="WB15" s="180"/>
      <c r="WC15" s="180"/>
      <c r="WD15" s="180"/>
      <c r="WE15" s="180"/>
      <c r="WF15" s="180"/>
      <c r="WG15" s="180"/>
      <c r="WH15" s="180"/>
      <c r="WI15" s="180"/>
      <c r="WJ15" s="180"/>
      <c r="WK15" s="180"/>
      <c r="WL15" s="180"/>
      <c r="WM15" s="180"/>
      <c r="WN15" s="180"/>
      <c r="WO15" s="180"/>
      <c r="WP15" s="180"/>
      <c r="WQ15" s="180"/>
      <c r="WR15" s="180"/>
      <c r="WS15" s="180"/>
      <c r="WT15" s="180"/>
      <c r="WU15" s="180"/>
      <c r="WV15" s="180"/>
      <c r="WW15" s="180"/>
      <c r="WX15" s="180"/>
      <c r="WY15" s="180"/>
      <c r="WZ15" s="180"/>
      <c r="XA15" s="180"/>
      <c r="XB15" s="180"/>
      <c r="XC15" s="180"/>
      <c r="XD15" s="180"/>
      <c r="XE15" s="180"/>
      <c r="XF15" s="180"/>
      <c r="XG15" s="180"/>
      <c r="XH15" s="180"/>
      <c r="XI15" s="180"/>
      <c r="XJ15" s="180"/>
      <c r="XK15" s="180"/>
      <c r="XL15" s="180"/>
      <c r="XM15" s="180"/>
      <c r="XN15" s="180"/>
      <c r="XO15" s="180"/>
      <c r="XP15" s="180"/>
      <c r="XQ15" s="180"/>
      <c r="XR15" s="180"/>
      <c r="XS15" s="180"/>
      <c r="XT15" s="180"/>
      <c r="XU15" s="180"/>
      <c r="XV15" s="180"/>
      <c r="XW15" s="180"/>
      <c r="XX15" s="180"/>
      <c r="XY15" s="180"/>
      <c r="XZ15" s="180"/>
      <c r="YA15" s="180"/>
      <c r="YB15" s="180"/>
      <c r="YC15" s="180"/>
      <c r="YD15" s="180"/>
      <c r="YE15" s="180"/>
      <c r="YF15" s="180"/>
      <c r="YG15" s="180"/>
      <c r="YH15" s="180"/>
      <c r="YI15" s="180"/>
      <c r="YJ15" s="180"/>
      <c r="YK15" s="180"/>
      <c r="YL15" s="180"/>
      <c r="YM15" s="180"/>
      <c r="YN15" s="180"/>
      <c r="YO15" s="180"/>
      <c r="YP15" s="180"/>
      <c r="YQ15" s="180"/>
      <c r="YR15" s="180"/>
      <c r="YS15" s="180"/>
      <c r="YT15" s="180"/>
      <c r="YU15" s="180"/>
      <c r="YV15" s="180"/>
      <c r="YW15" s="180"/>
      <c r="YX15" s="180"/>
      <c r="YY15" s="180"/>
      <c r="YZ15" s="180"/>
      <c r="ZA15" s="180"/>
      <c r="ZB15" s="180"/>
      <c r="ZC15" s="180"/>
      <c r="ZD15" s="180"/>
      <c r="ZE15" s="180"/>
      <c r="ZF15" s="180"/>
      <c r="ZG15" s="180"/>
      <c r="ZH15" s="180"/>
      <c r="ZI15" s="180"/>
      <c r="ZJ15" s="180"/>
      <c r="ZK15" s="180"/>
      <c r="ZL15" s="180"/>
      <c r="ZM15" s="180"/>
      <c r="ZN15" s="180"/>
      <c r="ZO15" s="180"/>
      <c r="ZP15" s="180"/>
      <c r="ZQ15" s="180"/>
      <c r="ZR15" s="180"/>
      <c r="ZS15" s="180"/>
      <c r="ZT15" s="180"/>
      <c r="ZU15" s="180"/>
      <c r="ZV15" s="180"/>
      <c r="ZW15" s="180"/>
      <c r="ZX15" s="180"/>
      <c r="ZY15" s="180"/>
      <c r="ZZ15" s="180"/>
      <c r="AAA15" s="180"/>
      <c r="AAB15" s="180"/>
      <c r="AAC15" s="180"/>
      <c r="AAD15" s="180"/>
      <c r="AAE15" s="180"/>
      <c r="AAF15" s="180"/>
      <c r="AAG15" s="180"/>
      <c r="AAH15" s="180"/>
      <c r="AAI15" s="180"/>
      <c r="AAJ15" s="180"/>
      <c r="AAK15" s="180"/>
      <c r="AAL15" s="180"/>
      <c r="AAM15" s="180"/>
      <c r="AAN15" s="180"/>
      <c r="AAO15" s="180"/>
      <c r="AAP15" s="180"/>
      <c r="AAQ15" s="180"/>
      <c r="AAR15" s="180"/>
      <c r="AAS15" s="180"/>
      <c r="AAT15" s="180"/>
      <c r="AAU15" s="180"/>
      <c r="AAV15" s="180"/>
      <c r="AAW15" s="180"/>
      <c r="AAX15" s="180"/>
      <c r="AAY15" s="180"/>
      <c r="AAZ15" s="180"/>
      <c r="ABA15" s="180"/>
      <c r="ABB15" s="180"/>
      <c r="ABC15" s="180"/>
      <c r="ABD15" s="180"/>
      <c r="ABE15" s="180"/>
      <c r="ABF15" s="180"/>
      <c r="ABG15" s="180"/>
      <c r="ABH15" s="180"/>
      <c r="ABI15" s="180"/>
      <c r="ABJ15" s="180"/>
      <c r="ABK15" s="180"/>
      <c r="ABL15" s="180"/>
      <c r="ABM15" s="180"/>
      <c r="ABN15" s="180"/>
      <c r="ABO15" s="180"/>
      <c r="ABP15" s="180"/>
      <c r="ABQ15" s="180"/>
      <c r="ABR15" s="180"/>
      <c r="ABS15" s="180"/>
      <c r="ABT15" s="180"/>
      <c r="ABU15" s="180"/>
      <c r="ABV15" s="180"/>
      <c r="ABW15" s="180"/>
      <c r="ABX15" s="180"/>
      <c r="ABY15" s="180"/>
      <c r="ABZ15" s="180"/>
      <c r="ACA15" s="180"/>
      <c r="ACB15" s="180"/>
      <c r="ACC15" s="180"/>
      <c r="ACD15" s="180"/>
      <c r="ACE15" s="180"/>
      <c r="ACF15" s="180"/>
      <c r="ACG15" s="180"/>
      <c r="ACH15" s="180"/>
      <c r="ACI15" s="180"/>
      <c r="ACJ15" s="180"/>
      <c r="ACK15" s="180"/>
      <c r="ACL15" s="180"/>
      <c r="ACM15" s="180"/>
      <c r="ACN15" s="180"/>
      <c r="ACO15" s="180"/>
      <c r="ACP15" s="180"/>
      <c r="ACQ15" s="180"/>
      <c r="ACR15" s="180"/>
      <c r="ACS15" s="180"/>
      <c r="ACT15" s="180"/>
      <c r="ACU15" s="180"/>
      <c r="ACV15" s="180"/>
      <c r="ACW15" s="180"/>
      <c r="ACX15" s="180"/>
      <c r="ACY15" s="180"/>
      <c r="ACZ15" s="180"/>
      <c r="ADA15" s="180"/>
      <c r="ADB15" s="180"/>
      <c r="ADC15" s="180"/>
      <c r="ADD15" s="180"/>
      <c r="ADE15" s="180"/>
      <c r="ADF15" s="180"/>
      <c r="ADG15" s="180"/>
      <c r="ADH15" s="180"/>
      <c r="ADI15" s="180"/>
      <c r="ADJ15" s="180"/>
      <c r="ADK15" s="180"/>
      <c r="ADL15" s="180"/>
      <c r="ADM15" s="180"/>
      <c r="ADN15" s="180"/>
      <c r="ADO15" s="180"/>
      <c r="ADP15" s="180"/>
      <c r="ADQ15" s="180"/>
      <c r="ADR15" s="180"/>
      <c r="ADS15" s="180"/>
      <c r="ADT15" s="180"/>
      <c r="ADU15" s="180"/>
      <c r="ADV15" s="180"/>
      <c r="ADW15" s="180"/>
      <c r="ADX15" s="180"/>
      <c r="ADY15" s="180"/>
      <c r="ADZ15" s="180"/>
      <c r="AEA15" s="180"/>
      <c r="AEB15" s="180"/>
      <c r="AEC15" s="180"/>
      <c r="AED15" s="180"/>
      <c r="AEE15" s="180"/>
      <c r="AEF15" s="180"/>
      <c r="AEG15" s="180"/>
      <c r="AEH15" s="180"/>
      <c r="AEI15" s="180"/>
      <c r="AEJ15" s="180"/>
      <c r="AEK15" s="180"/>
      <c r="AEL15" s="180"/>
      <c r="AEM15" s="180"/>
      <c r="AEN15" s="180"/>
      <c r="AEO15" s="180"/>
      <c r="AEP15" s="180"/>
      <c r="AEQ15" s="180"/>
      <c r="AER15" s="180"/>
      <c r="AES15" s="180"/>
      <c r="AET15" s="180"/>
      <c r="AEU15" s="180"/>
      <c r="AEV15" s="180"/>
      <c r="AEW15" s="180"/>
      <c r="AEX15" s="180"/>
      <c r="AEY15" s="180"/>
      <c r="AEZ15" s="180"/>
      <c r="AFA15" s="180"/>
      <c r="AFB15" s="180"/>
      <c r="AFC15" s="180"/>
      <c r="AFD15" s="180"/>
      <c r="AFE15" s="180"/>
      <c r="AFF15" s="180"/>
      <c r="AFG15" s="180"/>
      <c r="AFH15" s="180"/>
      <c r="AFI15" s="180"/>
      <c r="AFJ15" s="180"/>
      <c r="AFK15" s="180"/>
      <c r="AFL15" s="180"/>
      <c r="AFM15" s="180"/>
      <c r="AFN15" s="180"/>
      <c r="AFO15" s="180"/>
      <c r="AFP15" s="180"/>
      <c r="AFQ15" s="180"/>
      <c r="AFR15" s="180"/>
      <c r="AFS15" s="180"/>
      <c r="AFT15" s="180"/>
      <c r="AFU15" s="180"/>
      <c r="AFV15" s="180"/>
      <c r="AFW15" s="180"/>
      <c r="AFX15" s="180"/>
      <c r="AFY15" s="180"/>
      <c r="AFZ15" s="180"/>
      <c r="AGA15" s="180"/>
      <c r="AGB15" s="180"/>
      <c r="AGC15" s="180"/>
      <c r="AGD15" s="180"/>
      <c r="AGE15" s="180"/>
      <c r="AGF15" s="180"/>
      <c r="AGG15" s="180"/>
      <c r="AGH15" s="180"/>
      <c r="AGI15" s="180"/>
      <c r="AGJ15" s="180"/>
      <c r="AGK15" s="180"/>
      <c r="AGL15" s="180"/>
      <c r="AGM15" s="180"/>
      <c r="AGN15" s="180"/>
      <c r="AGO15" s="180"/>
      <c r="AGP15" s="180"/>
      <c r="AGQ15" s="180"/>
      <c r="AGR15" s="180"/>
      <c r="AGS15" s="180"/>
      <c r="AGT15" s="180"/>
      <c r="AGU15" s="180"/>
      <c r="AGV15" s="180"/>
      <c r="AGW15" s="180"/>
      <c r="AGX15" s="180"/>
      <c r="AGY15" s="180"/>
      <c r="AGZ15" s="180"/>
      <c r="AHA15" s="180"/>
      <c r="AHB15" s="180"/>
      <c r="AHC15" s="180"/>
      <c r="AHD15" s="180"/>
      <c r="AHE15" s="180"/>
      <c r="AHF15" s="180"/>
      <c r="AHG15" s="180"/>
      <c r="AHH15" s="180"/>
      <c r="AHI15" s="180"/>
      <c r="AHJ15" s="180"/>
      <c r="AHK15" s="180"/>
      <c r="AHL15" s="180"/>
      <c r="AHM15" s="180"/>
      <c r="AHN15" s="180"/>
      <c r="AHO15" s="180"/>
      <c r="AHP15" s="180"/>
      <c r="AHQ15" s="180"/>
      <c r="AHR15" s="180"/>
      <c r="AHS15" s="180"/>
      <c r="AHT15" s="180"/>
      <c r="AHU15" s="180"/>
      <c r="AHV15" s="180"/>
      <c r="AHW15" s="180"/>
      <c r="AHX15" s="180"/>
      <c r="AHY15" s="180"/>
      <c r="AHZ15" s="180"/>
      <c r="AIA15" s="180"/>
      <c r="AIB15" s="180"/>
      <c r="AIC15" s="180"/>
      <c r="AID15" s="180"/>
      <c r="AIE15" s="180"/>
      <c r="AIF15" s="180"/>
      <c r="AIG15" s="180"/>
      <c r="AIH15" s="180"/>
      <c r="AII15" s="180"/>
      <c r="AIJ15" s="180"/>
      <c r="AIK15" s="180"/>
      <c r="AIL15" s="180"/>
      <c r="AIM15" s="180"/>
      <c r="AIN15" s="180"/>
      <c r="AIO15" s="180"/>
      <c r="AIP15" s="180"/>
      <c r="AIQ15" s="180"/>
      <c r="AIR15" s="180"/>
      <c r="AIS15" s="180"/>
      <c r="AIT15" s="180"/>
      <c r="AIU15" s="180"/>
      <c r="AIV15" s="180"/>
      <c r="AIW15" s="180"/>
      <c r="AIX15" s="180"/>
      <c r="AIY15" s="180"/>
      <c r="AIZ15" s="180"/>
      <c r="AJA15" s="180"/>
      <c r="AJB15" s="180"/>
      <c r="AJC15" s="180"/>
      <c r="AJD15" s="180"/>
      <c r="AJE15" s="180"/>
      <c r="AJF15" s="180"/>
      <c r="AJG15" s="180"/>
      <c r="AJH15" s="180"/>
      <c r="AJI15" s="180"/>
      <c r="AJJ15" s="180"/>
      <c r="AJK15" s="180"/>
      <c r="AJL15" s="180"/>
      <c r="AJM15" s="180"/>
      <c r="AJN15" s="180"/>
      <c r="AJO15" s="180"/>
      <c r="AJP15" s="180"/>
      <c r="AJQ15" s="180"/>
      <c r="AJR15" s="180"/>
      <c r="AJS15" s="180"/>
      <c r="AJT15" s="180"/>
      <c r="AJU15" s="180"/>
      <c r="AJV15" s="180"/>
      <c r="AJW15" s="180"/>
      <c r="AJX15" s="180"/>
      <c r="AJY15" s="180"/>
      <c r="AJZ15" s="180"/>
      <c r="AKA15" s="180"/>
      <c r="AKB15" s="180"/>
      <c r="AKC15" s="180"/>
      <c r="AKD15" s="180"/>
      <c r="AKE15" s="180"/>
      <c r="AKF15" s="180"/>
      <c r="AKG15" s="180"/>
      <c r="AKH15" s="180"/>
      <c r="AKI15" s="180"/>
      <c r="AKJ15" s="180"/>
      <c r="AKK15" s="180"/>
      <c r="AKL15" s="180"/>
      <c r="AKM15" s="180"/>
      <c r="AKN15" s="180"/>
      <c r="AKO15" s="180"/>
      <c r="AKP15" s="180"/>
      <c r="AKQ15" s="180"/>
      <c r="AKR15" s="180"/>
      <c r="AKS15" s="180"/>
      <c r="AKT15" s="180"/>
      <c r="AKU15" s="180"/>
      <c r="AKV15" s="180"/>
      <c r="AKW15" s="180"/>
      <c r="AKX15" s="180"/>
      <c r="AKY15" s="180"/>
      <c r="AKZ15" s="180"/>
      <c r="ALA15" s="180"/>
      <c r="ALB15" s="180"/>
      <c r="ALC15" s="180"/>
      <c r="ALD15" s="180"/>
      <c r="ALE15" s="180"/>
      <c r="ALF15" s="180"/>
      <c r="ALG15" s="180"/>
      <c r="ALH15" s="180"/>
      <c r="ALI15" s="180"/>
      <c r="ALJ15" s="180"/>
      <c r="ALK15" s="180"/>
      <c r="ALL15" s="180"/>
      <c r="ALM15" s="180"/>
      <c r="ALN15" s="180"/>
      <c r="ALO15" s="180"/>
      <c r="ALP15" s="180"/>
      <c r="ALQ15" s="180"/>
      <c r="ALR15" s="180"/>
      <c r="ALS15" s="180"/>
      <c r="ALT15" s="180"/>
      <c r="ALU15" s="180"/>
      <c r="ALV15" s="180"/>
      <c r="ALW15" s="180"/>
      <c r="ALX15" s="180"/>
      <c r="ALY15" s="180"/>
      <c r="ALZ15" s="180"/>
      <c r="AMA15" s="279"/>
      <c r="AMB15" s="279"/>
      <c r="AMC15" s="279"/>
      <c r="AMD15" s="279"/>
      <c r="AME15" s="279"/>
      <c r="AMF15" s="279"/>
      <c r="AMG15" s="279"/>
      <c r="AMH15" s="279"/>
      <c r="AMI15" s="280"/>
    </row>
    <row r="16" spans="1:1023" s="259" customFormat="1" ht="33" customHeight="1" x14ac:dyDescent="0.25">
      <c r="A16" s="284"/>
      <c r="B16" s="284"/>
      <c r="C16" s="285" t="s">
        <v>259</v>
      </c>
      <c r="D16" s="180"/>
      <c r="E16" s="494">
        <v>0</v>
      </c>
      <c r="F16" s="506"/>
      <c r="G16" s="494">
        <v>0</v>
      </c>
      <c r="H16" s="276"/>
      <c r="I16" s="277">
        <v>0</v>
      </c>
      <c r="J16" s="275"/>
      <c r="K16" s="277">
        <v>0</v>
      </c>
      <c r="L16" s="278"/>
      <c r="M16" s="277">
        <v>0</v>
      </c>
      <c r="N16" s="180"/>
      <c r="O16" s="180"/>
      <c r="P16" s="180"/>
      <c r="Q16" s="180"/>
      <c r="R16" s="180"/>
      <c r="S16" s="180"/>
      <c r="T16" s="180"/>
      <c r="U16" s="180"/>
      <c r="V16" s="180"/>
      <c r="W16" s="180"/>
      <c r="X16" s="180"/>
      <c r="Y16" s="180"/>
      <c r="Z16" s="180"/>
      <c r="AA16" s="180"/>
      <c r="AB16" s="180"/>
      <c r="AC16" s="180"/>
      <c r="AD16" s="180"/>
      <c r="AE16" s="180"/>
      <c r="AF16" s="180"/>
      <c r="AG16" s="180"/>
      <c r="AH16" s="180"/>
      <c r="AI16" s="180"/>
      <c r="AJ16" s="180"/>
      <c r="AK16" s="180"/>
      <c r="AL16" s="180"/>
      <c r="AM16" s="180"/>
      <c r="AN16" s="180"/>
      <c r="AO16" s="180"/>
      <c r="AP16" s="180"/>
      <c r="AQ16" s="180"/>
      <c r="AR16" s="180"/>
      <c r="AS16" s="180"/>
      <c r="AT16" s="180"/>
      <c r="AU16" s="180"/>
      <c r="AV16" s="180"/>
      <c r="AW16" s="180"/>
      <c r="AX16" s="180"/>
      <c r="AY16" s="180"/>
      <c r="AZ16" s="180"/>
      <c r="BA16" s="180"/>
      <c r="BB16" s="180"/>
      <c r="BC16" s="180"/>
      <c r="BD16" s="180"/>
      <c r="BE16" s="180"/>
      <c r="BF16" s="180"/>
      <c r="BG16" s="180"/>
      <c r="BH16" s="180"/>
      <c r="BI16" s="180"/>
      <c r="BJ16" s="180"/>
      <c r="BK16" s="180"/>
      <c r="BL16" s="180"/>
      <c r="BM16" s="180"/>
      <c r="BN16" s="180"/>
      <c r="BO16" s="180"/>
      <c r="BP16" s="180"/>
      <c r="BQ16" s="180"/>
      <c r="BR16" s="180"/>
      <c r="BS16" s="180"/>
      <c r="BT16" s="180"/>
      <c r="BU16" s="180"/>
      <c r="BV16" s="180"/>
      <c r="BW16" s="180"/>
      <c r="BX16" s="180"/>
      <c r="BY16" s="180"/>
      <c r="BZ16" s="180"/>
      <c r="CA16" s="180"/>
      <c r="CB16" s="180"/>
      <c r="CC16" s="180"/>
      <c r="CD16" s="180"/>
      <c r="CE16" s="180"/>
      <c r="CF16" s="180"/>
      <c r="CG16" s="180"/>
      <c r="CH16" s="180"/>
      <c r="CI16" s="180"/>
      <c r="CJ16" s="180"/>
      <c r="CK16" s="180"/>
      <c r="CL16" s="180"/>
      <c r="CM16" s="180"/>
      <c r="CN16" s="180"/>
      <c r="CO16" s="180"/>
      <c r="CP16" s="180"/>
      <c r="CQ16" s="180"/>
      <c r="CR16" s="180"/>
      <c r="CS16" s="180"/>
      <c r="CT16" s="180"/>
      <c r="CU16" s="180"/>
      <c r="CV16" s="180"/>
      <c r="CW16" s="180"/>
      <c r="CX16" s="180"/>
      <c r="CY16" s="180"/>
      <c r="CZ16" s="180"/>
      <c r="DA16" s="180"/>
      <c r="DB16" s="180"/>
      <c r="DC16" s="180"/>
      <c r="DD16" s="180"/>
      <c r="DE16" s="180"/>
      <c r="DF16" s="180"/>
      <c r="DG16" s="180"/>
      <c r="DH16" s="180"/>
      <c r="DI16" s="180"/>
      <c r="DJ16" s="180"/>
      <c r="DK16" s="180"/>
      <c r="DL16" s="180"/>
      <c r="DM16" s="180"/>
      <c r="DN16" s="180"/>
      <c r="DO16" s="180"/>
      <c r="DP16" s="180"/>
      <c r="DQ16" s="180"/>
      <c r="DR16" s="180"/>
      <c r="DS16" s="180"/>
      <c r="DT16" s="180"/>
      <c r="DU16" s="180"/>
      <c r="DV16" s="180"/>
      <c r="DW16" s="180"/>
      <c r="DX16" s="180"/>
      <c r="DY16" s="180"/>
      <c r="DZ16" s="180"/>
      <c r="EA16" s="180"/>
      <c r="EB16" s="180"/>
      <c r="EC16" s="180"/>
      <c r="ED16" s="180"/>
      <c r="EE16" s="180"/>
      <c r="EF16" s="180"/>
      <c r="EG16" s="180"/>
      <c r="EH16" s="180"/>
      <c r="EI16" s="180"/>
      <c r="EJ16" s="180"/>
      <c r="EK16" s="180"/>
      <c r="EL16" s="180"/>
      <c r="EM16" s="180"/>
      <c r="EN16" s="180"/>
      <c r="EO16" s="180"/>
      <c r="EP16" s="180"/>
      <c r="EQ16" s="180"/>
      <c r="ER16" s="180"/>
      <c r="ES16" s="180"/>
      <c r="ET16" s="180"/>
      <c r="EU16" s="180"/>
      <c r="EV16" s="180"/>
      <c r="EW16" s="180"/>
      <c r="EX16" s="180"/>
      <c r="EY16" s="180"/>
      <c r="EZ16" s="180"/>
      <c r="FA16" s="180"/>
      <c r="FB16" s="180"/>
      <c r="FC16" s="180"/>
      <c r="FD16" s="180"/>
      <c r="FE16" s="180"/>
      <c r="FF16" s="180"/>
      <c r="FG16" s="180"/>
      <c r="FH16" s="180"/>
      <c r="FI16" s="180"/>
      <c r="FJ16" s="180"/>
      <c r="FK16" s="180"/>
      <c r="FL16" s="180"/>
      <c r="FM16" s="180"/>
      <c r="FN16" s="180"/>
      <c r="FO16" s="180"/>
      <c r="FP16" s="180"/>
      <c r="FQ16" s="180"/>
      <c r="FR16" s="180"/>
      <c r="FS16" s="180"/>
      <c r="FT16" s="180"/>
      <c r="FU16" s="180"/>
      <c r="FV16" s="180"/>
      <c r="FW16" s="180"/>
      <c r="FX16" s="180"/>
      <c r="FY16" s="180"/>
      <c r="FZ16" s="180"/>
      <c r="GA16" s="180"/>
      <c r="GB16" s="180"/>
      <c r="GC16" s="180"/>
      <c r="GD16" s="180"/>
      <c r="GE16" s="180"/>
      <c r="GF16" s="180"/>
      <c r="GG16" s="180"/>
      <c r="GH16" s="180"/>
      <c r="GI16" s="180"/>
      <c r="GJ16" s="180"/>
      <c r="GK16" s="180"/>
      <c r="GL16" s="180"/>
      <c r="GM16" s="180"/>
      <c r="GN16" s="180"/>
      <c r="GO16" s="180"/>
      <c r="GP16" s="180"/>
      <c r="GQ16" s="180"/>
      <c r="GR16" s="180"/>
      <c r="GS16" s="180"/>
      <c r="GT16" s="180"/>
      <c r="GU16" s="180"/>
      <c r="GV16" s="180"/>
      <c r="GW16" s="180"/>
      <c r="GX16" s="180"/>
      <c r="GY16" s="180"/>
      <c r="GZ16" s="180"/>
      <c r="HA16" s="180"/>
      <c r="HB16" s="180"/>
      <c r="HC16" s="180"/>
      <c r="HD16" s="180"/>
      <c r="HE16" s="180"/>
      <c r="HF16" s="180"/>
      <c r="HG16" s="180"/>
      <c r="HH16" s="180"/>
      <c r="HI16" s="180"/>
      <c r="HJ16" s="180"/>
      <c r="HK16" s="180"/>
      <c r="HL16" s="180"/>
      <c r="HM16" s="180"/>
      <c r="HN16" s="180"/>
      <c r="HO16" s="180"/>
      <c r="HP16" s="180"/>
      <c r="HQ16" s="180"/>
      <c r="HR16" s="180"/>
      <c r="HS16" s="180"/>
      <c r="HT16" s="180"/>
      <c r="HU16" s="180"/>
      <c r="HV16" s="180"/>
      <c r="HW16" s="180"/>
      <c r="HX16" s="180"/>
      <c r="HY16" s="180"/>
      <c r="HZ16" s="180"/>
      <c r="IA16" s="180"/>
      <c r="IB16" s="180"/>
      <c r="IC16" s="180"/>
      <c r="ID16" s="180"/>
      <c r="IE16" s="180"/>
      <c r="IF16" s="180"/>
      <c r="IG16" s="180"/>
      <c r="IH16" s="180"/>
      <c r="II16" s="180"/>
      <c r="IJ16" s="180"/>
      <c r="IK16" s="180"/>
      <c r="IL16" s="180"/>
      <c r="IM16" s="180"/>
      <c r="IN16" s="180"/>
      <c r="IO16" s="180"/>
      <c r="IP16" s="180"/>
      <c r="IQ16" s="180"/>
      <c r="IR16" s="180"/>
      <c r="IS16" s="180"/>
      <c r="IT16" s="180"/>
      <c r="IU16" s="180"/>
      <c r="IV16" s="180"/>
      <c r="IW16" s="180"/>
      <c r="IX16" s="180"/>
      <c r="IY16" s="180"/>
      <c r="IZ16" s="180"/>
      <c r="JA16" s="180"/>
      <c r="JB16" s="180"/>
      <c r="JC16" s="180"/>
      <c r="JD16" s="180"/>
      <c r="JE16" s="180"/>
      <c r="JF16" s="180"/>
      <c r="JG16" s="180"/>
      <c r="JH16" s="180"/>
      <c r="JI16" s="180"/>
      <c r="JJ16" s="180"/>
      <c r="JK16" s="180"/>
      <c r="JL16" s="180"/>
      <c r="JM16" s="180"/>
      <c r="JN16" s="180"/>
      <c r="JO16" s="180"/>
      <c r="JP16" s="180"/>
      <c r="JQ16" s="180"/>
      <c r="JR16" s="180"/>
      <c r="JS16" s="180"/>
      <c r="JT16" s="180"/>
      <c r="JU16" s="180"/>
      <c r="JV16" s="180"/>
      <c r="JW16" s="180"/>
      <c r="JX16" s="180"/>
      <c r="JY16" s="180"/>
      <c r="JZ16" s="180"/>
      <c r="KA16" s="180"/>
      <c r="KB16" s="180"/>
      <c r="KC16" s="180"/>
      <c r="KD16" s="180"/>
      <c r="KE16" s="180"/>
      <c r="KF16" s="180"/>
      <c r="KG16" s="180"/>
      <c r="KH16" s="180"/>
      <c r="KI16" s="180"/>
      <c r="KJ16" s="180"/>
      <c r="KK16" s="180"/>
      <c r="KL16" s="180"/>
      <c r="KM16" s="180"/>
      <c r="KN16" s="180"/>
      <c r="KO16" s="180"/>
      <c r="KP16" s="180"/>
      <c r="KQ16" s="180"/>
      <c r="KR16" s="180"/>
      <c r="KS16" s="180"/>
      <c r="KT16" s="180"/>
      <c r="KU16" s="180"/>
      <c r="KV16" s="180"/>
      <c r="KW16" s="180"/>
      <c r="KX16" s="180"/>
      <c r="KY16" s="180"/>
      <c r="KZ16" s="180"/>
      <c r="LA16" s="180"/>
      <c r="LB16" s="180"/>
      <c r="LC16" s="180"/>
      <c r="LD16" s="180"/>
      <c r="LE16" s="180"/>
      <c r="LF16" s="180"/>
      <c r="LG16" s="180"/>
      <c r="LH16" s="180"/>
      <c r="LI16" s="180"/>
      <c r="LJ16" s="180"/>
      <c r="LK16" s="180"/>
      <c r="LL16" s="180"/>
      <c r="LM16" s="180"/>
      <c r="LN16" s="180"/>
      <c r="LO16" s="180"/>
      <c r="LP16" s="180"/>
      <c r="LQ16" s="180"/>
      <c r="LR16" s="180"/>
      <c r="LS16" s="180"/>
      <c r="LT16" s="180"/>
      <c r="LU16" s="180"/>
      <c r="LV16" s="180"/>
      <c r="LW16" s="180"/>
      <c r="LX16" s="180"/>
      <c r="LY16" s="180"/>
      <c r="LZ16" s="180"/>
      <c r="MA16" s="180"/>
      <c r="MB16" s="180"/>
      <c r="MC16" s="180"/>
      <c r="MD16" s="180"/>
      <c r="ME16" s="180"/>
      <c r="MF16" s="180"/>
      <c r="MG16" s="180"/>
      <c r="MH16" s="180"/>
      <c r="MI16" s="180"/>
      <c r="MJ16" s="180"/>
      <c r="MK16" s="180"/>
      <c r="ML16" s="180"/>
      <c r="MM16" s="180"/>
      <c r="MN16" s="180"/>
      <c r="MO16" s="180"/>
      <c r="MP16" s="180"/>
      <c r="MQ16" s="180"/>
      <c r="MR16" s="180"/>
      <c r="MS16" s="180"/>
      <c r="MT16" s="180"/>
      <c r="MU16" s="180"/>
      <c r="MV16" s="180"/>
      <c r="MW16" s="180"/>
      <c r="MX16" s="180"/>
      <c r="MY16" s="180"/>
      <c r="MZ16" s="180"/>
      <c r="NA16" s="180"/>
      <c r="NB16" s="180"/>
      <c r="NC16" s="180"/>
      <c r="ND16" s="180"/>
      <c r="NE16" s="180"/>
      <c r="NF16" s="180"/>
      <c r="NG16" s="180"/>
      <c r="NH16" s="180"/>
      <c r="NI16" s="180"/>
      <c r="NJ16" s="180"/>
      <c r="NK16" s="180"/>
      <c r="NL16" s="180"/>
      <c r="NM16" s="180"/>
      <c r="NN16" s="180"/>
      <c r="NO16" s="180"/>
      <c r="NP16" s="180"/>
      <c r="NQ16" s="180"/>
      <c r="NR16" s="180"/>
      <c r="NS16" s="180"/>
      <c r="NT16" s="180"/>
      <c r="NU16" s="180"/>
      <c r="NV16" s="180"/>
      <c r="NW16" s="180"/>
      <c r="NX16" s="180"/>
      <c r="NY16" s="180"/>
      <c r="NZ16" s="180"/>
      <c r="OA16" s="180"/>
      <c r="OB16" s="180"/>
      <c r="OC16" s="180"/>
      <c r="OD16" s="180"/>
      <c r="OE16" s="180"/>
      <c r="OF16" s="180"/>
      <c r="OG16" s="180"/>
      <c r="OH16" s="180"/>
      <c r="OI16" s="180"/>
      <c r="OJ16" s="180"/>
      <c r="OK16" s="180"/>
      <c r="OL16" s="180"/>
      <c r="OM16" s="180"/>
      <c r="ON16" s="180"/>
      <c r="OO16" s="180"/>
      <c r="OP16" s="180"/>
      <c r="OQ16" s="180"/>
      <c r="OR16" s="180"/>
      <c r="OS16" s="180"/>
      <c r="OT16" s="180"/>
      <c r="OU16" s="180"/>
      <c r="OV16" s="180"/>
      <c r="OW16" s="180"/>
      <c r="OX16" s="180"/>
      <c r="OY16" s="180"/>
      <c r="OZ16" s="180"/>
      <c r="PA16" s="180"/>
      <c r="PB16" s="180"/>
      <c r="PC16" s="180"/>
      <c r="PD16" s="180"/>
      <c r="PE16" s="180"/>
      <c r="PF16" s="180"/>
      <c r="PG16" s="180"/>
      <c r="PH16" s="180"/>
      <c r="PI16" s="180"/>
      <c r="PJ16" s="180"/>
      <c r="PK16" s="180"/>
      <c r="PL16" s="180"/>
      <c r="PM16" s="180"/>
      <c r="PN16" s="180"/>
      <c r="PO16" s="180"/>
      <c r="PP16" s="180"/>
      <c r="PQ16" s="180"/>
      <c r="PR16" s="180"/>
      <c r="PS16" s="180"/>
      <c r="PT16" s="180"/>
      <c r="PU16" s="180"/>
      <c r="PV16" s="180"/>
      <c r="PW16" s="180"/>
      <c r="PX16" s="180"/>
      <c r="PY16" s="180"/>
      <c r="PZ16" s="180"/>
      <c r="QA16" s="180"/>
      <c r="QB16" s="180"/>
      <c r="QC16" s="180"/>
      <c r="QD16" s="180"/>
      <c r="QE16" s="180"/>
      <c r="QF16" s="180"/>
      <c r="QG16" s="180"/>
      <c r="QH16" s="180"/>
      <c r="QI16" s="180"/>
      <c r="QJ16" s="180"/>
      <c r="QK16" s="180"/>
      <c r="QL16" s="180"/>
      <c r="QM16" s="180"/>
      <c r="QN16" s="180"/>
      <c r="QO16" s="180"/>
      <c r="QP16" s="180"/>
      <c r="QQ16" s="180"/>
      <c r="QR16" s="180"/>
      <c r="QS16" s="180"/>
      <c r="QT16" s="180"/>
      <c r="QU16" s="180"/>
      <c r="QV16" s="180"/>
      <c r="QW16" s="180"/>
      <c r="QX16" s="180"/>
      <c r="QY16" s="180"/>
      <c r="QZ16" s="180"/>
      <c r="RA16" s="180"/>
      <c r="RB16" s="180"/>
      <c r="RC16" s="180"/>
      <c r="RD16" s="180"/>
      <c r="RE16" s="180"/>
      <c r="RF16" s="180"/>
      <c r="RG16" s="180"/>
      <c r="RH16" s="180"/>
      <c r="RI16" s="180"/>
      <c r="RJ16" s="180"/>
      <c r="RK16" s="180"/>
      <c r="RL16" s="180"/>
      <c r="RM16" s="180"/>
      <c r="RN16" s="180"/>
      <c r="RO16" s="180"/>
      <c r="RP16" s="180"/>
      <c r="RQ16" s="180"/>
      <c r="RR16" s="180"/>
      <c r="RS16" s="180"/>
      <c r="RT16" s="180"/>
      <c r="RU16" s="180"/>
      <c r="RV16" s="180"/>
      <c r="RW16" s="180"/>
      <c r="RX16" s="180"/>
      <c r="RY16" s="180"/>
      <c r="RZ16" s="180"/>
      <c r="SA16" s="180"/>
      <c r="SB16" s="180"/>
      <c r="SC16" s="180"/>
      <c r="SD16" s="180"/>
      <c r="SE16" s="180"/>
      <c r="SF16" s="180"/>
      <c r="SG16" s="180"/>
      <c r="SH16" s="180"/>
      <c r="SI16" s="180"/>
      <c r="SJ16" s="180"/>
      <c r="SK16" s="180"/>
      <c r="SL16" s="180"/>
      <c r="SM16" s="180"/>
      <c r="SN16" s="180"/>
      <c r="SO16" s="180"/>
      <c r="SP16" s="180"/>
      <c r="SQ16" s="180"/>
      <c r="SR16" s="180"/>
      <c r="SS16" s="180"/>
      <c r="ST16" s="180"/>
      <c r="SU16" s="180"/>
      <c r="SV16" s="180"/>
      <c r="SW16" s="180"/>
      <c r="SX16" s="180"/>
      <c r="SY16" s="180"/>
      <c r="SZ16" s="180"/>
      <c r="TA16" s="180"/>
      <c r="TB16" s="180"/>
      <c r="TC16" s="180"/>
      <c r="TD16" s="180"/>
      <c r="TE16" s="180"/>
      <c r="TF16" s="180"/>
      <c r="TG16" s="180"/>
      <c r="TH16" s="180"/>
      <c r="TI16" s="180"/>
      <c r="TJ16" s="180"/>
      <c r="TK16" s="180"/>
      <c r="TL16" s="180"/>
      <c r="TM16" s="180"/>
      <c r="TN16" s="180"/>
      <c r="TO16" s="180"/>
      <c r="TP16" s="180"/>
      <c r="TQ16" s="180"/>
      <c r="TR16" s="180"/>
      <c r="TS16" s="180"/>
      <c r="TT16" s="180"/>
      <c r="TU16" s="180"/>
      <c r="TV16" s="180"/>
      <c r="TW16" s="180"/>
      <c r="TX16" s="180"/>
      <c r="TY16" s="180"/>
      <c r="TZ16" s="180"/>
      <c r="UA16" s="180"/>
      <c r="UB16" s="180"/>
      <c r="UC16" s="180"/>
      <c r="UD16" s="180"/>
      <c r="UE16" s="180"/>
      <c r="UF16" s="180"/>
      <c r="UG16" s="180"/>
      <c r="UH16" s="180"/>
      <c r="UI16" s="180"/>
      <c r="UJ16" s="180"/>
      <c r="UK16" s="180"/>
      <c r="UL16" s="180"/>
      <c r="UM16" s="180"/>
      <c r="UN16" s="180"/>
      <c r="UO16" s="180"/>
      <c r="UP16" s="180"/>
      <c r="UQ16" s="180"/>
      <c r="UR16" s="180"/>
      <c r="US16" s="180"/>
      <c r="UT16" s="180"/>
      <c r="UU16" s="180"/>
      <c r="UV16" s="180"/>
      <c r="UW16" s="180"/>
      <c r="UX16" s="180"/>
      <c r="UY16" s="180"/>
      <c r="UZ16" s="180"/>
      <c r="VA16" s="180"/>
      <c r="VB16" s="180"/>
      <c r="VC16" s="180"/>
      <c r="VD16" s="180"/>
      <c r="VE16" s="180"/>
      <c r="VF16" s="180"/>
      <c r="VG16" s="180"/>
      <c r="VH16" s="180"/>
      <c r="VI16" s="180"/>
      <c r="VJ16" s="180"/>
      <c r="VK16" s="180"/>
      <c r="VL16" s="180"/>
      <c r="VM16" s="180"/>
      <c r="VN16" s="180"/>
      <c r="VO16" s="180"/>
      <c r="VP16" s="180"/>
      <c r="VQ16" s="180"/>
      <c r="VR16" s="180"/>
      <c r="VS16" s="180"/>
      <c r="VT16" s="180"/>
      <c r="VU16" s="180"/>
      <c r="VV16" s="180"/>
      <c r="VW16" s="180"/>
      <c r="VX16" s="180"/>
      <c r="VY16" s="180"/>
      <c r="VZ16" s="180"/>
      <c r="WA16" s="180"/>
      <c r="WB16" s="180"/>
      <c r="WC16" s="180"/>
      <c r="WD16" s="180"/>
      <c r="WE16" s="180"/>
      <c r="WF16" s="180"/>
      <c r="WG16" s="180"/>
      <c r="WH16" s="180"/>
      <c r="WI16" s="180"/>
      <c r="WJ16" s="180"/>
      <c r="WK16" s="180"/>
      <c r="WL16" s="180"/>
      <c r="WM16" s="180"/>
      <c r="WN16" s="180"/>
      <c r="WO16" s="180"/>
      <c r="WP16" s="180"/>
      <c r="WQ16" s="180"/>
      <c r="WR16" s="180"/>
      <c r="WS16" s="180"/>
      <c r="WT16" s="180"/>
      <c r="WU16" s="180"/>
      <c r="WV16" s="180"/>
      <c r="WW16" s="180"/>
      <c r="WX16" s="180"/>
      <c r="WY16" s="180"/>
      <c r="WZ16" s="180"/>
      <c r="XA16" s="180"/>
      <c r="XB16" s="180"/>
      <c r="XC16" s="180"/>
      <c r="XD16" s="180"/>
      <c r="XE16" s="180"/>
      <c r="XF16" s="180"/>
      <c r="XG16" s="180"/>
      <c r="XH16" s="180"/>
      <c r="XI16" s="180"/>
      <c r="XJ16" s="180"/>
      <c r="XK16" s="180"/>
      <c r="XL16" s="180"/>
      <c r="XM16" s="180"/>
      <c r="XN16" s="180"/>
      <c r="XO16" s="180"/>
      <c r="XP16" s="180"/>
      <c r="XQ16" s="180"/>
      <c r="XR16" s="180"/>
      <c r="XS16" s="180"/>
      <c r="XT16" s="180"/>
      <c r="XU16" s="180"/>
      <c r="XV16" s="180"/>
      <c r="XW16" s="180"/>
      <c r="XX16" s="180"/>
      <c r="XY16" s="180"/>
      <c r="XZ16" s="180"/>
      <c r="YA16" s="180"/>
      <c r="YB16" s="180"/>
      <c r="YC16" s="180"/>
      <c r="YD16" s="180"/>
      <c r="YE16" s="180"/>
      <c r="YF16" s="180"/>
      <c r="YG16" s="180"/>
      <c r="YH16" s="180"/>
      <c r="YI16" s="180"/>
      <c r="YJ16" s="180"/>
      <c r="YK16" s="180"/>
      <c r="YL16" s="180"/>
      <c r="YM16" s="180"/>
      <c r="YN16" s="180"/>
      <c r="YO16" s="180"/>
      <c r="YP16" s="180"/>
      <c r="YQ16" s="180"/>
      <c r="YR16" s="180"/>
      <c r="YS16" s="180"/>
      <c r="YT16" s="180"/>
      <c r="YU16" s="180"/>
      <c r="YV16" s="180"/>
      <c r="YW16" s="180"/>
      <c r="YX16" s="180"/>
      <c r="YY16" s="180"/>
      <c r="YZ16" s="180"/>
      <c r="ZA16" s="180"/>
      <c r="ZB16" s="180"/>
      <c r="ZC16" s="180"/>
      <c r="ZD16" s="180"/>
      <c r="ZE16" s="180"/>
      <c r="ZF16" s="180"/>
      <c r="ZG16" s="180"/>
      <c r="ZH16" s="180"/>
      <c r="ZI16" s="180"/>
      <c r="ZJ16" s="180"/>
      <c r="ZK16" s="180"/>
      <c r="ZL16" s="180"/>
      <c r="ZM16" s="180"/>
      <c r="ZN16" s="180"/>
      <c r="ZO16" s="180"/>
      <c r="ZP16" s="180"/>
      <c r="ZQ16" s="180"/>
      <c r="ZR16" s="180"/>
      <c r="ZS16" s="180"/>
      <c r="ZT16" s="180"/>
      <c r="ZU16" s="180"/>
      <c r="ZV16" s="180"/>
      <c r="ZW16" s="180"/>
      <c r="ZX16" s="180"/>
      <c r="ZY16" s="180"/>
      <c r="ZZ16" s="180"/>
      <c r="AAA16" s="180"/>
      <c r="AAB16" s="180"/>
      <c r="AAC16" s="180"/>
      <c r="AAD16" s="180"/>
      <c r="AAE16" s="180"/>
      <c r="AAF16" s="180"/>
      <c r="AAG16" s="180"/>
      <c r="AAH16" s="180"/>
      <c r="AAI16" s="180"/>
      <c r="AAJ16" s="180"/>
      <c r="AAK16" s="180"/>
      <c r="AAL16" s="180"/>
      <c r="AAM16" s="180"/>
      <c r="AAN16" s="180"/>
      <c r="AAO16" s="180"/>
      <c r="AAP16" s="180"/>
      <c r="AAQ16" s="180"/>
      <c r="AAR16" s="180"/>
      <c r="AAS16" s="180"/>
      <c r="AAT16" s="180"/>
      <c r="AAU16" s="180"/>
      <c r="AAV16" s="180"/>
      <c r="AAW16" s="180"/>
      <c r="AAX16" s="180"/>
      <c r="AAY16" s="180"/>
      <c r="AAZ16" s="180"/>
      <c r="ABA16" s="180"/>
      <c r="ABB16" s="180"/>
      <c r="ABC16" s="180"/>
      <c r="ABD16" s="180"/>
      <c r="ABE16" s="180"/>
      <c r="ABF16" s="180"/>
      <c r="ABG16" s="180"/>
      <c r="ABH16" s="180"/>
      <c r="ABI16" s="180"/>
      <c r="ABJ16" s="180"/>
      <c r="ABK16" s="180"/>
      <c r="ABL16" s="180"/>
      <c r="ABM16" s="180"/>
      <c r="ABN16" s="180"/>
      <c r="ABO16" s="180"/>
      <c r="ABP16" s="180"/>
      <c r="ABQ16" s="180"/>
      <c r="ABR16" s="180"/>
      <c r="ABS16" s="180"/>
      <c r="ABT16" s="180"/>
      <c r="ABU16" s="180"/>
      <c r="ABV16" s="180"/>
      <c r="ABW16" s="180"/>
      <c r="ABX16" s="180"/>
      <c r="ABY16" s="180"/>
      <c r="ABZ16" s="180"/>
      <c r="ACA16" s="180"/>
      <c r="ACB16" s="180"/>
      <c r="ACC16" s="180"/>
      <c r="ACD16" s="180"/>
      <c r="ACE16" s="180"/>
      <c r="ACF16" s="180"/>
      <c r="ACG16" s="180"/>
      <c r="ACH16" s="180"/>
      <c r="ACI16" s="180"/>
      <c r="ACJ16" s="180"/>
      <c r="ACK16" s="180"/>
      <c r="ACL16" s="180"/>
      <c r="ACM16" s="180"/>
      <c r="ACN16" s="180"/>
      <c r="ACO16" s="180"/>
      <c r="ACP16" s="180"/>
      <c r="ACQ16" s="180"/>
      <c r="ACR16" s="180"/>
      <c r="ACS16" s="180"/>
      <c r="ACT16" s="180"/>
      <c r="ACU16" s="180"/>
      <c r="ACV16" s="180"/>
      <c r="ACW16" s="180"/>
      <c r="ACX16" s="180"/>
      <c r="ACY16" s="180"/>
      <c r="ACZ16" s="180"/>
      <c r="ADA16" s="180"/>
      <c r="ADB16" s="180"/>
      <c r="ADC16" s="180"/>
      <c r="ADD16" s="180"/>
      <c r="ADE16" s="180"/>
      <c r="ADF16" s="180"/>
      <c r="ADG16" s="180"/>
      <c r="ADH16" s="180"/>
      <c r="ADI16" s="180"/>
      <c r="ADJ16" s="180"/>
      <c r="ADK16" s="180"/>
      <c r="ADL16" s="180"/>
      <c r="ADM16" s="180"/>
      <c r="ADN16" s="180"/>
      <c r="ADO16" s="180"/>
      <c r="ADP16" s="180"/>
      <c r="ADQ16" s="180"/>
      <c r="ADR16" s="180"/>
      <c r="ADS16" s="180"/>
      <c r="ADT16" s="180"/>
      <c r="ADU16" s="180"/>
      <c r="ADV16" s="180"/>
      <c r="ADW16" s="180"/>
      <c r="ADX16" s="180"/>
      <c r="ADY16" s="180"/>
      <c r="ADZ16" s="180"/>
      <c r="AEA16" s="180"/>
      <c r="AEB16" s="180"/>
      <c r="AEC16" s="180"/>
      <c r="AED16" s="180"/>
      <c r="AEE16" s="180"/>
      <c r="AEF16" s="180"/>
      <c r="AEG16" s="180"/>
      <c r="AEH16" s="180"/>
      <c r="AEI16" s="180"/>
      <c r="AEJ16" s="180"/>
      <c r="AEK16" s="180"/>
      <c r="AEL16" s="180"/>
      <c r="AEM16" s="180"/>
      <c r="AEN16" s="180"/>
      <c r="AEO16" s="180"/>
      <c r="AEP16" s="180"/>
      <c r="AEQ16" s="180"/>
      <c r="AER16" s="180"/>
      <c r="AES16" s="180"/>
      <c r="AET16" s="180"/>
      <c r="AEU16" s="180"/>
      <c r="AEV16" s="180"/>
      <c r="AEW16" s="180"/>
      <c r="AEX16" s="180"/>
      <c r="AEY16" s="180"/>
      <c r="AEZ16" s="180"/>
      <c r="AFA16" s="180"/>
      <c r="AFB16" s="180"/>
      <c r="AFC16" s="180"/>
      <c r="AFD16" s="180"/>
      <c r="AFE16" s="180"/>
      <c r="AFF16" s="180"/>
      <c r="AFG16" s="180"/>
      <c r="AFH16" s="180"/>
      <c r="AFI16" s="180"/>
      <c r="AFJ16" s="180"/>
      <c r="AFK16" s="180"/>
      <c r="AFL16" s="180"/>
      <c r="AFM16" s="180"/>
      <c r="AFN16" s="180"/>
      <c r="AFO16" s="180"/>
      <c r="AFP16" s="180"/>
      <c r="AFQ16" s="180"/>
      <c r="AFR16" s="180"/>
      <c r="AFS16" s="180"/>
      <c r="AFT16" s="180"/>
      <c r="AFU16" s="180"/>
      <c r="AFV16" s="180"/>
      <c r="AFW16" s="180"/>
      <c r="AFX16" s="180"/>
      <c r="AFY16" s="180"/>
      <c r="AFZ16" s="180"/>
      <c r="AGA16" s="180"/>
      <c r="AGB16" s="180"/>
      <c r="AGC16" s="180"/>
      <c r="AGD16" s="180"/>
      <c r="AGE16" s="180"/>
      <c r="AGF16" s="180"/>
      <c r="AGG16" s="180"/>
      <c r="AGH16" s="180"/>
      <c r="AGI16" s="180"/>
      <c r="AGJ16" s="180"/>
      <c r="AGK16" s="180"/>
      <c r="AGL16" s="180"/>
      <c r="AGM16" s="180"/>
      <c r="AGN16" s="180"/>
      <c r="AGO16" s="180"/>
      <c r="AGP16" s="180"/>
      <c r="AGQ16" s="180"/>
      <c r="AGR16" s="180"/>
      <c r="AGS16" s="180"/>
      <c r="AGT16" s="180"/>
      <c r="AGU16" s="180"/>
      <c r="AGV16" s="180"/>
      <c r="AGW16" s="180"/>
      <c r="AGX16" s="180"/>
      <c r="AGY16" s="180"/>
      <c r="AGZ16" s="180"/>
      <c r="AHA16" s="180"/>
      <c r="AHB16" s="180"/>
      <c r="AHC16" s="180"/>
      <c r="AHD16" s="180"/>
      <c r="AHE16" s="180"/>
      <c r="AHF16" s="180"/>
      <c r="AHG16" s="180"/>
      <c r="AHH16" s="180"/>
      <c r="AHI16" s="180"/>
      <c r="AHJ16" s="180"/>
      <c r="AHK16" s="180"/>
      <c r="AHL16" s="180"/>
      <c r="AHM16" s="180"/>
      <c r="AHN16" s="180"/>
      <c r="AHO16" s="180"/>
      <c r="AHP16" s="180"/>
      <c r="AHQ16" s="180"/>
      <c r="AHR16" s="180"/>
      <c r="AHS16" s="180"/>
      <c r="AHT16" s="180"/>
      <c r="AHU16" s="180"/>
      <c r="AHV16" s="180"/>
      <c r="AHW16" s="180"/>
      <c r="AHX16" s="180"/>
      <c r="AHY16" s="180"/>
      <c r="AHZ16" s="180"/>
      <c r="AIA16" s="180"/>
      <c r="AIB16" s="180"/>
      <c r="AIC16" s="180"/>
      <c r="AID16" s="180"/>
      <c r="AIE16" s="180"/>
      <c r="AIF16" s="180"/>
      <c r="AIG16" s="180"/>
      <c r="AIH16" s="180"/>
      <c r="AII16" s="180"/>
      <c r="AIJ16" s="180"/>
      <c r="AIK16" s="180"/>
      <c r="AIL16" s="180"/>
      <c r="AIM16" s="180"/>
      <c r="AIN16" s="180"/>
      <c r="AIO16" s="180"/>
      <c r="AIP16" s="180"/>
      <c r="AIQ16" s="180"/>
      <c r="AIR16" s="180"/>
      <c r="AIS16" s="180"/>
      <c r="AIT16" s="180"/>
      <c r="AIU16" s="180"/>
      <c r="AIV16" s="180"/>
      <c r="AIW16" s="180"/>
      <c r="AIX16" s="180"/>
      <c r="AIY16" s="180"/>
      <c r="AIZ16" s="180"/>
      <c r="AJA16" s="180"/>
      <c r="AJB16" s="180"/>
      <c r="AJC16" s="180"/>
      <c r="AJD16" s="180"/>
      <c r="AJE16" s="180"/>
      <c r="AJF16" s="180"/>
      <c r="AJG16" s="180"/>
      <c r="AJH16" s="180"/>
      <c r="AJI16" s="180"/>
      <c r="AJJ16" s="180"/>
      <c r="AJK16" s="180"/>
      <c r="AJL16" s="180"/>
      <c r="AJM16" s="180"/>
      <c r="AJN16" s="180"/>
      <c r="AJO16" s="180"/>
      <c r="AJP16" s="180"/>
      <c r="AJQ16" s="180"/>
      <c r="AJR16" s="180"/>
      <c r="AJS16" s="180"/>
      <c r="AJT16" s="180"/>
      <c r="AJU16" s="180"/>
      <c r="AJV16" s="180"/>
      <c r="AJW16" s="180"/>
      <c r="AJX16" s="180"/>
      <c r="AJY16" s="180"/>
      <c r="AJZ16" s="180"/>
      <c r="AKA16" s="180"/>
      <c r="AKB16" s="180"/>
      <c r="AKC16" s="180"/>
      <c r="AKD16" s="180"/>
      <c r="AKE16" s="180"/>
      <c r="AKF16" s="180"/>
      <c r="AKG16" s="180"/>
      <c r="AKH16" s="180"/>
      <c r="AKI16" s="180"/>
      <c r="AKJ16" s="180"/>
      <c r="AKK16" s="180"/>
      <c r="AKL16" s="180"/>
      <c r="AKM16" s="180"/>
      <c r="AKN16" s="180"/>
      <c r="AKO16" s="180"/>
      <c r="AKP16" s="180"/>
      <c r="AKQ16" s="180"/>
      <c r="AKR16" s="180"/>
      <c r="AKS16" s="180"/>
      <c r="AKT16" s="180"/>
      <c r="AKU16" s="180"/>
      <c r="AKV16" s="180"/>
      <c r="AKW16" s="180"/>
      <c r="AKX16" s="180"/>
      <c r="AKY16" s="180"/>
      <c r="AKZ16" s="180"/>
      <c r="ALA16" s="180"/>
      <c r="ALB16" s="180"/>
      <c r="ALC16" s="180"/>
      <c r="ALD16" s="180"/>
      <c r="ALE16" s="180"/>
      <c r="ALF16" s="180"/>
      <c r="ALG16" s="180"/>
      <c r="ALH16" s="180"/>
      <c r="ALI16" s="180"/>
      <c r="ALJ16" s="180"/>
      <c r="ALK16" s="180"/>
      <c r="ALL16" s="180"/>
      <c r="ALM16" s="180"/>
      <c r="ALN16" s="180"/>
      <c r="ALO16" s="180"/>
      <c r="ALP16" s="180"/>
      <c r="ALQ16" s="180"/>
      <c r="ALR16" s="180"/>
      <c r="ALS16" s="180"/>
      <c r="ALT16" s="180"/>
      <c r="ALU16" s="180"/>
      <c r="ALV16" s="180"/>
      <c r="ALW16" s="180"/>
      <c r="ALX16" s="180"/>
      <c r="ALY16" s="180"/>
      <c r="ALZ16" s="180"/>
      <c r="AMA16" s="279"/>
      <c r="AMB16" s="279"/>
      <c r="AMC16" s="279"/>
      <c r="AMD16" s="279"/>
      <c r="AME16" s="279"/>
      <c r="AMF16" s="279"/>
      <c r="AMG16" s="279"/>
      <c r="AMH16" s="279"/>
      <c r="AMI16" s="280"/>
    </row>
    <row r="17" spans="1:1023" s="259" customFormat="1" x14ac:dyDescent="0.25">
      <c r="A17" s="281"/>
      <c r="B17" s="180"/>
      <c r="C17" s="286"/>
      <c r="D17" s="180"/>
      <c r="E17" s="506"/>
      <c r="F17" s="506"/>
      <c r="G17" s="506"/>
      <c r="H17" s="276"/>
      <c r="I17" s="275"/>
      <c r="J17" s="275"/>
      <c r="K17" s="275"/>
      <c r="L17" s="279"/>
      <c r="M17" s="275"/>
      <c r="N17" s="180"/>
      <c r="O17" s="180"/>
      <c r="P17" s="180"/>
      <c r="Q17" s="180"/>
      <c r="R17" s="180"/>
      <c r="S17" s="180"/>
      <c r="T17" s="180"/>
      <c r="U17" s="180"/>
      <c r="V17" s="180"/>
      <c r="W17" s="180"/>
      <c r="X17" s="180"/>
      <c r="Y17" s="180"/>
      <c r="Z17" s="180"/>
      <c r="AA17" s="180"/>
      <c r="AB17" s="180"/>
      <c r="AC17" s="180"/>
      <c r="AD17" s="180"/>
      <c r="AE17" s="180"/>
      <c r="AF17" s="180"/>
      <c r="AG17" s="180"/>
      <c r="AH17" s="180"/>
      <c r="AI17" s="180"/>
      <c r="AJ17" s="180"/>
      <c r="AK17" s="180"/>
      <c r="AL17" s="180"/>
      <c r="AM17" s="180"/>
      <c r="AN17" s="180"/>
      <c r="AO17" s="180"/>
      <c r="AP17" s="180"/>
      <c r="AQ17" s="180"/>
      <c r="AR17" s="180"/>
      <c r="AS17" s="180"/>
      <c r="AT17" s="180"/>
      <c r="AU17" s="180"/>
      <c r="AV17" s="180"/>
      <c r="AW17" s="180"/>
      <c r="AX17" s="180"/>
      <c r="AY17" s="180"/>
      <c r="AZ17" s="180"/>
      <c r="BA17" s="180"/>
      <c r="BB17" s="180"/>
      <c r="BC17" s="180"/>
      <c r="BD17" s="180"/>
      <c r="BE17" s="180"/>
      <c r="BF17" s="180"/>
      <c r="BG17" s="180"/>
      <c r="BH17" s="180"/>
      <c r="BI17" s="180"/>
      <c r="BJ17" s="180"/>
      <c r="BK17" s="180"/>
      <c r="BL17" s="180"/>
      <c r="BM17" s="180"/>
      <c r="BN17" s="180"/>
      <c r="BO17" s="180"/>
      <c r="BP17" s="180"/>
      <c r="BQ17" s="180"/>
      <c r="BR17" s="180"/>
      <c r="BS17" s="180"/>
      <c r="BT17" s="180"/>
      <c r="BU17" s="180"/>
      <c r="BV17" s="180"/>
      <c r="BW17" s="180"/>
      <c r="BX17" s="180"/>
      <c r="BY17" s="180"/>
      <c r="BZ17" s="180"/>
      <c r="CA17" s="180"/>
      <c r="CB17" s="180"/>
      <c r="CC17" s="180"/>
      <c r="CD17" s="180"/>
      <c r="CE17" s="180"/>
      <c r="CF17" s="180"/>
      <c r="CG17" s="180"/>
      <c r="CH17" s="180"/>
      <c r="CI17" s="180"/>
      <c r="CJ17" s="180"/>
      <c r="CK17" s="180"/>
      <c r="CL17" s="180"/>
      <c r="CM17" s="180"/>
      <c r="CN17" s="180"/>
      <c r="CO17" s="180"/>
      <c r="CP17" s="180"/>
      <c r="CQ17" s="180"/>
      <c r="CR17" s="180"/>
      <c r="CS17" s="180"/>
      <c r="CT17" s="180"/>
      <c r="CU17" s="180"/>
      <c r="CV17" s="180"/>
      <c r="CW17" s="180"/>
      <c r="CX17" s="180"/>
      <c r="CY17" s="180"/>
      <c r="CZ17" s="180"/>
      <c r="DA17" s="180"/>
      <c r="DB17" s="180"/>
      <c r="DC17" s="180"/>
      <c r="DD17" s="180"/>
      <c r="DE17" s="180"/>
      <c r="DF17" s="180"/>
      <c r="DG17" s="180"/>
      <c r="DH17" s="180"/>
      <c r="DI17" s="180"/>
      <c r="DJ17" s="180"/>
      <c r="DK17" s="180"/>
      <c r="DL17" s="180"/>
      <c r="DM17" s="180"/>
      <c r="DN17" s="180"/>
      <c r="DO17" s="180"/>
      <c r="DP17" s="180"/>
      <c r="DQ17" s="180"/>
      <c r="DR17" s="180"/>
      <c r="DS17" s="180"/>
      <c r="DT17" s="180"/>
      <c r="DU17" s="180"/>
      <c r="DV17" s="180"/>
      <c r="DW17" s="180"/>
      <c r="DX17" s="180"/>
      <c r="DY17" s="180"/>
      <c r="DZ17" s="180"/>
      <c r="EA17" s="180"/>
      <c r="EB17" s="180"/>
      <c r="EC17" s="180"/>
      <c r="ED17" s="180"/>
      <c r="EE17" s="180"/>
      <c r="EF17" s="180"/>
      <c r="EG17" s="180"/>
      <c r="EH17" s="180"/>
      <c r="EI17" s="180"/>
      <c r="EJ17" s="180"/>
      <c r="EK17" s="180"/>
      <c r="EL17" s="180"/>
      <c r="EM17" s="180"/>
      <c r="EN17" s="180"/>
      <c r="EO17" s="180"/>
      <c r="EP17" s="180"/>
      <c r="EQ17" s="180"/>
      <c r="ER17" s="180"/>
      <c r="ES17" s="180"/>
      <c r="ET17" s="180"/>
      <c r="EU17" s="180"/>
      <c r="EV17" s="180"/>
      <c r="EW17" s="180"/>
      <c r="EX17" s="180"/>
      <c r="EY17" s="180"/>
      <c r="EZ17" s="180"/>
      <c r="FA17" s="180"/>
      <c r="FB17" s="180"/>
      <c r="FC17" s="180"/>
      <c r="FD17" s="180"/>
      <c r="FE17" s="180"/>
      <c r="FF17" s="180"/>
      <c r="FG17" s="180"/>
      <c r="FH17" s="180"/>
      <c r="FI17" s="180"/>
      <c r="FJ17" s="180"/>
      <c r="FK17" s="180"/>
      <c r="FL17" s="180"/>
      <c r="FM17" s="180"/>
      <c r="FN17" s="180"/>
      <c r="FO17" s="180"/>
      <c r="FP17" s="180"/>
      <c r="FQ17" s="180"/>
      <c r="FR17" s="180"/>
      <c r="FS17" s="180"/>
      <c r="FT17" s="180"/>
      <c r="FU17" s="180"/>
      <c r="FV17" s="180"/>
      <c r="FW17" s="180"/>
      <c r="FX17" s="180"/>
      <c r="FY17" s="180"/>
      <c r="FZ17" s="180"/>
      <c r="GA17" s="180"/>
      <c r="GB17" s="180"/>
      <c r="GC17" s="180"/>
      <c r="GD17" s="180"/>
      <c r="GE17" s="180"/>
      <c r="GF17" s="180"/>
      <c r="GG17" s="180"/>
      <c r="GH17" s="180"/>
      <c r="GI17" s="180"/>
      <c r="GJ17" s="180"/>
      <c r="GK17" s="180"/>
      <c r="GL17" s="180"/>
      <c r="GM17" s="180"/>
      <c r="GN17" s="180"/>
      <c r="GO17" s="180"/>
      <c r="GP17" s="180"/>
      <c r="GQ17" s="180"/>
      <c r="GR17" s="180"/>
      <c r="GS17" s="180"/>
      <c r="GT17" s="180"/>
      <c r="GU17" s="180"/>
      <c r="GV17" s="180"/>
      <c r="GW17" s="180"/>
      <c r="GX17" s="180"/>
      <c r="GY17" s="180"/>
      <c r="GZ17" s="180"/>
      <c r="HA17" s="180"/>
      <c r="HB17" s="180"/>
      <c r="HC17" s="180"/>
      <c r="HD17" s="180"/>
      <c r="HE17" s="180"/>
      <c r="HF17" s="180"/>
      <c r="HG17" s="180"/>
      <c r="HH17" s="180"/>
      <c r="HI17" s="180"/>
      <c r="HJ17" s="180"/>
      <c r="HK17" s="180"/>
      <c r="HL17" s="180"/>
      <c r="HM17" s="180"/>
      <c r="HN17" s="180"/>
      <c r="HO17" s="180"/>
      <c r="HP17" s="180"/>
      <c r="HQ17" s="180"/>
      <c r="HR17" s="180"/>
      <c r="HS17" s="180"/>
      <c r="HT17" s="180"/>
      <c r="HU17" s="180"/>
      <c r="HV17" s="180"/>
      <c r="HW17" s="180"/>
      <c r="HX17" s="180"/>
      <c r="HY17" s="180"/>
      <c r="HZ17" s="180"/>
      <c r="IA17" s="180"/>
      <c r="IB17" s="180"/>
      <c r="IC17" s="180"/>
      <c r="ID17" s="180"/>
      <c r="IE17" s="180"/>
      <c r="IF17" s="180"/>
      <c r="IG17" s="180"/>
      <c r="IH17" s="180"/>
      <c r="II17" s="180"/>
      <c r="IJ17" s="180"/>
      <c r="IK17" s="180"/>
      <c r="IL17" s="180"/>
      <c r="IM17" s="180"/>
      <c r="IN17" s="180"/>
      <c r="IO17" s="180"/>
      <c r="IP17" s="180"/>
      <c r="IQ17" s="180"/>
      <c r="IR17" s="180"/>
      <c r="IS17" s="180"/>
      <c r="IT17" s="180"/>
      <c r="IU17" s="180"/>
      <c r="IV17" s="180"/>
      <c r="IW17" s="180"/>
      <c r="IX17" s="180"/>
      <c r="IY17" s="180"/>
      <c r="IZ17" s="180"/>
      <c r="JA17" s="180"/>
      <c r="JB17" s="180"/>
      <c r="JC17" s="180"/>
      <c r="JD17" s="180"/>
      <c r="JE17" s="180"/>
      <c r="JF17" s="180"/>
      <c r="JG17" s="180"/>
      <c r="JH17" s="180"/>
      <c r="JI17" s="180"/>
      <c r="JJ17" s="180"/>
      <c r="JK17" s="180"/>
      <c r="JL17" s="180"/>
      <c r="JM17" s="180"/>
      <c r="JN17" s="180"/>
      <c r="JO17" s="180"/>
      <c r="JP17" s="180"/>
      <c r="JQ17" s="180"/>
      <c r="JR17" s="180"/>
      <c r="JS17" s="180"/>
      <c r="JT17" s="180"/>
      <c r="JU17" s="180"/>
      <c r="JV17" s="180"/>
      <c r="JW17" s="180"/>
      <c r="JX17" s="180"/>
      <c r="JY17" s="180"/>
      <c r="JZ17" s="180"/>
      <c r="KA17" s="180"/>
      <c r="KB17" s="180"/>
      <c r="KC17" s="180"/>
      <c r="KD17" s="180"/>
      <c r="KE17" s="180"/>
      <c r="KF17" s="180"/>
      <c r="KG17" s="180"/>
      <c r="KH17" s="180"/>
      <c r="KI17" s="180"/>
      <c r="KJ17" s="180"/>
      <c r="KK17" s="180"/>
      <c r="KL17" s="180"/>
      <c r="KM17" s="180"/>
      <c r="KN17" s="180"/>
      <c r="KO17" s="180"/>
      <c r="KP17" s="180"/>
      <c r="KQ17" s="180"/>
      <c r="KR17" s="180"/>
      <c r="KS17" s="180"/>
      <c r="KT17" s="180"/>
      <c r="KU17" s="180"/>
      <c r="KV17" s="180"/>
      <c r="KW17" s="180"/>
      <c r="KX17" s="180"/>
      <c r="KY17" s="180"/>
      <c r="KZ17" s="180"/>
      <c r="LA17" s="180"/>
      <c r="LB17" s="180"/>
      <c r="LC17" s="180"/>
      <c r="LD17" s="180"/>
      <c r="LE17" s="180"/>
      <c r="LF17" s="180"/>
      <c r="LG17" s="180"/>
      <c r="LH17" s="180"/>
      <c r="LI17" s="180"/>
      <c r="LJ17" s="180"/>
      <c r="LK17" s="180"/>
      <c r="LL17" s="180"/>
      <c r="LM17" s="180"/>
      <c r="LN17" s="180"/>
      <c r="LO17" s="180"/>
      <c r="LP17" s="180"/>
      <c r="LQ17" s="180"/>
      <c r="LR17" s="180"/>
      <c r="LS17" s="180"/>
      <c r="LT17" s="180"/>
      <c r="LU17" s="180"/>
      <c r="LV17" s="180"/>
      <c r="LW17" s="180"/>
      <c r="LX17" s="180"/>
      <c r="LY17" s="180"/>
      <c r="LZ17" s="180"/>
      <c r="MA17" s="180"/>
      <c r="MB17" s="180"/>
      <c r="MC17" s="180"/>
      <c r="MD17" s="180"/>
      <c r="ME17" s="180"/>
      <c r="MF17" s="180"/>
      <c r="MG17" s="180"/>
      <c r="MH17" s="180"/>
      <c r="MI17" s="180"/>
      <c r="MJ17" s="180"/>
      <c r="MK17" s="180"/>
      <c r="ML17" s="180"/>
      <c r="MM17" s="180"/>
      <c r="MN17" s="180"/>
      <c r="MO17" s="180"/>
      <c r="MP17" s="180"/>
      <c r="MQ17" s="180"/>
      <c r="MR17" s="180"/>
      <c r="MS17" s="180"/>
      <c r="MT17" s="180"/>
      <c r="MU17" s="180"/>
      <c r="MV17" s="180"/>
      <c r="MW17" s="180"/>
      <c r="MX17" s="180"/>
      <c r="MY17" s="180"/>
      <c r="MZ17" s="180"/>
      <c r="NA17" s="180"/>
      <c r="NB17" s="180"/>
      <c r="NC17" s="180"/>
      <c r="ND17" s="180"/>
      <c r="NE17" s="180"/>
      <c r="NF17" s="180"/>
      <c r="NG17" s="180"/>
      <c r="NH17" s="180"/>
      <c r="NI17" s="180"/>
      <c r="NJ17" s="180"/>
      <c r="NK17" s="180"/>
      <c r="NL17" s="180"/>
      <c r="NM17" s="180"/>
      <c r="NN17" s="180"/>
      <c r="NO17" s="180"/>
      <c r="NP17" s="180"/>
      <c r="NQ17" s="180"/>
      <c r="NR17" s="180"/>
      <c r="NS17" s="180"/>
      <c r="NT17" s="180"/>
      <c r="NU17" s="180"/>
      <c r="NV17" s="180"/>
      <c r="NW17" s="180"/>
      <c r="NX17" s="180"/>
      <c r="NY17" s="180"/>
      <c r="NZ17" s="180"/>
      <c r="OA17" s="180"/>
      <c r="OB17" s="180"/>
      <c r="OC17" s="180"/>
      <c r="OD17" s="180"/>
      <c r="OE17" s="180"/>
      <c r="OF17" s="180"/>
      <c r="OG17" s="180"/>
      <c r="OH17" s="180"/>
      <c r="OI17" s="180"/>
      <c r="OJ17" s="180"/>
      <c r="OK17" s="180"/>
      <c r="OL17" s="180"/>
      <c r="OM17" s="180"/>
      <c r="ON17" s="180"/>
      <c r="OO17" s="180"/>
      <c r="OP17" s="180"/>
      <c r="OQ17" s="180"/>
      <c r="OR17" s="180"/>
      <c r="OS17" s="180"/>
      <c r="OT17" s="180"/>
      <c r="OU17" s="180"/>
      <c r="OV17" s="180"/>
      <c r="OW17" s="180"/>
      <c r="OX17" s="180"/>
      <c r="OY17" s="180"/>
      <c r="OZ17" s="180"/>
      <c r="PA17" s="180"/>
      <c r="PB17" s="180"/>
      <c r="PC17" s="180"/>
      <c r="PD17" s="180"/>
      <c r="PE17" s="180"/>
      <c r="PF17" s="180"/>
      <c r="PG17" s="180"/>
      <c r="PH17" s="180"/>
      <c r="PI17" s="180"/>
      <c r="PJ17" s="180"/>
      <c r="PK17" s="180"/>
      <c r="PL17" s="180"/>
      <c r="PM17" s="180"/>
      <c r="PN17" s="180"/>
      <c r="PO17" s="180"/>
      <c r="PP17" s="180"/>
      <c r="PQ17" s="180"/>
      <c r="PR17" s="180"/>
      <c r="PS17" s="180"/>
      <c r="PT17" s="180"/>
      <c r="PU17" s="180"/>
      <c r="PV17" s="180"/>
      <c r="PW17" s="180"/>
      <c r="PX17" s="180"/>
      <c r="PY17" s="180"/>
      <c r="PZ17" s="180"/>
      <c r="QA17" s="180"/>
      <c r="QB17" s="180"/>
      <c r="QC17" s="180"/>
      <c r="QD17" s="180"/>
      <c r="QE17" s="180"/>
      <c r="QF17" s="180"/>
      <c r="QG17" s="180"/>
      <c r="QH17" s="180"/>
      <c r="QI17" s="180"/>
      <c r="QJ17" s="180"/>
      <c r="QK17" s="180"/>
      <c r="QL17" s="180"/>
      <c r="QM17" s="180"/>
      <c r="QN17" s="180"/>
      <c r="QO17" s="180"/>
      <c r="QP17" s="180"/>
      <c r="QQ17" s="180"/>
      <c r="QR17" s="180"/>
      <c r="QS17" s="180"/>
      <c r="QT17" s="180"/>
      <c r="QU17" s="180"/>
      <c r="QV17" s="180"/>
      <c r="QW17" s="180"/>
      <c r="QX17" s="180"/>
      <c r="QY17" s="180"/>
      <c r="QZ17" s="180"/>
      <c r="RA17" s="180"/>
      <c r="RB17" s="180"/>
      <c r="RC17" s="180"/>
      <c r="RD17" s="180"/>
      <c r="RE17" s="180"/>
      <c r="RF17" s="180"/>
      <c r="RG17" s="180"/>
      <c r="RH17" s="180"/>
      <c r="RI17" s="180"/>
      <c r="RJ17" s="180"/>
      <c r="RK17" s="180"/>
      <c r="RL17" s="180"/>
      <c r="RM17" s="180"/>
      <c r="RN17" s="180"/>
      <c r="RO17" s="180"/>
      <c r="RP17" s="180"/>
      <c r="RQ17" s="180"/>
      <c r="RR17" s="180"/>
      <c r="RS17" s="180"/>
      <c r="RT17" s="180"/>
      <c r="RU17" s="180"/>
      <c r="RV17" s="180"/>
      <c r="RW17" s="180"/>
      <c r="RX17" s="180"/>
      <c r="RY17" s="180"/>
      <c r="RZ17" s="180"/>
      <c r="SA17" s="180"/>
      <c r="SB17" s="180"/>
      <c r="SC17" s="180"/>
      <c r="SD17" s="180"/>
      <c r="SE17" s="180"/>
      <c r="SF17" s="180"/>
      <c r="SG17" s="180"/>
      <c r="SH17" s="180"/>
      <c r="SI17" s="180"/>
      <c r="SJ17" s="180"/>
      <c r="SK17" s="180"/>
      <c r="SL17" s="180"/>
      <c r="SM17" s="180"/>
      <c r="SN17" s="180"/>
      <c r="SO17" s="180"/>
      <c r="SP17" s="180"/>
      <c r="SQ17" s="180"/>
      <c r="SR17" s="180"/>
      <c r="SS17" s="180"/>
      <c r="ST17" s="180"/>
      <c r="SU17" s="180"/>
      <c r="SV17" s="180"/>
      <c r="SW17" s="180"/>
      <c r="SX17" s="180"/>
      <c r="SY17" s="180"/>
      <c r="SZ17" s="180"/>
      <c r="TA17" s="180"/>
      <c r="TB17" s="180"/>
      <c r="TC17" s="180"/>
      <c r="TD17" s="180"/>
      <c r="TE17" s="180"/>
      <c r="TF17" s="180"/>
      <c r="TG17" s="180"/>
      <c r="TH17" s="180"/>
      <c r="TI17" s="180"/>
      <c r="TJ17" s="180"/>
      <c r="TK17" s="180"/>
      <c r="TL17" s="180"/>
      <c r="TM17" s="180"/>
      <c r="TN17" s="180"/>
      <c r="TO17" s="180"/>
      <c r="TP17" s="180"/>
      <c r="TQ17" s="180"/>
      <c r="TR17" s="180"/>
      <c r="TS17" s="180"/>
      <c r="TT17" s="180"/>
      <c r="TU17" s="180"/>
      <c r="TV17" s="180"/>
      <c r="TW17" s="180"/>
      <c r="TX17" s="180"/>
      <c r="TY17" s="180"/>
      <c r="TZ17" s="180"/>
      <c r="UA17" s="180"/>
      <c r="UB17" s="180"/>
      <c r="UC17" s="180"/>
      <c r="UD17" s="180"/>
      <c r="UE17" s="180"/>
      <c r="UF17" s="180"/>
      <c r="UG17" s="180"/>
      <c r="UH17" s="180"/>
      <c r="UI17" s="180"/>
      <c r="UJ17" s="180"/>
      <c r="UK17" s="180"/>
      <c r="UL17" s="180"/>
      <c r="UM17" s="180"/>
      <c r="UN17" s="180"/>
      <c r="UO17" s="180"/>
      <c r="UP17" s="180"/>
      <c r="UQ17" s="180"/>
      <c r="UR17" s="180"/>
      <c r="US17" s="180"/>
      <c r="UT17" s="180"/>
      <c r="UU17" s="180"/>
      <c r="UV17" s="180"/>
      <c r="UW17" s="180"/>
      <c r="UX17" s="180"/>
      <c r="UY17" s="180"/>
      <c r="UZ17" s="180"/>
      <c r="VA17" s="180"/>
      <c r="VB17" s="180"/>
      <c r="VC17" s="180"/>
      <c r="VD17" s="180"/>
      <c r="VE17" s="180"/>
      <c r="VF17" s="180"/>
      <c r="VG17" s="180"/>
      <c r="VH17" s="180"/>
      <c r="VI17" s="180"/>
      <c r="VJ17" s="180"/>
      <c r="VK17" s="180"/>
      <c r="VL17" s="180"/>
      <c r="VM17" s="180"/>
      <c r="VN17" s="180"/>
      <c r="VO17" s="180"/>
      <c r="VP17" s="180"/>
      <c r="VQ17" s="180"/>
      <c r="VR17" s="180"/>
      <c r="VS17" s="180"/>
      <c r="VT17" s="180"/>
      <c r="VU17" s="180"/>
      <c r="VV17" s="180"/>
      <c r="VW17" s="180"/>
      <c r="VX17" s="180"/>
      <c r="VY17" s="180"/>
      <c r="VZ17" s="180"/>
      <c r="WA17" s="180"/>
      <c r="WB17" s="180"/>
      <c r="WC17" s="180"/>
      <c r="WD17" s="180"/>
      <c r="WE17" s="180"/>
      <c r="WF17" s="180"/>
      <c r="WG17" s="180"/>
      <c r="WH17" s="180"/>
      <c r="WI17" s="180"/>
      <c r="WJ17" s="180"/>
      <c r="WK17" s="180"/>
      <c r="WL17" s="180"/>
      <c r="WM17" s="180"/>
      <c r="WN17" s="180"/>
      <c r="WO17" s="180"/>
      <c r="WP17" s="180"/>
      <c r="WQ17" s="180"/>
      <c r="WR17" s="180"/>
      <c r="WS17" s="180"/>
      <c r="WT17" s="180"/>
      <c r="WU17" s="180"/>
      <c r="WV17" s="180"/>
      <c r="WW17" s="180"/>
      <c r="WX17" s="180"/>
      <c r="WY17" s="180"/>
      <c r="WZ17" s="180"/>
      <c r="XA17" s="180"/>
      <c r="XB17" s="180"/>
      <c r="XC17" s="180"/>
      <c r="XD17" s="180"/>
      <c r="XE17" s="180"/>
      <c r="XF17" s="180"/>
      <c r="XG17" s="180"/>
      <c r="XH17" s="180"/>
      <c r="XI17" s="180"/>
      <c r="XJ17" s="180"/>
      <c r="XK17" s="180"/>
      <c r="XL17" s="180"/>
      <c r="XM17" s="180"/>
      <c r="XN17" s="180"/>
      <c r="XO17" s="180"/>
      <c r="XP17" s="180"/>
      <c r="XQ17" s="180"/>
      <c r="XR17" s="180"/>
      <c r="XS17" s="180"/>
      <c r="XT17" s="180"/>
      <c r="XU17" s="180"/>
      <c r="XV17" s="180"/>
      <c r="XW17" s="180"/>
      <c r="XX17" s="180"/>
      <c r="XY17" s="180"/>
      <c r="XZ17" s="180"/>
      <c r="YA17" s="180"/>
      <c r="YB17" s="180"/>
      <c r="YC17" s="180"/>
      <c r="YD17" s="180"/>
      <c r="YE17" s="180"/>
      <c r="YF17" s="180"/>
      <c r="YG17" s="180"/>
      <c r="YH17" s="180"/>
      <c r="YI17" s="180"/>
      <c r="YJ17" s="180"/>
      <c r="YK17" s="180"/>
      <c r="YL17" s="180"/>
      <c r="YM17" s="180"/>
      <c r="YN17" s="180"/>
      <c r="YO17" s="180"/>
      <c r="YP17" s="180"/>
      <c r="YQ17" s="180"/>
      <c r="YR17" s="180"/>
      <c r="YS17" s="180"/>
      <c r="YT17" s="180"/>
      <c r="YU17" s="180"/>
      <c r="YV17" s="180"/>
      <c r="YW17" s="180"/>
      <c r="YX17" s="180"/>
      <c r="YY17" s="180"/>
      <c r="YZ17" s="180"/>
      <c r="ZA17" s="180"/>
      <c r="ZB17" s="180"/>
      <c r="ZC17" s="180"/>
      <c r="ZD17" s="180"/>
      <c r="ZE17" s="180"/>
      <c r="ZF17" s="180"/>
      <c r="ZG17" s="180"/>
      <c r="ZH17" s="180"/>
      <c r="ZI17" s="180"/>
      <c r="ZJ17" s="180"/>
      <c r="ZK17" s="180"/>
      <c r="ZL17" s="180"/>
      <c r="ZM17" s="180"/>
      <c r="ZN17" s="180"/>
      <c r="ZO17" s="180"/>
      <c r="ZP17" s="180"/>
      <c r="ZQ17" s="180"/>
      <c r="ZR17" s="180"/>
      <c r="ZS17" s="180"/>
      <c r="ZT17" s="180"/>
      <c r="ZU17" s="180"/>
      <c r="ZV17" s="180"/>
      <c r="ZW17" s="180"/>
      <c r="ZX17" s="180"/>
      <c r="ZY17" s="180"/>
      <c r="ZZ17" s="180"/>
      <c r="AAA17" s="180"/>
      <c r="AAB17" s="180"/>
      <c r="AAC17" s="180"/>
      <c r="AAD17" s="180"/>
      <c r="AAE17" s="180"/>
      <c r="AAF17" s="180"/>
      <c r="AAG17" s="180"/>
      <c r="AAH17" s="180"/>
      <c r="AAI17" s="180"/>
      <c r="AAJ17" s="180"/>
      <c r="AAK17" s="180"/>
      <c r="AAL17" s="180"/>
      <c r="AAM17" s="180"/>
      <c r="AAN17" s="180"/>
      <c r="AAO17" s="180"/>
      <c r="AAP17" s="180"/>
      <c r="AAQ17" s="180"/>
      <c r="AAR17" s="180"/>
      <c r="AAS17" s="180"/>
      <c r="AAT17" s="180"/>
      <c r="AAU17" s="180"/>
      <c r="AAV17" s="180"/>
      <c r="AAW17" s="180"/>
      <c r="AAX17" s="180"/>
      <c r="AAY17" s="180"/>
      <c r="AAZ17" s="180"/>
      <c r="ABA17" s="180"/>
      <c r="ABB17" s="180"/>
      <c r="ABC17" s="180"/>
      <c r="ABD17" s="180"/>
      <c r="ABE17" s="180"/>
      <c r="ABF17" s="180"/>
      <c r="ABG17" s="180"/>
      <c r="ABH17" s="180"/>
      <c r="ABI17" s="180"/>
      <c r="ABJ17" s="180"/>
      <c r="ABK17" s="180"/>
      <c r="ABL17" s="180"/>
      <c r="ABM17" s="180"/>
      <c r="ABN17" s="180"/>
      <c r="ABO17" s="180"/>
      <c r="ABP17" s="180"/>
      <c r="ABQ17" s="180"/>
      <c r="ABR17" s="180"/>
      <c r="ABS17" s="180"/>
      <c r="ABT17" s="180"/>
      <c r="ABU17" s="180"/>
      <c r="ABV17" s="180"/>
      <c r="ABW17" s="180"/>
      <c r="ABX17" s="180"/>
      <c r="ABY17" s="180"/>
      <c r="ABZ17" s="180"/>
      <c r="ACA17" s="180"/>
      <c r="ACB17" s="180"/>
      <c r="ACC17" s="180"/>
      <c r="ACD17" s="180"/>
      <c r="ACE17" s="180"/>
      <c r="ACF17" s="180"/>
      <c r="ACG17" s="180"/>
      <c r="ACH17" s="180"/>
      <c r="ACI17" s="180"/>
      <c r="ACJ17" s="180"/>
      <c r="ACK17" s="180"/>
      <c r="ACL17" s="180"/>
      <c r="ACM17" s="180"/>
      <c r="ACN17" s="180"/>
      <c r="ACO17" s="180"/>
      <c r="ACP17" s="180"/>
      <c r="ACQ17" s="180"/>
      <c r="ACR17" s="180"/>
      <c r="ACS17" s="180"/>
      <c r="ACT17" s="180"/>
      <c r="ACU17" s="180"/>
      <c r="ACV17" s="180"/>
      <c r="ACW17" s="180"/>
      <c r="ACX17" s="180"/>
      <c r="ACY17" s="180"/>
      <c r="ACZ17" s="180"/>
      <c r="ADA17" s="180"/>
      <c r="ADB17" s="180"/>
      <c r="ADC17" s="180"/>
      <c r="ADD17" s="180"/>
      <c r="ADE17" s="180"/>
      <c r="ADF17" s="180"/>
      <c r="ADG17" s="180"/>
      <c r="ADH17" s="180"/>
      <c r="ADI17" s="180"/>
      <c r="ADJ17" s="180"/>
      <c r="ADK17" s="180"/>
      <c r="ADL17" s="180"/>
      <c r="ADM17" s="180"/>
      <c r="ADN17" s="180"/>
      <c r="ADO17" s="180"/>
      <c r="ADP17" s="180"/>
      <c r="ADQ17" s="180"/>
      <c r="ADR17" s="180"/>
      <c r="ADS17" s="180"/>
      <c r="ADT17" s="180"/>
      <c r="ADU17" s="180"/>
      <c r="ADV17" s="180"/>
      <c r="ADW17" s="180"/>
      <c r="ADX17" s="180"/>
      <c r="ADY17" s="180"/>
      <c r="ADZ17" s="180"/>
      <c r="AEA17" s="180"/>
      <c r="AEB17" s="180"/>
      <c r="AEC17" s="180"/>
      <c r="AED17" s="180"/>
      <c r="AEE17" s="180"/>
      <c r="AEF17" s="180"/>
      <c r="AEG17" s="180"/>
      <c r="AEH17" s="180"/>
      <c r="AEI17" s="180"/>
      <c r="AEJ17" s="180"/>
      <c r="AEK17" s="180"/>
      <c r="AEL17" s="180"/>
      <c r="AEM17" s="180"/>
      <c r="AEN17" s="180"/>
      <c r="AEO17" s="180"/>
      <c r="AEP17" s="180"/>
      <c r="AEQ17" s="180"/>
      <c r="AER17" s="180"/>
      <c r="AES17" s="180"/>
      <c r="AET17" s="180"/>
      <c r="AEU17" s="180"/>
      <c r="AEV17" s="180"/>
      <c r="AEW17" s="180"/>
      <c r="AEX17" s="180"/>
      <c r="AEY17" s="180"/>
      <c r="AEZ17" s="180"/>
      <c r="AFA17" s="180"/>
      <c r="AFB17" s="180"/>
      <c r="AFC17" s="180"/>
      <c r="AFD17" s="180"/>
      <c r="AFE17" s="180"/>
      <c r="AFF17" s="180"/>
      <c r="AFG17" s="180"/>
      <c r="AFH17" s="180"/>
      <c r="AFI17" s="180"/>
      <c r="AFJ17" s="180"/>
      <c r="AFK17" s="180"/>
      <c r="AFL17" s="180"/>
      <c r="AFM17" s="180"/>
      <c r="AFN17" s="180"/>
      <c r="AFO17" s="180"/>
      <c r="AFP17" s="180"/>
      <c r="AFQ17" s="180"/>
      <c r="AFR17" s="180"/>
      <c r="AFS17" s="180"/>
      <c r="AFT17" s="180"/>
      <c r="AFU17" s="180"/>
      <c r="AFV17" s="180"/>
      <c r="AFW17" s="180"/>
      <c r="AFX17" s="180"/>
      <c r="AFY17" s="180"/>
      <c r="AFZ17" s="180"/>
      <c r="AGA17" s="180"/>
      <c r="AGB17" s="180"/>
      <c r="AGC17" s="180"/>
      <c r="AGD17" s="180"/>
      <c r="AGE17" s="180"/>
      <c r="AGF17" s="180"/>
      <c r="AGG17" s="180"/>
      <c r="AGH17" s="180"/>
      <c r="AGI17" s="180"/>
      <c r="AGJ17" s="180"/>
      <c r="AGK17" s="180"/>
      <c r="AGL17" s="180"/>
      <c r="AGM17" s="180"/>
      <c r="AGN17" s="180"/>
      <c r="AGO17" s="180"/>
      <c r="AGP17" s="180"/>
      <c r="AGQ17" s="180"/>
      <c r="AGR17" s="180"/>
      <c r="AGS17" s="180"/>
      <c r="AGT17" s="180"/>
      <c r="AGU17" s="180"/>
      <c r="AGV17" s="180"/>
      <c r="AGW17" s="180"/>
      <c r="AGX17" s="180"/>
      <c r="AGY17" s="180"/>
      <c r="AGZ17" s="180"/>
      <c r="AHA17" s="180"/>
      <c r="AHB17" s="180"/>
      <c r="AHC17" s="180"/>
      <c r="AHD17" s="180"/>
      <c r="AHE17" s="180"/>
      <c r="AHF17" s="180"/>
      <c r="AHG17" s="180"/>
      <c r="AHH17" s="180"/>
      <c r="AHI17" s="180"/>
      <c r="AHJ17" s="180"/>
      <c r="AHK17" s="180"/>
      <c r="AHL17" s="180"/>
      <c r="AHM17" s="180"/>
      <c r="AHN17" s="180"/>
      <c r="AHO17" s="180"/>
      <c r="AHP17" s="180"/>
      <c r="AHQ17" s="180"/>
      <c r="AHR17" s="180"/>
      <c r="AHS17" s="180"/>
      <c r="AHT17" s="180"/>
      <c r="AHU17" s="180"/>
      <c r="AHV17" s="180"/>
      <c r="AHW17" s="180"/>
      <c r="AHX17" s="180"/>
      <c r="AHY17" s="180"/>
      <c r="AHZ17" s="180"/>
      <c r="AIA17" s="180"/>
      <c r="AIB17" s="180"/>
      <c r="AIC17" s="180"/>
      <c r="AID17" s="180"/>
      <c r="AIE17" s="180"/>
      <c r="AIF17" s="180"/>
      <c r="AIG17" s="180"/>
      <c r="AIH17" s="180"/>
      <c r="AII17" s="180"/>
      <c r="AIJ17" s="180"/>
      <c r="AIK17" s="180"/>
      <c r="AIL17" s="180"/>
      <c r="AIM17" s="180"/>
      <c r="AIN17" s="180"/>
      <c r="AIO17" s="180"/>
      <c r="AIP17" s="180"/>
      <c r="AIQ17" s="180"/>
      <c r="AIR17" s="180"/>
      <c r="AIS17" s="180"/>
      <c r="AIT17" s="180"/>
      <c r="AIU17" s="180"/>
      <c r="AIV17" s="180"/>
      <c r="AIW17" s="180"/>
      <c r="AIX17" s="180"/>
      <c r="AIY17" s="180"/>
      <c r="AIZ17" s="180"/>
      <c r="AJA17" s="180"/>
      <c r="AJB17" s="180"/>
      <c r="AJC17" s="180"/>
      <c r="AJD17" s="180"/>
      <c r="AJE17" s="180"/>
      <c r="AJF17" s="180"/>
      <c r="AJG17" s="180"/>
      <c r="AJH17" s="180"/>
      <c r="AJI17" s="180"/>
      <c r="AJJ17" s="180"/>
      <c r="AJK17" s="180"/>
      <c r="AJL17" s="180"/>
      <c r="AJM17" s="180"/>
      <c r="AJN17" s="180"/>
      <c r="AJO17" s="180"/>
      <c r="AJP17" s="180"/>
      <c r="AJQ17" s="180"/>
      <c r="AJR17" s="180"/>
      <c r="AJS17" s="180"/>
      <c r="AJT17" s="180"/>
      <c r="AJU17" s="180"/>
      <c r="AJV17" s="180"/>
      <c r="AJW17" s="180"/>
      <c r="AJX17" s="180"/>
      <c r="AJY17" s="180"/>
      <c r="AJZ17" s="180"/>
      <c r="AKA17" s="180"/>
      <c r="AKB17" s="180"/>
      <c r="AKC17" s="180"/>
      <c r="AKD17" s="180"/>
      <c r="AKE17" s="180"/>
      <c r="AKF17" s="180"/>
      <c r="AKG17" s="180"/>
      <c r="AKH17" s="180"/>
      <c r="AKI17" s="180"/>
      <c r="AKJ17" s="180"/>
      <c r="AKK17" s="180"/>
      <c r="AKL17" s="180"/>
      <c r="AKM17" s="180"/>
      <c r="AKN17" s="180"/>
      <c r="AKO17" s="180"/>
      <c r="AKP17" s="180"/>
      <c r="AKQ17" s="180"/>
      <c r="AKR17" s="180"/>
      <c r="AKS17" s="180"/>
      <c r="AKT17" s="180"/>
      <c r="AKU17" s="180"/>
      <c r="AKV17" s="180"/>
      <c r="AKW17" s="180"/>
      <c r="AKX17" s="180"/>
      <c r="AKY17" s="180"/>
      <c r="AKZ17" s="180"/>
      <c r="ALA17" s="180"/>
      <c r="ALB17" s="180"/>
      <c r="ALC17" s="180"/>
      <c r="ALD17" s="180"/>
      <c r="ALE17" s="180"/>
      <c r="ALF17" s="180"/>
      <c r="ALG17" s="180"/>
      <c r="ALH17" s="180"/>
      <c r="ALI17" s="180"/>
      <c r="ALJ17" s="180"/>
      <c r="ALK17" s="180"/>
      <c r="ALL17" s="180"/>
      <c r="ALM17" s="180"/>
      <c r="ALN17" s="180"/>
      <c r="ALO17" s="180"/>
      <c r="ALP17" s="180"/>
      <c r="ALQ17" s="180"/>
      <c r="ALR17" s="180"/>
      <c r="ALS17" s="180"/>
      <c r="ALT17" s="180"/>
      <c r="ALU17" s="180"/>
      <c r="ALV17" s="180"/>
      <c r="ALW17" s="180"/>
      <c r="ALX17" s="180"/>
      <c r="ALY17" s="180"/>
      <c r="ALZ17" s="180"/>
      <c r="AMA17" s="279"/>
      <c r="AMB17" s="279"/>
      <c r="AMC17" s="279"/>
      <c r="AMD17" s="279"/>
      <c r="AME17" s="279"/>
      <c r="AMF17" s="279"/>
      <c r="AMG17" s="279"/>
      <c r="AMH17" s="279"/>
      <c r="AMI17" s="280"/>
    </row>
    <row r="18" spans="1:1023" s="259" customFormat="1" ht="35.25" customHeight="1" x14ac:dyDescent="0.25">
      <c r="A18" s="287"/>
      <c r="B18" s="287"/>
      <c r="C18" s="288" t="s">
        <v>272</v>
      </c>
      <c r="D18" s="180"/>
      <c r="E18" s="494">
        <v>0</v>
      </c>
      <c r="F18" s="506"/>
      <c r="G18" s="494">
        <v>0</v>
      </c>
      <c r="H18" s="276"/>
      <c r="I18" s="277">
        <v>0</v>
      </c>
      <c r="J18" s="275"/>
      <c r="K18" s="277">
        <v>0</v>
      </c>
      <c r="L18" s="275"/>
      <c r="M18" s="277">
        <v>0</v>
      </c>
      <c r="N18" s="180"/>
      <c r="O18" s="180"/>
      <c r="P18" s="180"/>
      <c r="Q18" s="180"/>
      <c r="R18" s="180"/>
      <c r="S18" s="180"/>
      <c r="T18" s="180"/>
      <c r="U18" s="180"/>
      <c r="V18" s="180"/>
      <c r="W18" s="180"/>
      <c r="X18" s="180"/>
      <c r="Y18" s="180"/>
      <c r="Z18" s="180"/>
      <c r="AA18" s="180"/>
      <c r="AB18" s="180"/>
      <c r="AC18" s="180"/>
      <c r="AD18" s="180"/>
      <c r="AE18" s="180"/>
      <c r="AF18" s="180"/>
      <c r="AG18" s="180"/>
      <c r="AH18" s="180"/>
      <c r="AI18" s="180"/>
      <c r="AJ18" s="180"/>
      <c r="AK18" s="180"/>
      <c r="AL18" s="180"/>
      <c r="AM18" s="180"/>
      <c r="AN18" s="180"/>
      <c r="AO18" s="180"/>
      <c r="AP18" s="180"/>
      <c r="AQ18" s="180"/>
      <c r="AR18" s="180"/>
      <c r="AS18" s="180"/>
      <c r="AT18" s="180"/>
      <c r="AU18" s="180"/>
      <c r="AV18" s="180"/>
      <c r="AW18" s="180"/>
      <c r="AX18" s="180"/>
      <c r="AY18" s="180"/>
      <c r="AZ18" s="180"/>
      <c r="BA18" s="180"/>
      <c r="BB18" s="180"/>
      <c r="BC18" s="180"/>
      <c r="BD18" s="180"/>
      <c r="BE18" s="180"/>
      <c r="BF18" s="180"/>
      <c r="BG18" s="180"/>
      <c r="BH18" s="180"/>
      <c r="BI18" s="180"/>
      <c r="BJ18" s="180"/>
      <c r="BK18" s="180"/>
      <c r="BL18" s="180"/>
      <c r="BM18" s="180"/>
      <c r="BN18" s="180"/>
      <c r="BO18" s="180"/>
      <c r="BP18" s="180"/>
      <c r="BQ18" s="180"/>
      <c r="BR18" s="180"/>
      <c r="BS18" s="180"/>
      <c r="BT18" s="180"/>
      <c r="BU18" s="180"/>
      <c r="BV18" s="180"/>
      <c r="BW18" s="180"/>
      <c r="BX18" s="180"/>
      <c r="BY18" s="180"/>
      <c r="BZ18" s="180"/>
      <c r="CA18" s="180"/>
      <c r="CB18" s="180"/>
      <c r="CC18" s="180"/>
      <c r="CD18" s="180"/>
      <c r="CE18" s="180"/>
      <c r="CF18" s="180"/>
      <c r="CG18" s="180"/>
      <c r="CH18" s="180"/>
      <c r="CI18" s="180"/>
      <c r="CJ18" s="180"/>
      <c r="CK18" s="180"/>
      <c r="CL18" s="180"/>
      <c r="CM18" s="180"/>
      <c r="CN18" s="180"/>
      <c r="CO18" s="180"/>
      <c r="CP18" s="180"/>
      <c r="CQ18" s="180"/>
      <c r="CR18" s="180"/>
      <c r="CS18" s="180"/>
      <c r="CT18" s="180"/>
      <c r="CU18" s="180"/>
      <c r="CV18" s="180"/>
      <c r="CW18" s="180"/>
      <c r="CX18" s="180"/>
      <c r="CY18" s="180"/>
      <c r="CZ18" s="180"/>
      <c r="DA18" s="180"/>
      <c r="DB18" s="180"/>
      <c r="DC18" s="180"/>
      <c r="DD18" s="180"/>
      <c r="DE18" s="180"/>
      <c r="DF18" s="180"/>
      <c r="DG18" s="180"/>
      <c r="DH18" s="180"/>
      <c r="DI18" s="180"/>
      <c r="DJ18" s="180"/>
      <c r="DK18" s="180"/>
      <c r="DL18" s="180"/>
      <c r="DM18" s="180"/>
      <c r="DN18" s="180"/>
      <c r="DO18" s="180"/>
      <c r="DP18" s="180"/>
      <c r="DQ18" s="180"/>
      <c r="DR18" s="180"/>
      <c r="DS18" s="180"/>
      <c r="DT18" s="180"/>
      <c r="DU18" s="180"/>
      <c r="DV18" s="180"/>
      <c r="DW18" s="180"/>
      <c r="DX18" s="180"/>
      <c r="DY18" s="180"/>
      <c r="DZ18" s="180"/>
      <c r="EA18" s="180"/>
      <c r="EB18" s="180"/>
      <c r="EC18" s="180"/>
      <c r="ED18" s="180"/>
      <c r="EE18" s="180"/>
      <c r="EF18" s="180"/>
      <c r="EG18" s="180"/>
      <c r="EH18" s="180"/>
      <c r="EI18" s="180"/>
      <c r="EJ18" s="180"/>
      <c r="EK18" s="180"/>
      <c r="EL18" s="180"/>
      <c r="EM18" s="180"/>
      <c r="EN18" s="180"/>
      <c r="EO18" s="180"/>
      <c r="EP18" s="180"/>
      <c r="EQ18" s="180"/>
      <c r="ER18" s="180"/>
      <c r="ES18" s="180"/>
      <c r="ET18" s="180"/>
      <c r="EU18" s="180"/>
      <c r="EV18" s="180"/>
      <c r="EW18" s="180"/>
      <c r="EX18" s="180"/>
      <c r="EY18" s="180"/>
      <c r="EZ18" s="180"/>
      <c r="FA18" s="180"/>
      <c r="FB18" s="180"/>
      <c r="FC18" s="180"/>
      <c r="FD18" s="180"/>
      <c r="FE18" s="180"/>
      <c r="FF18" s="180"/>
      <c r="FG18" s="180"/>
      <c r="FH18" s="180"/>
      <c r="FI18" s="180"/>
      <c r="FJ18" s="180"/>
      <c r="FK18" s="180"/>
      <c r="FL18" s="180"/>
      <c r="FM18" s="180"/>
      <c r="FN18" s="180"/>
      <c r="FO18" s="180"/>
      <c r="FP18" s="180"/>
      <c r="FQ18" s="180"/>
      <c r="FR18" s="180"/>
      <c r="FS18" s="180"/>
      <c r="FT18" s="180"/>
      <c r="FU18" s="180"/>
      <c r="FV18" s="180"/>
      <c r="FW18" s="180"/>
      <c r="FX18" s="180"/>
      <c r="FY18" s="180"/>
      <c r="FZ18" s="180"/>
      <c r="GA18" s="180"/>
      <c r="GB18" s="180"/>
      <c r="GC18" s="180"/>
      <c r="GD18" s="180"/>
      <c r="GE18" s="180"/>
      <c r="GF18" s="180"/>
      <c r="GG18" s="180"/>
      <c r="GH18" s="180"/>
      <c r="GI18" s="180"/>
      <c r="GJ18" s="180"/>
      <c r="GK18" s="180"/>
      <c r="GL18" s="180"/>
      <c r="GM18" s="180"/>
      <c r="GN18" s="180"/>
      <c r="GO18" s="180"/>
      <c r="GP18" s="180"/>
      <c r="GQ18" s="180"/>
      <c r="GR18" s="180"/>
      <c r="GS18" s="180"/>
      <c r="GT18" s="180"/>
      <c r="GU18" s="180"/>
      <c r="GV18" s="180"/>
      <c r="GW18" s="180"/>
      <c r="GX18" s="180"/>
      <c r="GY18" s="180"/>
      <c r="GZ18" s="180"/>
      <c r="HA18" s="180"/>
      <c r="HB18" s="180"/>
      <c r="HC18" s="180"/>
      <c r="HD18" s="180"/>
      <c r="HE18" s="180"/>
      <c r="HF18" s="180"/>
      <c r="HG18" s="180"/>
      <c r="HH18" s="180"/>
      <c r="HI18" s="180"/>
      <c r="HJ18" s="180"/>
      <c r="HK18" s="180"/>
      <c r="HL18" s="180"/>
      <c r="HM18" s="180"/>
      <c r="HN18" s="180"/>
      <c r="HO18" s="180"/>
      <c r="HP18" s="180"/>
      <c r="HQ18" s="180"/>
      <c r="HR18" s="180"/>
      <c r="HS18" s="180"/>
      <c r="HT18" s="180"/>
      <c r="HU18" s="180"/>
      <c r="HV18" s="180"/>
      <c r="HW18" s="180"/>
      <c r="HX18" s="180"/>
      <c r="HY18" s="180"/>
      <c r="HZ18" s="180"/>
      <c r="IA18" s="180"/>
      <c r="IB18" s="180"/>
      <c r="IC18" s="180"/>
      <c r="ID18" s="180"/>
      <c r="IE18" s="180"/>
      <c r="IF18" s="180"/>
      <c r="IG18" s="180"/>
      <c r="IH18" s="180"/>
      <c r="II18" s="180"/>
      <c r="IJ18" s="180"/>
      <c r="IK18" s="180"/>
      <c r="IL18" s="180"/>
      <c r="IM18" s="180"/>
      <c r="IN18" s="180"/>
      <c r="IO18" s="180"/>
      <c r="IP18" s="180"/>
      <c r="IQ18" s="180"/>
      <c r="IR18" s="180"/>
      <c r="IS18" s="180"/>
      <c r="IT18" s="180"/>
      <c r="IU18" s="180"/>
      <c r="IV18" s="180"/>
      <c r="IW18" s="180"/>
      <c r="IX18" s="180"/>
      <c r="IY18" s="180"/>
      <c r="IZ18" s="180"/>
      <c r="JA18" s="180"/>
      <c r="JB18" s="180"/>
      <c r="JC18" s="180"/>
      <c r="JD18" s="180"/>
      <c r="JE18" s="180"/>
      <c r="JF18" s="180"/>
      <c r="JG18" s="180"/>
      <c r="JH18" s="180"/>
      <c r="JI18" s="180"/>
      <c r="JJ18" s="180"/>
      <c r="JK18" s="180"/>
      <c r="JL18" s="180"/>
      <c r="JM18" s="180"/>
      <c r="JN18" s="180"/>
      <c r="JO18" s="180"/>
      <c r="JP18" s="180"/>
      <c r="JQ18" s="180"/>
      <c r="JR18" s="180"/>
      <c r="JS18" s="180"/>
      <c r="JT18" s="180"/>
      <c r="JU18" s="180"/>
      <c r="JV18" s="180"/>
      <c r="JW18" s="180"/>
      <c r="JX18" s="180"/>
      <c r="JY18" s="180"/>
      <c r="JZ18" s="180"/>
      <c r="KA18" s="180"/>
      <c r="KB18" s="180"/>
      <c r="KC18" s="180"/>
      <c r="KD18" s="180"/>
      <c r="KE18" s="180"/>
      <c r="KF18" s="180"/>
      <c r="KG18" s="180"/>
      <c r="KH18" s="180"/>
      <c r="KI18" s="180"/>
      <c r="KJ18" s="180"/>
      <c r="KK18" s="180"/>
      <c r="KL18" s="180"/>
      <c r="KM18" s="180"/>
      <c r="KN18" s="180"/>
      <c r="KO18" s="180"/>
      <c r="KP18" s="180"/>
      <c r="KQ18" s="180"/>
      <c r="KR18" s="180"/>
      <c r="KS18" s="180"/>
      <c r="KT18" s="180"/>
      <c r="KU18" s="180"/>
      <c r="KV18" s="180"/>
      <c r="KW18" s="180"/>
      <c r="KX18" s="180"/>
      <c r="KY18" s="180"/>
      <c r="KZ18" s="180"/>
      <c r="LA18" s="180"/>
      <c r="LB18" s="180"/>
      <c r="LC18" s="180"/>
      <c r="LD18" s="180"/>
      <c r="LE18" s="180"/>
      <c r="LF18" s="180"/>
      <c r="LG18" s="180"/>
      <c r="LH18" s="180"/>
      <c r="LI18" s="180"/>
      <c r="LJ18" s="180"/>
      <c r="LK18" s="180"/>
      <c r="LL18" s="180"/>
      <c r="LM18" s="180"/>
      <c r="LN18" s="180"/>
      <c r="LO18" s="180"/>
      <c r="LP18" s="180"/>
      <c r="LQ18" s="180"/>
      <c r="LR18" s="180"/>
      <c r="LS18" s="180"/>
      <c r="LT18" s="180"/>
      <c r="LU18" s="180"/>
      <c r="LV18" s="180"/>
      <c r="LW18" s="180"/>
      <c r="LX18" s="180"/>
      <c r="LY18" s="180"/>
      <c r="LZ18" s="180"/>
      <c r="MA18" s="180"/>
      <c r="MB18" s="180"/>
      <c r="MC18" s="180"/>
      <c r="MD18" s="180"/>
      <c r="ME18" s="180"/>
      <c r="MF18" s="180"/>
      <c r="MG18" s="180"/>
      <c r="MH18" s="180"/>
      <c r="MI18" s="180"/>
      <c r="MJ18" s="180"/>
      <c r="MK18" s="180"/>
      <c r="ML18" s="180"/>
      <c r="MM18" s="180"/>
      <c r="MN18" s="180"/>
      <c r="MO18" s="180"/>
      <c r="MP18" s="180"/>
      <c r="MQ18" s="180"/>
      <c r="MR18" s="180"/>
      <c r="MS18" s="180"/>
      <c r="MT18" s="180"/>
      <c r="MU18" s="180"/>
      <c r="MV18" s="180"/>
      <c r="MW18" s="180"/>
      <c r="MX18" s="180"/>
      <c r="MY18" s="180"/>
      <c r="MZ18" s="180"/>
      <c r="NA18" s="180"/>
      <c r="NB18" s="180"/>
      <c r="NC18" s="180"/>
      <c r="ND18" s="180"/>
      <c r="NE18" s="180"/>
      <c r="NF18" s="180"/>
      <c r="NG18" s="180"/>
      <c r="NH18" s="180"/>
      <c r="NI18" s="180"/>
      <c r="NJ18" s="180"/>
      <c r="NK18" s="180"/>
      <c r="NL18" s="180"/>
      <c r="NM18" s="180"/>
      <c r="NN18" s="180"/>
      <c r="NO18" s="180"/>
      <c r="NP18" s="180"/>
      <c r="NQ18" s="180"/>
      <c r="NR18" s="180"/>
      <c r="NS18" s="180"/>
      <c r="NT18" s="180"/>
      <c r="NU18" s="180"/>
      <c r="NV18" s="180"/>
      <c r="NW18" s="180"/>
      <c r="NX18" s="180"/>
      <c r="NY18" s="180"/>
      <c r="NZ18" s="180"/>
      <c r="OA18" s="180"/>
      <c r="OB18" s="180"/>
      <c r="OC18" s="180"/>
      <c r="OD18" s="180"/>
      <c r="OE18" s="180"/>
      <c r="OF18" s="180"/>
      <c r="OG18" s="180"/>
      <c r="OH18" s="180"/>
      <c r="OI18" s="180"/>
      <c r="OJ18" s="180"/>
      <c r="OK18" s="180"/>
      <c r="OL18" s="180"/>
      <c r="OM18" s="180"/>
      <c r="ON18" s="180"/>
      <c r="OO18" s="180"/>
      <c r="OP18" s="180"/>
      <c r="OQ18" s="180"/>
      <c r="OR18" s="180"/>
      <c r="OS18" s="180"/>
      <c r="OT18" s="180"/>
      <c r="OU18" s="180"/>
      <c r="OV18" s="180"/>
      <c r="OW18" s="180"/>
      <c r="OX18" s="180"/>
      <c r="OY18" s="180"/>
      <c r="OZ18" s="180"/>
      <c r="PA18" s="180"/>
      <c r="PB18" s="180"/>
      <c r="PC18" s="180"/>
      <c r="PD18" s="180"/>
      <c r="PE18" s="180"/>
      <c r="PF18" s="180"/>
      <c r="PG18" s="180"/>
      <c r="PH18" s="180"/>
      <c r="PI18" s="180"/>
      <c r="PJ18" s="180"/>
      <c r="PK18" s="180"/>
      <c r="PL18" s="180"/>
      <c r="PM18" s="180"/>
      <c r="PN18" s="180"/>
      <c r="PO18" s="180"/>
      <c r="PP18" s="180"/>
      <c r="PQ18" s="180"/>
      <c r="PR18" s="180"/>
      <c r="PS18" s="180"/>
      <c r="PT18" s="180"/>
      <c r="PU18" s="180"/>
      <c r="PV18" s="180"/>
      <c r="PW18" s="180"/>
      <c r="PX18" s="180"/>
      <c r="PY18" s="180"/>
      <c r="PZ18" s="180"/>
      <c r="QA18" s="180"/>
      <c r="QB18" s="180"/>
      <c r="QC18" s="180"/>
      <c r="QD18" s="180"/>
      <c r="QE18" s="180"/>
      <c r="QF18" s="180"/>
      <c r="QG18" s="180"/>
      <c r="QH18" s="180"/>
      <c r="QI18" s="180"/>
      <c r="QJ18" s="180"/>
      <c r="QK18" s="180"/>
      <c r="QL18" s="180"/>
      <c r="QM18" s="180"/>
      <c r="QN18" s="180"/>
      <c r="QO18" s="180"/>
      <c r="QP18" s="180"/>
      <c r="QQ18" s="180"/>
      <c r="QR18" s="180"/>
      <c r="QS18" s="180"/>
      <c r="QT18" s="180"/>
      <c r="QU18" s="180"/>
      <c r="QV18" s="180"/>
      <c r="QW18" s="180"/>
      <c r="QX18" s="180"/>
      <c r="QY18" s="180"/>
      <c r="QZ18" s="180"/>
      <c r="RA18" s="180"/>
      <c r="RB18" s="180"/>
      <c r="RC18" s="180"/>
      <c r="RD18" s="180"/>
      <c r="RE18" s="180"/>
      <c r="RF18" s="180"/>
      <c r="RG18" s="180"/>
      <c r="RH18" s="180"/>
      <c r="RI18" s="180"/>
      <c r="RJ18" s="180"/>
      <c r="RK18" s="180"/>
      <c r="RL18" s="180"/>
      <c r="RM18" s="180"/>
      <c r="RN18" s="180"/>
      <c r="RO18" s="180"/>
      <c r="RP18" s="180"/>
      <c r="RQ18" s="180"/>
      <c r="RR18" s="180"/>
      <c r="RS18" s="180"/>
      <c r="RT18" s="180"/>
      <c r="RU18" s="180"/>
      <c r="RV18" s="180"/>
      <c r="RW18" s="180"/>
      <c r="RX18" s="180"/>
      <c r="RY18" s="180"/>
      <c r="RZ18" s="180"/>
      <c r="SA18" s="180"/>
      <c r="SB18" s="180"/>
      <c r="SC18" s="180"/>
      <c r="SD18" s="180"/>
      <c r="SE18" s="180"/>
      <c r="SF18" s="180"/>
      <c r="SG18" s="180"/>
      <c r="SH18" s="180"/>
      <c r="SI18" s="180"/>
      <c r="SJ18" s="180"/>
      <c r="SK18" s="180"/>
      <c r="SL18" s="180"/>
      <c r="SM18" s="180"/>
      <c r="SN18" s="180"/>
      <c r="SO18" s="180"/>
      <c r="SP18" s="180"/>
      <c r="SQ18" s="180"/>
      <c r="SR18" s="180"/>
      <c r="SS18" s="180"/>
      <c r="ST18" s="180"/>
      <c r="SU18" s="180"/>
      <c r="SV18" s="180"/>
      <c r="SW18" s="180"/>
      <c r="SX18" s="180"/>
      <c r="SY18" s="180"/>
      <c r="SZ18" s="180"/>
      <c r="TA18" s="180"/>
      <c r="TB18" s="180"/>
      <c r="TC18" s="180"/>
      <c r="TD18" s="180"/>
      <c r="TE18" s="180"/>
      <c r="TF18" s="180"/>
      <c r="TG18" s="180"/>
      <c r="TH18" s="180"/>
      <c r="TI18" s="180"/>
      <c r="TJ18" s="180"/>
      <c r="TK18" s="180"/>
      <c r="TL18" s="180"/>
      <c r="TM18" s="180"/>
      <c r="TN18" s="180"/>
      <c r="TO18" s="180"/>
      <c r="TP18" s="180"/>
      <c r="TQ18" s="180"/>
      <c r="TR18" s="180"/>
      <c r="TS18" s="180"/>
      <c r="TT18" s="180"/>
      <c r="TU18" s="180"/>
      <c r="TV18" s="180"/>
      <c r="TW18" s="180"/>
      <c r="TX18" s="180"/>
      <c r="TY18" s="180"/>
      <c r="TZ18" s="180"/>
      <c r="UA18" s="180"/>
      <c r="UB18" s="180"/>
      <c r="UC18" s="180"/>
      <c r="UD18" s="180"/>
      <c r="UE18" s="180"/>
      <c r="UF18" s="180"/>
      <c r="UG18" s="180"/>
      <c r="UH18" s="180"/>
      <c r="UI18" s="180"/>
      <c r="UJ18" s="180"/>
      <c r="UK18" s="180"/>
      <c r="UL18" s="180"/>
      <c r="UM18" s="180"/>
      <c r="UN18" s="180"/>
      <c r="UO18" s="180"/>
      <c r="UP18" s="180"/>
      <c r="UQ18" s="180"/>
      <c r="UR18" s="180"/>
      <c r="US18" s="180"/>
      <c r="UT18" s="180"/>
      <c r="UU18" s="180"/>
      <c r="UV18" s="180"/>
      <c r="UW18" s="180"/>
      <c r="UX18" s="180"/>
      <c r="UY18" s="180"/>
      <c r="UZ18" s="180"/>
      <c r="VA18" s="180"/>
      <c r="VB18" s="180"/>
      <c r="VC18" s="180"/>
      <c r="VD18" s="180"/>
      <c r="VE18" s="180"/>
      <c r="VF18" s="180"/>
      <c r="VG18" s="180"/>
      <c r="VH18" s="180"/>
      <c r="VI18" s="180"/>
      <c r="VJ18" s="180"/>
      <c r="VK18" s="180"/>
      <c r="VL18" s="180"/>
      <c r="VM18" s="180"/>
      <c r="VN18" s="180"/>
      <c r="VO18" s="180"/>
      <c r="VP18" s="180"/>
      <c r="VQ18" s="180"/>
      <c r="VR18" s="180"/>
      <c r="VS18" s="180"/>
      <c r="VT18" s="180"/>
      <c r="VU18" s="180"/>
      <c r="VV18" s="180"/>
      <c r="VW18" s="180"/>
      <c r="VX18" s="180"/>
      <c r="VY18" s="180"/>
      <c r="VZ18" s="180"/>
      <c r="WA18" s="180"/>
      <c r="WB18" s="180"/>
      <c r="WC18" s="180"/>
      <c r="WD18" s="180"/>
      <c r="WE18" s="180"/>
      <c r="WF18" s="180"/>
      <c r="WG18" s="180"/>
      <c r="WH18" s="180"/>
      <c r="WI18" s="180"/>
      <c r="WJ18" s="180"/>
      <c r="WK18" s="180"/>
      <c r="WL18" s="180"/>
      <c r="WM18" s="180"/>
      <c r="WN18" s="180"/>
      <c r="WO18" s="180"/>
      <c r="WP18" s="180"/>
      <c r="WQ18" s="180"/>
      <c r="WR18" s="180"/>
      <c r="WS18" s="180"/>
      <c r="WT18" s="180"/>
      <c r="WU18" s="180"/>
      <c r="WV18" s="180"/>
      <c r="WW18" s="180"/>
      <c r="WX18" s="180"/>
      <c r="WY18" s="180"/>
      <c r="WZ18" s="180"/>
      <c r="XA18" s="180"/>
      <c r="XB18" s="180"/>
      <c r="XC18" s="180"/>
      <c r="XD18" s="180"/>
      <c r="XE18" s="180"/>
      <c r="XF18" s="180"/>
      <c r="XG18" s="180"/>
      <c r="XH18" s="180"/>
      <c r="XI18" s="180"/>
      <c r="XJ18" s="180"/>
      <c r="XK18" s="180"/>
      <c r="XL18" s="180"/>
      <c r="XM18" s="180"/>
      <c r="XN18" s="180"/>
      <c r="XO18" s="180"/>
      <c r="XP18" s="180"/>
      <c r="XQ18" s="180"/>
      <c r="XR18" s="180"/>
      <c r="XS18" s="180"/>
      <c r="XT18" s="180"/>
      <c r="XU18" s="180"/>
      <c r="XV18" s="180"/>
      <c r="XW18" s="180"/>
      <c r="XX18" s="180"/>
      <c r="XY18" s="180"/>
      <c r="XZ18" s="180"/>
      <c r="YA18" s="180"/>
      <c r="YB18" s="180"/>
      <c r="YC18" s="180"/>
      <c r="YD18" s="180"/>
      <c r="YE18" s="180"/>
      <c r="YF18" s="180"/>
      <c r="YG18" s="180"/>
      <c r="YH18" s="180"/>
      <c r="YI18" s="180"/>
      <c r="YJ18" s="180"/>
      <c r="YK18" s="180"/>
      <c r="YL18" s="180"/>
      <c r="YM18" s="180"/>
      <c r="YN18" s="180"/>
      <c r="YO18" s="180"/>
      <c r="YP18" s="180"/>
      <c r="YQ18" s="180"/>
      <c r="YR18" s="180"/>
      <c r="YS18" s="180"/>
      <c r="YT18" s="180"/>
      <c r="YU18" s="180"/>
      <c r="YV18" s="180"/>
      <c r="YW18" s="180"/>
      <c r="YX18" s="180"/>
      <c r="YY18" s="180"/>
      <c r="YZ18" s="180"/>
      <c r="ZA18" s="180"/>
      <c r="ZB18" s="180"/>
      <c r="ZC18" s="180"/>
      <c r="ZD18" s="180"/>
      <c r="ZE18" s="180"/>
      <c r="ZF18" s="180"/>
      <c r="ZG18" s="180"/>
      <c r="ZH18" s="180"/>
      <c r="ZI18" s="180"/>
      <c r="ZJ18" s="180"/>
      <c r="ZK18" s="180"/>
      <c r="ZL18" s="180"/>
      <c r="ZM18" s="180"/>
      <c r="ZN18" s="180"/>
      <c r="ZO18" s="180"/>
      <c r="ZP18" s="180"/>
      <c r="ZQ18" s="180"/>
      <c r="ZR18" s="180"/>
      <c r="ZS18" s="180"/>
      <c r="ZT18" s="180"/>
      <c r="ZU18" s="180"/>
      <c r="ZV18" s="180"/>
      <c r="ZW18" s="180"/>
      <c r="ZX18" s="180"/>
      <c r="ZY18" s="180"/>
      <c r="ZZ18" s="180"/>
      <c r="AAA18" s="180"/>
      <c r="AAB18" s="180"/>
      <c r="AAC18" s="180"/>
      <c r="AAD18" s="180"/>
      <c r="AAE18" s="180"/>
      <c r="AAF18" s="180"/>
      <c r="AAG18" s="180"/>
      <c r="AAH18" s="180"/>
      <c r="AAI18" s="180"/>
      <c r="AAJ18" s="180"/>
      <c r="AAK18" s="180"/>
      <c r="AAL18" s="180"/>
      <c r="AAM18" s="180"/>
      <c r="AAN18" s="180"/>
      <c r="AAO18" s="180"/>
      <c r="AAP18" s="180"/>
      <c r="AAQ18" s="180"/>
      <c r="AAR18" s="180"/>
      <c r="AAS18" s="180"/>
      <c r="AAT18" s="180"/>
      <c r="AAU18" s="180"/>
      <c r="AAV18" s="180"/>
      <c r="AAW18" s="180"/>
      <c r="AAX18" s="180"/>
      <c r="AAY18" s="180"/>
      <c r="AAZ18" s="180"/>
      <c r="ABA18" s="180"/>
      <c r="ABB18" s="180"/>
      <c r="ABC18" s="180"/>
      <c r="ABD18" s="180"/>
      <c r="ABE18" s="180"/>
      <c r="ABF18" s="180"/>
      <c r="ABG18" s="180"/>
      <c r="ABH18" s="180"/>
      <c r="ABI18" s="180"/>
      <c r="ABJ18" s="180"/>
      <c r="ABK18" s="180"/>
      <c r="ABL18" s="180"/>
      <c r="ABM18" s="180"/>
      <c r="ABN18" s="180"/>
      <c r="ABO18" s="180"/>
      <c r="ABP18" s="180"/>
      <c r="ABQ18" s="180"/>
      <c r="ABR18" s="180"/>
      <c r="ABS18" s="180"/>
      <c r="ABT18" s="180"/>
      <c r="ABU18" s="180"/>
      <c r="ABV18" s="180"/>
      <c r="ABW18" s="180"/>
      <c r="ABX18" s="180"/>
      <c r="ABY18" s="180"/>
      <c r="ABZ18" s="180"/>
      <c r="ACA18" s="180"/>
      <c r="ACB18" s="180"/>
      <c r="ACC18" s="180"/>
      <c r="ACD18" s="180"/>
      <c r="ACE18" s="180"/>
      <c r="ACF18" s="180"/>
      <c r="ACG18" s="180"/>
      <c r="ACH18" s="180"/>
      <c r="ACI18" s="180"/>
      <c r="ACJ18" s="180"/>
      <c r="ACK18" s="180"/>
      <c r="ACL18" s="180"/>
      <c r="ACM18" s="180"/>
      <c r="ACN18" s="180"/>
      <c r="ACO18" s="180"/>
      <c r="ACP18" s="180"/>
      <c r="ACQ18" s="180"/>
      <c r="ACR18" s="180"/>
      <c r="ACS18" s="180"/>
      <c r="ACT18" s="180"/>
      <c r="ACU18" s="180"/>
      <c r="ACV18" s="180"/>
      <c r="ACW18" s="180"/>
      <c r="ACX18" s="180"/>
      <c r="ACY18" s="180"/>
      <c r="ACZ18" s="180"/>
      <c r="ADA18" s="180"/>
      <c r="ADB18" s="180"/>
      <c r="ADC18" s="180"/>
      <c r="ADD18" s="180"/>
      <c r="ADE18" s="180"/>
      <c r="ADF18" s="180"/>
      <c r="ADG18" s="180"/>
      <c r="ADH18" s="180"/>
      <c r="ADI18" s="180"/>
      <c r="ADJ18" s="180"/>
      <c r="ADK18" s="180"/>
      <c r="ADL18" s="180"/>
      <c r="ADM18" s="180"/>
      <c r="ADN18" s="180"/>
      <c r="ADO18" s="180"/>
      <c r="ADP18" s="180"/>
      <c r="ADQ18" s="180"/>
      <c r="ADR18" s="180"/>
      <c r="ADS18" s="180"/>
      <c r="ADT18" s="180"/>
      <c r="ADU18" s="180"/>
      <c r="ADV18" s="180"/>
      <c r="ADW18" s="180"/>
      <c r="ADX18" s="180"/>
      <c r="ADY18" s="180"/>
      <c r="ADZ18" s="180"/>
      <c r="AEA18" s="180"/>
      <c r="AEB18" s="180"/>
      <c r="AEC18" s="180"/>
      <c r="AED18" s="180"/>
      <c r="AEE18" s="180"/>
      <c r="AEF18" s="180"/>
      <c r="AEG18" s="180"/>
      <c r="AEH18" s="180"/>
      <c r="AEI18" s="180"/>
      <c r="AEJ18" s="180"/>
      <c r="AEK18" s="180"/>
      <c r="AEL18" s="180"/>
      <c r="AEM18" s="180"/>
      <c r="AEN18" s="180"/>
      <c r="AEO18" s="180"/>
      <c r="AEP18" s="180"/>
      <c r="AEQ18" s="180"/>
      <c r="AER18" s="180"/>
      <c r="AES18" s="180"/>
      <c r="AET18" s="180"/>
      <c r="AEU18" s="180"/>
      <c r="AEV18" s="180"/>
      <c r="AEW18" s="180"/>
      <c r="AEX18" s="180"/>
      <c r="AEY18" s="180"/>
      <c r="AEZ18" s="180"/>
      <c r="AFA18" s="180"/>
      <c r="AFB18" s="180"/>
      <c r="AFC18" s="180"/>
      <c r="AFD18" s="180"/>
      <c r="AFE18" s="180"/>
      <c r="AFF18" s="180"/>
      <c r="AFG18" s="180"/>
      <c r="AFH18" s="180"/>
      <c r="AFI18" s="180"/>
      <c r="AFJ18" s="180"/>
      <c r="AFK18" s="180"/>
      <c r="AFL18" s="180"/>
      <c r="AFM18" s="180"/>
      <c r="AFN18" s="180"/>
      <c r="AFO18" s="180"/>
      <c r="AFP18" s="180"/>
      <c r="AFQ18" s="180"/>
      <c r="AFR18" s="180"/>
      <c r="AFS18" s="180"/>
      <c r="AFT18" s="180"/>
      <c r="AFU18" s="180"/>
      <c r="AFV18" s="180"/>
      <c r="AFW18" s="180"/>
      <c r="AFX18" s="180"/>
      <c r="AFY18" s="180"/>
      <c r="AFZ18" s="180"/>
      <c r="AGA18" s="180"/>
      <c r="AGB18" s="180"/>
      <c r="AGC18" s="180"/>
      <c r="AGD18" s="180"/>
      <c r="AGE18" s="180"/>
      <c r="AGF18" s="180"/>
      <c r="AGG18" s="180"/>
      <c r="AGH18" s="180"/>
      <c r="AGI18" s="180"/>
      <c r="AGJ18" s="180"/>
      <c r="AGK18" s="180"/>
      <c r="AGL18" s="180"/>
      <c r="AGM18" s="180"/>
      <c r="AGN18" s="180"/>
      <c r="AGO18" s="180"/>
      <c r="AGP18" s="180"/>
      <c r="AGQ18" s="180"/>
      <c r="AGR18" s="180"/>
      <c r="AGS18" s="180"/>
      <c r="AGT18" s="180"/>
      <c r="AGU18" s="180"/>
      <c r="AGV18" s="180"/>
      <c r="AGW18" s="180"/>
      <c r="AGX18" s="180"/>
      <c r="AGY18" s="180"/>
      <c r="AGZ18" s="180"/>
      <c r="AHA18" s="180"/>
      <c r="AHB18" s="180"/>
      <c r="AHC18" s="180"/>
      <c r="AHD18" s="180"/>
      <c r="AHE18" s="180"/>
      <c r="AHF18" s="180"/>
      <c r="AHG18" s="180"/>
      <c r="AHH18" s="180"/>
      <c r="AHI18" s="180"/>
      <c r="AHJ18" s="180"/>
      <c r="AHK18" s="180"/>
      <c r="AHL18" s="180"/>
      <c r="AHM18" s="180"/>
      <c r="AHN18" s="180"/>
      <c r="AHO18" s="180"/>
      <c r="AHP18" s="180"/>
      <c r="AHQ18" s="180"/>
      <c r="AHR18" s="180"/>
      <c r="AHS18" s="180"/>
      <c r="AHT18" s="180"/>
      <c r="AHU18" s="180"/>
      <c r="AHV18" s="180"/>
      <c r="AHW18" s="180"/>
      <c r="AHX18" s="180"/>
      <c r="AHY18" s="180"/>
      <c r="AHZ18" s="180"/>
      <c r="AIA18" s="180"/>
      <c r="AIB18" s="180"/>
      <c r="AIC18" s="180"/>
      <c r="AID18" s="180"/>
      <c r="AIE18" s="180"/>
      <c r="AIF18" s="180"/>
      <c r="AIG18" s="180"/>
      <c r="AIH18" s="180"/>
      <c r="AII18" s="180"/>
      <c r="AIJ18" s="180"/>
      <c r="AIK18" s="180"/>
      <c r="AIL18" s="180"/>
      <c r="AIM18" s="180"/>
      <c r="AIN18" s="180"/>
      <c r="AIO18" s="180"/>
      <c r="AIP18" s="180"/>
      <c r="AIQ18" s="180"/>
      <c r="AIR18" s="180"/>
      <c r="AIS18" s="180"/>
      <c r="AIT18" s="180"/>
      <c r="AIU18" s="180"/>
      <c r="AIV18" s="180"/>
      <c r="AIW18" s="180"/>
      <c r="AIX18" s="180"/>
      <c r="AIY18" s="180"/>
      <c r="AIZ18" s="180"/>
      <c r="AJA18" s="180"/>
      <c r="AJB18" s="180"/>
      <c r="AJC18" s="180"/>
      <c r="AJD18" s="180"/>
      <c r="AJE18" s="180"/>
      <c r="AJF18" s="180"/>
      <c r="AJG18" s="180"/>
      <c r="AJH18" s="180"/>
      <c r="AJI18" s="180"/>
      <c r="AJJ18" s="180"/>
      <c r="AJK18" s="180"/>
      <c r="AJL18" s="180"/>
      <c r="AJM18" s="180"/>
      <c r="AJN18" s="180"/>
      <c r="AJO18" s="180"/>
      <c r="AJP18" s="180"/>
      <c r="AJQ18" s="180"/>
      <c r="AJR18" s="180"/>
      <c r="AJS18" s="180"/>
      <c r="AJT18" s="180"/>
      <c r="AJU18" s="180"/>
      <c r="AJV18" s="180"/>
      <c r="AJW18" s="180"/>
      <c r="AJX18" s="180"/>
      <c r="AJY18" s="180"/>
      <c r="AJZ18" s="180"/>
      <c r="AKA18" s="180"/>
      <c r="AKB18" s="180"/>
      <c r="AKC18" s="180"/>
      <c r="AKD18" s="180"/>
      <c r="AKE18" s="180"/>
      <c r="AKF18" s="180"/>
      <c r="AKG18" s="180"/>
      <c r="AKH18" s="180"/>
      <c r="AKI18" s="180"/>
      <c r="AKJ18" s="180"/>
      <c r="AKK18" s="180"/>
      <c r="AKL18" s="180"/>
      <c r="AKM18" s="180"/>
      <c r="AKN18" s="180"/>
      <c r="AKO18" s="180"/>
      <c r="AKP18" s="180"/>
      <c r="AKQ18" s="180"/>
      <c r="AKR18" s="180"/>
      <c r="AKS18" s="180"/>
      <c r="AKT18" s="180"/>
      <c r="AKU18" s="180"/>
      <c r="AKV18" s="180"/>
      <c r="AKW18" s="180"/>
      <c r="AKX18" s="180"/>
      <c r="AKY18" s="180"/>
      <c r="AKZ18" s="180"/>
      <c r="ALA18" s="180"/>
      <c r="ALB18" s="180"/>
      <c r="ALC18" s="180"/>
      <c r="ALD18" s="180"/>
      <c r="ALE18" s="180"/>
      <c r="ALF18" s="180"/>
      <c r="ALG18" s="180"/>
      <c r="ALH18" s="180"/>
      <c r="ALI18" s="180"/>
      <c r="ALJ18" s="180"/>
      <c r="ALK18" s="180"/>
      <c r="ALL18" s="180"/>
      <c r="ALM18" s="180"/>
      <c r="ALN18" s="180"/>
      <c r="ALO18" s="180"/>
      <c r="ALP18" s="180"/>
      <c r="ALQ18" s="180"/>
      <c r="ALR18" s="180"/>
      <c r="ALS18" s="180"/>
      <c r="ALT18" s="180"/>
      <c r="ALU18" s="180"/>
      <c r="ALV18" s="180"/>
      <c r="ALW18" s="180"/>
      <c r="ALX18" s="180"/>
      <c r="ALY18" s="180"/>
      <c r="ALZ18" s="180"/>
      <c r="AMA18" s="279"/>
      <c r="AMB18" s="279"/>
      <c r="AMC18" s="279"/>
      <c r="AMD18" s="279"/>
      <c r="AME18" s="279"/>
      <c r="AMF18" s="279"/>
      <c r="AMG18" s="279"/>
      <c r="AMH18" s="279"/>
      <c r="AMI18" s="280"/>
    </row>
    <row r="19" spans="1:1023" s="259" customFormat="1" x14ac:dyDescent="0.25">
      <c r="A19" s="281"/>
      <c r="B19" s="180"/>
      <c r="C19" s="255"/>
      <c r="D19" s="180"/>
      <c r="E19" s="506"/>
      <c r="F19" s="506"/>
      <c r="G19" s="506"/>
      <c r="H19" s="276"/>
      <c r="I19" s="276"/>
      <c r="J19" s="473"/>
      <c r="K19" s="473"/>
      <c r="L19" s="279"/>
      <c r="M19" s="473"/>
      <c r="N19" s="180"/>
      <c r="O19" s="180"/>
      <c r="P19" s="180"/>
      <c r="Q19" s="180"/>
      <c r="R19" s="180"/>
      <c r="S19" s="180"/>
      <c r="T19" s="180"/>
      <c r="U19" s="180"/>
      <c r="V19" s="180"/>
      <c r="W19" s="180"/>
      <c r="X19" s="180"/>
      <c r="Y19" s="180"/>
      <c r="Z19" s="180"/>
      <c r="AA19" s="180"/>
      <c r="AB19" s="180"/>
      <c r="AC19" s="180"/>
      <c r="AD19" s="180"/>
      <c r="AE19" s="180"/>
      <c r="AF19" s="180"/>
      <c r="AG19" s="180"/>
      <c r="AH19" s="180"/>
      <c r="AI19" s="180"/>
      <c r="AJ19" s="180"/>
      <c r="AK19" s="180"/>
      <c r="AL19" s="180"/>
      <c r="AM19" s="180"/>
      <c r="AN19" s="180"/>
      <c r="AO19" s="180"/>
      <c r="AP19" s="180"/>
      <c r="AQ19" s="180"/>
      <c r="AR19" s="180"/>
      <c r="AS19" s="180"/>
      <c r="AT19" s="180"/>
      <c r="AU19" s="180"/>
      <c r="AV19" s="180"/>
      <c r="AW19" s="180"/>
      <c r="AX19" s="180"/>
      <c r="AY19" s="180"/>
      <c r="AZ19" s="180"/>
      <c r="BA19" s="180"/>
      <c r="BB19" s="180"/>
      <c r="BC19" s="180"/>
      <c r="BD19" s="180"/>
      <c r="BE19" s="180"/>
      <c r="BF19" s="180"/>
      <c r="BG19" s="180"/>
      <c r="BH19" s="180"/>
      <c r="BI19" s="180"/>
      <c r="BJ19" s="180"/>
      <c r="BK19" s="180"/>
      <c r="BL19" s="180"/>
      <c r="BM19" s="180"/>
      <c r="BN19" s="180"/>
      <c r="BO19" s="180"/>
      <c r="BP19" s="180"/>
      <c r="BQ19" s="180"/>
      <c r="BR19" s="180"/>
      <c r="BS19" s="180"/>
      <c r="BT19" s="180"/>
      <c r="BU19" s="180"/>
      <c r="BV19" s="180"/>
      <c r="BW19" s="180"/>
      <c r="BX19" s="180"/>
      <c r="BY19" s="180"/>
      <c r="BZ19" s="180"/>
      <c r="CA19" s="180"/>
      <c r="CB19" s="180"/>
      <c r="CC19" s="180"/>
      <c r="CD19" s="180"/>
      <c r="CE19" s="180"/>
      <c r="CF19" s="180"/>
      <c r="CG19" s="180"/>
      <c r="CH19" s="180"/>
      <c r="CI19" s="180"/>
      <c r="CJ19" s="180"/>
      <c r="CK19" s="180"/>
      <c r="CL19" s="180"/>
      <c r="CM19" s="180"/>
      <c r="CN19" s="180"/>
      <c r="CO19" s="180"/>
      <c r="CP19" s="180"/>
      <c r="CQ19" s="180"/>
      <c r="CR19" s="180"/>
      <c r="CS19" s="180"/>
      <c r="CT19" s="180"/>
      <c r="CU19" s="180"/>
      <c r="CV19" s="180"/>
      <c r="CW19" s="180"/>
      <c r="CX19" s="180"/>
      <c r="CY19" s="180"/>
      <c r="CZ19" s="180"/>
      <c r="DA19" s="180"/>
      <c r="DB19" s="180"/>
      <c r="DC19" s="180"/>
      <c r="DD19" s="180"/>
      <c r="DE19" s="180"/>
      <c r="DF19" s="180"/>
      <c r="DG19" s="180"/>
      <c r="DH19" s="180"/>
      <c r="DI19" s="180"/>
      <c r="DJ19" s="180"/>
      <c r="DK19" s="180"/>
      <c r="DL19" s="180"/>
      <c r="DM19" s="180"/>
      <c r="DN19" s="180"/>
      <c r="DO19" s="180"/>
      <c r="DP19" s="180"/>
      <c r="DQ19" s="180"/>
      <c r="DR19" s="180"/>
      <c r="DS19" s="180"/>
      <c r="DT19" s="180"/>
      <c r="DU19" s="180"/>
      <c r="DV19" s="180"/>
      <c r="DW19" s="180"/>
      <c r="DX19" s="180"/>
      <c r="DY19" s="180"/>
      <c r="DZ19" s="180"/>
      <c r="EA19" s="180"/>
      <c r="EB19" s="180"/>
      <c r="EC19" s="180"/>
      <c r="ED19" s="180"/>
      <c r="EE19" s="180"/>
      <c r="EF19" s="180"/>
      <c r="EG19" s="180"/>
      <c r="EH19" s="180"/>
      <c r="EI19" s="180"/>
      <c r="EJ19" s="180"/>
      <c r="EK19" s="180"/>
      <c r="EL19" s="180"/>
      <c r="EM19" s="180"/>
      <c r="EN19" s="180"/>
      <c r="EO19" s="180"/>
      <c r="EP19" s="180"/>
      <c r="EQ19" s="180"/>
      <c r="ER19" s="180"/>
      <c r="ES19" s="180"/>
      <c r="ET19" s="180"/>
      <c r="EU19" s="180"/>
      <c r="EV19" s="180"/>
      <c r="EW19" s="180"/>
      <c r="EX19" s="180"/>
      <c r="EY19" s="180"/>
      <c r="EZ19" s="180"/>
      <c r="FA19" s="180"/>
      <c r="FB19" s="180"/>
      <c r="FC19" s="180"/>
      <c r="FD19" s="180"/>
      <c r="FE19" s="180"/>
      <c r="FF19" s="180"/>
      <c r="FG19" s="180"/>
      <c r="FH19" s="180"/>
      <c r="FI19" s="180"/>
      <c r="FJ19" s="180"/>
      <c r="FK19" s="180"/>
      <c r="FL19" s="180"/>
      <c r="FM19" s="180"/>
      <c r="FN19" s="180"/>
      <c r="FO19" s="180"/>
      <c r="FP19" s="180"/>
      <c r="FQ19" s="180"/>
      <c r="FR19" s="180"/>
      <c r="FS19" s="180"/>
      <c r="FT19" s="180"/>
      <c r="FU19" s="180"/>
      <c r="FV19" s="180"/>
      <c r="FW19" s="180"/>
      <c r="FX19" s="180"/>
      <c r="FY19" s="180"/>
      <c r="FZ19" s="180"/>
      <c r="GA19" s="180"/>
      <c r="GB19" s="180"/>
      <c r="GC19" s="180"/>
      <c r="GD19" s="180"/>
      <c r="GE19" s="180"/>
      <c r="GF19" s="180"/>
      <c r="GG19" s="180"/>
      <c r="GH19" s="180"/>
      <c r="GI19" s="180"/>
      <c r="GJ19" s="180"/>
      <c r="GK19" s="180"/>
      <c r="GL19" s="180"/>
      <c r="GM19" s="180"/>
      <c r="GN19" s="180"/>
      <c r="GO19" s="180"/>
      <c r="GP19" s="180"/>
      <c r="GQ19" s="180"/>
      <c r="GR19" s="180"/>
      <c r="GS19" s="180"/>
      <c r="GT19" s="180"/>
      <c r="GU19" s="180"/>
      <c r="GV19" s="180"/>
      <c r="GW19" s="180"/>
      <c r="GX19" s="180"/>
      <c r="GY19" s="180"/>
      <c r="GZ19" s="180"/>
      <c r="HA19" s="180"/>
      <c r="HB19" s="180"/>
      <c r="HC19" s="180"/>
      <c r="HD19" s="180"/>
      <c r="HE19" s="180"/>
      <c r="HF19" s="180"/>
      <c r="HG19" s="180"/>
      <c r="HH19" s="180"/>
      <c r="HI19" s="180"/>
      <c r="HJ19" s="180"/>
      <c r="HK19" s="180"/>
      <c r="HL19" s="180"/>
      <c r="HM19" s="180"/>
      <c r="HN19" s="180"/>
      <c r="HO19" s="180"/>
      <c r="HP19" s="180"/>
      <c r="HQ19" s="180"/>
      <c r="HR19" s="180"/>
      <c r="HS19" s="180"/>
      <c r="HT19" s="180"/>
      <c r="HU19" s="180"/>
      <c r="HV19" s="180"/>
      <c r="HW19" s="180"/>
      <c r="HX19" s="180"/>
      <c r="HY19" s="180"/>
      <c r="HZ19" s="180"/>
      <c r="IA19" s="180"/>
      <c r="IB19" s="180"/>
      <c r="IC19" s="180"/>
      <c r="ID19" s="180"/>
      <c r="IE19" s="180"/>
      <c r="IF19" s="180"/>
      <c r="IG19" s="180"/>
      <c r="IH19" s="180"/>
      <c r="II19" s="180"/>
      <c r="IJ19" s="180"/>
      <c r="IK19" s="180"/>
      <c r="IL19" s="180"/>
      <c r="IM19" s="180"/>
      <c r="IN19" s="180"/>
      <c r="IO19" s="180"/>
      <c r="IP19" s="180"/>
      <c r="IQ19" s="180"/>
      <c r="IR19" s="180"/>
      <c r="IS19" s="180"/>
      <c r="IT19" s="180"/>
      <c r="IU19" s="180"/>
      <c r="IV19" s="180"/>
      <c r="IW19" s="180"/>
      <c r="IX19" s="180"/>
      <c r="IY19" s="180"/>
      <c r="IZ19" s="180"/>
      <c r="JA19" s="180"/>
      <c r="JB19" s="180"/>
      <c r="JC19" s="180"/>
      <c r="JD19" s="180"/>
      <c r="JE19" s="180"/>
      <c r="JF19" s="180"/>
      <c r="JG19" s="180"/>
      <c r="JH19" s="180"/>
      <c r="JI19" s="180"/>
      <c r="JJ19" s="180"/>
      <c r="JK19" s="180"/>
      <c r="JL19" s="180"/>
      <c r="JM19" s="180"/>
      <c r="JN19" s="180"/>
      <c r="JO19" s="180"/>
      <c r="JP19" s="180"/>
      <c r="JQ19" s="180"/>
      <c r="JR19" s="180"/>
      <c r="JS19" s="180"/>
      <c r="JT19" s="180"/>
      <c r="JU19" s="180"/>
      <c r="JV19" s="180"/>
      <c r="JW19" s="180"/>
      <c r="JX19" s="180"/>
      <c r="JY19" s="180"/>
      <c r="JZ19" s="180"/>
      <c r="KA19" s="180"/>
      <c r="KB19" s="180"/>
      <c r="KC19" s="180"/>
      <c r="KD19" s="180"/>
      <c r="KE19" s="180"/>
      <c r="KF19" s="180"/>
      <c r="KG19" s="180"/>
      <c r="KH19" s="180"/>
      <c r="KI19" s="180"/>
      <c r="KJ19" s="180"/>
      <c r="KK19" s="180"/>
      <c r="KL19" s="180"/>
      <c r="KM19" s="180"/>
      <c r="KN19" s="180"/>
      <c r="KO19" s="180"/>
      <c r="KP19" s="180"/>
      <c r="KQ19" s="180"/>
      <c r="KR19" s="180"/>
      <c r="KS19" s="180"/>
      <c r="KT19" s="180"/>
      <c r="KU19" s="180"/>
      <c r="KV19" s="180"/>
      <c r="KW19" s="180"/>
      <c r="KX19" s="180"/>
      <c r="KY19" s="180"/>
      <c r="KZ19" s="180"/>
      <c r="LA19" s="180"/>
      <c r="LB19" s="180"/>
      <c r="LC19" s="180"/>
      <c r="LD19" s="180"/>
      <c r="LE19" s="180"/>
      <c r="LF19" s="180"/>
      <c r="LG19" s="180"/>
      <c r="LH19" s="180"/>
      <c r="LI19" s="180"/>
      <c r="LJ19" s="180"/>
      <c r="LK19" s="180"/>
      <c r="LL19" s="180"/>
      <c r="LM19" s="180"/>
      <c r="LN19" s="180"/>
      <c r="LO19" s="180"/>
      <c r="LP19" s="180"/>
      <c r="LQ19" s="180"/>
      <c r="LR19" s="180"/>
      <c r="LS19" s="180"/>
      <c r="LT19" s="180"/>
      <c r="LU19" s="180"/>
      <c r="LV19" s="180"/>
      <c r="LW19" s="180"/>
      <c r="LX19" s="180"/>
      <c r="LY19" s="180"/>
      <c r="LZ19" s="180"/>
      <c r="MA19" s="180"/>
      <c r="MB19" s="180"/>
      <c r="MC19" s="180"/>
      <c r="MD19" s="180"/>
      <c r="ME19" s="180"/>
      <c r="MF19" s="180"/>
      <c r="MG19" s="180"/>
      <c r="MH19" s="180"/>
      <c r="MI19" s="180"/>
      <c r="MJ19" s="180"/>
      <c r="MK19" s="180"/>
      <c r="ML19" s="180"/>
      <c r="MM19" s="180"/>
      <c r="MN19" s="180"/>
      <c r="MO19" s="180"/>
      <c r="MP19" s="180"/>
      <c r="MQ19" s="180"/>
      <c r="MR19" s="180"/>
      <c r="MS19" s="180"/>
      <c r="MT19" s="180"/>
      <c r="MU19" s="180"/>
      <c r="MV19" s="180"/>
      <c r="MW19" s="180"/>
      <c r="MX19" s="180"/>
      <c r="MY19" s="180"/>
      <c r="MZ19" s="180"/>
      <c r="NA19" s="180"/>
      <c r="NB19" s="180"/>
      <c r="NC19" s="180"/>
      <c r="ND19" s="180"/>
      <c r="NE19" s="180"/>
      <c r="NF19" s="180"/>
      <c r="NG19" s="180"/>
      <c r="NH19" s="180"/>
      <c r="NI19" s="180"/>
      <c r="NJ19" s="180"/>
      <c r="NK19" s="180"/>
      <c r="NL19" s="180"/>
      <c r="NM19" s="180"/>
      <c r="NN19" s="180"/>
      <c r="NO19" s="180"/>
      <c r="NP19" s="180"/>
      <c r="NQ19" s="180"/>
      <c r="NR19" s="180"/>
      <c r="NS19" s="180"/>
      <c r="NT19" s="180"/>
      <c r="NU19" s="180"/>
      <c r="NV19" s="180"/>
      <c r="NW19" s="180"/>
      <c r="NX19" s="180"/>
      <c r="NY19" s="180"/>
      <c r="NZ19" s="180"/>
      <c r="OA19" s="180"/>
      <c r="OB19" s="180"/>
      <c r="OC19" s="180"/>
      <c r="OD19" s="180"/>
      <c r="OE19" s="180"/>
      <c r="OF19" s="180"/>
      <c r="OG19" s="180"/>
      <c r="OH19" s="180"/>
      <c r="OI19" s="180"/>
      <c r="OJ19" s="180"/>
      <c r="OK19" s="180"/>
      <c r="OL19" s="180"/>
      <c r="OM19" s="180"/>
      <c r="ON19" s="180"/>
      <c r="OO19" s="180"/>
      <c r="OP19" s="180"/>
      <c r="OQ19" s="180"/>
      <c r="OR19" s="180"/>
      <c r="OS19" s="180"/>
      <c r="OT19" s="180"/>
      <c r="OU19" s="180"/>
      <c r="OV19" s="180"/>
      <c r="OW19" s="180"/>
      <c r="OX19" s="180"/>
      <c r="OY19" s="180"/>
      <c r="OZ19" s="180"/>
      <c r="PA19" s="180"/>
      <c r="PB19" s="180"/>
      <c r="PC19" s="180"/>
      <c r="PD19" s="180"/>
      <c r="PE19" s="180"/>
      <c r="PF19" s="180"/>
      <c r="PG19" s="180"/>
      <c r="PH19" s="180"/>
      <c r="PI19" s="180"/>
      <c r="PJ19" s="180"/>
      <c r="PK19" s="180"/>
      <c r="PL19" s="180"/>
      <c r="PM19" s="180"/>
      <c r="PN19" s="180"/>
      <c r="PO19" s="180"/>
      <c r="PP19" s="180"/>
      <c r="PQ19" s="180"/>
      <c r="PR19" s="180"/>
      <c r="PS19" s="180"/>
      <c r="PT19" s="180"/>
      <c r="PU19" s="180"/>
      <c r="PV19" s="180"/>
      <c r="PW19" s="180"/>
      <c r="PX19" s="180"/>
      <c r="PY19" s="180"/>
      <c r="PZ19" s="180"/>
      <c r="QA19" s="180"/>
      <c r="QB19" s="180"/>
      <c r="QC19" s="180"/>
      <c r="QD19" s="180"/>
      <c r="QE19" s="180"/>
      <c r="QF19" s="180"/>
      <c r="QG19" s="180"/>
      <c r="QH19" s="180"/>
      <c r="QI19" s="180"/>
      <c r="QJ19" s="180"/>
      <c r="QK19" s="180"/>
      <c r="QL19" s="180"/>
      <c r="QM19" s="180"/>
      <c r="QN19" s="180"/>
      <c r="QO19" s="180"/>
      <c r="QP19" s="180"/>
      <c r="QQ19" s="180"/>
      <c r="QR19" s="180"/>
      <c r="QS19" s="180"/>
      <c r="QT19" s="180"/>
      <c r="QU19" s="180"/>
      <c r="QV19" s="180"/>
      <c r="QW19" s="180"/>
      <c r="QX19" s="180"/>
      <c r="QY19" s="180"/>
      <c r="QZ19" s="180"/>
      <c r="RA19" s="180"/>
      <c r="RB19" s="180"/>
      <c r="RC19" s="180"/>
      <c r="RD19" s="180"/>
      <c r="RE19" s="180"/>
      <c r="RF19" s="180"/>
      <c r="RG19" s="180"/>
      <c r="RH19" s="180"/>
      <c r="RI19" s="180"/>
      <c r="RJ19" s="180"/>
      <c r="RK19" s="180"/>
      <c r="RL19" s="180"/>
      <c r="RM19" s="180"/>
      <c r="RN19" s="180"/>
      <c r="RO19" s="180"/>
      <c r="RP19" s="180"/>
      <c r="RQ19" s="180"/>
      <c r="RR19" s="180"/>
      <c r="RS19" s="180"/>
      <c r="RT19" s="180"/>
      <c r="RU19" s="180"/>
      <c r="RV19" s="180"/>
      <c r="RW19" s="180"/>
      <c r="RX19" s="180"/>
      <c r="RY19" s="180"/>
      <c r="RZ19" s="180"/>
      <c r="SA19" s="180"/>
      <c r="SB19" s="180"/>
      <c r="SC19" s="180"/>
      <c r="SD19" s="180"/>
      <c r="SE19" s="180"/>
      <c r="SF19" s="180"/>
      <c r="SG19" s="180"/>
      <c r="SH19" s="180"/>
      <c r="SI19" s="180"/>
      <c r="SJ19" s="180"/>
      <c r="SK19" s="180"/>
      <c r="SL19" s="180"/>
      <c r="SM19" s="180"/>
      <c r="SN19" s="180"/>
      <c r="SO19" s="180"/>
      <c r="SP19" s="180"/>
      <c r="SQ19" s="180"/>
      <c r="SR19" s="180"/>
      <c r="SS19" s="180"/>
      <c r="ST19" s="180"/>
      <c r="SU19" s="180"/>
      <c r="SV19" s="180"/>
      <c r="SW19" s="180"/>
      <c r="SX19" s="180"/>
      <c r="SY19" s="180"/>
      <c r="SZ19" s="180"/>
      <c r="TA19" s="180"/>
      <c r="TB19" s="180"/>
      <c r="TC19" s="180"/>
      <c r="TD19" s="180"/>
      <c r="TE19" s="180"/>
      <c r="TF19" s="180"/>
      <c r="TG19" s="180"/>
      <c r="TH19" s="180"/>
      <c r="TI19" s="180"/>
      <c r="TJ19" s="180"/>
      <c r="TK19" s="180"/>
      <c r="TL19" s="180"/>
      <c r="TM19" s="180"/>
      <c r="TN19" s="180"/>
      <c r="TO19" s="180"/>
      <c r="TP19" s="180"/>
      <c r="TQ19" s="180"/>
      <c r="TR19" s="180"/>
      <c r="TS19" s="180"/>
      <c r="TT19" s="180"/>
      <c r="TU19" s="180"/>
      <c r="TV19" s="180"/>
      <c r="TW19" s="180"/>
      <c r="TX19" s="180"/>
      <c r="TY19" s="180"/>
      <c r="TZ19" s="180"/>
      <c r="UA19" s="180"/>
      <c r="UB19" s="180"/>
      <c r="UC19" s="180"/>
      <c r="UD19" s="180"/>
      <c r="UE19" s="180"/>
      <c r="UF19" s="180"/>
      <c r="UG19" s="180"/>
      <c r="UH19" s="180"/>
      <c r="UI19" s="180"/>
      <c r="UJ19" s="180"/>
      <c r="UK19" s="180"/>
      <c r="UL19" s="180"/>
      <c r="UM19" s="180"/>
      <c r="UN19" s="180"/>
      <c r="UO19" s="180"/>
      <c r="UP19" s="180"/>
      <c r="UQ19" s="180"/>
      <c r="UR19" s="180"/>
      <c r="US19" s="180"/>
      <c r="UT19" s="180"/>
      <c r="UU19" s="180"/>
      <c r="UV19" s="180"/>
      <c r="UW19" s="180"/>
      <c r="UX19" s="180"/>
      <c r="UY19" s="180"/>
      <c r="UZ19" s="180"/>
      <c r="VA19" s="180"/>
      <c r="VB19" s="180"/>
      <c r="VC19" s="180"/>
      <c r="VD19" s="180"/>
      <c r="VE19" s="180"/>
      <c r="VF19" s="180"/>
      <c r="VG19" s="180"/>
      <c r="VH19" s="180"/>
      <c r="VI19" s="180"/>
      <c r="VJ19" s="180"/>
      <c r="VK19" s="180"/>
      <c r="VL19" s="180"/>
      <c r="VM19" s="180"/>
      <c r="VN19" s="180"/>
      <c r="VO19" s="180"/>
      <c r="VP19" s="180"/>
      <c r="VQ19" s="180"/>
      <c r="VR19" s="180"/>
      <c r="VS19" s="180"/>
      <c r="VT19" s="180"/>
      <c r="VU19" s="180"/>
      <c r="VV19" s="180"/>
      <c r="VW19" s="180"/>
      <c r="VX19" s="180"/>
      <c r="VY19" s="180"/>
      <c r="VZ19" s="180"/>
      <c r="WA19" s="180"/>
      <c r="WB19" s="180"/>
      <c r="WC19" s="180"/>
      <c r="WD19" s="180"/>
      <c r="WE19" s="180"/>
      <c r="WF19" s="180"/>
      <c r="WG19" s="180"/>
      <c r="WH19" s="180"/>
      <c r="WI19" s="180"/>
      <c r="WJ19" s="180"/>
      <c r="WK19" s="180"/>
      <c r="WL19" s="180"/>
      <c r="WM19" s="180"/>
      <c r="WN19" s="180"/>
      <c r="WO19" s="180"/>
      <c r="WP19" s="180"/>
      <c r="WQ19" s="180"/>
      <c r="WR19" s="180"/>
      <c r="WS19" s="180"/>
      <c r="WT19" s="180"/>
      <c r="WU19" s="180"/>
      <c r="WV19" s="180"/>
      <c r="WW19" s="180"/>
      <c r="WX19" s="180"/>
      <c r="WY19" s="180"/>
      <c r="WZ19" s="180"/>
      <c r="XA19" s="180"/>
      <c r="XB19" s="180"/>
      <c r="XC19" s="180"/>
      <c r="XD19" s="180"/>
      <c r="XE19" s="180"/>
      <c r="XF19" s="180"/>
      <c r="XG19" s="180"/>
      <c r="XH19" s="180"/>
      <c r="XI19" s="180"/>
      <c r="XJ19" s="180"/>
      <c r="XK19" s="180"/>
      <c r="XL19" s="180"/>
      <c r="XM19" s="180"/>
      <c r="XN19" s="180"/>
      <c r="XO19" s="180"/>
      <c r="XP19" s="180"/>
      <c r="XQ19" s="180"/>
      <c r="XR19" s="180"/>
      <c r="XS19" s="180"/>
      <c r="XT19" s="180"/>
      <c r="XU19" s="180"/>
      <c r="XV19" s="180"/>
      <c r="XW19" s="180"/>
      <c r="XX19" s="180"/>
      <c r="XY19" s="180"/>
      <c r="XZ19" s="180"/>
      <c r="YA19" s="180"/>
      <c r="YB19" s="180"/>
      <c r="YC19" s="180"/>
      <c r="YD19" s="180"/>
      <c r="YE19" s="180"/>
      <c r="YF19" s="180"/>
      <c r="YG19" s="180"/>
      <c r="YH19" s="180"/>
      <c r="YI19" s="180"/>
      <c r="YJ19" s="180"/>
      <c r="YK19" s="180"/>
      <c r="YL19" s="180"/>
      <c r="YM19" s="180"/>
      <c r="YN19" s="180"/>
      <c r="YO19" s="180"/>
      <c r="YP19" s="180"/>
      <c r="YQ19" s="180"/>
      <c r="YR19" s="180"/>
      <c r="YS19" s="180"/>
      <c r="YT19" s="180"/>
      <c r="YU19" s="180"/>
      <c r="YV19" s="180"/>
      <c r="YW19" s="180"/>
      <c r="YX19" s="180"/>
      <c r="YY19" s="180"/>
      <c r="YZ19" s="180"/>
      <c r="ZA19" s="180"/>
      <c r="ZB19" s="180"/>
      <c r="ZC19" s="180"/>
      <c r="ZD19" s="180"/>
      <c r="ZE19" s="180"/>
      <c r="ZF19" s="180"/>
      <c r="ZG19" s="180"/>
      <c r="ZH19" s="180"/>
      <c r="ZI19" s="180"/>
      <c r="ZJ19" s="180"/>
      <c r="ZK19" s="180"/>
      <c r="ZL19" s="180"/>
      <c r="ZM19" s="180"/>
      <c r="ZN19" s="180"/>
      <c r="ZO19" s="180"/>
      <c r="ZP19" s="180"/>
      <c r="ZQ19" s="180"/>
      <c r="ZR19" s="180"/>
      <c r="ZS19" s="180"/>
      <c r="ZT19" s="180"/>
      <c r="ZU19" s="180"/>
      <c r="ZV19" s="180"/>
      <c r="ZW19" s="180"/>
      <c r="ZX19" s="180"/>
      <c r="ZY19" s="180"/>
      <c r="ZZ19" s="180"/>
      <c r="AAA19" s="180"/>
      <c r="AAB19" s="180"/>
      <c r="AAC19" s="180"/>
      <c r="AAD19" s="180"/>
      <c r="AAE19" s="180"/>
      <c r="AAF19" s="180"/>
      <c r="AAG19" s="180"/>
      <c r="AAH19" s="180"/>
      <c r="AAI19" s="180"/>
      <c r="AAJ19" s="180"/>
      <c r="AAK19" s="180"/>
      <c r="AAL19" s="180"/>
      <c r="AAM19" s="180"/>
      <c r="AAN19" s="180"/>
      <c r="AAO19" s="180"/>
      <c r="AAP19" s="180"/>
      <c r="AAQ19" s="180"/>
      <c r="AAR19" s="180"/>
      <c r="AAS19" s="180"/>
      <c r="AAT19" s="180"/>
      <c r="AAU19" s="180"/>
      <c r="AAV19" s="180"/>
      <c r="AAW19" s="180"/>
      <c r="AAX19" s="180"/>
      <c r="AAY19" s="180"/>
      <c r="AAZ19" s="180"/>
      <c r="ABA19" s="180"/>
      <c r="ABB19" s="180"/>
      <c r="ABC19" s="180"/>
      <c r="ABD19" s="180"/>
      <c r="ABE19" s="180"/>
      <c r="ABF19" s="180"/>
      <c r="ABG19" s="180"/>
      <c r="ABH19" s="180"/>
      <c r="ABI19" s="180"/>
      <c r="ABJ19" s="180"/>
      <c r="ABK19" s="180"/>
      <c r="ABL19" s="180"/>
      <c r="ABM19" s="180"/>
      <c r="ABN19" s="180"/>
      <c r="ABO19" s="180"/>
      <c r="ABP19" s="180"/>
      <c r="ABQ19" s="180"/>
      <c r="ABR19" s="180"/>
      <c r="ABS19" s="180"/>
      <c r="ABT19" s="180"/>
      <c r="ABU19" s="180"/>
      <c r="ABV19" s="180"/>
      <c r="ABW19" s="180"/>
      <c r="ABX19" s="180"/>
      <c r="ABY19" s="180"/>
      <c r="ABZ19" s="180"/>
      <c r="ACA19" s="180"/>
      <c r="ACB19" s="180"/>
      <c r="ACC19" s="180"/>
      <c r="ACD19" s="180"/>
      <c r="ACE19" s="180"/>
      <c r="ACF19" s="180"/>
      <c r="ACG19" s="180"/>
      <c r="ACH19" s="180"/>
      <c r="ACI19" s="180"/>
      <c r="ACJ19" s="180"/>
      <c r="ACK19" s="180"/>
      <c r="ACL19" s="180"/>
      <c r="ACM19" s="180"/>
      <c r="ACN19" s="180"/>
      <c r="ACO19" s="180"/>
      <c r="ACP19" s="180"/>
      <c r="ACQ19" s="180"/>
      <c r="ACR19" s="180"/>
      <c r="ACS19" s="180"/>
      <c r="ACT19" s="180"/>
      <c r="ACU19" s="180"/>
      <c r="ACV19" s="180"/>
      <c r="ACW19" s="180"/>
      <c r="ACX19" s="180"/>
      <c r="ACY19" s="180"/>
      <c r="ACZ19" s="180"/>
      <c r="ADA19" s="180"/>
      <c r="ADB19" s="180"/>
      <c r="ADC19" s="180"/>
      <c r="ADD19" s="180"/>
      <c r="ADE19" s="180"/>
      <c r="ADF19" s="180"/>
      <c r="ADG19" s="180"/>
      <c r="ADH19" s="180"/>
      <c r="ADI19" s="180"/>
      <c r="ADJ19" s="180"/>
      <c r="ADK19" s="180"/>
      <c r="ADL19" s="180"/>
      <c r="ADM19" s="180"/>
      <c r="ADN19" s="180"/>
      <c r="ADO19" s="180"/>
      <c r="ADP19" s="180"/>
      <c r="ADQ19" s="180"/>
      <c r="ADR19" s="180"/>
      <c r="ADS19" s="180"/>
      <c r="ADT19" s="180"/>
      <c r="ADU19" s="180"/>
      <c r="ADV19" s="180"/>
      <c r="ADW19" s="180"/>
      <c r="ADX19" s="180"/>
      <c r="ADY19" s="180"/>
      <c r="ADZ19" s="180"/>
      <c r="AEA19" s="180"/>
      <c r="AEB19" s="180"/>
      <c r="AEC19" s="180"/>
      <c r="AED19" s="180"/>
      <c r="AEE19" s="180"/>
      <c r="AEF19" s="180"/>
      <c r="AEG19" s="180"/>
      <c r="AEH19" s="180"/>
      <c r="AEI19" s="180"/>
      <c r="AEJ19" s="180"/>
      <c r="AEK19" s="180"/>
      <c r="AEL19" s="180"/>
      <c r="AEM19" s="180"/>
      <c r="AEN19" s="180"/>
      <c r="AEO19" s="180"/>
      <c r="AEP19" s="180"/>
      <c r="AEQ19" s="180"/>
      <c r="AER19" s="180"/>
      <c r="AES19" s="180"/>
      <c r="AET19" s="180"/>
      <c r="AEU19" s="180"/>
      <c r="AEV19" s="180"/>
      <c r="AEW19" s="180"/>
      <c r="AEX19" s="180"/>
      <c r="AEY19" s="180"/>
      <c r="AEZ19" s="180"/>
      <c r="AFA19" s="180"/>
      <c r="AFB19" s="180"/>
      <c r="AFC19" s="180"/>
      <c r="AFD19" s="180"/>
      <c r="AFE19" s="180"/>
      <c r="AFF19" s="180"/>
      <c r="AFG19" s="180"/>
      <c r="AFH19" s="180"/>
      <c r="AFI19" s="180"/>
      <c r="AFJ19" s="180"/>
      <c r="AFK19" s="180"/>
      <c r="AFL19" s="180"/>
      <c r="AFM19" s="180"/>
      <c r="AFN19" s="180"/>
      <c r="AFO19" s="180"/>
      <c r="AFP19" s="180"/>
      <c r="AFQ19" s="180"/>
      <c r="AFR19" s="180"/>
      <c r="AFS19" s="180"/>
      <c r="AFT19" s="180"/>
      <c r="AFU19" s="180"/>
      <c r="AFV19" s="180"/>
      <c r="AFW19" s="180"/>
      <c r="AFX19" s="180"/>
      <c r="AFY19" s="180"/>
      <c r="AFZ19" s="180"/>
      <c r="AGA19" s="180"/>
      <c r="AGB19" s="180"/>
      <c r="AGC19" s="180"/>
      <c r="AGD19" s="180"/>
      <c r="AGE19" s="180"/>
      <c r="AGF19" s="180"/>
      <c r="AGG19" s="180"/>
      <c r="AGH19" s="180"/>
      <c r="AGI19" s="180"/>
      <c r="AGJ19" s="180"/>
      <c r="AGK19" s="180"/>
      <c r="AGL19" s="180"/>
      <c r="AGM19" s="180"/>
      <c r="AGN19" s="180"/>
      <c r="AGO19" s="180"/>
      <c r="AGP19" s="180"/>
      <c r="AGQ19" s="180"/>
      <c r="AGR19" s="180"/>
      <c r="AGS19" s="180"/>
      <c r="AGT19" s="180"/>
      <c r="AGU19" s="180"/>
      <c r="AGV19" s="180"/>
      <c r="AGW19" s="180"/>
      <c r="AGX19" s="180"/>
      <c r="AGY19" s="180"/>
      <c r="AGZ19" s="180"/>
      <c r="AHA19" s="180"/>
      <c r="AHB19" s="180"/>
      <c r="AHC19" s="180"/>
      <c r="AHD19" s="180"/>
      <c r="AHE19" s="180"/>
      <c r="AHF19" s="180"/>
      <c r="AHG19" s="180"/>
      <c r="AHH19" s="180"/>
      <c r="AHI19" s="180"/>
      <c r="AHJ19" s="180"/>
      <c r="AHK19" s="180"/>
      <c r="AHL19" s="180"/>
      <c r="AHM19" s="180"/>
      <c r="AHN19" s="180"/>
      <c r="AHO19" s="180"/>
      <c r="AHP19" s="180"/>
      <c r="AHQ19" s="180"/>
      <c r="AHR19" s="180"/>
      <c r="AHS19" s="180"/>
      <c r="AHT19" s="180"/>
      <c r="AHU19" s="180"/>
      <c r="AHV19" s="180"/>
      <c r="AHW19" s="180"/>
      <c r="AHX19" s="180"/>
      <c r="AHY19" s="180"/>
      <c r="AHZ19" s="180"/>
      <c r="AIA19" s="180"/>
      <c r="AIB19" s="180"/>
      <c r="AIC19" s="180"/>
      <c r="AID19" s="180"/>
      <c r="AIE19" s="180"/>
      <c r="AIF19" s="180"/>
      <c r="AIG19" s="180"/>
      <c r="AIH19" s="180"/>
      <c r="AII19" s="180"/>
      <c r="AIJ19" s="180"/>
      <c r="AIK19" s="180"/>
      <c r="AIL19" s="180"/>
      <c r="AIM19" s="180"/>
      <c r="AIN19" s="180"/>
      <c r="AIO19" s="180"/>
      <c r="AIP19" s="180"/>
      <c r="AIQ19" s="180"/>
      <c r="AIR19" s="180"/>
      <c r="AIS19" s="180"/>
      <c r="AIT19" s="180"/>
      <c r="AIU19" s="180"/>
      <c r="AIV19" s="180"/>
      <c r="AIW19" s="180"/>
      <c r="AIX19" s="180"/>
      <c r="AIY19" s="180"/>
      <c r="AIZ19" s="180"/>
      <c r="AJA19" s="180"/>
      <c r="AJB19" s="180"/>
      <c r="AJC19" s="180"/>
      <c r="AJD19" s="180"/>
      <c r="AJE19" s="180"/>
      <c r="AJF19" s="180"/>
      <c r="AJG19" s="180"/>
      <c r="AJH19" s="180"/>
      <c r="AJI19" s="180"/>
      <c r="AJJ19" s="180"/>
      <c r="AJK19" s="180"/>
      <c r="AJL19" s="180"/>
      <c r="AJM19" s="180"/>
      <c r="AJN19" s="180"/>
      <c r="AJO19" s="180"/>
      <c r="AJP19" s="180"/>
      <c r="AJQ19" s="180"/>
      <c r="AJR19" s="180"/>
      <c r="AJS19" s="180"/>
      <c r="AJT19" s="180"/>
      <c r="AJU19" s="180"/>
      <c r="AJV19" s="180"/>
      <c r="AJW19" s="180"/>
      <c r="AJX19" s="180"/>
      <c r="AJY19" s="180"/>
      <c r="AJZ19" s="180"/>
      <c r="AKA19" s="180"/>
      <c r="AKB19" s="180"/>
      <c r="AKC19" s="180"/>
      <c r="AKD19" s="180"/>
      <c r="AKE19" s="180"/>
      <c r="AKF19" s="180"/>
      <c r="AKG19" s="180"/>
      <c r="AKH19" s="180"/>
      <c r="AKI19" s="180"/>
      <c r="AKJ19" s="180"/>
      <c r="AKK19" s="180"/>
      <c r="AKL19" s="180"/>
      <c r="AKM19" s="180"/>
      <c r="AKN19" s="180"/>
      <c r="AKO19" s="180"/>
      <c r="AKP19" s="180"/>
      <c r="AKQ19" s="180"/>
      <c r="AKR19" s="180"/>
      <c r="AKS19" s="180"/>
      <c r="AKT19" s="180"/>
      <c r="AKU19" s="180"/>
      <c r="AKV19" s="180"/>
      <c r="AKW19" s="180"/>
      <c r="AKX19" s="180"/>
      <c r="AKY19" s="180"/>
      <c r="AKZ19" s="180"/>
      <c r="ALA19" s="180"/>
      <c r="ALB19" s="180"/>
      <c r="ALC19" s="180"/>
      <c r="ALD19" s="180"/>
      <c r="ALE19" s="180"/>
      <c r="ALF19" s="180"/>
      <c r="ALG19" s="180"/>
      <c r="ALH19" s="180"/>
      <c r="ALI19" s="180"/>
      <c r="ALJ19" s="180"/>
      <c r="ALK19" s="180"/>
      <c r="ALL19" s="180"/>
      <c r="ALM19" s="180"/>
      <c r="ALN19" s="180"/>
      <c r="ALO19" s="180"/>
      <c r="ALP19" s="180"/>
      <c r="ALQ19" s="180"/>
      <c r="ALR19" s="180"/>
      <c r="ALS19" s="180"/>
      <c r="ALT19" s="180"/>
      <c r="ALU19" s="180"/>
      <c r="ALV19" s="180"/>
      <c r="ALW19" s="180"/>
      <c r="ALX19" s="180"/>
      <c r="ALY19" s="180"/>
      <c r="ALZ19" s="180"/>
      <c r="AMA19" s="279"/>
      <c r="AMB19" s="279"/>
      <c r="AMC19" s="279"/>
      <c r="AMD19" s="279"/>
      <c r="AME19" s="279"/>
      <c r="AMF19" s="279"/>
      <c r="AMG19" s="279"/>
      <c r="AMH19" s="279"/>
      <c r="AMI19" s="280"/>
    </row>
    <row r="20" spans="1:1023" s="259" customFormat="1" x14ac:dyDescent="0.25">
      <c r="A20" s="289"/>
      <c r="B20" s="269"/>
      <c r="C20" s="290"/>
      <c r="D20" s="269"/>
      <c r="E20" s="507"/>
      <c r="F20" s="507"/>
      <c r="G20" s="507"/>
      <c r="H20" s="291"/>
      <c r="I20" s="291"/>
      <c r="J20" s="292"/>
      <c r="K20" s="292"/>
      <c r="L20" s="270"/>
      <c r="M20" s="292"/>
      <c r="N20" s="269"/>
      <c r="O20" s="269"/>
      <c r="P20" s="269"/>
      <c r="Q20" s="269"/>
      <c r="R20" s="269"/>
      <c r="S20" s="269"/>
      <c r="T20" s="269"/>
      <c r="U20" s="269"/>
      <c r="V20" s="269"/>
      <c r="W20" s="269"/>
      <c r="X20" s="269"/>
      <c r="Y20" s="269"/>
      <c r="Z20" s="269"/>
      <c r="AA20" s="269"/>
      <c r="AB20" s="269"/>
      <c r="AC20" s="269"/>
      <c r="AD20" s="269"/>
      <c r="AE20" s="269"/>
      <c r="AF20" s="269"/>
      <c r="AG20" s="269"/>
      <c r="AH20" s="269"/>
      <c r="AI20" s="269"/>
      <c r="AJ20" s="269"/>
      <c r="AK20" s="269"/>
      <c r="AL20" s="269"/>
      <c r="AM20" s="269"/>
      <c r="AN20" s="269"/>
      <c r="AO20" s="269"/>
      <c r="AP20" s="269"/>
      <c r="AQ20" s="269"/>
      <c r="AR20" s="269"/>
      <c r="AS20" s="269"/>
      <c r="AT20" s="269"/>
      <c r="AU20" s="269"/>
      <c r="AV20" s="269"/>
      <c r="AW20" s="269"/>
      <c r="AX20" s="269"/>
      <c r="AY20" s="269"/>
      <c r="AZ20" s="269"/>
      <c r="BA20" s="269"/>
      <c r="BB20" s="269"/>
      <c r="BC20" s="269"/>
      <c r="BD20" s="269"/>
      <c r="BE20" s="269"/>
      <c r="BF20" s="269"/>
      <c r="BG20" s="269"/>
      <c r="BH20" s="269"/>
      <c r="BI20" s="269"/>
      <c r="BJ20" s="269"/>
      <c r="BK20" s="269"/>
      <c r="BL20" s="269"/>
      <c r="BM20" s="269"/>
      <c r="BN20" s="269"/>
      <c r="BO20" s="269"/>
      <c r="BP20" s="269"/>
      <c r="BQ20" s="269"/>
      <c r="BR20" s="269"/>
      <c r="BS20" s="269"/>
      <c r="BT20" s="269"/>
      <c r="BU20" s="269"/>
      <c r="BV20" s="269"/>
      <c r="BW20" s="269"/>
      <c r="BX20" s="269"/>
      <c r="BY20" s="269"/>
      <c r="BZ20" s="269"/>
      <c r="CA20" s="269"/>
      <c r="CB20" s="269"/>
      <c r="CC20" s="269"/>
      <c r="CD20" s="269"/>
      <c r="CE20" s="269"/>
      <c r="CF20" s="269"/>
      <c r="CG20" s="269"/>
      <c r="CH20" s="269"/>
      <c r="CI20" s="269"/>
      <c r="CJ20" s="269"/>
      <c r="CK20" s="269"/>
      <c r="CL20" s="269"/>
      <c r="CM20" s="269"/>
      <c r="CN20" s="269"/>
      <c r="CO20" s="269"/>
      <c r="CP20" s="269"/>
      <c r="CQ20" s="269"/>
      <c r="CR20" s="269"/>
      <c r="CS20" s="269"/>
      <c r="CT20" s="269"/>
      <c r="CU20" s="269"/>
      <c r="CV20" s="269"/>
      <c r="CW20" s="269"/>
      <c r="CX20" s="269"/>
      <c r="CY20" s="269"/>
      <c r="CZ20" s="269"/>
      <c r="DA20" s="269"/>
      <c r="DB20" s="269"/>
      <c r="DC20" s="269"/>
      <c r="DD20" s="269"/>
      <c r="DE20" s="269"/>
      <c r="DF20" s="269"/>
      <c r="DG20" s="269"/>
      <c r="DH20" s="269"/>
      <c r="DI20" s="269"/>
      <c r="DJ20" s="269"/>
      <c r="DK20" s="269"/>
      <c r="DL20" s="269"/>
      <c r="DM20" s="269"/>
      <c r="DN20" s="269"/>
      <c r="DO20" s="269"/>
      <c r="DP20" s="269"/>
      <c r="DQ20" s="269"/>
      <c r="DR20" s="269"/>
      <c r="DS20" s="269"/>
      <c r="DT20" s="269"/>
      <c r="DU20" s="269"/>
      <c r="DV20" s="269"/>
      <c r="DW20" s="269"/>
      <c r="DX20" s="269"/>
      <c r="DY20" s="269"/>
      <c r="DZ20" s="269"/>
      <c r="EA20" s="269"/>
      <c r="EB20" s="269"/>
      <c r="EC20" s="269"/>
      <c r="ED20" s="269"/>
      <c r="EE20" s="269"/>
      <c r="EF20" s="269"/>
      <c r="EG20" s="269"/>
      <c r="EH20" s="269"/>
      <c r="EI20" s="269"/>
      <c r="EJ20" s="269"/>
      <c r="EK20" s="269"/>
      <c r="EL20" s="269"/>
      <c r="EM20" s="269"/>
      <c r="EN20" s="269"/>
      <c r="EO20" s="269"/>
      <c r="EP20" s="269"/>
      <c r="EQ20" s="269"/>
      <c r="ER20" s="269"/>
      <c r="ES20" s="269"/>
      <c r="ET20" s="269"/>
      <c r="EU20" s="269"/>
      <c r="EV20" s="269"/>
      <c r="EW20" s="269"/>
      <c r="EX20" s="269"/>
      <c r="EY20" s="269"/>
      <c r="EZ20" s="269"/>
      <c r="FA20" s="269"/>
      <c r="FB20" s="269"/>
      <c r="FC20" s="269"/>
      <c r="FD20" s="269"/>
      <c r="FE20" s="269"/>
      <c r="FF20" s="269"/>
      <c r="FG20" s="269"/>
      <c r="FH20" s="269"/>
      <c r="FI20" s="269"/>
      <c r="FJ20" s="269"/>
      <c r="FK20" s="269"/>
      <c r="FL20" s="269"/>
      <c r="FM20" s="269"/>
      <c r="FN20" s="269"/>
      <c r="FO20" s="269"/>
      <c r="FP20" s="269"/>
      <c r="FQ20" s="269"/>
      <c r="FR20" s="269"/>
      <c r="FS20" s="269"/>
      <c r="FT20" s="269"/>
      <c r="FU20" s="269"/>
      <c r="FV20" s="269"/>
      <c r="FW20" s="269"/>
      <c r="FX20" s="269"/>
      <c r="FY20" s="269"/>
      <c r="FZ20" s="269"/>
      <c r="GA20" s="269"/>
      <c r="GB20" s="269"/>
      <c r="GC20" s="269"/>
      <c r="GD20" s="269"/>
      <c r="GE20" s="269"/>
      <c r="GF20" s="269"/>
      <c r="GG20" s="269"/>
      <c r="GH20" s="269"/>
      <c r="GI20" s="269"/>
      <c r="GJ20" s="269"/>
      <c r="GK20" s="269"/>
      <c r="GL20" s="269"/>
      <c r="GM20" s="269"/>
      <c r="GN20" s="269"/>
      <c r="GO20" s="269"/>
      <c r="GP20" s="269"/>
      <c r="GQ20" s="269"/>
      <c r="GR20" s="269"/>
      <c r="GS20" s="269"/>
      <c r="GT20" s="269"/>
      <c r="GU20" s="269"/>
      <c r="GV20" s="269"/>
      <c r="GW20" s="269"/>
      <c r="GX20" s="269"/>
      <c r="GY20" s="269"/>
      <c r="GZ20" s="269"/>
      <c r="HA20" s="269"/>
      <c r="HB20" s="269"/>
      <c r="HC20" s="269"/>
      <c r="HD20" s="269"/>
      <c r="HE20" s="269"/>
      <c r="HF20" s="269"/>
      <c r="HG20" s="269"/>
      <c r="HH20" s="269"/>
      <c r="HI20" s="269"/>
      <c r="HJ20" s="269"/>
      <c r="HK20" s="269"/>
      <c r="HL20" s="269"/>
      <c r="HM20" s="269"/>
      <c r="HN20" s="269"/>
      <c r="HO20" s="269"/>
      <c r="HP20" s="269"/>
      <c r="HQ20" s="269"/>
      <c r="HR20" s="269"/>
      <c r="HS20" s="269"/>
      <c r="HT20" s="269"/>
      <c r="HU20" s="269"/>
      <c r="HV20" s="269"/>
      <c r="HW20" s="269"/>
      <c r="HX20" s="269"/>
      <c r="HY20" s="269"/>
      <c r="HZ20" s="269"/>
      <c r="IA20" s="269"/>
      <c r="IB20" s="269"/>
      <c r="IC20" s="269"/>
      <c r="ID20" s="269"/>
      <c r="IE20" s="269"/>
      <c r="IF20" s="269"/>
      <c r="IG20" s="269"/>
      <c r="IH20" s="269"/>
      <c r="II20" s="269"/>
      <c r="IJ20" s="269"/>
      <c r="IK20" s="269"/>
      <c r="IL20" s="269"/>
      <c r="IM20" s="269"/>
      <c r="IN20" s="269"/>
      <c r="IO20" s="269"/>
      <c r="IP20" s="269"/>
      <c r="IQ20" s="269"/>
      <c r="IR20" s="269"/>
      <c r="IS20" s="269"/>
      <c r="IT20" s="269"/>
      <c r="IU20" s="269"/>
      <c r="IV20" s="269"/>
      <c r="IW20" s="269"/>
      <c r="IX20" s="269"/>
      <c r="IY20" s="269"/>
      <c r="IZ20" s="269"/>
      <c r="JA20" s="269"/>
      <c r="JB20" s="269"/>
      <c r="JC20" s="269"/>
      <c r="JD20" s="269"/>
      <c r="JE20" s="269"/>
      <c r="JF20" s="269"/>
      <c r="JG20" s="269"/>
      <c r="JH20" s="269"/>
      <c r="JI20" s="269"/>
      <c r="JJ20" s="269"/>
      <c r="JK20" s="269"/>
      <c r="JL20" s="269"/>
      <c r="JM20" s="269"/>
      <c r="JN20" s="269"/>
      <c r="JO20" s="269"/>
      <c r="JP20" s="269"/>
      <c r="JQ20" s="269"/>
      <c r="JR20" s="269"/>
      <c r="JS20" s="269"/>
      <c r="JT20" s="269"/>
      <c r="JU20" s="269"/>
      <c r="JV20" s="269"/>
      <c r="JW20" s="269"/>
      <c r="JX20" s="269"/>
      <c r="JY20" s="269"/>
      <c r="JZ20" s="269"/>
      <c r="KA20" s="269"/>
      <c r="KB20" s="269"/>
      <c r="KC20" s="269"/>
      <c r="KD20" s="269"/>
      <c r="KE20" s="269"/>
      <c r="KF20" s="269"/>
      <c r="KG20" s="269"/>
      <c r="KH20" s="269"/>
      <c r="KI20" s="269"/>
      <c r="KJ20" s="269"/>
      <c r="KK20" s="269"/>
      <c r="KL20" s="269"/>
      <c r="KM20" s="269"/>
      <c r="KN20" s="269"/>
      <c r="KO20" s="269"/>
      <c r="KP20" s="269"/>
      <c r="KQ20" s="269"/>
      <c r="KR20" s="269"/>
      <c r="KS20" s="269"/>
      <c r="KT20" s="269"/>
      <c r="KU20" s="269"/>
      <c r="KV20" s="269"/>
      <c r="KW20" s="269"/>
      <c r="KX20" s="269"/>
      <c r="KY20" s="269"/>
      <c r="KZ20" s="269"/>
      <c r="LA20" s="269"/>
      <c r="LB20" s="269"/>
      <c r="LC20" s="269"/>
      <c r="LD20" s="269"/>
      <c r="LE20" s="269"/>
      <c r="LF20" s="269"/>
      <c r="LG20" s="269"/>
      <c r="LH20" s="269"/>
      <c r="LI20" s="269"/>
      <c r="LJ20" s="269"/>
      <c r="LK20" s="269"/>
      <c r="LL20" s="269"/>
      <c r="LM20" s="269"/>
      <c r="LN20" s="269"/>
      <c r="LO20" s="269"/>
      <c r="LP20" s="269"/>
      <c r="LQ20" s="269"/>
      <c r="LR20" s="269"/>
      <c r="LS20" s="269"/>
      <c r="LT20" s="269"/>
      <c r="LU20" s="269"/>
      <c r="LV20" s="269"/>
      <c r="LW20" s="269"/>
      <c r="LX20" s="269"/>
      <c r="LY20" s="269"/>
      <c r="LZ20" s="269"/>
      <c r="MA20" s="269"/>
      <c r="MB20" s="269"/>
      <c r="MC20" s="269"/>
      <c r="MD20" s="269"/>
      <c r="ME20" s="269"/>
      <c r="MF20" s="269"/>
      <c r="MG20" s="269"/>
      <c r="MH20" s="269"/>
      <c r="MI20" s="269"/>
      <c r="MJ20" s="269"/>
      <c r="MK20" s="269"/>
      <c r="ML20" s="269"/>
      <c r="MM20" s="269"/>
      <c r="MN20" s="269"/>
      <c r="MO20" s="269"/>
      <c r="MP20" s="269"/>
      <c r="MQ20" s="269"/>
      <c r="MR20" s="269"/>
      <c r="MS20" s="269"/>
      <c r="MT20" s="269"/>
      <c r="MU20" s="269"/>
      <c r="MV20" s="269"/>
      <c r="MW20" s="269"/>
      <c r="MX20" s="269"/>
      <c r="MY20" s="269"/>
      <c r="MZ20" s="269"/>
      <c r="NA20" s="269"/>
      <c r="NB20" s="269"/>
      <c r="NC20" s="269"/>
      <c r="ND20" s="269"/>
      <c r="NE20" s="269"/>
      <c r="NF20" s="269"/>
      <c r="NG20" s="269"/>
      <c r="NH20" s="269"/>
      <c r="NI20" s="269"/>
      <c r="NJ20" s="269"/>
      <c r="NK20" s="269"/>
      <c r="NL20" s="269"/>
      <c r="NM20" s="269"/>
      <c r="NN20" s="269"/>
      <c r="NO20" s="269"/>
      <c r="NP20" s="269"/>
      <c r="NQ20" s="269"/>
      <c r="NR20" s="269"/>
      <c r="NS20" s="269"/>
      <c r="NT20" s="269"/>
      <c r="NU20" s="269"/>
      <c r="NV20" s="269"/>
      <c r="NW20" s="269"/>
      <c r="NX20" s="269"/>
      <c r="NY20" s="269"/>
      <c r="NZ20" s="269"/>
      <c r="OA20" s="269"/>
      <c r="OB20" s="269"/>
      <c r="OC20" s="269"/>
      <c r="OD20" s="269"/>
      <c r="OE20" s="269"/>
      <c r="OF20" s="269"/>
      <c r="OG20" s="269"/>
      <c r="OH20" s="269"/>
      <c r="OI20" s="269"/>
      <c r="OJ20" s="269"/>
      <c r="OK20" s="269"/>
      <c r="OL20" s="269"/>
      <c r="OM20" s="269"/>
      <c r="ON20" s="269"/>
      <c r="OO20" s="269"/>
      <c r="OP20" s="269"/>
      <c r="OQ20" s="269"/>
      <c r="OR20" s="269"/>
      <c r="OS20" s="269"/>
      <c r="OT20" s="269"/>
      <c r="OU20" s="269"/>
      <c r="OV20" s="269"/>
      <c r="OW20" s="269"/>
      <c r="OX20" s="269"/>
      <c r="OY20" s="269"/>
      <c r="OZ20" s="269"/>
      <c r="PA20" s="269"/>
      <c r="PB20" s="269"/>
      <c r="PC20" s="269"/>
      <c r="PD20" s="269"/>
      <c r="PE20" s="269"/>
      <c r="PF20" s="269"/>
      <c r="PG20" s="269"/>
      <c r="PH20" s="269"/>
      <c r="PI20" s="269"/>
      <c r="PJ20" s="269"/>
      <c r="PK20" s="269"/>
      <c r="PL20" s="269"/>
      <c r="PM20" s="269"/>
      <c r="PN20" s="269"/>
      <c r="PO20" s="269"/>
      <c r="PP20" s="269"/>
      <c r="PQ20" s="269"/>
      <c r="PR20" s="269"/>
      <c r="PS20" s="269"/>
      <c r="PT20" s="269"/>
      <c r="PU20" s="269"/>
      <c r="PV20" s="269"/>
      <c r="PW20" s="269"/>
      <c r="PX20" s="269"/>
      <c r="PY20" s="269"/>
      <c r="PZ20" s="269"/>
      <c r="QA20" s="269"/>
      <c r="QB20" s="269"/>
      <c r="QC20" s="269"/>
      <c r="QD20" s="269"/>
      <c r="QE20" s="269"/>
      <c r="QF20" s="269"/>
      <c r="QG20" s="269"/>
      <c r="QH20" s="269"/>
      <c r="QI20" s="269"/>
      <c r="QJ20" s="269"/>
      <c r="QK20" s="269"/>
      <c r="QL20" s="269"/>
      <c r="QM20" s="269"/>
      <c r="QN20" s="269"/>
      <c r="QO20" s="269"/>
      <c r="QP20" s="269"/>
      <c r="QQ20" s="269"/>
      <c r="QR20" s="269"/>
      <c r="QS20" s="269"/>
      <c r="QT20" s="269"/>
      <c r="QU20" s="269"/>
      <c r="QV20" s="269"/>
      <c r="QW20" s="269"/>
      <c r="QX20" s="269"/>
      <c r="QY20" s="269"/>
      <c r="QZ20" s="269"/>
      <c r="RA20" s="269"/>
      <c r="RB20" s="269"/>
      <c r="RC20" s="269"/>
      <c r="RD20" s="269"/>
      <c r="RE20" s="269"/>
      <c r="RF20" s="269"/>
      <c r="RG20" s="269"/>
      <c r="RH20" s="269"/>
      <c r="RI20" s="269"/>
      <c r="RJ20" s="269"/>
      <c r="RK20" s="269"/>
      <c r="RL20" s="269"/>
      <c r="RM20" s="269"/>
      <c r="RN20" s="269"/>
      <c r="RO20" s="269"/>
      <c r="RP20" s="269"/>
      <c r="RQ20" s="269"/>
      <c r="RR20" s="269"/>
      <c r="RS20" s="269"/>
      <c r="RT20" s="269"/>
      <c r="RU20" s="269"/>
      <c r="RV20" s="269"/>
      <c r="RW20" s="269"/>
      <c r="RX20" s="269"/>
      <c r="RY20" s="269"/>
      <c r="RZ20" s="269"/>
      <c r="SA20" s="269"/>
      <c r="SB20" s="269"/>
      <c r="SC20" s="269"/>
      <c r="SD20" s="269"/>
      <c r="SE20" s="269"/>
      <c r="SF20" s="269"/>
      <c r="SG20" s="269"/>
      <c r="SH20" s="269"/>
      <c r="SI20" s="269"/>
      <c r="SJ20" s="269"/>
      <c r="SK20" s="269"/>
      <c r="SL20" s="269"/>
      <c r="SM20" s="269"/>
      <c r="SN20" s="269"/>
      <c r="SO20" s="269"/>
      <c r="SP20" s="269"/>
      <c r="SQ20" s="269"/>
      <c r="SR20" s="269"/>
      <c r="SS20" s="269"/>
      <c r="ST20" s="269"/>
      <c r="SU20" s="269"/>
      <c r="SV20" s="269"/>
      <c r="SW20" s="269"/>
      <c r="SX20" s="269"/>
      <c r="SY20" s="269"/>
      <c r="SZ20" s="269"/>
      <c r="TA20" s="269"/>
      <c r="TB20" s="269"/>
      <c r="TC20" s="269"/>
      <c r="TD20" s="269"/>
      <c r="TE20" s="269"/>
      <c r="TF20" s="269"/>
      <c r="TG20" s="269"/>
      <c r="TH20" s="269"/>
      <c r="TI20" s="269"/>
      <c r="TJ20" s="269"/>
      <c r="TK20" s="269"/>
      <c r="TL20" s="269"/>
      <c r="TM20" s="269"/>
      <c r="TN20" s="269"/>
      <c r="TO20" s="269"/>
      <c r="TP20" s="269"/>
      <c r="TQ20" s="269"/>
      <c r="TR20" s="269"/>
      <c r="TS20" s="269"/>
      <c r="TT20" s="269"/>
      <c r="TU20" s="269"/>
      <c r="TV20" s="269"/>
      <c r="TW20" s="269"/>
      <c r="TX20" s="269"/>
      <c r="TY20" s="269"/>
      <c r="TZ20" s="269"/>
      <c r="UA20" s="269"/>
      <c r="UB20" s="269"/>
      <c r="UC20" s="269"/>
      <c r="UD20" s="269"/>
      <c r="UE20" s="269"/>
      <c r="UF20" s="269"/>
      <c r="UG20" s="269"/>
      <c r="UH20" s="269"/>
      <c r="UI20" s="269"/>
      <c r="UJ20" s="269"/>
      <c r="UK20" s="269"/>
      <c r="UL20" s="269"/>
      <c r="UM20" s="269"/>
      <c r="UN20" s="269"/>
      <c r="UO20" s="269"/>
      <c r="UP20" s="269"/>
      <c r="UQ20" s="269"/>
      <c r="UR20" s="269"/>
      <c r="US20" s="269"/>
      <c r="UT20" s="269"/>
      <c r="UU20" s="269"/>
      <c r="UV20" s="269"/>
      <c r="UW20" s="269"/>
      <c r="UX20" s="269"/>
      <c r="UY20" s="269"/>
      <c r="UZ20" s="269"/>
      <c r="VA20" s="269"/>
      <c r="VB20" s="269"/>
      <c r="VC20" s="269"/>
      <c r="VD20" s="269"/>
      <c r="VE20" s="269"/>
      <c r="VF20" s="269"/>
      <c r="VG20" s="269"/>
      <c r="VH20" s="269"/>
      <c r="VI20" s="269"/>
      <c r="VJ20" s="269"/>
      <c r="VK20" s="269"/>
      <c r="VL20" s="269"/>
      <c r="VM20" s="269"/>
      <c r="VN20" s="269"/>
      <c r="VO20" s="269"/>
      <c r="VP20" s="269"/>
      <c r="VQ20" s="269"/>
      <c r="VR20" s="269"/>
      <c r="VS20" s="269"/>
      <c r="VT20" s="269"/>
      <c r="VU20" s="269"/>
      <c r="VV20" s="269"/>
      <c r="VW20" s="269"/>
      <c r="VX20" s="269"/>
      <c r="VY20" s="269"/>
      <c r="VZ20" s="269"/>
      <c r="WA20" s="269"/>
      <c r="WB20" s="269"/>
      <c r="WC20" s="269"/>
      <c r="WD20" s="269"/>
      <c r="WE20" s="269"/>
      <c r="WF20" s="269"/>
      <c r="WG20" s="269"/>
      <c r="WH20" s="269"/>
      <c r="WI20" s="269"/>
      <c r="WJ20" s="269"/>
      <c r="WK20" s="269"/>
      <c r="WL20" s="269"/>
      <c r="WM20" s="269"/>
      <c r="WN20" s="269"/>
      <c r="WO20" s="269"/>
      <c r="WP20" s="269"/>
      <c r="WQ20" s="269"/>
      <c r="WR20" s="269"/>
      <c r="WS20" s="269"/>
      <c r="WT20" s="269"/>
      <c r="WU20" s="269"/>
      <c r="WV20" s="269"/>
      <c r="WW20" s="269"/>
      <c r="WX20" s="269"/>
      <c r="WY20" s="269"/>
      <c r="WZ20" s="269"/>
      <c r="XA20" s="269"/>
      <c r="XB20" s="269"/>
      <c r="XC20" s="269"/>
      <c r="XD20" s="269"/>
      <c r="XE20" s="269"/>
      <c r="XF20" s="269"/>
      <c r="XG20" s="269"/>
      <c r="XH20" s="269"/>
      <c r="XI20" s="269"/>
      <c r="XJ20" s="269"/>
      <c r="XK20" s="269"/>
      <c r="XL20" s="269"/>
      <c r="XM20" s="269"/>
      <c r="XN20" s="269"/>
      <c r="XO20" s="269"/>
      <c r="XP20" s="269"/>
      <c r="XQ20" s="269"/>
      <c r="XR20" s="269"/>
      <c r="XS20" s="269"/>
      <c r="XT20" s="269"/>
      <c r="XU20" s="269"/>
      <c r="XV20" s="269"/>
      <c r="XW20" s="269"/>
      <c r="XX20" s="269"/>
      <c r="XY20" s="269"/>
      <c r="XZ20" s="269"/>
      <c r="YA20" s="269"/>
      <c r="YB20" s="269"/>
      <c r="YC20" s="269"/>
      <c r="YD20" s="269"/>
      <c r="YE20" s="269"/>
      <c r="YF20" s="269"/>
      <c r="YG20" s="269"/>
      <c r="YH20" s="269"/>
      <c r="YI20" s="269"/>
      <c r="YJ20" s="269"/>
      <c r="YK20" s="269"/>
      <c r="YL20" s="269"/>
      <c r="YM20" s="269"/>
      <c r="YN20" s="269"/>
      <c r="YO20" s="269"/>
      <c r="YP20" s="269"/>
      <c r="YQ20" s="269"/>
      <c r="YR20" s="269"/>
      <c r="YS20" s="269"/>
      <c r="YT20" s="269"/>
      <c r="YU20" s="269"/>
      <c r="YV20" s="269"/>
      <c r="YW20" s="269"/>
      <c r="YX20" s="269"/>
      <c r="YY20" s="269"/>
      <c r="YZ20" s="269"/>
      <c r="ZA20" s="269"/>
      <c r="ZB20" s="269"/>
      <c r="ZC20" s="269"/>
      <c r="ZD20" s="269"/>
      <c r="ZE20" s="269"/>
      <c r="ZF20" s="269"/>
      <c r="ZG20" s="269"/>
      <c r="ZH20" s="269"/>
      <c r="ZI20" s="269"/>
      <c r="ZJ20" s="269"/>
      <c r="ZK20" s="269"/>
      <c r="ZL20" s="269"/>
      <c r="ZM20" s="269"/>
      <c r="ZN20" s="269"/>
      <c r="ZO20" s="269"/>
      <c r="ZP20" s="269"/>
      <c r="ZQ20" s="269"/>
      <c r="ZR20" s="269"/>
      <c r="ZS20" s="269"/>
      <c r="ZT20" s="269"/>
      <c r="ZU20" s="269"/>
      <c r="ZV20" s="269"/>
      <c r="ZW20" s="269"/>
      <c r="ZX20" s="269"/>
      <c r="ZY20" s="269"/>
      <c r="ZZ20" s="269"/>
      <c r="AAA20" s="269"/>
      <c r="AAB20" s="269"/>
      <c r="AAC20" s="269"/>
      <c r="AAD20" s="269"/>
      <c r="AAE20" s="269"/>
      <c r="AAF20" s="269"/>
      <c r="AAG20" s="269"/>
      <c r="AAH20" s="269"/>
      <c r="AAI20" s="269"/>
      <c r="AAJ20" s="269"/>
      <c r="AAK20" s="269"/>
      <c r="AAL20" s="269"/>
      <c r="AAM20" s="269"/>
      <c r="AAN20" s="269"/>
      <c r="AAO20" s="269"/>
      <c r="AAP20" s="269"/>
      <c r="AAQ20" s="269"/>
      <c r="AAR20" s="269"/>
      <c r="AAS20" s="269"/>
      <c r="AAT20" s="269"/>
      <c r="AAU20" s="269"/>
      <c r="AAV20" s="269"/>
      <c r="AAW20" s="269"/>
      <c r="AAX20" s="269"/>
      <c r="AAY20" s="269"/>
      <c r="AAZ20" s="269"/>
      <c r="ABA20" s="269"/>
      <c r="ABB20" s="269"/>
      <c r="ABC20" s="269"/>
      <c r="ABD20" s="269"/>
      <c r="ABE20" s="269"/>
      <c r="ABF20" s="269"/>
      <c r="ABG20" s="269"/>
      <c r="ABH20" s="269"/>
      <c r="ABI20" s="269"/>
      <c r="ABJ20" s="269"/>
      <c r="ABK20" s="269"/>
      <c r="ABL20" s="269"/>
      <c r="ABM20" s="269"/>
      <c r="ABN20" s="269"/>
      <c r="ABO20" s="269"/>
      <c r="ABP20" s="269"/>
      <c r="ABQ20" s="269"/>
      <c r="ABR20" s="269"/>
      <c r="ABS20" s="269"/>
      <c r="ABT20" s="269"/>
      <c r="ABU20" s="269"/>
      <c r="ABV20" s="269"/>
      <c r="ABW20" s="269"/>
      <c r="ABX20" s="269"/>
      <c r="ABY20" s="269"/>
      <c r="ABZ20" s="269"/>
      <c r="ACA20" s="269"/>
      <c r="ACB20" s="269"/>
      <c r="ACC20" s="269"/>
      <c r="ACD20" s="269"/>
      <c r="ACE20" s="269"/>
      <c r="ACF20" s="269"/>
      <c r="ACG20" s="269"/>
      <c r="ACH20" s="269"/>
      <c r="ACI20" s="269"/>
      <c r="ACJ20" s="269"/>
      <c r="ACK20" s="269"/>
      <c r="ACL20" s="269"/>
      <c r="ACM20" s="269"/>
      <c r="ACN20" s="269"/>
      <c r="ACO20" s="269"/>
      <c r="ACP20" s="269"/>
      <c r="ACQ20" s="269"/>
      <c r="ACR20" s="269"/>
      <c r="ACS20" s="269"/>
      <c r="ACT20" s="269"/>
      <c r="ACU20" s="269"/>
      <c r="ACV20" s="269"/>
      <c r="ACW20" s="269"/>
      <c r="ACX20" s="269"/>
      <c r="ACY20" s="269"/>
      <c r="ACZ20" s="269"/>
      <c r="ADA20" s="269"/>
      <c r="ADB20" s="269"/>
      <c r="ADC20" s="269"/>
      <c r="ADD20" s="269"/>
      <c r="ADE20" s="269"/>
      <c r="ADF20" s="269"/>
      <c r="ADG20" s="269"/>
      <c r="ADH20" s="269"/>
      <c r="ADI20" s="269"/>
      <c r="ADJ20" s="269"/>
      <c r="ADK20" s="269"/>
      <c r="ADL20" s="269"/>
      <c r="ADM20" s="269"/>
      <c r="ADN20" s="269"/>
      <c r="ADO20" s="269"/>
      <c r="ADP20" s="269"/>
      <c r="ADQ20" s="269"/>
      <c r="ADR20" s="269"/>
      <c r="ADS20" s="269"/>
      <c r="ADT20" s="269"/>
      <c r="ADU20" s="269"/>
      <c r="ADV20" s="269"/>
      <c r="ADW20" s="269"/>
      <c r="ADX20" s="269"/>
      <c r="ADY20" s="269"/>
      <c r="ADZ20" s="269"/>
      <c r="AEA20" s="269"/>
      <c r="AEB20" s="269"/>
      <c r="AEC20" s="269"/>
      <c r="AED20" s="269"/>
      <c r="AEE20" s="269"/>
      <c r="AEF20" s="269"/>
      <c r="AEG20" s="269"/>
      <c r="AEH20" s="269"/>
      <c r="AEI20" s="269"/>
      <c r="AEJ20" s="269"/>
      <c r="AEK20" s="269"/>
      <c r="AEL20" s="269"/>
      <c r="AEM20" s="269"/>
      <c r="AEN20" s="269"/>
      <c r="AEO20" s="269"/>
      <c r="AEP20" s="269"/>
      <c r="AEQ20" s="269"/>
      <c r="AER20" s="269"/>
      <c r="AES20" s="269"/>
      <c r="AET20" s="269"/>
      <c r="AEU20" s="269"/>
      <c r="AEV20" s="269"/>
      <c r="AEW20" s="269"/>
      <c r="AEX20" s="269"/>
      <c r="AEY20" s="269"/>
      <c r="AEZ20" s="269"/>
      <c r="AFA20" s="269"/>
      <c r="AFB20" s="269"/>
      <c r="AFC20" s="269"/>
      <c r="AFD20" s="269"/>
      <c r="AFE20" s="269"/>
      <c r="AFF20" s="269"/>
      <c r="AFG20" s="269"/>
      <c r="AFH20" s="269"/>
      <c r="AFI20" s="269"/>
      <c r="AFJ20" s="269"/>
      <c r="AFK20" s="269"/>
      <c r="AFL20" s="269"/>
      <c r="AFM20" s="269"/>
      <c r="AFN20" s="269"/>
      <c r="AFO20" s="269"/>
      <c r="AFP20" s="269"/>
      <c r="AFQ20" s="269"/>
      <c r="AFR20" s="269"/>
      <c r="AFS20" s="269"/>
      <c r="AFT20" s="269"/>
      <c r="AFU20" s="269"/>
      <c r="AFV20" s="269"/>
      <c r="AFW20" s="269"/>
      <c r="AFX20" s="269"/>
      <c r="AFY20" s="269"/>
      <c r="AFZ20" s="269"/>
      <c r="AGA20" s="269"/>
      <c r="AGB20" s="269"/>
      <c r="AGC20" s="269"/>
      <c r="AGD20" s="269"/>
      <c r="AGE20" s="269"/>
      <c r="AGF20" s="269"/>
      <c r="AGG20" s="269"/>
      <c r="AGH20" s="269"/>
      <c r="AGI20" s="269"/>
      <c r="AGJ20" s="269"/>
      <c r="AGK20" s="269"/>
      <c r="AGL20" s="269"/>
      <c r="AGM20" s="269"/>
      <c r="AGN20" s="269"/>
      <c r="AGO20" s="269"/>
      <c r="AGP20" s="269"/>
      <c r="AGQ20" s="269"/>
      <c r="AGR20" s="269"/>
      <c r="AGS20" s="269"/>
      <c r="AGT20" s="269"/>
      <c r="AGU20" s="269"/>
      <c r="AGV20" s="269"/>
      <c r="AGW20" s="269"/>
      <c r="AGX20" s="269"/>
      <c r="AGY20" s="269"/>
      <c r="AGZ20" s="269"/>
      <c r="AHA20" s="269"/>
      <c r="AHB20" s="269"/>
      <c r="AHC20" s="269"/>
      <c r="AHD20" s="269"/>
      <c r="AHE20" s="269"/>
      <c r="AHF20" s="269"/>
      <c r="AHG20" s="269"/>
      <c r="AHH20" s="269"/>
      <c r="AHI20" s="269"/>
      <c r="AHJ20" s="269"/>
      <c r="AHK20" s="269"/>
      <c r="AHL20" s="269"/>
      <c r="AHM20" s="269"/>
      <c r="AHN20" s="269"/>
      <c r="AHO20" s="269"/>
      <c r="AHP20" s="269"/>
      <c r="AHQ20" s="269"/>
      <c r="AHR20" s="269"/>
      <c r="AHS20" s="269"/>
      <c r="AHT20" s="269"/>
      <c r="AHU20" s="269"/>
      <c r="AHV20" s="269"/>
      <c r="AHW20" s="269"/>
      <c r="AHX20" s="269"/>
      <c r="AHY20" s="269"/>
      <c r="AHZ20" s="269"/>
      <c r="AIA20" s="269"/>
      <c r="AIB20" s="269"/>
      <c r="AIC20" s="269"/>
      <c r="AID20" s="269"/>
      <c r="AIE20" s="269"/>
      <c r="AIF20" s="269"/>
      <c r="AIG20" s="269"/>
      <c r="AIH20" s="269"/>
      <c r="AII20" s="269"/>
      <c r="AIJ20" s="269"/>
      <c r="AIK20" s="269"/>
      <c r="AIL20" s="269"/>
      <c r="AIM20" s="269"/>
      <c r="AIN20" s="269"/>
      <c r="AIO20" s="269"/>
      <c r="AIP20" s="269"/>
      <c r="AIQ20" s="269"/>
      <c r="AIR20" s="269"/>
      <c r="AIS20" s="269"/>
      <c r="AIT20" s="269"/>
      <c r="AIU20" s="269"/>
      <c r="AIV20" s="269"/>
      <c r="AIW20" s="269"/>
      <c r="AIX20" s="269"/>
      <c r="AIY20" s="269"/>
      <c r="AIZ20" s="269"/>
      <c r="AJA20" s="269"/>
      <c r="AJB20" s="269"/>
      <c r="AJC20" s="269"/>
      <c r="AJD20" s="269"/>
      <c r="AJE20" s="269"/>
      <c r="AJF20" s="269"/>
      <c r="AJG20" s="269"/>
      <c r="AJH20" s="269"/>
      <c r="AJI20" s="269"/>
      <c r="AJJ20" s="269"/>
      <c r="AJK20" s="269"/>
      <c r="AJL20" s="269"/>
      <c r="AJM20" s="269"/>
      <c r="AJN20" s="269"/>
      <c r="AJO20" s="269"/>
      <c r="AJP20" s="269"/>
      <c r="AJQ20" s="269"/>
      <c r="AJR20" s="269"/>
      <c r="AJS20" s="269"/>
      <c r="AJT20" s="269"/>
      <c r="AJU20" s="269"/>
      <c r="AJV20" s="269"/>
      <c r="AJW20" s="269"/>
      <c r="AJX20" s="269"/>
      <c r="AJY20" s="269"/>
      <c r="AJZ20" s="269"/>
      <c r="AKA20" s="269"/>
      <c r="AKB20" s="269"/>
      <c r="AKC20" s="269"/>
      <c r="AKD20" s="269"/>
      <c r="AKE20" s="269"/>
      <c r="AKF20" s="269"/>
      <c r="AKG20" s="269"/>
      <c r="AKH20" s="269"/>
      <c r="AKI20" s="269"/>
      <c r="AKJ20" s="269"/>
      <c r="AKK20" s="269"/>
      <c r="AKL20" s="269"/>
      <c r="AKM20" s="269"/>
      <c r="AKN20" s="269"/>
      <c r="AKO20" s="269"/>
      <c r="AKP20" s="269"/>
      <c r="AKQ20" s="269"/>
      <c r="AKR20" s="269"/>
      <c r="AKS20" s="269"/>
      <c r="AKT20" s="269"/>
      <c r="AKU20" s="269"/>
      <c r="AKV20" s="269"/>
      <c r="AKW20" s="269"/>
      <c r="AKX20" s="269"/>
      <c r="AKY20" s="269"/>
      <c r="AKZ20" s="269"/>
      <c r="ALA20" s="269"/>
      <c r="ALB20" s="269"/>
      <c r="ALC20" s="269"/>
      <c r="ALD20" s="269"/>
      <c r="ALE20" s="269"/>
      <c r="ALF20" s="269"/>
      <c r="ALG20" s="269"/>
      <c r="ALH20" s="269"/>
      <c r="ALI20" s="269"/>
      <c r="ALJ20" s="269"/>
      <c r="ALK20" s="269"/>
      <c r="ALL20" s="269"/>
      <c r="ALM20" s="269"/>
      <c r="ALN20" s="269"/>
      <c r="ALO20" s="269"/>
      <c r="ALP20" s="269"/>
      <c r="ALQ20" s="269"/>
      <c r="ALR20" s="269"/>
      <c r="ALS20" s="269"/>
      <c r="ALT20" s="269"/>
      <c r="ALU20" s="269"/>
      <c r="ALV20" s="269"/>
      <c r="ALW20" s="269"/>
      <c r="ALX20" s="269"/>
      <c r="ALY20" s="269"/>
      <c r="ALZ20" s="269"/>
      <c r="AMA20" s="270"/>
      <c r="AMB20" s="270"/>
      <c r="AMC20" s="270"/>
      <c r="AMD20" s="270"/>
      <c r="AME20" s="270"/>
      <c r="AMF20" s="270"/>
      <c r="AMG20" s="270"/>
      <c r="AMH20" s="270"/>
      <c r="AMI20" s="293"/>
    </row>
    <row r="21" spans="1:1023" s="259" customFormat="1" ht="31.5" customHeight="1" x14ac:dyDescent="0.25">
      <c r="A21" s="294"/>
      <c r="B21" s="294"/>
      <c r="C21" s="295" t="s">
        <v>332</v>
      </c>
      <c r="D21" s="180"/>
      <c r="E21" s="494">
        <v>0</v>
      </c>
      <c r="F21" s="506"/>
      <c r="G21" s="494">
        <v>0</v>
      </c>
      <c r="H21" s="473"/>
      <c r="I21" s="277">
        <v>0</v>
      </c>
      <c r="J21" s="473"/>
      <c r="K21" s="277">
        <v>0</v>
      </c>
      <c r="L21" s="278"/>
      <c r="M21" s="277">
        <v>0</v>
      </c>
      <c r="N21" s="180"/>
      <c r="O21" s="180"/>
      <c r="P21" s="180"/>
      <c r="Q21" s="180"/>
      <c r="R21" s="180"/>
      <c r="S21" s="180"/>
      <c r="T21" s="180"/>
      <c r="U21" s="180"/>
      <c r="V21" s="180"/>
      <c r="W21" s="180"/>
      <c r="X21" s="180"/>
      <c r="Y21" s="180"/>
      <c r="Z21" s="180"/>
      <c r="AA21" s="180"/>
      <c r="AB21" s="180"/>
      <c r="AC21" s="180"/>
      <c r="AD21" s="180"/>
      <c r="AE21" s="180"/>
      <c r="AF21" s="180"/>
      <c r="AG21" s="180"/>
      <c r="AH21" s="180"/>
      <c r="AI21" s="180"/>
      <c r="AJ21" s="180"/>
      <c r="AK21" s="180"/>
      <c r="AL21" s="180"/>
      <c r="AM21" s="180"/>
      <c r="AN21" s="180"/>
      <c r="AO21" s="180"/>
      <c r="AP21" s="180"/>
      <c r="AQ21" s="180"/>
      <c r="AR21" s="180"/>
      <c r="AS21" s="180"/>
      <c r="AT21" s="180"/>
      <c r="AU21" s="180"/>
      <c r="AV21" s="180"/>
      <c r="AW21" s="180"/>
      <c r="AX21" s="180"/>
      <c r="AY21" s="180"/>
      <c r="AZ21" s="180"/>
      <c r="BA21" s="180"/>
      <c r="BB21" s="180"/>
      <c r="BC21" s="180"/>
      <c r="BD21" s="180"/>
      <c r="BE21" s="180"/>
      <c r="BF21" s="180"/>
      <c r="BG21" s="180"/>
      <c r="BH21" s="180"/>
      <c r="BI21" s="180"/>
      <c r="BJ21" s="180"/>
      <c r="BK21" s="180"/>
      <c r="BL21" s="180"/>
      <c r="BM21" s="180"/>
      <c r="BN21" s="180"/>
      <c r="BO21" s="180"/>
      <c r="BP21" s="180"/>
      <c r="BQ21" s="180"/>
      <c r="BR21" s="180"/>
      <c r="BS21" s="180"/>
      <c r="BT21" s="180"/>
      <c r="BU21" s="180"/>
      <c r="BV21" s="180"/>
      <c r="BW21" s="180"/>
      <c r="BX21" s="180"/>
      <c r="BY21" s="180"/>
      <c r="BZ21" s="180"/>
      <c r="CA21" s="180"/>
      <c r="CB21" s="180"/>
      <c r="CC21" s="180"/>
      <c r="CD21" s="180"/>
      <c r="CE21" s="180"/>
      <c r="CF21" s="180"/>
      <c r="CG21" s="180"/>
      <c r="CH21" s="180"/>
      <c r="CI21" s="180"/>
      <c r="CJ21" s="180"/>
      <c r="CK21" s="180"/>
      <c r="CL21" s="180"/>
      <c r="CM21" s="180"/>
      <c r="CN21" s="180"/>
      <c r="CO21" s="180"/>
      <c r="CP21" s="180"/>
      <c r="CQ21" s="180"/>
      <c r="CR21" s="180"/>
      <c r="CS21" s="180"/>
      <c r="CT21" s="180"/>
      <c r="CU21" s="180"/>
      <c r="CV21" s="180"/>
      <c r="CW21" s="180"/>
      <c r="CX21" s="180"/>
      <c r="CY21" s="180"/>
      <c r="CZ21" s="180"/>
      <c r="DA21" s="180"/>
      <c r="DB21" s="180"/>
      <c r="DC21" s="180"/>
      <c r="DD21" s="180"/>
      <c r="DE21" s="180"/>
      <c r="DF21" s="180"/>
      <c r="DG21" s="180"/>
      <c r="DH21" s="180"/>
      <c r="DI21" s="180"/>
      <c r="DJ21" s="180"/>
      <c r="DK21" s="180"/>
      <c r="DL21" s="180"/>
      <c r="DM21" s="180"/>
      <c r="DN21" s="180"/>
      <c r="DO21" s="180"/>
      <c r="DP21" s="180"/>
      <c r="DQ21" s="180"/>
      <c r="DR21" s="180"/>
      <c r="DS21" s="180"/>
      <c r="DT21" s="180"/>
      <c r="DU21" s="180"/>
      <c r="DV21" s="180"/>
      <c r="DW21" s="180"/>
      <c r="DX21" s="180"/>
      <c r="DY21" s="180"/>
      <c r="DZ21" s="180"/>
      <c r="EA21" s="180"/>
      <c r="EB21" s="180"/>
      <c r="EC21" s="180"/>
      <c r="ED21" s="180"/>
      <c r="EE21" s="180"/>
      <c r="EF21" s="180"/>
      <c r="EG21" s="180"/>
      <c r="EH21" s="180"/>
      <c r="EI21" s="180"/>
      <c r="EJ21" s="180"/>
      <c r="EK21" s="180"/>
      <c r="EL21" s="180"/>
      <c r="EM21" s="180"/>
      <c r="EN21" s="180"/>
      <c r="EO21" s="180"/>
      <c r="EP21" s="180"/>
      <c r="EQ21" s="180"/>
      <c r="ER21" s="180"/>
      <c r="ES21" s="180"/>
      <c r="ET21" s="180"/>
      <c r="EU21" s="180"/>
      <c r="EV21" s="180"/>
      <c r="EW21" s="180"/>
      <c r="EX21" s="180"/>
      <c r="EY21" s="180"/>
      <c r="EZ21" s="180"/>
      <c r="FA21" s="180"/>
      <c r="FB21" s="180"/>
      <c r="FC21" s="180"/>
      <c r="FD21" s="180"/>
      <c r="FE21" s="180"/>
      <c r="FF21" s="180"/>
      <c r="FG21" s="180"/>
      <c r="FH21" s="180"/>
      <c r="FI21" s="180"/>
      <c r="FJ21" s="180"/>
      <c r="FK21" s="180"/>
      <c r="FL21" s="180"/>
      <c r="FM21" s="180"/>
      <c r="FN21" s="180"/>
      <c r="FO21" s="180"/>
      <c r="FP21" s="180"/>
      <c r="FQ21" s="180"/>
      <c r="FR21" s="180"/>
      <c r="FS21" s="180"/>
      <c r="FT21" s="180"/>
      <c r="FU21" s="180"/>
      <c r="FV21" s="180"/>
      <c r="FW21" s="180"/>
      <c r="FX21" s="180"/>
      <c r="FY21" s="180"/>
      <c r="FZ21" s="180"/>
      <c r="GA21" s="180"/>
      <c r="GB21" s="180"/>
      <c r="GC21" s="180"/>
      <c r="GD21" s="180"/>
      <c r="GE21" s="180"/>
      <c r="GF21" s="180"/>
      <c r="GG21" s="180"/>
      <c r="GH21" s="180"/>
      <c r="GI21" s="180"/>
      <c r="GJ21" s="180"/>
      <c r="GK21" s="180"/>
      <c r="GL21" s="180"/>
      <c r="GM21" s="180"/>
      <c r="GN21" s="180"/>
      <c r="GO21" s="180"/>
      <c r="GP21" s="180"/>
      <c r="GQ21" s="180"/>
      <c r="GR21" s="180"/>
      <c r="GS21" s="180"/>
      <c r="GT21" s="180"/>
      <c r="GU21" s="180"/>
      <c r="GV21" s="180"/>
      <c r="GW21" s="180"/>
      <c r="GX21" s="180"/>
      <c r="GY21" s="180"/>
      <c r="GZ21" s="180"/>
      <c r="HA21" s="180"/>
      <c r="HB21" s="180"/>
      <c r="HC21" s="180"/>
      <c r="HD21" s="180"/>
      <c r="HE21" s="180"/>
      <c r="HF21" s="180"/>
      <c r="HG21" s="180"/>
      <c r="HH21" s="180"/>
      <c r="HI21" s="180"/>
      <c r="HJ21" s="180"/>
      <c r="HK21" s="180"/>
      <c r="HL21" s="180"/>
      <c r="HM21" s="180"/>
      <c r="HN21" s="180"/>
      <c r="HO21" s="180"/>
      <c r="HP21" s="180"/>
      <c r="HQ21" s="180"/>
      <c r="HR21" s="180"/>
      <c r="HS21" s="180"/>
      <c r="HT21" s="180"/>
      <c r="HU21" s="180"/>
      <c r="HV21" s="180"/>
      <c r="HW21" s="180"/>
      <c r="HX21" s="180"/>
      <c r="HY21" s="180"/>
      <c r="HZ21" s="180"/>
      <c r="IA21" s="180"/>
      <c r="IB21" s="180"/>
      <c r="IC21" s="180"/>
      <c r="ID21" s="180"/>
      <c r="IE21" s="180"/>
      <c r="IF21" s="180"/>
      <c r="IG21" s="180"/>
      <c r="IH21" s="180"/>
      <c r="II21" s="180"/>
      <c r="IJ21" s="180"/>
      <c r="IK21" s="180"/>
      <c r="IL21" s="180"/>
      <c r="IM21" s="180"/>
      <c r="IN21" s="180"/>
      <c r="IO21" s="180"/>
      <c r="IP21" s="180"/>
      <c r="IQ21" s="180"/>
      <c r="IR21" s="180"/>
      <c r="IS21" s="180"/>
      <c r="IT21" s="180"/>
      <c r="IU21" s="180"/>
      <c r="IV21" s="180"/>
      <c r="IW21" s="180"/>
      <c r="IX21" s="180"/>
      <c r="IY21" s="180"/>
      <c r="IZ21" s="180"/>
      <c r="JA21" s="180"/>
      <c r="JB21" s="180"/>
      <c r="JC21" s="180"/>
      <c r="JD21" s="180"/>
      <c r="JE21" s="180"/>
      <c r="JF21" s="180"/>
      <c r="JG21" s="180"/>
      <c r="JH21" s="180"/>
      <c r="JI21" s="180"/>
      <c r="JJ21" s="180"/>
      <c r="JK21" s="180"/>
      <c r="JL21" s="180"/>
      <c r="JM21" s="180"/>
      <c r="JN21" s="180"/>
      <c r="JO21" s="180"/>
      <c r="JP21" s="180"/>
      <c r="JQ21" s="180"/>
      <c r="JR21" s="180"/>
      <c r="JS21" s="180"/>
      <c r="JT21" s="180"/>
      <c r="JU21" s="180"/>
      <c r="JV21" s="180"/>
      <c r="JW21" s="180"/>
      <c r="JX21" s="180"/>
      <c r="JY21" s="180"/>
      <c r="JZ21" s="180"/>
      <c r="KA21" s="180"/>
      <c r="KB21" s="180"/>
      <c r="KC21" s="180"/>
      <c r="KD21" s="180"/>
      <c r="KE21" s="180"/>
      <c r="KF21" s="180"/>
      <c r="KG21" s="180"/>
      <c r="KH21" s="180"/>
      <c r="KI21" s="180"/>
      <c r="KJ21" s="180"/>
      <c r="KK21" s="180"/>
      <c r="KL21" s="180"/>
      <c r="KM21" s="180"/>
      <c r="KN21" s="180"/>
      <c r="KO21" s="180"/>
      <c r="KP21" s="180"/>
      <c r="KQ21" s="180"/>
      <c r="KR21" s="180"/>
      <c r="KS21" s="180"/>
      <c r="KT21" s="180"/>
      <c r="KU21" s="180"/>
      <c r="KV21" s="180"/>
      <c r="KW21" s="180"/>
      <c r="KX21" s="180"/>
      <c r="KY21" s="180"/>
      <c r="KZ21" s="180"/>
      <c r="LA21" s="180"/>
      <c r="LB21" s="180"/>
      <c r="LC21" s="180"/>
      <c r="LD21" s="180"/>
      <c r="LE21" s="180"/>
      <c r="LF21" s="180"/>
      <c r="LG21" s="180"/>
      <c r="LH21" s="180"/>
      <c r="LI21" s="180"/>
      <c r="LJ21" s="180"/>
      <c r="LK21" s="180"/>
      <c r="LL21" s="180"/>
      <c r="LM21" s="180"/>
      <c r="LN21" s="180"/>
      <c r="LO21" s="180"/>
      <c r="LP21" s="180"/>
      <c r="LQ21" s="180"/>
      <c r="LR21" s="180"/>
      <c r="LS21" s="180"/>
      <c r="LT21" s="180"/>
      <c r="LU21" s="180"/>
      <c r="LV21" s="180"/>
      <c r="LW21" s="180"/>
      <c r="LX21" s="180"/>
      <c r="LY21" s="180"/>
      <c r="LZ21" s="180"/>
      <c r="MA21" s="180"/>
      <c r="MB21" s="180"/>
      <c r="MC21" s="180"/>
      <c r="MD21" s="180"/>
      <c r="ME21" s="180"/>
      <c r="MF21" s="180"/>
      <c r="MG21" s="180"/>
      <c r="MH21" s="180"/>
      <c r="MI21" s="180"/>
      <c r="MJ21" s="180"/>
      <c r="MK21" s="180"/>
      <c r="ML21" s="180"/>
      <c r="MM21" s="180"/>
      <c r="MN21" s="180"/>
      <c r="MO21" s="180"/>
      <c r="MP21" s="180"/>
      <c r="MQ21" s="180"/>
      <c r="MR21" s="180"/>
      <c r="MS21" s="180"/>
      <c r="MT21" s="180"/>
      <c r="MU21" s="180"/>
      <c r="MV21" s="180"/>
      <c r="MW21" s="180"/>
      <c r="MX21" s="180"/>
      <c r="MY21" s="180"/>
      <c r="MZ21" s="180"/>
      <c r="NA21" s="180"/>
      <c r="NB21" s="180"/>
      <c r="NC21" s="180"/>
      <c r="ND21" s="180"/>
      <c r="NE21" s="180"/>
      <c r="NF21" s="180"/>
      <c r="NG21" s="180"/>
      <c r="NH21" s="180"/>
      <c r="NI21" s="180"/>
      <c r="NJ21" s="180"/>
      <c r="NK21" s="180"/>
      <c r="NL21" s="180"/>
      <c r="NM21" s="180"/>
      <c r="NN21" s="180"/>
      <c r="NO21" s="180"/>
      <c r="NP21" s="180"/>
      <c r="NQ21" s="180"/>
      <c r="NR21" s="180"/>
      <c r="NS21" s="180"/>
      <c r="NT21" s="180"/>
      <c r="NU21" s="180"/>
      <c r="NV21" s="180"/>
      <c r="NW21" s="180"/>
      <c r="NX21" s="180"/>
      <c r="NY21" s="180"/>
      <c r="NZ21" s="180"/>
      <c r="OA21" s="180"/>
      <c r="OB21" s="180"/>
      <c r="OC21" s="180"/>
      <c r="OD21" s="180"/>
      <c r="OE21" s="180"/>
      <c r="OF21" s="180"/>
      <c r="OG21" s="180"/>
      <c r="OH21" s="180"/>
      <c r="OI21" s="180"/>
      <c r="OJ21" s="180"/>
      <c r="OK21" s="180"/>
      <c r="OL21" s="180"/>
      <c r="OM21" s="180"/>
      <c r="ON21" s="180"/>
      <c r="OO21" s="180"/>
      <c r="OP21" s="180"/>
      <c r="OQ21" s="180"/>
      <c r="OR21" s="180"/>
      <c r="OS21" s="180"/>
      <c r="OT21" s="180"/>
      <c r="OU21" s="180"/>
      <c r="OV21" s="180"/>
      <c r="OW21" s="180"/>
      <c r="OX21" s="180"/>
      <c r="OY21" s="180"/>
      <c r="OZ21" s="180"/>
      <c r="PA21" s="180"/>
      <c r="PB21" s="180"/>
      <c r="PC21" s="180"/>
      <c r="PD21" s="180"/>
      <c r="PE21" s="180"/>
      <c r="PF21" s="180"/>
      <c r="PG21" s="180"/>
      <c r="PH21" s="180"/>
      <c r="PI21" s="180"/>
      <c r="PJ21" s="180"/>
      <c r="PK21" s="180"/>
      <c r="PL21" s="180"/>
      <c r="PM21" s="180"/>
      <c r="PN21" s="180"/>
      <c r="PO21" s="180"/>
      <c r="PP21" s="180"/>
      <c r="PQ21" s="180"/>
      <c r="PR21" s="180"/>
      <c r="PS21" s="180"/>
      <c r="PT21" s="180"/>
      <c r="PU21" s="180"/>
      <c r="PV21" s="180"/>
      <c r="PW21" s="180"/>
      <c r="PX21" s="180"/>
      <c r="PY21" s="180"/>
      <c r="PZ21" s="180"/>
      <c r="QA21" s="180"/>
      <c r="QB21" s="180"/>
      <c r="QC21" s="180"/>
      <c r="QD21" s="180"/>
      <c r="QE21" s="180"/>
      <c r="QF21" s="180"/>
      <c r="QG21" s="180"/>
      <c r="QH21" s="180"/>
      <c r="QI21" s="180"/>
      <c r="QJ21" s="180"/>
      <c r="QK21" s="180"/>
      <c r="QL21" s="180"/>
      <c r="QM21" s="180"/>
      <c r="QN21" s="180"/>
      <c r="QO21" s="180"/>
      <c r="QP21" s="180"/>
      <c r="QQ21" s="180"/>
      <c r="QR21" s="180"/>
      <c r="QS21" s="180"/>
      <c r="QT21" s="180"/>
      <c r="QU21" s="180"/>
      <c r="QV21" s="180"/>
      <c r="QW21" s="180"/>
      <c r="QX21" s="180"/>
      <c r="QY21" s="180"/>
      <c r="QZ21" s="180"/>
      <c r="RA21" s="180"/>
      <c r="RB21" s="180"/>
      <c r="RC21" s="180"/>
      <c r="RD21" s="180"/>
      <c r="RE21" s="180"/>
      <c r="RF21" s="180"/>
      <c r="RG21" s="180"/>
      <c r="RH21" s="180"/>
      <c r="RI21" s="180"/>
      <c r="RJ21" s="180"/>
      <c r="RK21" s="180"/>
      <c r="RL21" s="180"/>
      <c r="RM21" s="180"/>
      <c r="RN21" s="180"/>
      <c r="RO21" s="180"/>
      <c r="RP21" s="180"/>
      <c r="RQ21" s="180"/>
      <c r="RR21" s="180"/>
      <c r="RS21" s="180"/>
      <c r="RT21" s="180"/>
      <c r="RU21" s="180"/>
      <c r="RV21" s="180"/>
      <c r="RW21" s="180"/>
      <c r="RX21" s="180"/>
      <c r="RY21" s="180"/>
      <c r="RZ21" s="180"/>
      <c r="SA21" s="180"/>
      <c r="SB21" s="180"/>
      <c r="SC21" s="180"/>
      <c r="SD21" s="180"/>
      <c r="SE21" s="180"/>
      <c r="SF21" s="180"/>
      <c r="SG21" s="180"/>
      <c r="SH21" s="180"/>
      <c r="SI21" s="180"/>
      <c r="SJ21" s="180"/>
      <c r="SK21" s="180"/>
      <c r="SL21" s="180"/>
      <c r="SM21" s="180"/>
      <c r="SN21" s="180"/>
      <c r="SO21" s="180"/>
      <c r="SP21" s="180"/>
      <c r="SQ21" s="180"/>
      <c r="SR21" s="180"/>
      <c r="SS21" s="180"/>
      <c r="ST21" s="180"/>
      <c r="SU21" s="180"/>
      <c r="SV21" s="180"/>
      <c r="SW21" s="180"/>
      <c r="SX21" s="180"/>
      <c r="SY21" s="180"/>
      <c r="SZ21" s="180"/>
      <c r="TA21" s="180"/>
      <c r="TB21" s="180"/>
      <c r="TC21" s="180"/>
      <c r="TD21" s="180"/>
      <c r="TE21" s="180"/>
      <c r="TF21" s="180"/>
      <c r="TG21" s="180"/>
      <c r="TH21" s="180"/>
      <c r="TI21" s="180"/>
      <c r="TJ21" s="180"/>
      <c r="TK21" s="180"/>
      <c r="TL21" s="180"/>
      <c r="TM21" s="180"/>
      <c r="TN21" s="180"/>
      <c r="TO21" s="180"/>
      <c r="TP21" s="180"/>
      <c r="TQ21" s="180"/>
      <c r="TR21" s="180"/>
      <c r="TS21" s="180"/>
      <c r="TT21" s="180"/>
      <c r="TU21" s="180"/>
      <c r="TV21" s="180"/>
      <c r="TW21" s="180"/>
      <c r="TX21" s="180"/>
      <c r="TY21" s="180"/>
      <c r="TZ21" s="180"/>
      <c r="UA21" s="180"/>
      <c r="UB21" s="180"/>
      <c r="UC21" s="180"/>
      <c r="UD21" s="180"/>
      <c r="UE21" s="180"/>
      <c r="UF21" s="180"/>
      <c r="UG21" s="180"/>
      <c r="UH21" s="180"/>
      <c r="UI21" s="180"/>
      <c r="UJ21" s="180"/>
      <c r="UK21" s="180"/>
      <c r="UL21" s="180"/>
      <c r="UM21" s="180"/>
      <c r="UN21" s="180"/>
      <c r="UO21" s="180"/>
      <c r="UP21" s="180"/>
      <c r="UQ21" s="180"/>
      <c r="UR21" s="180"/>
      <c r="US21" s="180"/>
      <c r="UT21" s="180"/>
      <c r="UU21" s="180"/>
      <c r="UV21" s="180"/>
      <c r="UW21" s="180"/>
      <c r="UX21" s="180"/>
      <c r="UY21" s="180"/>
      <c r="UZ21" s="180"/>
      <c r="VA21" s="180"/>
      <c r="VB21" s="180"/>
      <c r="VC21" s="180"/>
      <c r="VD21" s="180"/>
      <c r="VE21" s="180"/>
      <c r="VF21" s="180"/>
      <c r="VG21" s="180"/>
      <c r="VH21" s="180"/>
      <c r="VI21" s="180"/>
      <c r="VJ21" s="180"/>
      <c r="VK21" s="180"/>
      <c r="VL21" s="180"/>
      <c r="VM21" s="180"/>
      <c r="VN21" s="180"/>
      <c r="VO21" s="180"/>
      <c r="VP21" s="180"/>
      <c r="VQ21" s="180"/>
      <c r="VR21" s="180"/>
      <c r="VS21" s="180"/>
      <c r="VT21" s="180"/>
      <c r="VU21" s="180"/>
      <c r="VV21" s="180"/>
      <c r="VW21" s="180"/>
      <c r="VX21" s="180"/>
      <c r="VY21" s="180"/>
      <c r="VZ21" s="180"/>
      <c r="WA21" s="180"/>
      <c r="WB21" s="180"/>
      <c r="WC21" s="180"/>
      <c r="WD21" s="180"/>
      <c r="WE21" s="180"/>
      <c r="WF21" s="180"/>
      <c r="WG21" s="180"/>
      <c r="WH21" s="180"/>
      <c r="WI21" s="180"/>
      <c r="WJ21" s="180"/>
      <c r="WK21" s="180"/>
      <c r="WL21" s="180"/>
      <c r="WM21" s="180"/>
      <c r="WN21" s="180"/>
      <c r="WO21" s="180"/>
      <c r="WP21" s="180"/>
      <c r="WQ21" s="180"/>
      <c r="WR21" s="180"/>
      <c r="WS21" s="180"/>
      <c r="WT21" s="180"/>
      <c r="WU21" s="180"/>
      <c r="WV21" s="180"/>
      <c r="WW21" s="180"/>
      <c r="WX21" s="180"/>
      <c r="WY21" s="180"/>
      <c r="WZ21" s="180"/>
      <c r="XA21" s="180"/>
      <c r="XB21" s="180"/>
      <c r="XC21" s="180"/>
      <c r="XD21" s="180"/>
      <c r="XE21" s="180"/>
      <c r="XF21" s="180"/>
      <c r="XG21" s="180"/>
      <c r="XH21" s="180"/>
      <c r="XI21" s="180"/>
      <c r="XJ21" s="180"/>
      <c r="XK21" s="180"/>
      <c r="XL21" s="180"/>
      <c r="XM21" s="180"/>
      <c r="XN21" s="180"/>
      <c r="XO21" s="180"/>
      <c r="XP21" s="180"/>
      <c r="XQ21" s="180"/>
      <c r="XR21" s="180"/>
      <c r="XS21" s="180"/>
      <c r="XT21" s="180"/>
      <c r="XU21" s="180"/>
      <c r="XV21" s="180"/>
      <c r="XW21" s="180"/>
      <c r="XX21" s="180"/>
      <c r="XY21" s="180"/>
      <c r="XZ21" s="180"/>
      <c r="YA21" s="180"/>
      <c r="YB21" s="180"/>
      <c r="YC21" s="180"/>
      <c r="YD21" s="180"/>
      <c r="YE21" s="180"/>
      <c r="YF21" s="180"/>
      <c r="YG21" s="180"/>
      <c r="YH21" s="180"/>
      <c r="YI21" s="180"/>
      <c r="YJ21" s="180"/>
      <c r="YK21" s="180"/>
      <c r="YL21" s="180"/>
      <c r="YM21" s="180"/>
      <c r="YN21" s="180"/>
      <c r="YO21" s="180"/>
      <c r="YP21" s="180"/>
      <c r="YQ21" s="180"/>
      <c r="YR21" s="180"/>
      <c r="YS21" s="180"/>
      <c r="YT21" s="180"/>
      <c r="YU21" s="180"/>
      <c r="YV21" s="180"/>
      <c r="YW21" s="180"/>
      <c r="YX21" s="180"/>
      <c r="YY21" s="180"/>
      <c r="YZ21" s="180"/>
      <c r="ZA21" s="180"/>
      <c r="ZB21" s="180"/>
      <c r="ZC21" s="180"/>
      <c r="ZD21" s="180"/>
      <c r="ZE21" s="180"/>
      <c r="ZF21" s="180"/>
      <c r="ZG21" s="180"/>
      <c r="ZH21" s="180"/>
      <c r="ZI21" s="180"/>
      <c r="ZJ21" s="180"/>
      <c r="ZK21" s="180"/>
      <c r="ZL21" s="180"/>
      <c r="ZM21" s="180"/>
      <c r="ZN21" s="180"/>
      <c r="ZO21" s="180"/>
      <c r="ZP21" s="180"/>
      <c r="ZQ21" s="180"/>
      <c r="ZR21" s="180"/>
      <c r="ZS21" s="180"/>
      <c r="ZT21" s="180"/>
      <c r="ZU21" s="180"/>
      <c r="ZV21" s="180"/>
      <c r="ZW21" s="180"/>
      <c r="ZX21" s="180"/>
      <c r="ZY21" s="180"/>
      <c r="ZZ21" s="180"/>
      <c r="AAA21" s="180"/>
      <c r="AAB21" s="180"/>
      <c r="AAC21" s="180"/>
      <c r="AAD21" s="180"/>
      <c r="AAE21" s="180"/>
      <c r="AAF21" s="180"/>
      <c r="AAG21" s="180"/>
      <c r="AAH21" s="180"/>
      <c r="AAI21" s="180"/>
      <c r="AAJ21" s="180"/>
      <c r="AAK21" s="180"/>
      <c r="AAL21" s="180"/>
      <c r="AAM21" s="180"/>
      <c r="AAN21" s="180"/>
      <c r="AAO21" s="180"/>
      <c r="AAP21" s="180"/>
      <c r="AAQ21" s="180"/>
      <c r="AAR21" s="180"/>
      <c r="AAS21" s="180"/>
      <c r="AAT21" s="180"/>
      <c r="AAU21" s="180"/>
      <c r="AAV21" s="180"/>
      <c r="AAW21" s="180"/>
      <c r="AAX21" s="180"/>
      <c r="AAY21" s="180"/>
      <c r="AAZ21" s="180"/>
      <c r="ABA21" s="180"/>
      <c r="ABB21" s="180"/>
      <c r="ABC21" s="180"/>
      <c r="ABD21" s="180"/>
      <c r="ABE21" s="180"/>
      <c r="ABF21" s="180"/>
      <c r="ABG21" s="180"/>
      <c r="ABH21" s="180"/>
      <c r="ABI21" s="180"/>
      <c r="ABJ21" s="180"/>
      <c r="ABK21" s="180"/>
      <c r="ABL21" s="180"/>
      <c r="ABM21" s="180"/>
      <c r="ABN21" s="180"/>
      <c r="ABO21" s="180"/>
      <c r="ABP21" s="180"/>
      <c r="ABQ21" s="180"/>
      <c r="ABR21" s="180"/>
      <c r="ABS21" s="180"/>
      <c r="ABT21" s="180"/>
      <c r="ABU21" s="180"/>
      <c r="ABV21" s="180"/>
      <c r="ABW21" s="180"/>
      <c r="ABX21" s="180"/>
      <c r="ABY21" s="180"/>
      <c r="ABZ21" s="180"/>
      <c r="ACA21" s="180"/>
      <c r="ACB21" s="180"/>
      <c r="ACC21" s="180"/>
      <c r="ACD21" s="180"/>
      <c r="ACE21" s="180"/>
      <c r="ACF21" s="180"/>
      <c r="ACG21" s="180"/>
      <c r="ACH21" s="180"/>
      <c r="ACI21" s="180"/>
      <c r="ACJ21" s="180"/>
      <c r="ACK21" s="180"/>
      <c r="ACL21" s="180"/>
      <c r="ACM21" s="180"/>
      <c r="ACN21" s="180"/>
      <c r="ACO21" s="180"/>
      <c r="ACP21" s="180"/>
      <c r="ACQ21" s="180"/>
      <c r="ACR21" s="180"/>
      <c r="ACS21" s="180"/>
      <c r="ACT21" s="180"/>
      <c r="ACU21" s="180"/>
      <c r="ACV21" s="180"/>
      <c r="ACW21" s="180"/>
      <c r="ACX21" s="180"/>
      <c r="ACY21" s="180"/>
      <c r="ACZ21" s="180"/>
      <c r="ADA21" s="180"/>
      <c r="ADB21" s="180"/>
      <c r="ADC21" s="180"/>
      <c r="ADD21" s="180"/>
      <c r="ADE21" s="180"/>
      <c r="ADF21" s="180"/>
      <c r="ADG21" s="180"/>
      <c r="ADH21" s="180"/>
      <c r="ADI21" s="180"/>
      <c r="ADJ21" s="180"/>
      <c r="ADK21" s="180"/>
      <c r="ADL21" s="180"/>
      <c r="ADM21" s="180"/>
      <c r="ADN21" s="180"/>
      <c r="ADO21" s="180"/>
      <c r="ADP21" s="180"/>
      <c r="ADQ21" s="180"/>
      <c r="ADR21" s="180"/>
      <c r="ADS21" s="180"/>
      <c r="ADT21" s="180"/>
      <c r="ADU21" s="180"/>
      <c r="ADV21" s="180"/>
      <c r="ADW21" s="180"/>
      <c r="ADX21" s="180"/>
      <c r="ADY21" s="180"/>
      <c r="ADZ21" s="180"/>
      <c r="AEA21" s="180"/>
      <c r="AEB21" s="180"/>
      <c r="AEC21" s="180"/>
      <c r="AED21" s="180"/>
      <c r="AEE21" s="180"/>
      <c r="AEF21" s="180"/>
      <c r="AEG21" s="180"/>
      <c r="AEH21" s="180"/>
      <c r="AEI21" s="180"/>
      <c r="AEJ21" s="180"/>
      <c r="AEK21" s="180"/>
      <c r="AEL21" s="180"/>
      <c r="AEM21" s="180"/>
      <c r="AEN21" s="180"/>
      <c r="AEO21" s="180"/>
      <c r="AEP21" s="180"/>
      <c r="AEQ21" s="180"/>
      <c r="AER21" s="180"/>
      <c r="AES21" s="180"/>
      <c r="AET21" s="180"/>
      <c r="AEU21" s="180"/>
      <c r="AEV21" s="180"/>
      <c r="AEW21" s="180"/>
      <c r="AEX21" s="180"/>
      <c r="AEY21" s="180"/>
      <c r="AEZ21" s="180"/>
      <c r="AFA21" s="180"/>
      <c r="AFB21" s="180"/>
      <c r="AFC21" s="180"/>
      <c r="AFD21" s="180"/>
      <c r="AFE21" s="180"/>
      <c r="AFF21" s="180"/>
      <c r="AFG21" s="180"/>
      <c r="AFH21" s="180"/>
      <c r="AFI21" s="180"/>
      <c r="AFJ21" s="180"/>
      <c r="AFK21" s="180"/>
      <c r="AFL21" s="180"/>
      <c r="AFM21" s="180"/>
      <c r="AFN21" s="180"/>
      <c r="AFO21" s="180"/>
      <c r="AFP21" s="180"/>
      <c r="AFQ21" s="180"/>
      <c r="AFR21" s="180"/>
      <c r="AFS21" s="180"/>
      <c r="AFT21" s="180"/>
      <c r="AFU21" s="180"/>
      <c r="AFV21" s="180"/>
      <c r="AFW21" s="180"/>
      <c r="AFX21" s="180"/>
      <c r="AFY21" s="180"/>
      <c r="AFZ21" s="180"/>
      <c r="AGA21" s="180"/>
      <c r="AGB21" s="180"/>
      <c r="AGC21" s="180"/>
      <c r="AGD21" s="180"/>
      <c r="AGE21" s="180"/>
      <c r="AGF21" s="180"/>
      <c r="AGG21" s="180"/>
      <c r="AGH21" s="180"/>
      <c r="AGI21" s="180"/>
      <c r="AGJ21" s="180"/>
      <c r="AGK21" s="180"/>
      <c r="AGL21" s="180"/>
      <c r="AGM21" s="180"/>
      <c r="AGN21" s="180"/>
      <c r="AGO21" s="180"/>
      <c r="AGP21" s="180"/>
      <c r="AGQ21" s="180"/>
      <c r="AGR21" s="180"/>
      <c r="AGS21" s="180"/>
      <c r="AGT21" s="180"/>
      <c r="AGU21" s="180"/>
      <c r="AGV21" s="180"/>
      <c r="AGW21" s="180"/>
      <c r="AGX21" s="180"/>
      <c r="AGY21" s="180"/>
      <c r="AGZ21" s="180"/>
      <c r="AHA21" s="180"/>
      <c r="AHB21" s="180"/>
      <c r="AHC21" s="180"/>
      <c r="AHD21" s="180"/>
      <c r="AHE21" s="180"/>
      <c r="AHF21" s="180"/>
      <c r="AHG21" s="180"/>
      <c r="AHH21" s="180"/>
      <c r="AHI21" s="180"/>
      <c r="AHJ21" s="180"/>
      <c r="AHK21" s="180"/>
      <c r="AHL21" s="180"/>
      <c r="AHM21" s="180"/>
      <c r="AHN21" s="180"/>
      <c r="AHO21" s="180"/>
      <c r="AHP21" s="180"/>
      <c r="AHQ21" s="180"/>
      <c r="AHR21" s="180"/>
      <c r="AHS21" s="180"/>
      <c r="AHT21" s="180"/>
      <c r="AHU21" s="180"/>
      <c r="AHV21" s="180"/>
      <c r="AHW21" s="180"/>
      <c r="AHX21" s="180"/>
      <c r="AHY21" s="180"/>
      <c r="AHZ21" s="180"/>
      <c r="AIA21" s="180"/>
      <c r="AIB21" s="180"/>
      <c r="AIC21" s="180"/>
      <c r="AID21" s="180"/>
      <c r="AIE21" s="180"/>
      <c r="AIF21" s="180"/>
      <c r="AIG21" s="180"/>
      <c r="AIH21" s="180"/>
      <c r="AII21" s="180"/>
      <c r="AIJ21" s="180"/>
      <c r="AIK21" s="180"/>
      <c r="AIL21" s="180"/>
      <c r="AIM21" s="180"/>
      <c r="AIN21" s="180"/>
      <c r="AIO21" s="180"/>
      <c r="AIP21" s="180"/>
      <c r="AIQ21" s="180"/>
      <c r="AIR21" s="180"/>
      <c r="AIS21" s="180"/>
      <c r="AIT21" s="180"/>
      <c r="AIU21" s="180"/>
      <c r="AIV21" s="180"/>
      <c r="AIW21" s="180"/>
      <c r="AIX21" s="180"/>
      <c r="AIY21" s="180"/>
      <c r="AIZ21" s="180"/>
      <c r="AJA21" s="180"/>
      <c r="AJB21" s="180"/>
      <c r="AJC21" s="180"/>
      <c r="AJD21" s="180"/>
      <c r="AJE21" s="180"/>
      <c r="AJF21" s="180"/>
      <c r="AJG21" s="180"/>
      <c r="AJH21" s="180"/>
      <c r="AJI21" s="180"/>
      <c r="AJJ21" s="180"/>
      <c r="AJK21" s="180"/>
      <c r="AJL21" s="180"/>
      <c r="AJM21" s="180"/>
      <c r="AJN21" s="180"/>
      <c r="AJO21" s="180"/>
      <c r="AJP21" s="180"/>
      <c r="AJQ21" s="180"/>
      <c r="AJR21" s="180"/>
      <c r="AJS21" s="180"/>
      <c r="AJT21" s="180"/>
      <c r="AJU21" s="180"/>
      <c r="AJV21" s="180"/>
      <c r="AJW21" s="180"/>
      <c r="AJX21" s="180"/>
      <c r="AJY21" s="180"/>
      <c r="AJZ21" s="180"/>
      <c r="AKA21" s="180"/>
      <c r="AKB21" s="180"/>
      <c r="AKC21" s="180"/>
      <c r="AKD21" s="180"/>
      <c r="AKE21" s="180"/>
      <c r="AKF21" s="180"/>
      <c r="AKG21" s="180"/>
      <c r="AKH21" s="180"/>
      <c r="AKI21" s="180"/>
      <c r="AKJ21" s="180"/>
      <c r="AKK21" s="180"/>
      <c r="AKL21" s="180"/>
      <c r="AKM21" s="180"/>
      <c r="AKN21" s="180"/>
      <c r="AKO21" s="180"/>
      <c r="AKP21" s="180"/>
      <c r="AKQ21" s="180"/>
      <c r="AKR21" s="180"/>
      <c r="AKS21" s="180"/>
      <c r="AKT21" s="180"/>
      <c r="AKU21" s="180"/>
      <c r="AKV21" s="180"/>
      <c r="AKW21" s="180"/>
      <c r="AKX21" s="180"/>
      <c r="AKY21" s="180"/>
      <c r="AKZ21" s="180"/>
      <c r="ALA21" s="180"/>
      <c r="ALB21" s="180"/>
      <c r="ALC21" s="180"/>
      <c r="ALD21" s="180"/>
      <c r="ALE21" s="180"/>
      <c r="ALF21" s="180"/>
      <c r="ALG21" s="180"/>
      <c r="ALH21" s="180"/>
      <c r="ALI21" s="180"/>
      <c r="ALJ21" s="180"/>
      <c r="ALK21" s="180"/>
      <c r="ALL21" s="180"/>
      <c r="ALM21" s="180"/>
      <c r="ALN21" s="180"/>
      <c r="ALO21" s="180"/>
      <c r="ALP21" s="180"/>
      <c r="ALQ21" s="180"/>
      <c r="ALR21" s="180"/>
      <c r="ALS21" s="180"/>
      <c r="ALT21" s="180"/>
      <c r="ALU21" s="180"/>
      <c r="ALV21" s="180"/>
      <c r="ALW21" s="180"/>
      <c r="ALX21" s="180"/>
      <c r="ALY21" s="180"/>
      <c r="ALZ21" s="180"/>
      <c r="AMA21" s="279"/>
      <c r="AMB21" s="279"/>
      <c r="AMC21" s="279"/>
      <c r="AMD21" s="279"/>
      <c r="AME21" s="279"/>
      <c r="AMF21" s="279"/>
      <c r="AMG21" s="279"/>
      <c r="AMH21" s="279"/>
      <c r="AMI21" s="280"/>
    </row>
    <row r="22" spans="1:1023" s="259" customFormat="1" x14ac:dyDescent="0.25">
      <c r="A22" s="296"/>
      <c r="B22" s="297"/>
      <c r="C22" s="297"/>
      <c r="D22" s="297"/>
      <c r="E22" s="297"/>
      <c r="F22" s="297"/>
      <c r="G22" s="298"/>
      <c r="H22" s="297"/>
      <c r="I22" s="297"/>
      <c r="J22" s="297"/>
      <c r="K22" s="297"/>
      <c r="L22" s="299"/>
      <c r="M22" s="297"/>
      <c r="N22" s="297"/>
      <c r="O22" s="297"/>
      <c r="P22" s="297"/>
      <c r="Q22" s="297"/>
      <c r="R22" s="297"/>
      <c r="S22" s="297"/>
      <c r="T22" s="297"/>
      <c r="U22" s="297"/>
      <c r="V22" s="297"/>
      <c r="W22" s="297"/>
      <c r="X22" s="297"/>
      <c r="Y22" s="297"/>
      <c r="Z22" s="297"/>
      <c r="AA22" s="297"/>
      <c r="AB22" s="297"/>
      <c r="AC22" s="297"/>
      <c r="AD22" s="297"/>
      <c r="AE22" s="297"/>
      <c r="AF22" s="297"/>
      <c r="AG22" s="297"/>
      <c r="AH22" s="297"/>
      <c r="AI22" s="297"/>
      <c r="AJ22" s="297"/>
      <c r="AK22" s="297"/>
      <c r="AL22" s="297"/>
      <c r="AM22" s="297"/>
      <c r="AN22" s="297"/>
      <c r="AO22" s="297"/>
      <c r="AP22" s="297"/>
      <c r="AQ22" s="297"/>
      <c r="AR22" s="297"/>
      <c r="AS22" s="297"/>
      <c r="AT22" s="297"/>
      <c r="AU22" s="297"/>
      <c r="AV22" s="297"/>
      <c r="AW22" s="297"/>
      <c r="AX22" s="297"/>
      <c r="AY22" s="297"/>
      <c r="AZ22" s="297"/>
      <c r="BA22" s="297"/>
      <c r="BB22" s="297"/>
      <c r="BC22" s="297"/>
      <c r="BD22" s="297"/>
      <c r="BE22" s="297"/>
      <c r="BF22" s="297"/>
      <c r="BG22" s="297"/>
      <c r="BH22" s="297"/>
      <c r="BI22" s="297"/>
      <c r="BJ22" s="297"/>
      <c r="BK22" s="297"/>
      <c r="BL22" s="297"/>
      <c r="BM22" s="297"/>
      <c r="BN22" s="297"/>
      <c r="BO22" s="297"/>
      <c r="BP22" s="297"/>
      <c r="BQ22" s="297"/>
      <c r="BR22" s="297"/>
      <c r="BS22" s="297"/>
      <c r="BT22" s="297"/>
      <c r="BU22" s="297"/>
      <c r="BV22" s="297"/>
      <c r="BW22" s="297"/>
      <c r="BX22" s="297"/>
      <c r="BY22" s="297"/>
      <c r="BZ22" s="297"/>
      <c r="CA22" s="297"/>
      <c r="CB22" s="297"/>
      <c r="CC22" s="297"/>
      <c r="CD22" s="297"/>
      <c r="CE22" s="297"/>
      <c r="CF22" s="297"/>
      <c r="CG22" s="297"/>
      <c r="CH22" s="297"/>
      <c r="CI22" s="297"/>
      <c r="CJ22" s="297"/>
      <c r="CK22" s="297"/>
      <c r="CL22" s="297"/>
      <c r="CM22" s="297"/>
      <c r="CN22" s="297"/>
      <c r="CO22" s="297"/>
      <c r="CP22" s="297"/>
      <c r="CQ22" s="297"/>
      <c r="CR22" s="297"/>
      <c r="CS22" s="297"/>
      <c r="CT22" s="297"/>
      <c r="CU22" s="297"/>
      <c r="CV22" s="297"/>
      <c r="CW22" s="297"/>
      <c r="CX22" s="297"/>
      <c r="CY22" s="297"/>
      <c r="CZ22" s="297"/>
      <c r="DA22" s="297"/>
      <c r="DB22" s="297"/>
      <c r="DC22" s="297"/>
      <c r="DD22" s="297"/>
      <c r="DE22" s="297"/>
      <c r="DF22" s="297"/>
      <c r="DG22" s="297"/>
      <c r="DH22" s="297"/>
      <c r="DI22" s="297"/>
      <c r="DJ22" s="297"/>
      <c r="DK22" s="297"/>
      <c r="DL22" s="297"/>
      <c r="DM22" s="297"/>
      <c r="DN22" s="297"/>
      <c r="DO22" s="297"/>
      <c r="DP22" s="297"/>
      <c r="DQ22" s="297"/>
      <c r="DR22" s="297"/>
      <c r="DS22" s="297"/>
      <c r="DT22" s="297"/>
      <c r="DU22" s="297"/>
      <c r="DV22" s="297"/>
      <c r="DW22" s="297"/>
      <c r="DX22" s="297"/>
      <c r="DY22" s="297"/>
      <c r="DZ22" s="297"/>
      <c r="EA22" s="297"/>
      <c r="EB22" s="297"/>
      <c r="EC22" s="297"/>
      <c r="ED22" s="297"/>
      <c r="EE22" s="297"/>
      <c r="EF22" s="297"/>
      <c r="EG22" s="297"/>
      <c r="EH22" s="297"/>
      <c r="EI22" s="297"/>
      <c r="EJ22" s="297"/>
      <c r="EK22" s="297"/>
      <c r="EL22" s="297"/>
      <c r="EM22" s="297"/>
      <c r="EN22" s="297"/>
      <c r="EO22" s="297"/>
      <c r="EP22" s="297"/>
      <c r="EQ22" s="297"/>
      <c r="ER22" s="297"/>
      <c r="ES22" s="297"/>
      <c r="ET22" s="297"/>
      <c r="EU22" s="297"/>
      <c r="EV22" s="297"/>
      <c r="EW22" s="297"/>
      <c r="EX22" s="297"/>
      <c r="EY22" s="297"/>
      <c r="EZ22" s="297"/>
      <c r="FA22" s="297"/>
      <c r="FB22" s="297"/>
      <c r="FC22" s="297"/>
      <c r="FD22" s="297"/>
      <c r="FE22" s="297"/>
      <c r="FF22" s="297"/>
      <c r="FG22" s="297"/>
      <c r="FH22" s="297"/>
      <c r="FI22" s="297"/>
      <c r="FJ22" s="297"/>
      <c r="FK22" s="297"/>
      <c r="FL22" s="297"/>
      <c r="FM22" s="297"/>
      <c r="FN22" s="297"/>
      <c r="FO22" s="297"/>
      <c r="FP22" s="297"/>
      <c r="FQ22" s="297"/>
      <c r="FR22" s="297"/>
      <c r="FS22" s="297"/>
      <c r="FT22" s="297"/>
      <c r="FU22" s="297"/>
      <c r="FV22" s="297"/>
      <c r="FW22" s="297"/>
      <c r="FX22" s="297"/>
      <c r="FY22" s="297"/>
      <c r="FZ22" s="297"/>
      <c r="GA22" s="297"/>
      <c r="GB22" s="297"/>
      <c r="GC22" s="297"/>
      <c r="GD22" s="297"/>
      <c r="GE22" s="297"/>
      <c r="GF22" s="297"/>
      <c r="GG22" s="297"/>
      <c r="GH22" s="297"/>
      <c r="GI22" s="297"/>
      <c r="GJ22" s="297"/>
      <c r="GK22" s="297"/>
      <c r="GL22" s="297"/>
      <c r="GM22" s="297"/>
      <c r="GN22" s="297"/>
      <c r="GO22" s="297"/>
      <c r="GP22" s="297"/>
      <c r="GQ22" s="297"/>
      <c r="GR22" s="297"/>
      <c r="GS22" s="297"/>
      <c r="GT22" s="297"/>
      <c r="GU22" s="297"/>
      <c r="GV22" s="297"/>
      <c r="GW22" s="297"/>
      <c r="GX22" s="297"/>
      <c r="GY22" s="297"/>
      <c r="GZ22" s="297"/>
      <c r="HA22" s="297"/>
      <c r="HB22" s="297"/>
      <c r="HC22" s="297"/>
      <c r="HD22" s="297"/>
      <c r="HE22" s="297"/>
      <c r="HF22" s="297"/>
      <c r="HG22" s="297"/>
      <c r="HH22" s="297"/>
      <c r="HI22" s="297"/>
      <c r="HJ22" s="297"/>
      <c r="HK22" s="297"/>
      <c r="HL22" s="297"/>
      <c r="HM22" s="297"/>
      <c r="HN22" s="297"/>
      <c r="HO22" s="297"/>
      <c r="HP22" s="297"/>
      <c r="HQ22" s="297"/>
      <c r="HR22" s="297"/>
      <c r="HS22" s="297"/>
      <c r="HT22" s="297"/>
      <c r="HU22" s="297"/>
      <c r="HV22" s="297"/>
      <c r="HW22" s="297"/>
      <c r="HX22" s="297"/>
      <c r="HY22" s="297"/>
      <c r="HZ22" s="297"/>
      <c r="IA22" s="297"/>
      <c r="IB22" s="297"/>
      <c r="IC22" s="297"/>
      <c r="ID22" s="297"/>
      <c r="IE22" s="297"/>
      <c r="IF22" s="297"/>
      <c r="IG22" s="297"/>
      <c r="IH22" s="297"/>
      <c r="II22" s="297"/>
      <c r="IJ22" s="297"/>
      <c r="IK22" s="297"/>
      <c r="IL22" s="297"/>
      <c r="IM22" s="297"/>
      <c r="IN22" s="297"/>
      <c r="IO22" s="297"/>
      <c r="IP22" s="297"/>
      <c r="IQ22" s="297"/>
      <c r="IR22" s="297"/>
      <c r="IS22" s="297"/>
      <c r="IT22" s="297"/>
      <c r="IU22" s="297"/>
      <c r="IV22" s="297"/>
      <c r="IW22" s="297"/>
      <c r="IX22" s="297"/>
      <c r="IY22" s="297"/>
      <c r="IZ22" s="297"/>
      <c r="JA22" s="297"/>
      <c r="JB22" s="297"/>
      <c r="JC22" s="297"/>
      <c r="JD22" s="297"/>
      <c r="JE22" s="297"/>
      <c r="JF22" s="297"/>
      <c r="JG22" s="297"/>
      <c r="JH22" s="297"/>
      <c r="JI22" s="297"/>
      <c r="JJ22" s="297"/>
      <c r="JK22" s="297"/>
      <c r="JL22" s="297"/>
      <c r="JM22" s="297"/>
      <c r="JN22" s="297"/>
      <c r="JO22" s="297"/>
      <c r="JP22" s="297"/>
      <c r="JQ22" s="297"/>
      <c r="JR22" s="297"/>
      <c r="JS22" s="297"/>
      <c r="JT22" s="297"/>
      <c r="JU22" s="297"/>
      <c r="JV22" s="297"/>
      <c r="JW22" s="297"/>
      <c r="JX22" s="297"/>
      <c r="JY22" s="297"/>
      <c r="JZ22" s="297"/>
      <c r="KA22" s="297"/>
      <c r="KB22" s="297"/>
      <c r="KC22" s="297"/>
      <c r="KD22" s="297"/>
      <c r="KE22" s="297"/>
      <c r="KF22" s="297"/>
      <c r="KG22" s="297"/>
      <c r="KH22" s="297"/>
      <c r="KI22" s="297"/>
      <c r="KJ22" s="297"/>
      <c r="KK22" s="297"/>
      <c r="KL22" s="297"/>
      <c r="KM22" s="297"/>
      <c r="KN22" s="297"/>
      <c r="KO22" s="297"/>
      <c r="KP22" s="297"/>
      <c r="KQ22" s="297"/>
      <c r="KR22" s="297"/>
      <c r="KS22" s="297"/>
      <c r="KT22" s="297"/>
      <c r="KU22" s="297"/>
      <c r="KV22" s="297"/>
      <c r="KW22" s="297"/>
      <c r="KX22" s="297"/>
      <c r="KY22" s="297"/>
      <c r="KZ22" s="297"/>
      <c r="LA22" s="297"/>
      <c r="LB22" s="297"/>
      <c r="LC22" s="297"/>
      <c r="LD22" s="297"/>
      <c r="LE22" s="297"/>
      <c r="LF22" s="297"/>
      <c r="LG22" s="297"/>
      <c r="LH22" s="297"/>
      <c r="LI22" s="297"/>
      <c r="LJ22" s="297"/>
      <c r="LK22" s="297"/>
      <c r="LL22" s="297"/>
      <c r="LM22" s="297"/>
      <c r="LN22" s="297"/>
      <c r="LO22" s="297"/>
      <c r="LP22" s="297"/>
      <c r="LQ22" s="297"/>
      <c r="LR22" s="297"/>
      <c r="LS22" s="297"/>
      <c r="LT22" s="297"/>
      <c r="LU22" s="297"/>
      <c r="LV22" s="297"/>
      <c r="LW22" s="297"/>
      <c r="LX22" s="297"/>
      <c r="LY22" s="297"/>
      <c r="LZ22" s="297"/>
      <c r="MA22" s="297"/>
      <c r="MB22" s="297"/>
      <c r="MC22" s="297"/>
      <c r="MD22" s="297"/>
      <c r="ME22" s="297"/>
      <c r="MF22" s="297"/>
      <c r="MG22" s="297"/>
      <c r="MH22" s="297"/>
      <c r="MI22" s="297"/>
      <c r="MJ22" s="297"/>
      <c r="MK22" s="297"/>
      <c r="ML22" s="297"/>
      <c r="MM22" s="297"/>
      <c r="MN22" s="297"/>
      <c r="MO22" s="297"/>
      <c r="MP22" s="297"/>
      <c r="MQ22" s="297"/>
      <c r="MR22" s="297"/>
      <c r="MS22" s="297"/>
      <c r="MT22" s="297"/>
      <c r="MU22" s="297"/>
      <c r="MV22" s="297"/>
      <c r="MW22" s="297"/>
      <c r="MX22" s="297"/>
      <c r="MY22" s="297"/>
      <c r="MZ22" s="297"/>
      <c r="NA22" s="297"/>
      <c r="NB22" s="297"/>
      <c r="NC22" s="297"/>
      <c r="ND22" s="297"/>
      <c r="NE22" s="297"/>
      <c r="NF22" s="297"/>
      <c r="NG22" s="297"/>
      <c r="NH22" s="297"/>
      <c r="NI22" s="297"/>
      <c r="NJ22" s="297"/>
      <c r="NK22" s="297"/>
      <c r="NL22" s="297"/>
      <c r="NM22" s="297"/>
      <c r="NN22" s="297"/>
      <c r="NO22" s="297"/>
      <c r="NP22" s="297"/>
      <c r="NQ22" s="297"/>
      <c r="NR22" s="297"/>
      <c r="NS22" s="297"/>
      <c r="NT22" s="297"/>
      <c r="NU22" s="297"/>
      <c r="NV22" s="297"/>
      <c r="NW22" s="297"/>
      <c r="NX22" s="297"/>
      <c r="NY22" s="297"/>
      <c r="NZ22" s="297"/>
      <c r="OA22" s="297"/>
      <c r="OB22" s="297"/>
      <c r="OC22" s="297"/>
      <c r="OD22" s="297"/>
      <c r="OE22" s="297"/>
      <c r="OF22" s="297"/>
      <c r="OG22" s="297"/>
      <c r="OH22" s="297"/>
      <c r="OI22" s="297"/>
      <c r="OJ22" s="297"/>
      <c r="OK22" s="297"/>
      <c r="OL22" s="297"/>
      <c r="OM22" s="297"/>
      <c r="ON22" s="297"/>
      <c r="OO22" s="297"/>
      <c r="OP22" s="297"/>
      <c r="OQ22" s="297"/>
      <c r="OR22" s="297"/>
      <c r="OS22" s="297"/>
      <c r="OT22" s="297"/>
      <c r="OU22" s="297"/>
      <c r="OV22" s="297"/>
      <c r="OW22" s="297"/>
      <c r="OX22" s="297"/>
      <c r="OY22" s="297"/>
      <c r="OZ22" s="297"/>
      <c r="PA22" s="297"/>
      <c r="PB22" s="297"/>
      <c r="PC22" s="297"/>
      <c r="PD22" s="297"/>
      <c r="PE22" s="297"/>
      <c r="PF22" s="297"/>
      <c r="PG22" s="297"/>
      <c r="PH22" s="297"/>
      <c r="PI22" s="297"/>
      <c r="PJ22" s="297"/>
      <c r="PK22" s="297"/>
      <c r="PL22" s="297"/>
      <c r="PM22" s="297"/>
      <c r="PN22" s="297"/>
      <c r="PO22" s="297"/>
      <c r="PP22" s="297"/>
      <c r="PQ22" s="297"/>
      <c r="PR22" s="297"/>
      <c r="PS22" s="297"/>
      <c r="PT22" s="297"/>
      <c r="PU22" s="297"/>
      <c r="PV22" s="297"/>
      <c r="PW22" s="297"/>
      <c r="PX22" s="297"/>
      <c r="PY22" s="297"/>
      <c r="PZ22" s="297"/>
      <c r="QA22" s="297"/>
      <c r="QB22" s="297"/>
      <c r="QC22" s="297"/>
      <c r="QD22" s="297"/>
      <c r="QE22" s="297"/>
      <c r="QF22" s="297"/>
      <c r="QG22" s="297"/>
      <c r="QH22" s="297"/>
      <c r="QI22" s="297"/>
      <c r="QJ22" s="297"/>
      <c r="QK22" s="297"/>
      <c r="QL22" s="297"/>
      <c r="QM22" s="297"/>
      <c r="QN22" s="297"/>
      <c r="QO22" s="297"/>
      <c r="QP22" s="297"/>
      <c r="QQ22" s="297"/>
      <c r="QR22" s="297"/>
      <c r="QS22" s="297"/>
      <c r="QT22" s="297"/>
      <c r="QU22" s="297"/>
      <c r="QV22" s="297"/>
      <c r="QW22" s="297"/>
      <c r="QX22" s="297"/>
      <c r="QY22" s="297"/>
      <c r="QZ22" s="297"/>
      <c r="RA22" s="297"/>
      <c r="RB22" s="297"/>
      <c r="RC22" s="297"/>
      <c r="RD22" s="297"/>
      <c r="RE22" s="297"/>
      <c r="RF22" s="297"/>
      <c r="RG22" s="297"/>
      <c r="RH22" s="297"/>
      <c r="RI22" s="297"/>
      <c r="RJ22" s="297"/>
      <c r="RK22" s="297"/>
      <c r="RL22" s="297"/>
      <c r="RM22" s="297"/>
      <c r="RN22" s="297"/>
      <c r="RO22" s="297"/>
      <c r="RP22" s="297"/>
      <c r="RQ22" s="297"/>
      <c r="RR22" s="297"/>
      <c r="RS22" s="297"/>
      <c r="RT22" s="297"/>
      <c r="RU22" s="297"/>
      <c r="RV22" s="297"/>
      <c r="RW22" s="297"/>
      <c r="RX22" s="297"/>
      <c r="RY22" s="297"/>
      <c r="RZ22" s="297"/>
      <c r="SA22" s="297"/>
      <c r="SB22" s="297"/>
      <c r="SC22" s="297"/>
      <c r="SD22" s="297"/>
      <c r="SE22" s="297"/>
      <c r="SF22" s="297"/>
      <c r="SG22" s="297"/>
      <c r="SH22" s="297"/>
      <c r="SI22" s="297"/>
      <c r="SJ22" s="297"/>
      <c r="SK22" s="297"/>
      <c r="SL22" s="297"/>
      <c r="SM22" s="297"/>
      <c r="SN22" s="297"/>
      <c r="SO22" s="297"/>
      <c r="SP22" s="297"/>
      <c r="SQ22" s="297"/>
      <c r="SR22" s="297"/>
      <c r="SS22" s="297"/>
      <c r="ST22" s="297"/>
      <c r="SU22" s="297"/>
      <c r="SV22" s="297"/>
      <c r="SW22" s="297"/>
      <c r="SX22" s="297"/>
      <c r="SY22" s="297"/>
      <c r="SZ22" s="297"/>
      <c r="TA22" s="297"/>
      <c r="TB22" s="297"/>
      <c r="TC22" s="297"/>
      <c r="TD22" s="297"/>
      <c r="TE22" s="297"/>
      <c r="TF22" s="297"/>
      <c r="TG22" s="297"/>
      <c r="TH22" s="297"/>
      <c r="TI22" s="297"/>
      <c r="TJ22" s="297"/>
      <c r="TK22" s="297"/>
      <c r="TL22" s="297"/>
      <c r="TM22" s="297"/>
      <c r="TN22" s="297"/>
      <c r="TO22" s="297"/>
      <c r="TP22" s="297"/>
      <c r="TQ22" s="297"/>
      <c r="TR22" s="297"/>
      <c r="TS22" s="297"/>
      <c r="TT22" s="297"/>
      <c r="TU22" s="297"/>
      <c r="TV22" s="297"/>
      <c r="TW22" s="297"/>
      <c r="TX22" s="297"/>
      <c r="TY22" s="297"/>
      <c r="TZ22" s="297"/>
      <c r="UA22" s="297"/>
      <c r="UB22" s="297"/>
      <c r="UC22" s="297"/>
      <c r="UD22" s="297"/>
      <c r="UE22" s="297"/>
      <c r="UF22" s="297"/>
      <c r="UG22" s="297"/>
      <c r="UH22" s="297"/>
      <c r="UI22" s="297"/>
      <c r="UJ22" s="297"/>
      <c r="UK22" s="297"/>
      <c r="UL22" s="297"/>
      <c r="UM22" s="297"/>
      <c r="UN22" s="297"/>
      <c r="UO22" s="297"/>
      <c r="UP22" s="297"/>
      <c r="UQ22" s="297"/>
      <c r="UR22" s="297"/>
      <c r="US22" s="297"/>
      <c r="UT22" s="297"/>
      <c r="UU22" s="297"/>
      <c r="UV22" s="297"/>
      <c r="UW22" s="297"/>
      <c r="UX22" s="297"/>
      <c r="UY22" s="297"/>
      <c r="UZ22" s="297"/>
      <c r="VA22" s="297"/>
      <c r="VB22" s="297"/>
      <c r="VC22" s="297"/>
      <c r="VD22" s="297"/>
      <c r="VE22" s="297"/>
      <c r="VF22" s="297"/>
      <c r="VG22" s="297"/>
      <c r="VH22" s="297"/>
      <c r="VI22" s="297"/>
      <c r="VJ22" s="297"/>
      <c r="VK22" s="297"/>
      <c r="VL22" s="297"/>
      <c r="VM22" s="297"/>
      <c r="VN22" s="297"/>
      <c r="VO22" s="297"/>
      <c r="VP22" s="297"/>
      <c r="VQ22" s="297"/>
      <c r="VR22" s="297"/>
      <c r="VS22" s="297"/>
      <c r="VT22" s="297"/>
      <c r="VU22" s="297"/>
      <c r="VV22" s="297"/>
      <c r="VW22" s="297"/>
      <c r="VX22" s="297"/>
      <c r="VY22" s="297"/>
      <c r="VZ22" s="297"/>
      <c r="WA22" s="297"/>
      <c r="WB22" s="297"/>
      <c r="WC22" s="297"/>
      <c r="WD22" s="297"/>
      <c r="WE22" s="297"/>
      <c r="WF22" s="297"/>
      <c r="WG22" s="297"/>
      <c r="WH22" s="297"/>
      <c r="WI22" s="297"/>
      <c r="WJ22" s="297"/>
      <c r="WK22" s="297"/>
      <c r="WL22" s="297"/>
      <c r="WM22" s="297"/>
      <c r="WN22" s="297"/>
      <c r="WO22" s="297"/>
      <c r="WP22" s="297"/>
      <c r="WQ22" s="297"/>
      <c r="WR22" s="297"/>
      <c r="WS22" s="297"/>
      <c r="WT22" s="297"/>
      <c r="WU22" s="297"/>
      <c r="WV22" s="297"/>
      <c r="WW22" s="297"/>
      <c r="WX22" s="297"/>
      <c r="WY22" s="297"/>
      <c r="WZ22" s="297"/>
      <c r="XA22" s="297"/>
      <c r="XB22" s="297"/>
      <c r="XC22" s="297"/>
      <c r="XD22" s="297"/>
      <c r="XE22" s="297"/>
      <c r="XF22" s="297"/>
      <c r="XG22" s="297"/>
      <c r="XH22" s="297"/>
      <c r="XI22" s="297"/>
      <c r="XJ22" s="297"/>
      <c r="XK22" s="297"/>
      <c r="XL22" s="297"/>
      <c r="XM22" s="297"/>
      <c r="XN22" s="297"/>
      <c r="XO22" s="297"/>
      <c r="XP22" s="297"/>
      <c r="XQ22" s="297"/>
      <c r="XR22" s="297"/>
      <c r="XS22" s="297"/>
      <c r="XT22" s="297"/>
      <c r="XU22" s="297"/>
      <c r="XV22" s="297"/>
      <c r="XW22" s="297"/>
      <c r="XX22" s="297"/>
      <c r="XY22" s="297"/>
      <c r="XZ22" s="297"/>
      <c r="YA22" s="297"/>
      <c r="YB22" s="297"/>
      <c r="YC22" s="297"/>
      <c r="YD22" s="297"/>
      <c r="YE22" s="297"/>
      <c r="YF22" s="297"/>
      <c r="YG22" s="297"/>
      <c r="YH22" s="297"/>
      <c r="YI22" s="297"/>
      <c r="YJ22" s="297"/>
      <c r="YK22" s="297"/>
      <c r="YL22" s="297"/>
      <c r="YM22" s="297"/>
      <c r="YN22" s="297"/>
      <c r="YO22" s="297"/>
      <c r="YP22" s="297"/>
      <c r="YQ22" s="297"/>
      <c r="YR22" s="297"/>
      <c r="YS22" s="297"/>
      <c r="YT22" s="297"/>
      <c r="YU22" s="297"/>
      <c r="YV22" s="297"/>
      <c r="YW22" s="297"/>
      <c r="YX22" s="297"/>
      <c r="YY22" s="297"/>
      <c r="YZ22" s="297"/>
      <c r="ZA22" s="297"/>
      <c r="ZB22" s="297"/>
      <c r="ZC22" s="297"/>
      <c r="ZD22" s="297"/>
      <c r="ZE22" s="297"/>
      <c r="ZF22" s="297"/>
      <c r="ZG22" s="297"/>
      <c r="ZH22" s="297"/>
      <c r="ZI22" s="297"/>
      <c r="ZJ22" s="297"/>
      <c r="ZK22" s="297"/>
      <c r="ZL22" s="297"/>
      <c r="ZM22" s="297"/>
      <c r="ZN22" s="297"/>
      <c r="ZO22" s="297"/>
      <c r="ZP22" s="297"/>
      <c r="ZQ22" s="297"/>
      <c r="ZR22" s="297"/>
      <c r="ZS22" s="297"/>
      <c r="ZT22" s="297"/>
      <c r="ZU22" s="297"/>
      <c r="ZV22" s="297"/>
      <c r="ZW22" s="297"/>
      <c r="ZX22" s="297"/>
      <c r="ZY22" s="297"/>
      <c r="ZZ22" s="297"/>
      <c r="AAA22" s="297"/>
      <c r="AAB22" s="297"/>
      <c r="AAC22" s="297"/>
      <c r="AAD22" s="297"/>
      <c r="AAE22" s="297"/>
      <c r="AAF22" s="297"/>
      <c r="AAG22" s="297"/>
      <c r="AAH22" s="297"/>
      <c r="AAI22" s="297"/>
      <c r="AAJ22" s="297"/>
      <c r="AAK22" s="297"/>
      <c r="AAL22" s="297"/>
      <c r="AAM22" s="297"/>
      <c r="AAN22" s="297"/>
      <c r="AAO22" s="297"/>
      <c r="AAP22" s="297"/>
      <c r="AAQ22" s="297"/>
      <c r="AAR22" s="297"/>
      <c r="AAS22" s="297"/>
      <c r="AAT22" s="297"/>
      <c r="AAU22" s="297"/>
      <c r="AAV22" s="297"/>
      <c r="AAW22" s="297"/>
      <c r="AAX22" s="297"/>
      <c r="AAY22" s="297"/>
      <c r="AAZ22" s="297"/>
      <c r="ABA22" s="297"/>
      <c r="ABB22" s="297"/>
      <c r="ABC22" s="297"/>
      <c r="ABD22" s="297"/>
      <c r="ABE22" s="297"/>
      <c r="ABF22" s="297"/>
      <c r="ABG22" s="297"/>
      <c r="ABH22" s="297"/>
      <c r="ABI22" s="297"/>
      <c r="ABJ22" s="297"/>
      <c r="ABK22" s="297"/>
      <c r="ABL22" s="297"/>
      <c r="ABM22" s="297"/>
      <c r="ABN22" s="297"/>
      <c r="ABO22" s="297"/>
      <c r="ABP22" s="297"/>
      <c r="ABQ22" s="297"/>
      <c r="ABR22" s="297"/>
      <c r="ABS22" s="297"/>
      <c r="ABT22" s="297"/>
      <c r="ABU22" s="297"/>
      <c r="ABV22" s="297"/>
      <c r="ABW22" s="297"/>
      <c r="ABX22" s="297"/>
      <c r="ABY22" s="297"/>
      <c r="ABZ22" s="297"/>
      <c r="ACA22" s="297"/>
      <c r="ACB22" s="297"/>
      <c r="ACC22" s="297"/>
      <c r="ACD22" s="297"/>
      <c r="ACE22" s="297"/>
      <c r="ACF22" s="297"/>
      <c r="ACG22" s="297"/>
      <c r="ACH22" s="297"/>
      <c r="ACI22" s="297"/>
      <c r="ACJ22" s="297"/>
      <c r="ACK22" s="297"/>
      <c r="ACL22" s="297"/>
      <c r="ACM22" s="297"/>
      <c r="ACN22" s="297"/>
      <c r="ACO22" s="297"/>
      <c r="ACP22" s="297"/>
      <c r="ACQ22" s="297"/>
      <c r="ACR22" s="297"/>
      <c r="ACS22" s="297"/>
      <c r="ACT22" s="297"/>
      <c r="ACU22" s="297"/>
      <c r="ACV22" s="297"/>
      <c r="ACW22" s="297"/>
      <c r="ACX22" s="297"/>
      <c r="ACY22" s="297"/>
      <c r="ACZ22" s="297"/>
      <c r="ADA22" s="297"/>
      <c r="ADB22" s="297"/>
      <c r="ADC22" s="297"/>
      <c r="ADD22" s="297"/>
      <c r="ADE22" s="297"/>
      <c r="ADF22" s="297"/>
      <c r="ADG22" s="297"/>
      <c r="ADH22" s="297"/>
      <c r="ADI22" s="297"/>
      <c r="ADJ22" s="297"/>
      <c r="ADK22" s="297"/>
      <c r="ADL22" s="297"/>
      <c r="ADM22" s="297"/>
      <c r="ADN22" s="297"/>
      <c r="ADO22" s="297"/>
      <c r="ADP22" s="297"/>
      <c r="ADQ22" s="297"/>
      <c r="ADR22" s="297"/>
      <c r="ADS22" s="297"/>
      <c r="ADT22" s="297"/>
      <c r="ADU22" s="297"/>
      <c r="ADV22" s="297"/>
      <c r="ADW22" s="297"/>
      <c r="ADX22" s="297"/>
      <c r="ADY22" s="297"/>
      <c r="ADZ22" s="297"/>
      <c r="AEA22" s="297"/>
      <c r="AEB22" s="297"/>
      <c r="AEC22" s="297"/>
      <c r="AED22" s="297"/>
      <c r="AEE22" s="297"/>
      <c r="AEF22" s="297"/>
      <c r="AEG22" s="297"/>
      <c r="AEH22" s="297"/>
      <c r="AEI22" s="297"/>
      <c r="AEJ22" s="297"/>
      <c r="AEK22" s="297"/>
      <c r="AEL22" s="297"/>
      <c r="AEM22" s="297"/>
      <c r="AEN22" s="297"/>
      <c r="AEO22" s="297"/>
      <c r="AEP22" s="297"/>
      <c r="AEQ22" s="297"/>
      <c r="AER22" s="297"/>
      <c r="AES22" s="297"/>
      <c r="AET22" s="297"/>
      <c r="AEU22" s="297"/>
      <c r="AEV22" s="297"/>
      <c r="AEW22" s="297"/>
      <c r="AEX22" s="297"/>
      <c r="AEY22" s="297"/>
      <c r="AEZ22" s="297"/>
      <c r="AFA22" s="297"/>
      <c r="AFB22" s="297"/>
      <c r="AFC22" s="297"/>
      <c r="AFD22" s="297"/>
      <c r="AFE22" s="297"/>
      <c r="AFF22" s="297"/>
      <c r="AFG22" s="297"/>
      <c r="AFH22" s="297"/>
      <c r="AFI22" s="297"/>
      <c r="AFJ22" s="297"/>
      <c r="AFK22" s="297"/>
      <c r="AFL22" s="297"/>
      <c r="AFM22" s="297"/>
      <c r="AFN22" s="297"/>
      <c r="AFO22" s="297"/>
      <c r="AFP22" s="297"/>
      <c r="AFQ22" s="297"/>
      <c r="AFR22" s="297"/>
      <c r="AFS22" s="297"/>
      <c r="AFT22" s="297"/>
      <c r="AFU22" s="297"/>
      <c r="AFV22" s="297"/>
      <c r="AFW22" s="297"/>
      <c r="AFX22" s="297"/>
      <c r="AFY22" s="297"/>
      <c r="AFZ22" s="297"/>
      <c r="AGA22" s="297"/>
      <c r="AGB22" s="297"/>
      <c r="AGC22" s="297"/>
      <c r="AGD22" s="297"/>
      <c r="AGE22" s="297"/>
      <c r="AGF22" s="297"/>
      <c r="AGG22" s="297"/>
      <c r="AGH22" s="297"/>
      <c r="AGI22" s="297"/>
      <c r="AGJ22" s="297"/>
      <c r="AGK22" s="297"/>
      <c r="AGL22" s="297"/>
      <c r="AGM22" s="297"/>
      <c r="AGN22" s="297"/>
      <c r="AGO22" s="297"/>
      <c r="AGP22" s="297"/>
      <c r="AGQ22" s="297"/>
      <c r="AGR22" s="297"/>
      <c r="AGS22" s="297"/>
      <c r="AGT22" s="297"/>
      <c r="AGU22" s="297"/>
      <c r="AGV22" s="297"/>
      <c r="AGW22" s="297"/>
      <c r="AGX22" s="297"/>
      <c r="AGY22" s="297"/>
      <c r="AGZ22" s="297"/>
      <c r="AHA22" s="297"/>
      <c r="AHB22" s="297"/>
      <c r="AHC22" s="297"/>
      <c r="AHD22" s="297"/>
      <c r="AHE22" s="297"/>
      <c r="AHF22" s="297"/>
      <c r="AHG22" s="297"/>
      <c r="AHH22" s="297"/>
      <c r="AHI22" s="297"/>
      <c r="AHJ22" s="297"/>
      <c r="AHK22" s="297"/>
      <c r="AHL22" s="297"/>
      <c r="AHM22" s="297"/>
      <c r="AHN22" s="297"/>
      <c r="AHO22" s="297"/>
      <c r="AHP22" s="297"/>
      <c r="AHQ22" s="297"/>
      <c r="AHR22" s="297"/>
      <c r="AHS22" s="297"/>
      <c r="AHT22" s="297"/>
      <c r="AHU22" s="297"/>
      <c r="AHV22" s="297"/>
      <c r="AHW22" s="297"/>
      <c r="AHX22" s="297"/>
      <c r="AHY22" s="297"/>
      <c r="AHZ22" s="297"/>
      <c r="AIA22" s="297"/>
      <c r="AIB22" s="297"/>
      <c r="AIC22" s="297"/>
      <c r="AID22" s="297"/>
      <c r="AIE22" s="297"/>
      <c r="AIF22" s="297"/>
      <c r="AIG22" s="297"/>
      <c r="AIH22" s="297"/>
      <c r="AII22" s="297"/>
      <c r="AIJ22" s="297"/>
      <c r="AIK22" s="297"/>
      <c r="AIL22" s="297"/>
      <c r="AIM22" s="297"/>
      <c r="AIN22" s="297"/>
      <c r="AIO22" s="297"/>
      <c r="AIP22" s="297"/>
      <c r="AIQ22" s="297"/>
      <c r="AIR22" s="297"/>
      <c r="AIS22" s="297"/>
      <c r="AIT22" s="297"/>
      <c r="AIU22" s="297"/>
      <c r="AIV22" s="297"/>
      <c r="AIW22" s="297"/>
      <c r="AIX22" s="297"/>
      <c r="AIY22" s="297"/>
      <c r="AIZ22" s="297"/>
      <c r="AJA22" s="297"/>
      <c r="AJB22" s="297"/>
      <c r="AJC22" s="297"/>
      <c r="AJD22" s="297"/>
      <c r="AJE22" s="297"/>
      <c r="AJF22" s="297"/>
      <c r="AJG22" s="297"/>
      <c r="AJH22" s="297"/>
      <c r="AJI22" s="297"/>
      <c r="AJJ22" s="297"/>
      <c r="AJK22" s="297"/>
      <c r="AJL22" s="297"/>
      <c r="AJM22" s="297"/>
      <c r="AJN22" s="297"/>
      <c r="AJO22" s="297"/>
      <c r="AJP22" s="297"/>
      <c r="AJQ22" s="297"/>
      <c r="AJR22" s="297"/>
      <c r="AJS22" s="297"/>
      <c r="AJT22" s="297"/>
      <c r="AJU22" s="297"/>
      <c r="AJV22" s="297"/>
      <c r="AJW22" s="297"/>
      <c r="AJX22" s="297"/>
      <c r="AJY22" s="297"/>
      <c r="AJZ22" s="297"/>
      <c r="AKA22" s="297"/>
      <c r="AKB22" s="297"/>
      <c r="AKC22" s="297"/>
      <c r="AKD22" s="297"/>
      <c r="AKE22" s="297"/>
      <c r="AKF22" s="297"/>
      <c r="AKG22" s="297"/>
      <c r="AKH22" s="297"/>
      <c r="AKI22" s="297"/>
      <c r="AKJ22" s="297"/>
      <c r="AKK22" s="297"/>
      <c r="AKL22" s="297"/>
      <c r="AKM22" s="297"/>
      <c r="AKN22" s="297"/>
      <c r="AKO22" s="297"/>
      <c r="AKP22" s="297"/>
      <c r="AKQ22" s="297"/>
      <c r="AKR22" s="297"/>
      <c r="AKS22" s="297"/>
      <c r="AKT22" s="297"/>
      <c r="AKU22" s="297"/>
      <c r="AKV22" s="297"/>
      <c r="AKW22" s="297"/>
      <c r="AKX22" s="297"/>
      <c r="AKY22" s="297"/>
      <c r="AKZ22" s="297"/>
      <c r="ALA22" s="297"/>
      <c r="ALB22" s="297"/>
      <c r="ALC22" s="297"/>
      <c r="ALD22" s="297"/>
      <c r="ALE22" s="297"/>
      <c r="ALF22" s="297"/>
      <c r="ALG22" s="297"/>
      <c r="ALH22" s="297"/>
      <c r="ALI22" s="297"/>
      <c r="ALJ22" s="297"/>
      <c r="ALK22" s="297"/>
      <c r="ALL22" s="297"/>
      <c r="ALM22" s="297"/>
      <c r="ALN22" s="297"/>
      <c r="ALO22" s="297"/>
      <c r="ALP22" s="297"/>
      <c r="ALQ22" s="297"/>
      <c r="ALR22" s="297"/>
      <c r="ALS22" s="297"/>
      <c r="ALT22" s="297"/>
      <c r="ALU22" s="299"/>
      <c r="ALV22" s="299"/>
      <c r="ALW22" s="299"/>
      <c r="ALX22" s="299"/>
      <c r="ALY22" s="299"/>
      <c r="ALZ22" s="299"/>
      <c r="AMA22" s="299"/>
      <c r="AMB22" s="299"/>
      <c r="AMC22" s="299"/>
      <c r="AMD22" s="299"/>
      <c r="AME22" s="299"/>
      <c r="AMF22" s="299"/>
      <c r="AMG22" s="299"/>
      <c r="AMH22" s="299"/>
      <c r="AMI22" s="300"/>
    </row>
    <row r="23" spans="1:1023" s="259" customFormat="1" x14ac:dyDescent="0.25">
      <c r="A23" s="289"/>
      <c r="B23" s="269"/>
      <c r="C23" s="269"/>
      <c r="D23" s="269"/>
      <c r="E23" s="269"/>
      <c r="F23" s="269"/>
      <c r="G23" s="301"/>
      <c r="H23" s="269"/>
      <c r="I23" s="269"/>
      <c r="J23" s="269"/>
      <c r="K23" s="269"/>
      <c r="L23" s="270"/>
      <c r="M23" s="269"/>
      <c r="N23" s="269"/>
      <c r="O23" s="269"/>
      <c r="P23" s="269"/>
      <c r="Q23" s="269"/>
      <c r="R23" s="269"/>
      <c r="S23" s="269"/>
      <c r="T23" s="269"/>
      <c r="U23" s="269"/>
      <c r="V23" s="269"/>
      <c r="W23" s="269"/>
      <c r="X23" s="269"/>
      <c r="Y23" s="269"/>
      <c r="Z23" s="269"/>
      <c r="AA23" s="269"/>
      <c r="AB23" s="269"/>
      <c r="AC23" s="269"/>
      <c r="AD23" s="269"/>
      <c r="AE23" s="269"/>
      <c r="AF23" s="269"/>
      <c r="AG23" s="269"/>
      <c r="AH23" s="269"/>
      <c r="AI23" s="269"/>
      <c r="AJ23" s="269"/>
      <c r="AK23" s="269"/>
      <c r="AL23" s="269"/>
      <c r="AM23" s="269"/>
      <c r="AN23" s="269"/>
      <c r="AO23" s="269"/>
      <c r="AP23" s="269"/>
      <c r="AQ23" s="269"/>
      <c r="AR23" s="269"/>
      <c r="AS23" s="269"/>
      <c r="AT23" s="269"/>
      <c r="AU23" s="269"/>
      <c r="AV23" s="269"/>
      <c r="AW23" s="269"/>
      <c r="AX23" s="269"/>
      <c r="AY23" s="269"/>
      <c r="AZ23" s="269"/>
      <c r="BA23" s="269"/>
      <c r="BB23" s="269"/>
      <c r="BC23" s="269"/>
      <c r="BD23" s="269"/>
      <c r="BE23" s="269"/>
      <c r="BF23" s="269"/>
      <c r="BG23" s="269"/>
      <c r="BH23" s="269"/>
      <c r="BI23" s="269"/>
      <c r="BJ23" s="269"/>
      <c r="BK23" s="269"/>
      <c r="BL23" s="269"/>
      <c r="BM23" s="269"/>
      <c r="BN23" s="269"/>
      <c r="BO23" s="269"/>
      <c r="BP23" s="269"/>
      <c r="BQ23" s="269"/>
      <c r="BR23" s="269"/>
      <c r="BS23" s="269"/>
      <c r="BT23" s="269"/>
      <c r="BU23" s="269"/>
      <c r="BV23" s="269"/>
      <c r="BW23" s="269"/>
      <c r="BX23" s="269"/>
      <c r="BY23" s="269"/>
      <c r="BZ23" s="269"/>
      <c r="CA23" s="269"/>
      <c r="CB23" s="269"/>
      <c r="CC23" s="269"/>
      <c r="CD23" s="269"/>
      <c r="CE23" s="269"/>
      <c r="CF23" s="269"/>
      <c r="CG23" s="269"/>
      <c r="CH23" s="269"/>
      <c r="CI23" s="269"/>
      <c r="CJ23" s="269"/>
      <c r="CK23" s="269"/>
      <c r="CL23" s="269"/>
      <c r="CM23" s="269"/>
      <c r="CN23" s="269"/>
      <c r="CO23" s="269"/>
      <c r="CP23" s="269"/>
      <c r="CQ23" s="269"/>
      <c r="CR23" s="269"/>
      <c r="CS23" s="269"/>
      <c r="CT23" s="269"/>
      <c r="CU23" s="269"/>
      <c r="CV23" s="269"/>
      <c r="CW23" s="269"/>
      <c r="CX23" s="269"/>
      <c r="CY23" s="269"/>
      <c r="CZ23" s="269"/>
      <c r="DA23" s="269"/>
      <c r="DB23" s="269"/>
      <c r="DC23" s="269"/>
      <c r="DD23" s="269"/>
      <c r="DE23" s="269"/>
      <c r="DF23" s="269"/>
      <c r="DG23" s="269"/>
      <c r="DH23" s="269"/>
      <c r="DI23" s="269"/>
      <c r="DJ23" s="269"/>
      <c r="DK23" s="269"/>
      <c r="DL23" s="269"/>
      <c r="DM23" s="269"/>
      <c r="DN23" s="269"/>
      <c r="DO23" s="269"/>
      <c r="DP23" s="269"/>
      <c r="DQ23" s="269"/>
      <c r="DR23" s="269"/>
      <c r="DS23" s="269"/>
      <c r="DT23" s="269"/>
      <c r="DU23" s="269"/>
      <c r="DV23" s="269"/>
      <c r="DW23" s="269"/>
      <c r="DX23" s="269"/>
      <c r="DY23" s="269"/>
      <c r="DZ23" s="269"/>
      <c r="EA23" s="269"/>
      <c r="EB23" s="269"/>
      <c r="EC23" s="269"/>
      <c r="ED23" s="269"/>
      <c r="EE23" s="269"/>
      <c r="EF23" s="269"/>
      <c r="EG23" s="269"/>
      <c r="EH23" s="269"/>
      <c r="EI23" s="269"/>
      <c r="EJ23" s="269"/>
      <c r="EK23" s="269"/>
      <c r="EL23" s="269"/>
      <c r="EM23" s="269"/>
      <c r="EN23" s="269"/>
      <c r="EO23" s="269"/>
      <c r="EP23" s="269"/>
      <c r="EQ23" s="269"/>
      <c r="ER23" s="269"/>
      <c r="ES23" s="269"/>
      <c r="ET23" s="269"/>
      <c r="EU23" s="269"/>
      <c r="EV23" s="269"/>
      <c r="EW23" s="269"/>
      <c r="EX23" s="269"/>
      <c r="EY23" s="269"/>
      <c r="EZ23" s="269"/>
      <c r="FA23" s="269"/>
      <c r="FB23" s="269"/>
      <c r="FC23" s="269"/>
      <c r="FD23" s="269"/>
      <c r="FE23" s="269"/>
      <c r="FF23" s="269"/>
      <c r="FG23" s="269"/>
      <c r="FH23" s="269"/>
      <c r="FI23" s="269"/>
      <c r="FJ23" s="269"/>
      <c r="FK23" s="269"/>
      <c r="FL23" s="269"/>
      <c r="FM23" s="269"/>
      <c r="FN23" s="269"/>
      <c r="FO23" s="269"/>
      <c r="FP23" s="269"/>
      <c r="FQ23" s="269"/>
      <c r="FR23" s="269"/>
      <c r="FS23" s="269"/>
      <c r="FT23" s="269"/>
      <c r="FU23" s="269"/>
      <c r="FV23" s="269"/>
      <c r="FW23" s="269"/>
      <c r="FX23" s="269"/>
      <c r="FY23" s="269"/>
      <c r="FZ23" s="269"/>
      <c r="GA23" s="269"/>
      <c r="GB23" s="269"/>
      <c r="GC23" s="269"/>
      <c r="GD23" s="269"/>
      <c r="GE23" s="269"/>
      <c r="GF23" s="269"/>
      <c r="GG23" s="269"/>
      <c r="GH23" s="269"/>
      <c r="GI23" s="269"/>
      <c r="GJ23" s="269"/>
      <c r="GK23" s="269"/>
      <c r="GL23" s="269"/>
      <c r="GM23" s="269"/>
      <c r="GN23" s="269"/>
      <c r="GO23" s="269"/>
      <c r="GP23" s="269"/>
      <c r="GQ23" s="269"/>
      <c r="GR23" s="269"/>
      <c r="GS23" s="269"/>
      <c r="GT23" s="269"/>
      <c r="GU23" s="269"/>
      <c r="GV23" s="269"/>
      <c r="GW23" s="269"/>
      <c r="GX23" s="269"/>
      <c r="GY23" s="269"/>
      <c r="GZ23" s="269"/>
      <c r="HA23" s="269"/>
      <c r="HB23" s="269"/>
      <c r="HC23" s="269"/>
      <c r="HD23" s="269"/>
      <c r="HE23" s="269"/>
      <c r="HF23" s="269"/>
      <c r="HG23" s="269"/>
      <c r="HH23" s="269"/>
      <c r="HI23" s="269"/>
      <c r="HJ23" s="269"/>
      <c r="HK23" s="269"/>
      <c r="HL23" s="269"/>
      <c r="HM23" s="269"/>
      <c r="HN23" s="269"/>
      <c r="HO23" s="269"/>
      <c r="HP23" s="269"/>
      <c r="HQ23" s="269"/>
      <c r="HR23" s="269"/>
      <c r="HS23" s="269"/>
      <c r="HT23" s="269"/>
      <c r="HU23" s="269"/>
      <c r="HV23" s="269"/>
      <c r="HW23" s="269"/>
      <c r="HX23" s="269"/>
      <c r="HY23" s="269"/>
      <c r="HZ23" s="269"/>
      <c r="IA23" s="269"/>
      <c r="IB23" s="269"/>
      <c r="IC23" s="269"/>
      <c r="ID23" s="269"/>
      <c r="IE23" s="269"/>
      <c r="IF23" s="269"/>
      <c r="IG23" s="269"/>
      <c r="IH23" s="269"/>
      <c r="II23" s="269"/>
      <c r="IJ23" s="269"/>
      <c r="IK23" s="269"/>
      <c r="IL23" s="269"/>
      <c r="IM23" s="269"/>
      <c r="IN23" s="269"/>
      <c r="IO23" s="269"/>
      <c r="IP23" s="269"/>
      <c r="IQ23" s="269"/>
      <c r="IR23" s="269"/>
      <c r="IS23" s="269"/>
      <c r="IT23" s="269"/>
      <c r="IU23" s="269"/>
      <c r="IV23" s="269"/>
      <c r="IW23" s="269"/>
      <c r="IX23" s="269"/>
      <c r="IY23" s="269"/>
      <c r="IZ23" s="269"/>
      <c r="JA23" s="269"/>
      <c r="JB23" s="269"/>
      <c r="JC23" s="269"/>
      <c r="JD23" s="269"/>
      <c r="JE23" s="269"/>
      <c r="JF23" s="269"/>
      <c r="JG23" s="269"/>
      <c r="JH23" s="269"/>
      <c r="JI23" s="269"/>
      <c r="JJ23" s="269"/>
      <c r="JK23" s="269"/>
      <c r="JL23" s="269"/>
      <c r="JM23" s="269"/>
      <c r="JN23" s="269"/>
      <c r="JO23" s="269"/>
      <c r="JP23" s="269"/>
      <c r="JQ23" s="269"/>
      <c r="JR23" s="269"/>
      <c r="JS23" s="269"/>
      <c r="JT23" s="269"/>
      <c r="JU23" s="269"/>
      <c r="JV23" s="269"/>
      <c r="JW23" s="269"/>
      <c r="JX23" s="269"/>
      <c r="JY23" s="269"/>
      <c r="JZ23" s="269"/>
      <c r="KA23" s="269"/>
      <c r="KB23" s="269"/>
      <c r="KC23" s="269"/>
      <c r="KD23" s="269"/>
      <c r="KE23" s="269"/>
      <c r="KF23" s="269"/>
      <c r="KG23" s="269"/>
      <c r="KH23" s="269"/>
      <c r="KI23" s="269"/>
      <c r="KJ23" s="269"/>
      <c r="KK23" s="269"/>
      <c r="KL23" s="269"/>
      <c r="KM23" s="269"/>
      <c r="KN23" s="269"/>
      <c r="KO23" s="269"/>
      <c r="KP23" s="269"/>
      <c r="KQ23" s="269"/>
      <c r="KR23" s="269"/>
      <c r="KS23" s="269"/>
      <c r="KT23" s="269"/>
      <c r="KU23" s="269"/>
      <c r="KV23" s="269"/>
      <c r="KW23" s="269"/>
      <c r="KX23" s="269"/>
      <c r="KY23" s="269"/>
      <c r="KZ23" s="269"/>
      <c r="LA23" s="269"/>
      <c r="LB23" s="269"/>
      <c r="LC23" s="269"/>
      <c r="LD23" s="269"/>
      <c r="LE23" s="269"/>
      <c r="LF23" s="269"/>
      <c r="LG23" s="269"/>
      <c r="LH23" s="269"/>
      <c r="LI23" s="269"/>
      <c r="LJ23" s="269"/>
      <c r="LK23" s="269"/>
      <c r="LL23" s="269"/>
      <c r="LM23" s="269"/>
      <c r="LN23" s="269"/>
      <c r="LO23" s="269"/>
      <c r="LP23" s="269"/>
      <c r="LQ23" s="269"/>
      <c r="LR23" s="269"/>
      <c r="LS23" s="269"/>
      <c r="LT23" s="269"/>
      <c r="LU23" s="269"/>
      <c r="LV23" s="269"/>
      <c r="LW23" s="269"/>
      <c r="LX23" s="269"/>
      <c r="LY23" s="269"/>
      <c r="LZ23" s="269"/>
      <c r="MA23" s="269"/>
      <c r="MB23" s="269"/>
      <c r="MC23" s="269"/>
      <c r="MD23" s="269"/>
      <c r="ME23" s="269"/>
      <c r="MF23" s="269"/>
      <c r="MG23" s="269"/>
      <c r="MH23" s="269"/>
      <c r="MI23" s="269"/>
      <c r="MJ23" s="269"/>
      <c r="MK23" s="269"/>
      <c r="ML23" s="269"/>
      <c r="MM23" s="269"/>
      <c r="MN23" s="269"/>
      <c r="MO23" s="269"/>
      <c r="MP23" s="269"/>
      <c r="MQ23" s="269"/>
      <c r="MR23" s="269"/>
      <c r="MS23" s="269"/>
      <c r="MT23" s="269"/>
      <c r="MU23" s="269"/>
      <c r="MV23" s="269"/>
      <c r="MW23" s="269"/>
      <c r="MX23" s="269"/>
      <c r="MY23" s="269"/>
      <c r="MZ23" s="269"/>
      <c r="NA23" s="269"/>
      <c r="NB23" s="269"/>
      <c r="NC23" s="269"/>
      <c r="ND23" s="269"/>
      <c r="NE23" s="269"/>
      <c r="NF23" s="269"/>
      <c r="NG23" s="269"/>
      <c r="NH23" s="269"/>
      <c r="NI23" s="269"/>
      <c r="NJ23" s="269"/>
      <c r="NK23" s="269"/>
      <c r="NL23" s="269"/>
      <c r="NM23" s="269"/>
      <c r="NN23" s="269"/>
      <c r="NO23" s="269"/>
      <c r="NP23" s="269"/>
      <c r="NQ23" s="269"/>
      <c r="NR23" s="269"/>
      <c r="NS23" s="269"/>
      <c r="NT23" s="269"/>
      <c r="NU23" s="269"/>
      <c r="NV23" s="269"/>
      <c r="NW23" s="269"/>
      <c r="NX23" s="269"/>
      <c r="NY23" s="269"/>
      <c r="NZ23" s="269"/>
      <c r="OA23" s="269"/>
      <c r="OB23" s="269"/>
      <c r="OC23" s="269"/>
      <c r="OD23" s="269"/>
      <c r="OE23" s="269"/>
      <c r="OF23" s="269"/>
      <c r="OG23" s="269"/>
      <c r="OH23" s="269"/>
      <c r="OI23" s="269"/>
      <c r="OJ23" s="269"/>
      <c r="OK23" s="269"/>
      <c r="OL23" s="269"/>
      <c r="OM23" s="269"/>
      <c r="ON23" s="269"/>
      <c r="OO23" s="269"/>
      <c r="OP23" s="269"/>
      <c r="OQ23" s="269"/>
      <c r="OR23" s="269"/>
      <c r="OS23" s="269"/>
      <c r="OT23" s="269"/>
      <c r="OU23" s="269"/>
      <c r="OV23" s="269"/>
      <c r="OW23" s="269"/>
      <c r="OX23" s="269"/>
      <c r="OY23" s="269"/>
      <c r="OZ23" s="269"/>
      <c r="PA23" s="269"/>
      <c r="PB23" s="269"/>
      <c r="PC23" s="269"/>
      <c r="PD23" s="269"/>
      <c r="PE23" s="269"/>
      <c r="PF23" s="269"/>
      <c r="PG23" s="269"/>
      <c r="PH23" s="269"/>
      <c r="PI23" s="269"/>
      <c r="PJ23" s="269"/>
      <c r="PK23" s="269"/>
      <c r="PL23" s="269"/>
      <c r="PM23" s="269"/>
      <c r="PN23" s="269"/>
      <c r="PO23" s="269"/>
      <c r="PP23" s="269"/>
      <c r="PQ23" s="269"/>
      <c r="PR23" s="269"/>
      <c r="PS23" s="269"/>
      <c r="PT23" s="269"/>
      <c r="PU23" s="269"/>
      <c r="PV23" s="269"/>
      <c r="PW23" s="269"/>
      <c r="PX23" s="269"/>
      <c r="PY23" s="269"/>
      <c r="PZ23" s="269"/>
      <c r="QA23" s="269"/>
      <c r="QB23" s="269"/>
      <c r="QC23" s="269"/>
      <c r="QD23" s="269"/>
      <c r="QE23" s="269"/>
      <c r="QF23" s="269"/>
      <c r="QG23" s="269"/>
      <c r="QH23" s="269"/>
      <c r="QI23" s="269"/>
      <c r="QJ23" s="269"/>
      <c r="QK23" s="269"/>
      <c r="QL23" s="269"/>
      <c r="QM23" s="269"/>
      <c r="QN23" s="269"/>
      <c r="QO23" s="269"/>
      <c r="QP23" s="269"/>
      <c r="QQ23" s="269"/>
      <c r="QR23" s="269"/>
      <c r="QS23" s="269"/>
      <c r="QT23" s="269"/>
      <c r="QU23" s="269"/>
      <c r="QV23" s="269"/>
      <c r="QW23" s="269"/>
      <c r="QX23" s="269"/>
      <c r="QY23" s="269"/>
      <c r="QZ23" s="269"/>
      <c r="RA23" s="269"/>
      <c r="RB23" s="269"/>
      <c r="RC23" s="269"/>
      <c r="RD23" s="269"/>
      <c r="RE23" s="269"/>
      <c r="RF23" s="269"/>
      <c r="RG23" s="269"/>
      <c r="RH23" s="269"/>
      <c r="RI23" s="269"/>
      <c r="RJ23" s="269"/>
      <c r="RK23" s="269"/>
      <c r="RL23" s="269"/>
      <c r="RM23" s="269"/>
      <c r="RN23" s="269"/>
      <c r="RO23" s="269"/>
      <c r="RP23" s="269"/>
      <c r="RQ23" s="269"/>
      <c r="RR23" s="269"/>
      <c r="RS23" s="269"/>
      <c r="RT23" s="269"/>
      <c r="RU23" s="269"/>
      <c r="RV23" s="269"/>
      <c r="RW23" s="269"/>
      <c r="RX23" s="269"/>
      <c r="RY23" s="269"/>
      <c r="RZ23" s="269"/>
      <c r="SA23" s="269"/>
      <c r="SB23" s="269"/>
      <c r="SC23" s="269"/>
      <c r="SD23" s="269"/>
      <c r="SE23" s="269"/>
      <c r="SF23" s="269"/>
      <c r="SG23" s="269"/>
      <c r="SH23" s="269"/>
      <c r="SI23" s="269"/>
      <c r="SJ23" s="269"/>
      <c r="SK23" s="269"/>
      <c r="SL23" s="269"/>
      <c r="SM23" s="269"/>
      <c r="SN23" s="269"/>
      <c r="SO23" s="269"/>
      <c r="SP23" s="269"/>
      <c r="SQ23" s="269"/>
      <c r="SR23" s="269"/>
      <c r="SS23" s="269"/>
      <c r="ST23" s="269"/>
      <c r="SU23" s="269"/>
      <c r="SV23" s="269"/>
      <c r="SW23" s="269"/>
      <c r="SX23" s="269"/>
      <c r="SY23" s="269"/>
      <c r="SZ23" s="269"/>
      <c r="TA23" s="269"/>
      <c r="TB23" s="269"/>
      <c r="TC23" s="269"/>
      <c r="TD23" s="269"/>
      <c r="TE23" s="269"/>
      <c r="TF23" s="269"/>
      <c r="TG23" s="269"/>
      <c r="TH23" s="269"/>
      <c r="TI23" s="269"/>
      <c r="TJ23" s="269"/>
      <c r="TK23" s="269"/>
      <c r="TL23" s="269"/>
      <c r="TM23" s="269"/>
      <c r="TN23" s="269"/>
      <c r="TO23" s="269"/>
      <c r="TP23" s="269"/>
      <c r="TQ23" s="269"/>
      <c r="TR23" s="269"/>
      <c r="TS23" s="269"/>
      <c r="TT23" s="269"/>
      <c r="TU23" s="269"/>
      <c r="TV23" s="269"/>
      <c r="TW23" s="269"/>
      <c r="TX23" s="269"/>
      <c r="TY23" s="269"/>
      <c r="TZ23" s="269"/>
      <c r="UA23" s="269"/>
      <c r="UB23" s="269"/>
      <c r="UC23" s="269"/>
      <c r="UD23" s="269"/>
      <c r="UE23" s="269"/>
      <c r="UF23" s="269"/>
      <c r="UG23" s="269"/>
      <c r="UH23" s="269"/>
      <c r="UI23" s="269"/>
      <c r="UJ23" s="269"/>
      <c r="UK23" s="269"/>
      <c r="UL23" s="269"/>
      <c r="UM23" s="269"/>
      <c r="UN23" s="269"/>
      <c r="UO23" s="269"/>
      <c r="UP23" s="269"/>
      <c r="UQ23" s="269"/>
      <c r="UR23" s="269"/>
      <c r="US23" s="269"/>
      <c r="UT23" s="269"/>
      <c r="UU23" s="269"/>
      <c r="UV23" s="269"/>
      <c r="UW23" s="269"/>
      <c r="UX23" s="269"/>
      <c r="UY23" s="269"/>
      <c r="UZ23" s="269"/>
      <c r="VA23" s="269"/>
      <c r="VB23" s="269"/>
      <c r="VC23" s="269"/>
      <c r="VD23" s="269"/>
      <c r="VE23" s="269"/>
      <c r="VF23" s="269"/>
      <c r="VG23" s="269"/>
      <c r="VH23" s="269"/>
      <c r="VI23" s="269"/>
      <c r="VJ23" s="269"/>
      <c r="VK23" s="269"/>
      <c r="VL23" s="269"/>
      <c r="VM23" s="269"/>
      <c r="VN23" s="269"/>
      <c r="VO23" s="269"/>
      <c r="VP23" s="269"/>
      <c r="VQ23" s="269"/>
      <c r="VR23" s="269"/>
      <c r="VS23" s="269"/>
      <c r="VT23" s="269"/>
      <c r="VU23" s="269"/>
      <c r="VV23" s="269"/>
      <c r="VW23" s="269"/>
      <c r="VX23" s="269"/>
      <c r="VY23" s="269"/>
      <c r="VZ23" s="269"/>
      <c r="WA23" s="269"/>
      <c r="WB23" s="269"/>
      <c r="WC23" s="269"/>
      <c r="WD23" s="269"/>
      <c r="WE23" s="269"/>
      <c r="WF23" s="269"/>
      <c r="WG23" s="269"/>
      <c r="WH23" s="269"/>
      <c r="WI23" s="269"/>
      <c r="WJ23" s="269"/>
      <c r="WK23" s="269"/>
      <c r="WL23" s="269"/>
      <c r="WM23" s="269"/>
      <c r="WN23" s="269"/>
      <c r="WO23" s="269"/>
      <c r="WP23" s="269"/>
      <c r="WQ23" s="269"/>
      <c r="WR23" s="269"/>
      <c r="WS23" s="269"/>
      <c r="WT23" s="269"/>
      <c r="WU23" s="269"/>
      <c r="WV23" s="269"/>
      <c r="WW23" s="269"/>
      <c r="WX23" s="269"/>
      <c r="WY23" s="269"/>
      <c r="WZ23" s="269"/>
      <c r="XA23" s="269"/>
      <c r="XB23" s="269"/>
      <c r="XC23" s="269"/>
      <c r="XD23" s="269"/>
      <c r="XE23" s="269"/>
      <c r="XF23" s="269"/>
      <c r="XG23" s="269"/>
      <c r="XH23" s="269"/>
      <c r="XI23" s="269"/>
      <c r="XJ23" s="269"/>
      <c r="XK23" s="269"/>
      <c r="XL23" s="269"/>
      <c r="XM23" s="269"/>
      <c r="XN23" s="269"/>
      <c r="XO23" s="269"/>
      <c r="XP23" s="269"/>
      <c r="XQ23" s="269"/>
      <c r="XR23" s="269"/>
      <c r="XS23" s="269"/>
      <c r="XT23" s="269"/>
      <c r="XU23" s="269"/>
      <c r="XV23" s="269"/>
      <c r="XW23" s="269"/>
      <c r="XX23" s="269"/>
      <c r="XY23" s="269"/>
      <c r="XZ23" s="269"/>
      <c r="YA23" s="269"/>
      <c r="YB23" s="269"/>
      <c r="YC23" s="269"/>
      <c r="YD23" s="269"/>
      <c r="YE23" s="269"/>
      <c r="YF23" s="269"/>
      <c r="YG23" s="269"/>
      <c r="YH23" s="269"/>
      <c r="YI23" s="269"/>
      <c r="YJ23" s="269"/>
      <c r="YK23" s="269"/>
      <c r="YL23" s="269"/>
      <c r="YM23" s="269"/>
      <c r="YN23" s="269"/>
      <c r="YO23" s="269"/>
      <c r="YP23" s="269"/>
      <c r="YQ23" s="269"/>
      <c r="YR23" s="269"/>
      <c r="YS23" s="269"/>
      <c r="YT23" s="269"/>
      <c r="YU23" s="269"/>
      <c r="YV23" s="269"/>
      <c r="YW23" s="269"/>
      <c r="YX23" s="269"/>
      <c r="YY23" s="269"/>
      <c r="YZ23" s="269"/>
      <c r="ZA23" s="269"/>
      <c r="ZB23" s="269"/>
      <c r="ZC23" s="269"/>
      <c r="ZD23" s="269"/>
      <c r="ZE23" s="269"/>
      <c r="ZF23" s="269"/>
      <c r="ZG23" s="269"/>
      <c r="ZH23" s="269"/>
      <c r="ZI23" s="269"/>
      <c r="ZJ23" s="269"/>
      <c r="ZK23" s="269"/>
      <c r="ZL23" s="269"/>
      <c r="ZM23" s="269"/>
      <c r="ZN23" s="269"/>
      <c r="ZO23" s="269"/>
      <c r="ZP23" s="269"/>
      <c r="ZQ23" s="269"/>
      <c r="ZR23" s="269"/>
      <c r="ZS23" s="269"/>
      <c r="ZT23" s="269"/>
      <c r="ZU23" s="269"/>
      <c r="ZV23" s="269"/>
      <c r="ZW23" s="269"/>
      <c r="ZX23" s="269"/>
      <c r="ZY23" s="269"/>
      <c r="ZZ23" s="269"/>
      <c r="AAA23" s="269"/>
      <c r="AAB23" s="269"/>
      <c r="AAC23" s="269"/>
      <c r="AAD23" s="269"/>
      <c r="AAE23" s="269"/>
      <c r="AAF23" s="269"/>
      <c r="AAG23" s="269"/>
      <c r="AAH23" s="269"/>
      <c r="AAI23" s="269"/>
      <c r="AAJ23" s="269"/>
      <c r="AAK23" s="269"/>
      <c r="AAL23" s="269"/>
      <c r="AAM23" s="269"/>
      <c r="AAN23" s="269"/>
      <c r="AAO23" s="269"/>
      <c r="AAP23" s="269"/>
      <c r="AAQ23" s="269"/>
      <c r="AAR23" s="269"/>
      <c r="AAS23" s="269"/>
      <c r="AAT23" s="269"/>
      <c r="AAU23" s="269"/>
      <c r="AAV23" s="269"/>
      <c r="AAW23" s="269"/>
      <c r="AAX23" s="269"/>
      <c r="AAY23" s="269"/>
      <c r="AAZ23" s="269"/>
      <c r="ABA23" s="269"/>
      <c r="ABB23" s="269"/>
      <c r="ABC23" s="269"/>
      <c r="ABD23" s="269"/>
      <c r="ABE23" s="269"/>
      <c r="ABF23" s="269"/>
      <c r="ABG23" s="269"/>
      <c r="ABH23" s="269"/>
      <c r="ABI23" s="269"/>
      <c r="ABJ23" s="269"/>
      <c r="ABK23" s="269"/>
      <c r="ABL23" s="269"/>
      <c r="ABM23" s="269"/>
      <c r="ABN23" s="269"/>
      <c r="ABO23" s="269"/>
      <c r="ABP23" s="269"/>
      <c r="ABQ23" s="269"/>
      <c r="ABR23" s="269"/>
      <c r="ABS23" s="269"/>
      <c r="ABT23" s="269"/>
      <c r="ABU23" s="269"/>
      <c r="ABV23" s="269"/>
      <c r="ABW23" s="269"/>
      <c r="ABX23" s="269"/>
      <c r="ABY23" s="269"/>
      <c r="ABZ23" s="269"/>
      <c r="ACA23" s="269"/>
      <c r="ACB23" s="269"/>
      <c r="ACC23" s="269"/>
      <c r="ACD23" s="269"/>
      <c r="ACE23" s="269"/>
      <c r="ACF23" s="269"/>
      <c r="ACG23" s="269"/>
      <c r="ACH23" s="269"/>
      <c r="ACI23" s="269"/>
      <c r="ACJ23" s="269"/>
      <c r="ACK23" s="269"/>
      <c r="ACL23" s="269"/>
      <c r="ACM23" s="269"/>
      <c r="ACN23" s="269"/>
      <c r="ACO23" s="269"/>
      <c r="ACP23" s="269"/>
      <c r="ACQ23" s="269"/>
      <c r="ACR23" s="269"/>
      <c r="ACS23" s="269"/>
      <c r="ACT23" s="269"/>
      <c r="ACU23" s="269"/>
      <c r="ACV23" s="269"/>
      <c r="ACW23" s="269"/>
      <c r="ACX23" s="269"/>
      <c r="ACY23" s="269"/>
      <c r="ACZ23" s="269"/>
      <c r="ADA23" s="269"/>
      <c r="ADB23" s="269"/>
      <c r="ADC23" s="269"/>
      <c r="ADD23" s="269"/>
      <c r="ADE23" s="269"/>
      <c r="ADF23" s="269"/>
      <c r="ADG23" s="269"/>
      <c r="ADH23" s="269"/>
      <c r="ADI23" s="269"/>
      <c r="ADJ23" s="269"/>
      <c r="ADK23" s="269"/>
      <c r="ADL23" s="269"/>
      <c r="ADM23" s="269"/>
      <c r="ADN23" s="269"/>
      <c r="ADO23" s="269"/>
      <c r="ADP23" s="269"/>
      <c r="ADQ23" s="269"/>
      <c r="ADR23" s="269"/>
      <c r="ADS23" s="269"/>
      <c r="ADT23" s="269"/>
      <c r="ADU23" s="269"/>
      <c r="ADV23" s="269"/>
      <c r="ADW23" s="269"/>
      <c r="ADX23" s="269"/>
      <c r="ADY23" s="269"/>
      <c r="ADZ23" s="269"/>
      <c r="AEA23" s="269"/>
      <c r="AEB23" s="269"/>
      <c r="AEC23" s="269"/>
      <c r="AED23" s="269"/>
      <c r="AEE23" s="269"/>
      <c r="AEF23" s="269"/>
      <c r="AEG23" s="269"/>
      <c r="AEH23" s="269"/>
      <c r="AEI23" s="269"/>
      <c r="AEJ23" s="269"/>
      <c r="AEK23" s="269"/>
      <c r="AEL23" s="269"/>
      <c r="AEM23" s="269"/>
      <c r="AEN23" s="269"/>
      <c r="AEO23" s="269"/>
      <c r="AEP23" s="269"/>
      <c r="AEQ23" s="269"/>
      <c r="AER23" s="269"/>
      <c r="AES23" s="269"/>
      <c r="AET23" s="269"/>
      <c r="AEU23" s="269"/>
      <c r="AEV23" s="269"/>
      <c r="AEW23" s="269"/>
      <c r="AEX23" s="269"/>
      <c r="AEY23" s="269"/>
      <c r="AEZ23" s="269"/>
      <c r="AFA23" s="269"/>
      <c r="AFB23" s="269"/>
      <c r="AFC23" s="269"/>
      <c r="AFD23" s="269"/>
      <c r="AFE23" s="269"/>
      <c r="AFF23" s="269"/>
      <c r="AFG23" s="269"/>
      <c r="AFH23" s="269"/>
      <c r="AFI23" s="269"/>
      <c r="AFJ23" s="269"/>
      <c r="AFK23" s="269"/>
      <c r="AFL23" s="269"/>
      <c r="AFM23" s="269"/>
      <c r="AFN23" s="269"/>
      <c r="AFO23" s="269"/>
      <c r="AFP23" s="269"/>
      <c r="AFQ23" s="269"/>
      <c r="AFR23" s="269"/>
      <c r="AFS23" s="269"/>
      <c r="AFT23" s="269"/>
      <c r="AFU23" s="269"/>
      <c r="AFV23" s="269"/>
      <c r="AFW23" s="269"/>
      <c r="AFX23" s="269"/>
      <c r="AFY23" s="269"/>
      <c r="AFZ23" s="269"/>
      <c r="AGA23" s="269"/>
      <c r="AGB23" s="269"/>
      <c r="AGC23" s="269"/>
      <c r="AGD23" s="269"/>
      <c r="AGE23" s="269"/>
      <c r="AGF23" s="269"/>
      <c r="AGG23" s="269"/>
      <c r="AGH23" s="269"/>
      <c r="AGI23" s="269"/>
      <c r="AGJ23" s="269"/>
      <c r="AGK23" s="269"/>
      <c r="AGL23" s="269"/>
      <c r="AGM23" s="269"/>
      <c r="AGN23" s="269"/>
      <c r="AGO23" s="269"/>
      <c r="AGP23" s="269"/>
      <c r="AGQ23" s="269"/>
      <c r="AGR23" s="269"/>
      <c r="AGS23" s="269"/>
      <c r="AGT23" s="269"/>
      <c r="AGU23" s="269"/>
      <c r="AGV23" s="269"/>
      <c r="AGW23" s="269"/>
      <c r="AGX23" s="269"/>
      <c r="AGY23" s="269"/>
      <c r="AGZ23" s="269"/>
      <c r="AHA23" s="269"/>
      <c r="AHB23" s="269"/>
      <c r="AHC23" s="269"/>
      <c r="AHD23" s="269"/>
      <c r="AHE23" s="269"/>
      <c r="AHF23" s="269"/>
      <c r="AHG23" s="269"/>
      <c r="AHH23" s="269"/>
      <c r="AHI23" s="269"/>
      <c r="AHJ23" s="269"/>
      <c r="AHK23" s="269"/>
      <c r="AHL23" s="269"/>
      <c r="AHM23" s="269"/>
      <c r="AHN23" s="269"/>
      <c r="AHO23" s="269"/>
      <c r="AHP23" s="269"/>
      <c r="AHQ23" s="269"/>
      <c r="AHR23" s="269"/>
      <c r="AHS23" s="269"/>
      <c r="AHT23" s="269"/>
      <c r="AHU23" s="269"/>
      <c r="AHV23" s="269"/>
      <c r="AHW23" s="269"/>
      <c r="AHX23" s="269"/>
      <c r="AHY23" s="269"/>
      <c r="AHZ23" s="269"/>
      <c r="AIA23" s="269"/>
      <c r="AIB23" s="269"/>
      <c r="AIC23" s="269"/>
      <c r="AID23" s="269"/>
      <c r="AIE23" s="269"/>
      <c r="AIF23" s="269"/>
      <c r="AIG23" s="269"/>
      <c r="AIH23" s="269"/>
      <c r="AII23" s="269"/>
      <c r="AIJ23" s="269"/>
      <c r="AIK23" s="269"/>
      <c r="AIL23" s="269"/>
      <c r="AIM23" s="269"/>
      <c r="AIN23" s="269"/>
      <c r="AIO23" s="269"/>
      <c r="AIP23" s="269"/>
      <c r="AIQ23" s="269"/>
      <c r="AIR23" s="269"/>
      <c r="AIS23" s="269"/>
      <c r="AIT23" s="269"/>
      <c r="AIU23" s="269"/>
      <c r="AIV23" s="269"/>
      <c r="AIW23" s="269"/>
      <c r="AIX23" s="269"/>
      <c r="AIY23" s="269"/>
      <c r="AIZ23" s="269"/>
      <c r="AJA23" s="269"/>
      <c r="AJB23" s="269"/>
      <c r="AJC23" s="269"/>
      <c r="AJD23" s="269"/>
      <c r="AJE23" s="269"/>
      <c r="AJF23" s="269"/>
      <c r="AJG23" s="269"/>
      <c r="AJH23" s="269"/>
      <c r="AJI23" s="269"/>
      <c r="AJJ23" s="269"/>
      <c r="AJK23" s="269"/>
      <c r="AJL23" s="269"/>
      <c r="AJM23" s="269"/>
      <c r="AJN23" s="269"/>
      <c r="AJO23" s="269"/>
      <c r="AJP23" s="269"/>
      <c r="AJQ23" s="269"/>
      <c r="AJR23" s="269"/>
      <c r="AJS23" s="269"/>
      <c r="AJT23" s="269"/>
      <c r="AJU23" s="269"/>
      <c r="AJV23" s="269"/>
      <c r="AJW23" s="269"/>
      <c r="AJX23" s="269"/>
      <c r="AJY23" s="269"/>
      <c r="AJZ23" s="269"/>
      <c r="AKA23" s="269"/>
      <c r="AKB23" s="269"/>
      <c r="AKC23" s="269"/>
      <c r="AKD23" s="269"/>
      <c r="AKE23" s="269"/>
      <c r="AKF23" s="269"/>
      <c r="AKG23" s="269"/>
      <c r="AKH23" s="269"/>
      <c r="AKI23" s="269"/>
      <c r="AKJ23" s="269"/>
      <c r="AKK23" s="269"/>
      <c r="AKL23" s="269"/>
      <c r="AKM23" s="269"/>
      <c r="AKN23" s="269"/>
      <c r="AKO23" s="269"/>
      <c r="AKP23" s="269"/>
      <c r="AKQ23" s="269"/>
      <c r="AKR23" s="269"/>
      <c r="AKS23" s="269"/>
      <c r="AKT23" s="269"/>
      <c r="AKU23" s="269"/>
      <c r="AKV23" s="269"/>
      <c r="AKW23" s="269"/>
      <c r="AKX23" s="269"/>
      <c r="AKY23" s="269"/>
      <c r="AKZ23" s="269"/>
      <c r="ALA23" s="269"/>
      <c r="ALB23" s="269"/>
      <c r="ALC23" s="269"/>
      <c r="ALD23" s="269"/>
      <c r="ALE23" s="269"/>
      <c r="ALF23" s="269"/>
      <c r="ALG23" s="269"/>
      <c r="ALH23" s="269"/>
      <c r="ALI23" s="269"/>
      <c r="ALJ23" s="269"/>
      <c r="ALK23" s="269"/>
      <c r="ALL23" s="269"/>
      <c r="ALM23" s="269"/>
      <c r="ALN23" s="269"/>
      <c r="ALO23" s="269"/>
      <c r="ALP23" s="269"/>
      <c r="ALQ23" s="269"/>
      <c r="ALR23" s="269"/>
      <c r="ALS23" s="269"/>
      <c r="ALT23" s="269"/>
      <c r="ALU23" s="270"/>
      <c r="ALV23" s="270"/>
      <c r="ALW23" s="270"/>
      <c r="ALX23" s="270"/>
      <c r="ALY23" s="270"/>
      <c r="ALZ23" s="270"/>
      <c r="AMA23" s="270"/>
      <c r="AMB23" s="270"/>
      <c r="AMC23" s="270"/>
      <c r="AMD23" s="270"/>
      <c r="AME23" s="270"/>
      <c r="AMF23" s="270"/>
      <c r="AMG23" s="270"/>
      <c r="AMH23" s="270"/>
      <c r="AMI23" s="293"/>
    </row>
    <row r="24" spans="1:1023" s="259" customFormat="1" x14ac:dyDescent="0.25">
      <c r="A24" s="742" t="s">
        <v>333</v>
      </c>
      <c r="B24" s="743"/>
      <c r="C24" s="743"/>
      <c r="D24" s="743"/>
      <c r="E24" s="751"/>
      <c r="F24" s="751"/>
      <c r="G24" s="751"/>
      <c r="H24" s="751"/>
      <c r="I24" s="180"/>
      <c r="J24" s="180"/>
      <c r="K24" s="180"/>
      <c r="L24" s="278"/>
      <c r="M24" s="180"/>
      <c r="N24" s="180"/>
      <c r="O24" s="180"/>
      <c r="P24" s="180"/>
      <c r="Q24" s="180"/>
      <c r="R24" s="180"/>
      <c r="S24" s="180"/>
      <c r="T24" s="180"/>
      <c r="U24" s="180"/>
      <c r="V24" s="180"/>
      <c r="W24" s="180"/>
      <c r="X24" s="180"/>
      <c r="Y24" s="302"/>
      <c r="Z24" s="302"/>
      <c r="AA24" s="302"/>
      <c r="AB24" s="302"/>
      <c r="AC24" s="302"/>
      <c r="AD24" s="302"/>
      <c r="AE24" s="302"/>
      <c r="AF24" s="302"/>
      <c r="AG24" s="302"/>
      <c r="AH24" s="302"/>
      <c r="AI24" s="302"/>
      <c r="AJ24" s="302"/>
      <c r="AK24" s="302"/>
      <c r="AL24" s="302"/>
      <c r="AM24" s="302"/>
      <c r="AN24" s="302"/>
      <c r="AO24" s="302"/>
      <c r="AP24" s="302"/>
      <c r="AQ24" s="302"/>
      <c r="AR24" s="302"/>
      <c r="AS24" s="302"/>
      <c r="AT24" s="302"/>
      <c r="AU24" s="302"/>
      <c r="AV24" s="302"/>
      <c r="AW24" s="302"/>
      <c r="AX24" s="302"/>
      <c r="AY24" s="302"/>
      <c r="AZ24" s="302"/>
      <c r="BA24" s="302"/>
      <c r="BB24" s="302"/>
      <c r="BC24" s="302"/>
      <c r="BD24" s="302"/>
      <c r="BE24" s="302"/>
      <c r="BF24" s="302"/>
      <c r="BG24" s="302"/>
      <c r="BH24" s="302"/>
      <c r="BI24" s="302"/>
      <c r="BJ24" s="302"/>
      <c r="BK24" s="302"/>
      <c r="BL24" s="302"/>
      <c r="BM24" s="302"/>
      <c r="BN24" s="302"/>
      <c r="BO24" s="302"/>
      <c r="BP24" s="302"/>
      <c r="BQ24" s="302"/>
      <c r="BR24" s="302"/>
      <c r="BS24" s="302"/>
      <c r="BT24" s="302"/>
      <c r="BU24" s="302"/>
      <c r="BV24" s="302"/>
      <c r="BW24" s="302"/>
      <c r="BX24" s="302"/>
      <c r="BY24" s="302"/>
      <c r="BZ24" s="302"/>
      <c r="CA24" s="302"/>
      <c r="CB24" s="302"/>
      <c r="CC24" s="302"/>
      <c r="CD24" s="302"/>
      <c r="CE24" s="302"/>
      <c r="CF24" s="302"/>
      <c r="CG24" s="302"/>
      <c r="CH24" s="302"/>
      <c r="CI24" s="302"/>
      <c r="CJ24" s="302"/>
      <c r="CK24" s="302"/>
      <c r="CL24" s="302"/>
      <c r="CM24" s="302"/>
      <c r="CN24" s="302"/>
      <c r="CO24" s="302"/>
      <c r="CP24" s="302"/>
      <c r="CQ24" s="302"/>
      <c r="CR24" s="302"/>
      <c r="CS24" s="302"/>
      <c r="CT24" s="302"/>
      <c r="CU24" s="302"/>
      <c r="CV24" s="302"/>
      <c r="CW24" s="302"/>
      <c r="CX24" s="302"/>
      <c r="CY24" s="302"/>
      <c r="CZ24" s="302"/>
      <c r="DA24" s="302"/>
      <c r="DB24" s="302"/>
      <c r="DC24" s="302"/>
      <c r="DD24" s="302"/>
      <c r="DE24" s="302"/>
      <c r="DF24" s="302"/>
      <c r="DG24" s="302"/>
      <c r="DH24" s="302"/>
      <c r="DI24" s="302"/>
      <c r="DJ24" s="302"/>
      <c r="DK24" s="302"/>
      <c r="DL24" s="302"/>
      <c r="DM24" s="302"/>
      <c r="DN24" s="302"/>
      <c r="DO24" s="302"/>
      <c r="DP24" s="302"/>
      <c r="DQ24" s="302"/>
      <c r="DR24" s="302"/>
      <c r="DS24" s="302"/>
      <c r="DT24" s="302"/>
      <c r="DU24" s="302"/>
      <c r="DV24" s="302"/>
      <c r="DW24" s="302"/>
      <c r="DX24" s="302"/>
      <c r="DY24" s="302"/>
      <c r="DZ24" s="302"/>
      <c r="EA24" s="302"/>
      <c r="EB24" s="302"/>
      <c r="EC24" s="302"/>
      <c r="ED24" s="302"/>
      <c r="EE24" s="302"/>
      <c r="EF24" s="302"/>
      <c r="EG24" s="302"/>
      <c r="EH24" s="302"/>
      <c r="EI24" s="302"/>
      <c r="EJ24" s="302"/>
      <c r="EK24" s="302"/>
      <c r="EL24" s="302"/>
      <c r="EM24" s="302"/>
      <c r="EN24" s="302"/>
      <c r="EO24" s="302"/>
      <c r="EP24" s="302"/>
      <c r="EQ24" s="302"/>
      <c r="ER24" s="302"/>
      <c r="ES24" s="302"/>
      <c r="ET24" s="302"/>
      <c r="EU24" s="302"/>
      <c r="EV24" s="302"/>
      <c r="EW24" s="302"/>
      <c r="EX24" s="302"/>
      <c r="EY24" s="302"/>
      <c r="EZ24" s="302"/>
      <c r="FA24" s="302"/>
      <c r="FB24" s="302"/>
      <c r="FC24" s="302"/>
      <c r="FD24" s="302"/>
      <c r="FE24" s="302"/>
      <c r="FF24" s="302"/>
      <c r="FG24" s="302"/>
      <c r="FH24" s="302"/>
      <c r="FI24" s="302"/>
      <c r="FJ24" s="302"/>
      <c r="FK24" s="302"/>
      <c r="FL24" s="302"/>
      <c r="FM24" s="302"/>
      <c r="FN24" s="302"/>
      <c r="FO24" s="302"/>
      <c r="FP24" s="302"/>
      <c r="FQ24" s="302"/>
      <c r="FR24" s="302"/>
      <c r="FS24" s="302"/>
      <c r="FT24" s="302"/>
      <c r="FU24" s="302"/>
      <c r="FV24" s="302"/>
      <c r="FW24" s="302"/>
      <c r="FX24" s="302"/>
      <c r="FY24" s="302"/>
      <c r="FZ24" s="302"/>
      <c r="GA24" s="302"/>
      <c r="GB24" s="302"/>
      <c r="GC24" s="302"/>
      <c r="GD24" s="302"/>
      <c r="GE24" s="302"/>
      <c r="GF24" s="302"/>
      <c r="GG24" s="302"/>
      <c r="GH24" s="302"/>
      <c r="GI24" s="302"/>
      <c r="GJ24" s="302"/>
      <c r="GK24" s="302"/>
      <c r="GL24" s="302"/>
      <c r="GM24" s="302"/>
      <c r="GN24" s="302"/>
      <c r="GO24" s="302"/>
      <c r="GP24" s="302"/>
      <c r="GQ24" s="302"/>
      <c r="GR24" s="302"/>
      <c r="GS24" s="302"/>
      <c r="GT24" s="302"/>
      <c r="GU24" s="302"/>
      <c r="GV24" s="302"/>
      <c r="GW24" s="302"/>
      <c r="GX24" s="302"/>
      <c r="GY24" s="302"/>
      <c r="GZ24" s="302"/>
      <c r="HA24" s="302"/>
      <c r="HB24" s="302"/>
      <c r="HC24" s="302"/>
      <c r="HD24" s="302"/>
      <c r="HE24" s="302"/>
      <c r="HF24" s="302"/>
      <c r="HG24" s="302"/>
      <c r="HH24" s="302"/>
      <c r="HI24" s="302"/>
      <c r="HJ24" s="302"/>
      <c r="HK24" s="302"/>
      <c r="HL24" s="302"/>
      <c r="HM24" s="302"/>
      <c r="HN24" s="302"/>
      <c r="HO24" s="302"/>
      <c r="HP24" s="302"/>
      <c r="HQ24" s="302"/>
      <c r="HR24" s="302"/>
      <c r="HS24" s="302"/>
      <c r="HT24" s="302"/>
      <c r="HU24" s="302"/>
      <c r="HV24" s="302"/>
      <c r="HW24" s="302"/>
      <c r="HX24" s="302"/>
      <c r="HY24" s="302"/>
      <c r="HZ24" s="302"/>
      <c r="IA24" s="302"/>
      <c r="IB24" s="302"/>
      <c r="IC24" s="302"/>
      <c r="ID24" s="302"/>
      <c r="IE24" s="302"/>
      <c r="IF24" s="302"/>
      <c r="IG24" s="302"/>
      <c r="IH24" s="302"/>
      <c r="II24" s="302"/>
      <c r="IJ24" s="302"/>
      <c r="IK24" s="302"/>
      <c r="IL24" s="302"/>
      <c r="IM24" s="302"/>
      <c r="IN24" s="302"/>
      <c r="IO24" s="302"/>
      <c r="IP24" s="302"/>
      <c r="IQ24" s="302"/>
      <c r="IR24" s="302"/>
      <c r="IS24" s="302"/>
      <c r="IT24" s="302"/>
      <c r="IU24" s="302"/>
      <c r="IV24" s="302"/>
      <c r="IW24" s="302"/>
      <c r="IX24" s="302"/>
      <c r="IY24" s="302"/>
      <c r="IZ24" s="302"/>
      <c r="JA24" s="302"/>
      <c r="JB24" s="302"/>
      <c r="JC24" s="302"/>
      <c r="JD24" s="302"/>
      <c r="JE24" s="302"/>
      <c r="JF24" s="302"/>
      <c r="JG24" s="302"/>
      <c r="JH24" s="302"/>
      <c r="JI24" s="302"/>
      <c r="JJ24" s="302"/>
      <c r="JK24" s="302"/>
      <c r="JL24" s="302"/>
      <c r="JM24" s="302"/>
      <c r="JN24" s="302"/>
      <c r="JO24" s="302"/>
      <c r="JP24" s="302"/>
      <c r="JQ24" s="302"/>
      <c r="JR24" s="302"/>
      <c r="JS24" s="302"/>
      <c r="JT24" s="302"/>
      <c r="JU24" s="302"/>
      <c r="JV24" s="302"/>
      <c r="JW24" s="302"/>
      <c r="JX24" s="302"/>
      <c r="JY24" s="302"/>
      <c r="JZ24" s="302"/>
      <c r="KA24" s="302"/>
      <c r="KB24" s="302"/>
      <c r="KC24" s="302"/>
      <c r="KD24" s="302"/>
      <c r="KE24" s="302"/>
      <c r="KF24" s="302"/>
      <c r="KG24" s="302"/>
      <c r="KH24" s="302"/>
      <c r="KI24" s="302"/>
      <c r="KJ24" s="302"/>
      <c r="KK24" s="302"/>
      <c r="KL24" s="302"/>
      <c r="KM24" s="302"/>
      <c r="KN24" s="302"/>
      <c r="KO24" s="302"/>
      <c r="KP24" s="302"/>
      <c r="KQ24" s="302"/>
      <c r="KR24" s="302"/>
      <c r="KS24" s="302"/>
      <c r="KT24" s="302"/>
      <c r="KU24" s="302"/>
      <c r="KV24" s="302"/>
      <c r="KW24" s="302"/>
      <c r="KX24" s="302"/>
      <c r="KY24" s="302"/>
      <c r="KZ24" s="302"/>
      <c r="LA24" s="302"/>
      <c r="LB24" s="302"/>
      <c r="LC24" s="302"/>
      <c r="LD24" s="302"/>
      <c r="LE24" s="302"/>
      <c r="LF24" s="302"/>
      <c r="LG24" s="302"/>
      <c r="LH24" s="302"/>
      <c r="LI24" s="302"/>
      <c r="LJ24" s="302"/>
      <c r="LK24" s="302"/>
      <c r="LL24" s="302"/>
      <c r="LM24" s="302"/>
      <c r="LN24" s="302"/>
      <c r="LO24" s="302"/>
      <c r="LP24" s="302"/>
      <c r="LQ24" s="302"/>
      <c r="LR24" s="302"/>
      <c r="LS24" s="302"/>
      <c r="LT24" s="302"/>
      <c r="LU24" s="302"/>
      <c r="LV24" s="302"/>
      <c r="LW24" s="302"/>
      <c r="LX24" s="302"/>
      <c r="LY24" s="302"/>
      <c r="LZ24" s="302"/>
      <c r="MA24" s="302"/>
      <c r="MB24" s="302"/>
      <c r="MC24" s="302"/>
      <c r="MD24" s="302"/>
      <c r="ME24" s="302"/>
      <c r="MF24" s="302"/>
      <c r="MG24" s="302"/>
      <c r="MH24" s="302"/>
      <c r="MI24" s="302"/>
      <c r="MJ24" s="302"/>
      <c r="MK24" s="302"/>
      <c r="ML24" s="302"/>
      <c r="MM24" s="302"/>
      <c r="MN24" s="302"/>
      <c r="MO24" s="302"/>
      <c r="MP24" s="302"/>
      <c r="MQ24" s="302"/>
      <c r="MR24" s="302"/>
      <c r="MS24" s="302"/>
      <c r="MT24" s="302"/>
      <c r="MU24" s="302"/>
      <c r="MV24" s="302"/>
      <c r="MW24" s="302"/>
      <c r="MX24" s="302"/>
      <c r="MY24" s="302"/>
      <c r="MZ24" s="302"/>
      <c r="NA24" s="302"/>
      <c r="NB24" s="302"/>
      <c r="NC24" s="302"/>
      <c r="ND24" s="302"/>
      <c r="NE24" s="302"/>
      <c r="NF24" s="302"/>
      <c r="NG24" s="302"/>
      <c r="NH24" s="302"/>
      <c r="NI24" s="302"/>
      <c r="NJ24" s="302"/>
      <c r="NK24" s="302"/>
      <c r="NL24" s="302"/>
      <c r="NM24" s="302"/>
      <c r="NN24" s="302"/>
      <c r="NO24" s="302"/>
      <c r="NP24" s="302"/>
      <c r="NQ24" s="302"/>
      <c r="NR24" s="302"/>
      <c r="NS24" s="302"/>
      <c r="NT24" s="302"/>
      <c r="NU24" s="302"/>
      <c r="NV24" s="302"/>
      <c r="NW24" s="302"/>
      <c r="NX24" s="302"/>
      <c r="NY24" s="302"/>
      <c r="NZ24" s="302"/>
      <c r="OA24" s="302"/>
      <c r="OB24" s="302"/>
      <c r="OC24" s="302"/>
      <c r="OD24" s="302"/>
      <c r="OE24" s="302"/>
      <c r="OF24" s="302"/>
      <c r="OG24" s="302"/>
      <c r="OH24" s="302"/>
      <c r="OI24" s="302"/>
      <c r="OJ24" s="302"/>
      <c r="OK24" s="302"/>
      <c r="OL24" s="302"/>
      <c r="OM24" s="302"/>
      <c r="ON24" s="302"/>
      <c r="OO24" s="302"/>
      <c r="OP24" s="302"/>
      <c r="OQ24" s="302"/>
      <c r="OR24" s="302"/>
      <c r="OS24" s="302"/>
      <c r="OT24" s="302"/>
      <c r="OU24" s="302"/>
      <c r="OV24" s="302"/>
      <c r="OW24" s="302"/>
      <c r="OX24" s="302"/>
      <c r="OY24" s="302"/>
      <c r="OZ24" s="302"/>
      <c r="PA24" s="302"/>
      <c r="PB24" s="302"/>
      <c r="PC24" s="302"/>
      <c r="PD24" s="302"/>
      <c r="PE24" s="302"/>
      <c r="PF24" s="302"/>
      <c r="PG24" s="302"/>
      <c r="PH24" s="302"/>
      <c r="PI24" s="302"/>
      <c r="PJ24" s="302"/>
      <c r="PK24" s="302"/>
      <c r="PL24" s="302"/>
      <c r="PM24" s="302"/>
      <c r="PN24" s="302"/>
      <c r="PO24" s="302"/>
      <c r="PP24" s="302"/>
      <c r="PQ24" s="302"/>
      <c r="PR24" s="302"/>
      <c r="PS24" s="302"/>
      <c r="PT24" s="302"/>
      <c r="PU24" s="302"/>
      <c r="PV24" s="302"/>
      <c r="PW24" s="302"/>
      <c r="PX24" s="302"/>
      <c r="PY24" s="302"/>
      <c r="PZ24" s="302"/>
      <c r="QA24" s="302"/>
      <c r="QB24" s="302"/>
      <c r="QC24" s="302"/>
      <c r="QD24" s="302"/>
      <c r="QE24" s="302"/>
      <c r="QF24" s="302"/>
      <c r="QG24" s="302"/>
      <c r="QH24" s="302"/>
      <c r="QI24" s="302"/>
      <c r="QJ24" s="302"/>
      <c r="QK24" s="302"/>
      <c r="QL24" s="302"/>
      <c r="QM24" s="302"/>
      <c r="QN24" s="302"/>
      <c r="QO24" s="302"/>
      <c r="QP24" s="302"/>
      <c r="QQ24" s="302"/>
      <c r="QR24" s="302"/>
      <c r="QS24" s="302"/>
      <c r="QT24" s="302"/>
      <c r="QU24" s="302"/>
      <c r="QV24" s="302"/>
      <c r="QW24" s="302"/>
      <c r="QX24" s="302"/>
      <c r="QY24" s="302"/>
      <c r="QZ24" s="302"/>
      <c r="RA24" s="302"/>
      <c r="RB24" s="302"/>
      <c r="RC24" s="302"/>
      <c r="RD24" s="302"/>
      <c r="RE24" s="302"/>
      <c r="RF24" s="302"/>
      <c r="RG24" s="302"/>
      <c r="RH24" s="302"/>
      <c r="RI24" s="302"/>
      <c r="RJ24" s="302"/>
      <c r="RK24" s="302"/>
      <c r="RL24" s="302"/>
      <c r="RM24" s="302"/>
      <c r="RN24" s="302"/>
      <c r="RO24" s="302"/>
      <c r="RP24" s="302"/>
      <c r="RQ24" s="302"/>
      <c r="RR24" s="302"/>
      <c r="RS24" s="302"/>
      <c r="RT24" s="302"/>
      <c r="RU24" s="302"/>
      <c r="RV24" s="302"/>
      <c r="RW24" s="302"/>
      <c r="RX24" s="302"/>
      <c r="RY24" s="302"/>
      <c r="RZ24" s="302"/>
      <c r="SA24" s="302"/>
      <c r="SB24" s="302"/>
      <c r="SC24" s="302"/>
      <c r="SD24" s="302"/>
      <c r="SE24" s="302"/>
      <c r="SF24" s="302"/>
      <c r="SG24" s="302"/>
      <c r="SH24" s="302"/>
      <c r="SI24" s="302"/>
      <c r="SJ24" s="302"/>
      <c r="SK24" s="302"/>
      <c r="SL24" s="302"/>
      <c r="SM24" s="302"/>
      <c r="SN24" s="302"/>
      <c r="SO24" s="302"/>
      <c r="SP24" s="302"/>
      <c r="SQ24" s="302"/>
      <c r="SR24" s="302"/>
      <c r="SS24" s="302"/>
      <c r="ST24" s="302"/>
      <c r="SU24" s="302"/>
      <c r="SV24" s="302"/>
      <c r="SW24" s="302"/>
      <c r="SX24" s="302"/>
      <c r="SY24" s="302"/>
      <c r="SZ24" s="302"/>
      <c r="TA24" s="302"/>
      <c r="TB24" s="302"/>
      <c r="TC24" s="302"/>
      <c r="TD24" s="302"/>
      <c r="TE24" s="302"/>
      <c r="TF24" s="302"/>
      <c r="TG24" s="302"/>
      <c r="TH24" s="302"/>
      <c r="TI24" s="302"/>
      <c r="TJ24" s="302"/>
      <c r="TK24" s="302"/>
      <c r="TL24" s="302"/>
      <c r="TM24" s="302"/>
      <c r="TN24" s="302"/>
      <c r="TO24" s="302"/>
      <c r="TP24" s="302"/>
      <c r="TQ24" s="302"/>
      <c r="TR24" s="302"/>
      <c r="TS24" s="302"/>
      <c r="TT24" s="302"/>
      <c r="TU24" s="302"/>
      <c r="TV24" s="302"/>
      <c r="TW24" s="302"/>
      <c r="TX24" s="302"/>
      <c r="TY24" s="302"/>
      <c r="TZ24" s="302"/>
      <c r="UA24" s="302"/>
      <c r="UB24" s="302"/>
      <c r="UC24" s="302"/>
      <c r="UD24" s="302"/>
      <c r="UE24" s="302"/>
      <c r="UF24" s="302"/>
      <c r="UG24" s="302"/>
      <c r="UH24" s="302"/>
      <c r="UI24" s="302"/>
      <c r="UJ24" s="302"/>
      <c r="UK24" s="302"/>
      <c r="UL24" s="302"/>
      <c r="UM24" s="302"/>
      <c r="UN24" s="302"/>
      <c r="UO24" s="302"/>
      <c r="UP24" s="302"/>
      <c r="UQ24" s="302"/>
      <c r="UR24" s="302"/>
      <c r="US24" s="302"/>
      <c r="UT24" s="302"/>
      <c r="UU24" s="302"/>
      <c r="UV24" s="302"/>
      <c r="UW24" s="302"/>
      <c r="UX24" s="302"/>
      <c r="UY24" s="302"/>
      <c r="UZ24" s="302"/>
      <c r="VA24" s="302"/>
      <c r="VB24" s="302"/>
      <c r="VC24" s="302"/>
      <c r="VD24" s="302"/>
      <c r="VE24" s="302"/>
      <c r="VF24" s="302"/>
      <c r="VG24" s="302"/>
      <c r="VH24" s="302"/>
      <c r="VI24" s="302"/>
      <c r="VJ24" s="302"/>
      <c r="VK24" s="302"/>
      <c r="VL24" s="302"/>
      <c r="VM24" s="302"/>
      <c r="VN24" s="302"/>
      <c r="VO24" s="302"/>
      <c r="VP24" s="302"/>
      <c r="VQ24" s="302"/>
      <c r="VR24" s="302"/>
      <c r="VS24" s="302"/>
      <c r="VT24" s="302"/>
      <c r="VU24" s="302"/>
      <c r="VV24" s="302"/>
      <c r="VW24" s="302"/>
      <c r="VX24" s="302"/>
      <c r="VY24" s="302"/>
      <c r="VZ24" s="302"/>
      <c r="WA24" s="302"/>
      <c r="WB24" s="302"/>
      <c r="WC24" s="302"/>
      <c r="WD24" s="302"/>
      <c r="WE24" s="302"/>
      <c r="WF24" s="302"/>
      <c r="WG24" s="302"/>
      <c r="WH24" s="302"/>
      <c r="WI24" s="302"/>
      <c r="WJ24" s="302"/>
      <c r="WK24" s="302"/>
      <c r="WL24" s="302"/>
      <c r="WM24" s="302"/>
      <c r="WN24" s="302"/>
      <c r="WO24" s="302"/>
      <c r="WP24" s="302"/>
      <c r="WQ24" s="302"/>
      <c r="WR24" s="302"/>
      <c r="WS24" s="302"/>
      <c r="WT24" s="302"/>
      <c r="WU24" s="302"/>
      <c r="WV24" s="302"/>
      <c r="WW24" s="302"/>
      <c r="WX24" s="302"/>
      <c r="WY24" s="302"/>
      <c r="WZ24" s="302"/>
      <c r="XA24" s="302"/>
      <c r="XB24" s="302"/>
      <c r="XC24" s="302"/>
      <c r="XD24" s="302"/>
      <c r="XE24" s="302"/>
      <c r="XF24" s="302"/>
      <c r="XG24" s="302"/>
      <c r="XH24" s="302"/>
      <c r="XI24" s="302"/>
      <c r="XJ24" s="302"/>
      <c r="XK24" s="302"/>
      <c r="XL24" s="302"/>
      <c r="XM24" s="302"/>
      <c r="XN24" s="302"/>
      <c r="XO24" s="302"/>
      <c r="XP24" s="302"/>
      <c r="XQ24" s="302"/>
      <c r="XR24" s="302"/>
      <c r="XS24" s="302"/>
      <c r="XT24" s="302"/>
      <c r="XU24" s="302"/>
      <c r="XV24" s="302"/>
      <c r="XW24" s="302"/>
      <c r="XX24" s="302"/>
      <c r="XY24" s="302"/>
      <c r="XZ24" s="302"/>
      <c r="YA24" s="302"/>
      <c r="YB24" s="302"/>
      <c r="YC24" s="302"/>
      <c r="YD24" s="302"/>
      <c r="YE24" s="302"/>
      <c r="YF24" s="302"/>
      <c r="YG24" s="302"/>
      <c r="YH24" s="302"/>
      <c r="YI24" s="302"/>
      <c r="YJ24" s="302"/>
      <c r="YK24" s="302"/>
      <c r="YL24" s="302"/>
      <c r="YM24" s="302"/>
      <c r="YN24" s="302"/>
      <c r="YO24" s="302"/>
      <c r="YP24" s="302"/>
      <c r="YQ24" s="302"/>
      <c r="YR24" s="302"/>
      <c r="YS24" s="302"/>
      <c r="YT24" s="302"/>
      <c r="YU24" s="302"/>
      <c r="YV24" s="302"/>
      <c r="YW24" s="302"/>
      <c r="YX24" s="302"/>
      <c r="YY24" s="302"/>
      <c r="YZ24" s="302"/>
      <c r="ZA24" s="302"/>
      <c r="ZB24" s="302"/>
      <c r="ZC24" s="302"/>
      <c r="ZD24" s="302"/>
      <c r="ZE24" s="302"/>
      <c r="ZF24" s="302"/>
      <c r="ZG24" s="302"/>
      <c r="ZH24" s="302"/>
      <c r="ZI24" s="302"/>
      <c r="ZJ24" s="302"/>
      <c r="ZK24" s="302"/>
      <c r="ZL24" s="302"/>
      <c r="ZM24" s="302"/>
      <c r="ZN24" s="302"/>
      <c r="ZO24" s="302"/>
      <c r="ZP24" s="302"/>
      <c r="ZQ24" s="302"/>
      <c r="ZR24" s="302"/>
      <c r="ZS24" s="302"/>
      <c r="ZT24" s="302"/>
      <c r="ZU24" s="302"/>
      <c r="ZV24" s="302"/>
      <c r="ZW24" s="302"/>
      <c r="ZX24" s="302"/>
      <c r="ZY24" s="302"/>
      <c r="ZZ24" s="302"/>
      <c r="AAA24" s="302"/>
      <c r="AAB24" s="302"/>
      <c r="AAC24" s="302"/>
      <c r="AAD24" s="302"/>
      <c r="AAE24" s="302"/>
      <c r="AAF24" s="302"/>
      <c r="AAG24" s="302"/>
      <c r="AAH24" s="302"/>
      <c r="AAI24" s="302"/>
      <c r="AAJ24" s="302"/>
      <c r="AAK24" s="302"/>
      <c r="AAL24" s="302"/>
      <c r="AAM24" s="302"/>
      <c r="AAN24" s="302"/>
      <c r="AAO24" s="302"/>
      <c r="AAP24" s="302"/>
      <c r="AAQ24" s="302"/>
      <c r="AAR24" s="302"/>
      <c r="AAS24" s="302"/>
      <c r="AAT24" s="302"/>
      <c r="AAU24" s="302"/>
      <c r="AAV24" s="302"/>
      <c r="AAW24" s="302"/>
      <c r="AAX24" s="302"/>
      <c r="AAY24" s="302"/>
      <c r="AAZ24" s="302"/>
      <c r="ABA24" s="302"/>
      <c r="ABB24" s="302"/>
      <c r="ABC24" s="302"/>
      <c r="ABD24" s="302"/>
      <c r="ABE24" s="302"/>
      <c r="ABF24" s="302"/>
      <c r="ABG24" s="302"/>
      <c r="ABH24" s="302"/>
      <c r="ABI24" s="302"/>
      <c r="ABJ24" s="302"/>
      <c r="ABK24" s="302"/>
      <c r="ABL24" s="302"/>
      <c r="ABM24" s="302"/>
      <c r="ABN24" s="302"/>
      <c r="ABO24" s="302"/>
      <c r="ABP24" s="302"/>
      <c r="ABQ24" s="302"/>
      <c r="ABR24" s="302"/>
      <c r="ABS24" s="302"/>
      <c r="ABT24" s="302"/>
      <c r="ABU24" s="302"/>
      <c r="ABV24" s="302"/>
      <c r="ABW24" s="302"/>
      <c r="ABX24" s="302"/>
      <c r="ABY24" s="302"/>
      <c r="ABZ24" s="302"/>
      <c r="ACA24" s="302"/>
      <c r="ACB24" s="302"/>
      <c r="ACC24" s="302"/>
      <c r="ACD24" s="302"/>
      <c r="ACE24" s="302"/>
      <c r="ACF24" s="302"/>
      <c r="ACG24" s="302"/>
      <c r="ACH24" s="302"/>
      <c r="ACI24" s="302"/>
      <c r="ACJ24" s="302"/>
      <c r="ACK24" s="302"/>
      <c r="ACL24" s="302"/>
      <c r="ACM24" s="302"/>
      <c r="ACN24" s="302"/>
      <c r="ACO24" s="302"/>
      <c r="ACP24" s="302"/>
      <c r="ACQ24" s="302"/>
      <c r="ACR24" s="302"/>
      <c r="ACS24" s="302"/>
      <c r="ACT24" s="302"/>
      <c r="ACU24" s="302"/>
      <c r="ACV24" s="302"/>
      <c r="ACW24" s="302"/>
      <c r="ACX24" s="302"/>
      <c r="ACY24" s="302"/>
      <c r="ACZ24" s="302"/>
      <c r="ADA24" s="302"/>
      <c r="ADB24" s="302"/>
      <c r="ADC24" s="302"/>
      <c r="ADD24" s="302"/>
      <c r="ADE24" s="302"/>
      <c r="ADF24" s="302"/>
      <c r="ADG24" s="302"/>
      <c r="ADH24" s="302"/>
      <c r="ADI24" s="302"/>
      <c r="ADJ24" s="302"/>
      <c r="ADK24" s="302"/>
      <c r="ADL24" s="302"/>
      <c r="ADM24" s="302"/>
      <c r="ADN24" s="302"/>
      <c r="ADO24" s="302"/>
      <c r="ADP24" s="302"/>
      <c r="ADQ24" s="302"/>
      <c r="ADR24" s="302"/>
      <c r="ADS24" s="302"/>
      <c r="ADT24" s="302"/>
      <c r="ADU24" s="302"/>
      <c r="ADV24" s="302"/>
      <c r="ADW24" s="302"/>
      <c r="ADX24" s="302"/>
      <c r="ADY24" s="302"/>
      <c r="ADZ24" s="302"/>
      <c r="AEA24" s="302"/>
      <c r="AEB24" s="302"/>
      <c r="AEC24" s="302"/>
      <c r="AED24" s="302"/>
      <c r="AEE24" s="302"/>
      <c r="AEF24" s="302"/>
      <c r="AEG24" s="302"/>
      <c r="AEH24" s="302"/>
      <c r="AEI24" s="302"/>
      <c r="AEJ24" s="302"/>
      <c r="AEK24" s="302"/>
      <c r="AEL24" s="302"/>
      <c r="AEM24" s="302"/>
      <c r="AEN24" s="302"/>
      <c r="AEO24" s="302"/>
      <c r="AEP24" s="302"/>
      <c r="AEQ24" s="302"/>
      <c r="AER24" s="302"/>
      <c r="AES24" s="302"/>
      <c r="AET24" s="302"/>
      <c r="AEU24" s="302"/>
      <c r="AEV24" s="302"/>
      <c r="AEW24" s="302"/>
      <c r="AEX24" s="302"/>
      <c r="AEY24" s="302"/>
      <c r="AEZ24" s="302"/>
      <c r="AFA24" s="302"/>
      <c r="AFB24" s="302"/>
      <c r="AFC24" s="302"/>
      <c r="AFD24" s="302"/>
      <c r="AFE24" s="302"/>
      <c r="AFF24" s="302"/>
      <c r="AFG24" s="302"/>
      <c r="AFH24" s="302"/>
      <c r="AFI24" s="302"/>
      <c r="AFJ24" s="302"/>
      <c r="AFK24" s="302"/>
      <c r="AFL24" s="302"/>
      <c r="AFM24" s="302"/>
      <c r="AFN24" s="302"/>
      <c r="AFO24" s="302"/>
      <c r="AFP24" s="302"/>
      <c r="AFQ24" s="302"/>
      <c r="AFR24" s="302"/>
      <c r="AFS24" s="302"/>
      <c r="AFT24" s="302"/>
      <c r="AFU24" s="302"/>
      <c r="AFV24" s="302"/>
      <c r="AFW24" s="302"/>
      <c r="AFX24" s="302"/>
      <c r="AFY24" s="302"/>
      <c r="AFZ24" s="302"/>
      <c r="AGA24" s="302"/>
      <c r="AGB24" s="302"/>
      <c r="AGC24" s="302"/>
      <c r="AGD24" s="302"/>
      <c r="AGE24" s="302"/>
      <c r="AGF24" s="302"/>
      <c r="AGG24" s="302"/>
      <c r="AGH24" s="302"/>
      <c r="AGI24" s="302"/>
      <c r="AGJ24" s="302"/>
      <c r="AGK24" s="302"/>
      <c r="AGL24" s="302"/>
      <c r="AGM24" s="302"/>
      <c r="AGN24" s="302"/>
      <c r="AGO24" s="302"/>
      <c r="AGP24" s="302"/>
      <c r="AGQ24" s="302"/>
      <c r="AGR24" s="302"/>
      <c r="AGS24" s="302"/>
      <c r="AGT24" s="302"/>
      <c r="AGU24" s="302"/>
      <c r="AGV24" s="302"/>
      <c r="AGW24" s="302"/>
      <c r="AGX24" s="302"/>
      <c r="AGY24" s="302"/>
      <c r="AGZ24" s="302"/>
      <c r="AHA24" s="302"/>
      <c r="AHB24" s="302"/>
      <c r="AHC24" s="302"/>
      <c r="AHD24" s="302"/>
      <c r="AHE24" s="302"/>
      <c r="AHF24" s="302"/>
      <c r="AHG24" s="302"/>
      <c r="AHH24" s="302"/>
      <c r="AHI24" s="302"/>
      <c r="AHJ24" s="302"/>
      <c r="AHK24" s="302"/>
      <c r="AHL24" s="302"/>
      <c r="AHM24" s="302"/>
      <c r="AHN24" s="302"/>
      <c r="AHO24" s="302"/>
      <c r="AHP24" s="302"/>
      <c r="AHQ24" s="302"/>
      <c r="AHR24" s="302"/>
      <c r="AHS24" s="302"/>
      <c r="AHT24" s="302"/>
      <c r="AHU24" s="302"/>
      <c r="AHV24" s="302"/>
      <c r="AHW24" s="302"/>
      <c r="AHX24" s="302"/>
      <c r="AHY24" s="302"/>
      <c r="AHZ24" s="302"/>
      <c r="AIA24" s="302"/>
      <c r="AIB24" s="302"/>
      <c r="AIC24" s="302"/>
      <c r="AID24" s="302"/>
      <c r="AIE24" s="302"/>
      <c r="AIF24" s="302"/>
      <c r="AIG24" s="302"/>
      <c r="AIH24" s="302"/>
      <c r="AII24" s="302"/>
      <c r="AIJ24" s="302"/>
      <c r="AIK24" s="302"/>
      <c r="AIL24" s="302"/>
      <c r="AIM24" s="302"/>
      <c r="AIN24" s="302"/>
      <c r="AIO24" s="302"/>
      <c r="AIP24" s="302"/>
      <c r="AIQ24" s="302"/>
      <c r="AIR24" s="302"/>
      <c r="AIS24" s="302"/>
      <c r="AIT24" s="302"/>
      <c r="AIU24" s="302"/>
      <c r="AIV24" s="302"/>
      <c r="AIW24" s="302"/>
      <c r="AIX24" s="302"/>
      <c r="AIY24" s="302"/>
      <c r="AIZ24" s="302"/>
      <c r="AJA24" s="302"/>
      <c r="AJB24" s="302"/>
      <c r="AJC24" s="302"/>
      <c r="AJD24" s="302"/>
      <c r="AJE24" s="302"/>
      <c r="AJF24" s="302"/>
      <c r="AJG24" s="302"/>
      <c r="AJH24" s="302"/>
      <c r="AJI24" s="302"/>
      <c r="AJJ24" s="302"/>
      <c r="AJK24" s="302"/>
      <c r="AJL24" s="302"/>
      <c r="AJM24" s="302"/>
      <c r="AJN24" s="302"/>
      <c r="AJO24" s="302"/>
      <c r="AJP24" s="302"/>
      <c r="AJQ24" s="302"/>
      <c r="AJR24" s="302"/>
      <c r="AJS24" s="302"/>
      <c r="AJT24" s="302"/>
      <c r="AJU24" s="302"/>
      <c r="AJV24" s="302"/>
      <c r="AJW24" s="302"/>
      <c r="AJX24" s="302"/>
      <c r="AJY24" s="302"/>
      <c r="AJZ24" s="302"/>
      <c r="AKA24" s="302"/>
      <c r="AKB24" s="302"/>
      <c r="AKC24" s="302"/>
      <c r="AKD24" s="302"/>
      <c r="AKE24" s="302"/>
      <c r="AKF24" s="302"/>
      <c r="AKG24" s="302"/>
      <c r="AKH24" s="302"/>
      <c r="AKI24" s="302"/>
      <c r="AKJ24" s="302"/>
      <c r="AKK24" s="302"/>
      <c r="AKL24" s="302"/>
      <c r="AKM24" s="302"/>
      <c r="AKN24" s="302"/>
      <c r="AKO24" s="302"/>
      <c r="AKP24" s="302"/>
      <c r="AKQ24" s="302"/>
      <c r="AKR24" s="302"/>
      <c r="AKS24" s="302"/>
      <c r="AKT24" s="302"/>
      <c r="AKU24" s="302"/>
      <c r="AKV24" s="302"/>
      <c r="AKW24" s="302"/>
      <c r="AKX24" s="302"/>
      <c r="AKY24" s="302"/>
      <c r="AKZ24" s="302"/>
      <c r="ALA24" s="302"/>
      <c r="ALB24" s="302"/>
      <c r="ALC24" s="302"/>
      <c r="ALD24" s="302"/>
      <c r="ALE24" s="302"/>
      <c r="ALF24" s="302"/>
      <c r="ALG24" s="302"/>
      <c r="ALH24" s="302"/>
      <c r="ALI24" s="302"/>
      <c r="ALJ24" s="302"/>
      <c r="ALK24" s="302"/>
      <c r="ALL24" s="302"/>
      <c r="ALM24" s="302"/>
      <c r="ALN24" s="302"/>
      <c r="ALO24" s="302"/>
      <c r="ALP24" s="302"/>
      <c r="ALQ24" s="302"/>
      <c r="ALR24" s="302"/>
      <c r="ALS24" s="302"/>
      <c r="ALT24" s="302"/>
      <c r="ALU24" s="279"/>
      <c r="ALV24" s="279"/>
      <c r="ALW24" s="279"/>
      <c r="ALX24" s="279"/>
      <c r="ALY24" s="279"/>
      <c r="ALZ24" s="279"/>
      <c r="AMA24" s="279"/>
      <c r="AMB24" s="279"/>
      <c r="AMC24" s="279"/>
      <c r="AMD24" s="279"/>
      <c r="AME24" s="279"/>
      <c r="AMF24" s="279"/>
      <c r="AMG24" s="279"/>
      <c r="AMH24" s="279"/>
      <c r="AMI24" s="280"/>
    </row>
    <row r="25" spans="1:1023" s="259" customFormat="1" x14ac:dyDescent="0.25">
      <c r="A25" s="281"/>
      <c r="B25" s="180"/>
      <c r="C25" s="180"/>
      <c r="D25" s="180"/>
      <c r="E25" s="279"/>
      <c r="F25" s="180"/>
      <c r="G25" s="180"/>
      <c r="H25" s="180"/>
      <c r="I25" s="180"/>
      <c r="J25" s="180"/>
      <c r="K25" s="180"/>
      <c r="L25" s="278"/>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c r="AJ25" s="180"/>
      <c r="AK25" s="180"/>
      <c r="AL25" s="180"/>
      <c r="AM25" s="180"/>
      <c r="AN25" s="180"/>
      <c r="AO25" s="180"/>
      <c r="AP25" s="180"/>
      <c r="AQ25" s="180"/>
      <c r="AR25" s="180"/>
      <c r="AS25" s="180"/>
      <c r="AT25" s="180"/>
      <c r="AU25" s="180"/>
      <c r="AV25" s="180"/>
      <c r="AW25" s="180"/>
      <c r="AX25" s="180"/>
      <c r="AY25" s="180"/>
      <c r="AZ25" s="180"/>
      <c r="BA25" s="180"/>
      <c r="BB25" s="180"/>
      <c r="BC25" s="180"/>
      <c r="BD25" s="180"/>
      <c r="BE25" s="180"/>
      <c r="BF25" s="180"/>
      <c r="BG25" s="180"/>
      <c r="BH25" s="180"/>
      <c r="BI25" s="180"/>
      <c r="BJ25" s="180"/>
      <c r="BK25" s="180"/>
      <c r="BL25" s="180"/>
      <c r="BM25" s="180"/>
      <c r="BN25" s="180"/>
      <c r="BO25" s="180"/>
      <c r="BP25" s="180"/>
      <c r="BQ25" s="180"/>
      <c r="BR25" s="180"/>
      <c r="BS25" s="180"/>
      <c r="BT25" s="180"/>
      <c r="BU25" s="180"/>
      <c r="BV25" s="180"/>
      <c r="BW25" s="180"/>
      <c r="BX25" s="180"/>
      <c r="BY25" s="180"/>
      <c r="BZ25" s="180"/>
      <c r="CA25" s="180"/>
      <c r="CB25" s="180"/>
      <c r="CC25" s="180"/>
      <c r="CD25" s="180"/>
      <c r="CE25" s="180"/>
      <c r="CF25" s="180"/>
      <c r="CG25" s="180"/>
      <c r="CH25" s="180"/>
      <c r="CI25" s="180"/>
      <c r="CJ25" s="180"/>
      <c r="CK25" s="180"/>
      <c r="CL25" s="180"/>
      <c r="CM25" s="180"/>
      <c r="CN25" s="180"/>
      <c r="CO25" s="180"/>
      <c r="CP25" s="180"/>
      <c r="CQ25" s="180"/>
      <c r="CR25" s="180"/>
      <c r="CS25" s="180"/>
      <c r="CT25" s="180"/>
      <c r="CU25" s="180"/>
      <c r="CV25" s="180"/>
      <c r="CW25" s="180"/>
      <c r="CX25" s="180"/>
      <c r="CY25" s="180"/>
      <c r="CZ25" s="180"/>
      <c r="DA25" s="180"/>
      <c r="DB25" s="180"/>
      <c r="DC25" s="180"/>
      <c r="DD25" s="180"/>
      <c r="DE25" s="180"/>
      <c r="DF25" s="180"/>
      <c r="DG25" s="180"/>
      <c r="DH25" s="180"/>
      <c r="DI25" s="180"/>
      <c r="DJ25" s="180"/>
      <c r="DK25" s="180"/>
      <c r="DL25" s="180"/>
      <c r="DM25" s="180"/>
      <c r="DN25" s="180"/>
      <c r="DO25" s="180"/>
      <c r="DP25" s="180"/>
      <c r="DQ25" s="180"/>
      <c r="DR25" s="180"/>
      <c r="DS25" s="180"/>
      <c r="DT25" s="180"/>
      <c r="DU25" s="180"/>
      <c r="DV25" s="180"/>
      <c r="DW25" s="180"/>
      <c r="DX25" s="180"/>
      <c r="DY25" s="180"/>
      <c r="DZ25" s="180"/>
      <c r="EA25" s="180"/>
      <c r="EB25" s="180"/>
      <c r="EC25" s="180"/>
      <c r="ED25" s="180"/>
      <c r="EE25" s="180"/>
      <c r="EF25" s="180"/>
      <c r="EG25" s="180"/>
      <c r="EH25" s="180"/>
      <c r="EI25" s="180"/>
      <c r="EJ25" s="180"/>
      <c r="EK25" s="180"/>
      <c r="EL25" s="180"/>
      <c r="EM25" s="180"/>
      <c r="EN25" s="180"/>
      <c r="EO25" s="180"/>
      <c r="EP25" s="180"/>
      <c r="EQ25" s="180"/>
      <c r="ER25" s="180"/>
      <c r="ES25" s="180"/>
      <c r="ET25" s="180"/>
      <c r="EU25" s="180"/>
      <c r="EV25" s="180"/>
      <c r="EW25" s="180"/>
      <c r="EX25" s="180"/>
      <c r="EY25" s="180"/>
      <c r="EZ25" s="180"/>
      <c r="FA25" s="180"/>
      <c r="FB25" s="180"/>
      <c r="FC25" s="180"/>
      <c r="FD25" s="180"/>
      <c r="FE25" s="180"/>
      <c r="FF25" s="180"/>
      <c r="FG25" s="180"/>
      <c r="FH25" s="180"/>
      <c r="FI25" s="180"/>
      <c r="FJ25" s="180"/>
      <c r="FK25" s="180"/>
      <c r="FL25" s="180"/>
      <c r="FM25" s="180"/>
      <c r="FN25" s="180"/>
      <c r="FO25" s="180"/>
      <c r="FP25" s="180"/>
      <c r="FQ25" s="180"/>
      <c r="FR25" s="180"/>
      <c r="FS25" s="180"/>
      <c r="FT25" s="180"/>
      <c r="FU25" s="180"/>
      <c r="FV25" s="180"/>
      <c r="FW25" s="180"/>
      <c r="FX25" s="180"/>
      <c r="FY25" s="180"/>
      <c r="FZ25" s="180"/>
      <c r="GA25" s="180"/>
      <c r="GB25" s="180"/>
      <c r="GC25" s="180"/>
      <c r="GD25" s="180"/>
      <c r="GE25" s="180"/>
      <c r="GF25" s="180"/>
      <c r="GG25" s="180"/>
      <c r="GH25" s="180"/>
      <c r="GI25" s="180"/>
      <c r="GJ25" s="180"/>
      <c r="GK25" s="180"/>
      <c r="GL25" s="180"/>
      <c r="GM25" s="180"/>
      <c r="GN25" s="180"/>
      <c r="GO25" s="180"/>
      <c r="GP25" s="180"/>
      <c r="GQ25" s="180"/>
      <c r="GR25" s="180"/>
      <c r="GS25" s="180"/>
      <c r="GT25" s="180"/>
      <c r="GU25" s="180"/>
      <c r="GV25" s="180"/>
      <c r="GW25" s="180"/>
      <c r="GX25" s="180"/>
      <c r="GY25" s="180"/>
      <c r="GZ25" s="180"/>
      <c r="HA25" s="180"/>
      <c r="HB25" s="180"/>
      <c r="HC25" s="180"/>
      <c r="HD25" s="180"/>
      <c r="HE25" s="180"/>
      <c r="HF25" s="180"/>
      <c r="HG25" s="180"/>
      <c r="HH25" s="180"/>
      <c r="HI25" s="180"/>
      <c r="HJ25" s="180"/>
      <c r="HK25" s="180"/>
      <c r="HL25" s="180"/>
      <c r="HM25" s="180"/>
      <c r="HN25" s="180"/>
      <c r="HO25" s="180"/>
      <c r="HP25" s="180"/>
      <c r="HQ25" s="180"/>
      <c r="HR25" s="180"/>
      <c r="HS25" s="180"/>
      <c r="HT25" s="180"/>
      <c r="HU25" s="180"/>
      <c r="HV25" s="180"/>
      <c r="HW25" s="180"/>
      <c r="HX25" s="180"/>
      <c r="HY25" s="180"/>
      <c r="HZ25" s="180"/>
      <c r="IA25" s="180"/>
      <c r="IB25" s="180"/>
      <c r="IC25" s="180"/>
      <c r="ID25" s="180"/>
      <c r="IE25" s="180"/>
      <c r="IF25" s="180"/>
      <c r="IG25" s="180"/>
      <c r="IH25" s="180"/>
      <c r="II25" s="180"/>
      <c r="IJ25" s="180"/>
      <c r="IK25" s="180"/>
      <c r="IL25" s="180"/>
      <c r="IM25" s="180"/>
      <c r="IN25" s="180"/>
      <c r="IO25" s="180"/>
      <c r="IP25" s="180"/>
      <c r="IQ25" s="180"/>
      <c r="IR25" s="180"/>
      <c r="IS25" s="180"/>
      <c r="IT25" s="180"/>
      <c r="IU25" s="180"/>
      <c r="IV25" s="180"/>
      <c r="IW25" s="180"/>
      <c r="IX25" s="180"/>
      <c r="IY25" s="180"/>
      <c r="IZ25" s="180"/>
      <c r="JA25" s="180"/>
      <c r="JB25" s="180"/>
      <c r="JC25" s="180"/>
      <c r="JD25" s="180"/>
      <c r="JE25" s="180"/>
      <c r="JF25" s="180"/>
      <c r="JG25" s="180"/>
      <c r="JH25" s="180"/>
      <c r="JI25" s="180"/>
      <c r="JJ25" s="180"/>
      <c r="JK25" s="180"/>
      <c r="JL25" s="180"/>
      <c r="JM25" s="180"/>
      <c r="JN25" s="180"/>
      <c r="JO25" s="180"/>
      <c r="JP25" s="180"/>
      <c r="JQ25" s="180"/>
      <c r="JR25" s="180"/>
      <c r="JS25" s="180"/>
      <c r="JT25" s="180"/>
      <c r="JU25" s="180"/>
      <c r="JV25" s="180"/>
      <c r="JW25" s="180"/>
      <c r="JX25" s="180"/>
      <c r="JY25" s="180"/>
      <c r="JZ25" s="180"/>
      <c r="KA25" s="180"/>
      <c r="KB25" s="180"/>
      <c r="KC25" s="180"/>
      <c r="KD25" s="180"/>
      <c r="KE25" s="180"/>
      <c r="KF25" s="180"/>
      <c r="KG25" s="180"/>
      <c r="KH25" s="180"/>
      <c r="KI25" s="180"/>
      <c r="KJ25" s="180"/>
      <c r="KK25" s="180"/>
      <c r="KL25" s="180"/>
      <c r="KM25" s="180"/>
      <c r="KN25" s="180"/>
      <c r="KO25" s="180"/>
      <c r="KP25" s="180"/>
      <c r="KQ25" s="180"/>
      <c r="KR25" s="180"/>
      <c r="KS25" s="180"/>
      <c r="KT25" s="180"/>
      <c r="KU25" s="180"/>
      <c r="KV25" s="180"/>
      <c r="KW25" s="180"/>
      <c r="KX25" s="180"/>
      <c r="KY25" s="180"/>
      <c r="KZ25" s="180"/>
      <c r="LA25" s="180"/>
      <c r="LB25" s="180"/>
      <c r="LC25" s="180"/>
      <c r="LD25" s="180"/>
      <c r="LE25" s="180"/>
      <c r="LF25" s="180"/>
      <c r="LG25" s="180"/>
      <c r="LH25" s="180"/>
      <c r="LI25" s="180"/>
      <c r="LJ25" s="180"/>
      <c r="LK25" s="180"/>
      <c r="LL25" s="180"/>
      <c r="LM25" s="180"/>
      <c r="LN25" s="180"/>
      <c r="LO25" s="180"/>
      <c r="LP25" s="180"/>
      <c r="LQ25" s="180"/>
      <c r="LR25" s="180"/>
      <c r="LS25" s="180"/>
      <c r="LT25" s="180"/>
      <c r="LU25" s="180"/>
      <c r="LV25" s="180"/>
      <c r="LW25" s="180"/>
      <c r="LX25" s="180"/>
      <c r="LY25" s="180"/>
      <c r="LZ25" s="180"/>
      <c r="MA25" s="180"/>
      <c r="MB25" s="180"/>
      <c r="MC25" s="180"/>
      <c r="MD25" s="180"/>
      <c r="ME25" s="180"/>
      <c r="MF25" s="180"/>
      <c r="MG25" s="180"/>
      <c r="MH25" s="180"/>
      <c r="MI25" s="180"/>
      <c r="MJ25" s="180"/>
      <c r="MK25" s="180"/>
      <c r="ML25" s="180"/>
      <c r="MM25" s="180"/>
      <c r="MN25" s="180"/>
      <c r="MO25" s="180"/>
      <c r="MP25" s="180"/>
      <c r="MQ25" s="180"/>
      <c r="MR25" s="180"/>
      <c r="MS25" s="180"/>
      <c r="MT25" s="180"/>
      <c r="MU25" s="180"/>
      <c r="MV25" s="180"/>
      <c r="MW25" s="180"/>
      <c r="MX25" s="180"/>
      <c r="MY25" s="180"/>
      <c r="MZ25" s="180"/>
      <c r="NA25" s="180"/>
      <c r="NB25" s="180"/>
      <c r="NC25" s="180"/>
      <c r="ND25" s="180"/>
      <c r="NE25" s="180"/>
      <c r="NF25" s="180"/>
      <c r="NG25" s="180"/>
      <c r="NH25" s="180"/>
      <c r="NI25" s="180"/>
      <c r="NJ25" s="180"/>
      <c r="NK25" s="180"/>
      <c r="NL25" s="180"/>
      <c r="NM25" s="180"/>
      <c r="NN25" s="180"/>
      <c r="NO25" s="180"/>
      <c r="NP25" s="180"/>
      <c r="NQ25" s="180"/>
      <c r="NR25" s="180"/>
      <c r="NS25" s="180"/>
      <c r="NT25" s="180"/>
      <c r="NU25" s="180"/>
      <c r="NV25" s="180"/>
      <c r="NW25" s="180"/>
      <c r="NX25" s="180"/>
      <c r="NY25" s="180"/>
      <c r="NZ25" s="180"/>
      <c r="OA25" s="180"/>
      <c r="OB25" s="180"/>
      <c r="OC25" s="180"/>
      <c r="OD25" s="180"/>
      <c r="OE25" s="180"/>
      <c r="OF25" s="180"/>
      <c r="OG25" s="180"/>
      <c r="OH25" s="180"/>
      <c r="OI25" s="180"/>
      <c r="OJ25" s="180"/>
      <c r="OK25" s="180"/>
      <c r="OL25" s="180"/>
      <c r="OM25" s="180"/>
      <c r="ON25" s="180"/>
      <c r="OO25" s="180"/>
      <c r="OP25" s="180"/>
      <c r="OQ25" s="180"/>
      <c r="OR25" s="180"/>
      <c r="OS25" s="180"/>
      <c r="OT25" s="180"/>
      <c r="OU25" s="180"/>
      <c r="OV25" s="180"/>
      <c r="OW25" s="180"/>
      <c r="OX25" s="180"/>
      <c r="OY25" s="180"/>
      <c r="OZ25" s="180"/>
      <c r="PA25" s="180"/>
      <c r="PB25" s="180"/>
      <c r="PC25" s="180"/>
      <c r="PD25" s="180"/>
      <c r="PE25" s="180"/>
      <c r="PF25" s="180"/>
      <c r="PG25" s="180"/>
      <c r="PH25" s="180"/>
      <c r="PI25" s="180"/>
      <c r="PJ25" s="180"/>
      <c r="PK25" s="180"/>
      <c r="PL25" s="180"/>
      <c r="PM25" s="180"/>
      <c r="PN25" s="180"/>
      <c r="PO25" s="180"/>
      <c r="PP25" s="180"/>
      <c r="PQ25" s="180"/>
      <c r="PR25" s="180"/>
      <c r="PS25" s="180"/>
      <c r="PT25" s="180"/>
      <c r="PU25" s="180"/>
      <c r="PV25" s="180"/>
      <c r="PW25" s="180"/>
      <c r="PX25" s="180"/>
      <c r="PY25" s="180"/>
      <c r="PZ25" s="180"/>
      <c r="QA25" s="180"/>
      <c r="QB25" s="180"/>
      <c r="QC25" s="180"/>
      <c r="QD25" s="180"/>
      <c r="QE25" s="180"/>
      <c r="QF25" s="180"/>
      <c r="QG25" s="180"/>
      <c r="QH25" s="180"/>
      <c r="QI25" s="180"/>
      <c r="QJ25" s="180"/>
      <c r="QK25" s="180"/>
      <c r="QL25" s="180"/>
      <c r="QM25" s="180"/>
      <c r="QN25" s="180"/>
      <c r="QO25" s="180"/>
      <c r="QP25" s="180"/>
      <c r="QQ25" s="180"/>
      <c r="QR25" s="180"/>
      <c r="QS25" s="180"/>
      <c r="QT25" s="180"/>
      <c r="QU25" s="180"/>
      <c r="QV25" s="180"/>
      <c r="QW25" s="180"/>
      <c r="QX25" s="180"/>
      <c r="QY25" s="180"/>
      <c r="QZ25" s="180"/>
      <c r="RA25" s="180"/>
      <c r="RB25" s="180"/>
      <c r="RC25" s="180"/>
      <c r="RD25" s="180"/>
      <c r="RE25" s="180"/>
      <c r="RF25" s="180"/>
      <c r="RG25" s="180"/>
      <c r="RH25" s="180"/>
      <c r="RI25" s="180"/>
      <c r="RJ25" s="180"/>
      <c r="RK25" s="180"/>
      <c r="RL25" s="180"/>
      <c r="RM25" s="180"/>
      <c r="RN25" s="180"/>
      <c r="RO25" s="180"/>
      <c r="RP25" s="180"/>
      <c r="RQ25" s="180"/>
      <c r="RR25" s="180"/>
      <c r="RS25" s="180"/>
      <c r="RT25" s="180"/>
      <c r="RU25" s="180"/>
      <c r="RV25" s="180"/>
      <c r="RW25" s="180"/>
      <c r="RX25" s="180"/>
      <c r="RY25" s="180"/>
      <c r="RZ25" s="180"/>
      <c r="SA25" s="180"/>
      <c r="SB25" s="180"/>
      <c r="SC25" s="180"/>
      <c r="SD25" s="180"/>
      <c r="SE25" s="180"/>
      <c r="SF25" s="180"/>
      <c r="SG25" s="180"/>
      <c r="SH25" s="180"/>
      <c r="SI25" s="180"/>
      <c r="SJ25" s="180"/>
      <c r="SK25" s="180"/>
      <c r="SL25" s="180"/>
      <c r="SM25" s="180"/>
      <c r="SN25" s="180"/>
      <c r="SO25" s="180"/>
      <c r="SP25" s="180"/>
      <c r="SQ25" s="180"/>
      <c r="SR25" s="180"/>
      <c r="SS25" s="180"/>
      <c r="ST25" s="180"/>
      <c r="SU25" s="180"/>
      <c r="SV25" s="180"/>
      <c r="SW25" s="180"/>
      <c r="SX25" s="180"/>
      <c r="SY25" s="180"/>
      <c r="SZ25" s="180"/>
      <c r="TA25" s="180"/>
      <c r="TB25" s="180"/>
      <c r="TC25" s="180"/>
      <c r="TD25" s="180"/>
      <c r="TE25" s="180"/>
      <c r="TF25" s="180"/>
      <c r="TG25" s="180"/>
      <c r="TH25" s="180"/>
      <c r="TI25" s="180"/>
      <c r="TJ25" s="180"/>
      <c r="TK25" s="180"/>
      <c r="TL25" s="180"/>
      <c r="TM25" s="180"/>
      <c r="TN25" s="180"/>
      <c r="TO25" s="180"/>
      <c r="TP25" s="180"/>
      <c r="TQ25" s="180"/>
      <c r="TR25" s="180"/>
      <c r="TS25" s="180"/>
      <c r="TT25" s="180"/>
      <c r="TU25" s="180"/>
      <c r="TV25" s="180"/>
      <c r="TW25" s="180"/>
      <c r="TX25" s="180"/>
      <c r="TY25" s="180"/>
      <c r="TZ25" s="180"/>
      <c r="UA25" s="180"/>
      <c r="UB25" s="180"/>
      <c r="UC25" s="180"/>
      <c r="UD25" s="180"/>
      <c r="UE25" s="180"/>
      <c r="UF25" s="180"/>
      <c r="UG25" s="180"/>
      <c r="UH25" s="180"/>
      <c r="UI25" s="180"/>
      <c r="UJ25" s="180"/>
      <c r="UK25" s="180"/>
      <c r="UL25" s="180"/>
      <c r="UM25" s="180"/>
      <c r="UN25" s="180"/>
      <c r="UO25" s="180"/>
      <c r="UP25" s="180"/>
      <c r="UQ25" s="180"/>
      <c r="UR25" s="180"/>
      <c r="US25" s="180"/>
      <c r="UT25" s="180"/>
      <c r="UU25" s="180"/>
      <c r="UV25" s="180"/>
      <c r="UW25" s="180"/>
      <c r="UX25" s="180"/>
      <c r="UY25" s="180"/>
      <c r="UZ25" s="180"/>
      <c r="VA25" s="180"/>
      <c r="VB25" s="180"/>
      <c r="VC25" s="180"/>
      <c r="VD25" s="180"/>
      <c r="VE25" s="180"/>
      <c r="VF25" s="180"/>
      <c r="VG25" s="180"/>
      <c r="VH25" s="180"/>
      <c r="VI25" s="180"/>
      <c r="VJ25" s="180"/>
      <c r="VK25" s="180"/>
      <c r="VL25" s="180"/>
      <c r="VM25" s="180"/>
      <c r="VN25" s="180"/>
      <c r="VO25" s="180"/>
      <c r="VP25" s="180"/>
      <c r="VQ25" s="180"/>
      <c r="VR25" s="180"/>
      <c r="VS25" s="180"/>
      <c r="VT25" s="180"/>
      <c r="VU25" s="180"/>
      <c r="VV25" s="180"/>
      <c r="VW25" s="180"/>
      <c r="VX25" s="180"/>
      <c r="VY25" s="180"/>
      <c r="VZ25" s="180"/>
      <c r="WA25" s="180"/>
      <c r="WB25" s="180"/>
      <c r="WC25" s="180"/>
      <c r="WD25" s="180"/>
      <c r="WE25" s="180"/>
      <c r="WF25" s="180"/>
      <c r="WG25" s="180"/>
      <c r="WH25" s="180"/>
      <c r="WI25" s="180"/>
      <c r="WJ25" s="180"/>
      <c r="WK25" s="180"/>
      <c r="WL25" s="180"/>
      <c r="WM25" s="180"/>
      <c r="WN25" s="180"/>
      <c r="WO25" s="180"/>
      <c r="WP25" s="180"/>
      <c r="WQ25" s="180"/>
      <c r="WR25" s="180"/>
      <c r="WS25" s="180"/>
      <c r="WT25" s="180"/>
      <c r="WU25" s="180"/>
      <c r="WV25" s="180"/>
      <c r="WW25" s="180"/>
      <c r="WX25" s="180"/>
      <c r="WY25" s="180"/>
      <c r="WZ25" s="180"/>
      <c r="XA25" s="180"/>
      <c r="XB25" s="180"/>
      <c r="XC25" s="180"/>
      <c r="XD25" s="180"/>
      <c r="XE25" s="180"/>
      <c r="XF25" s="180"/>
      <c r="XG25" s="180"/>
      <c r="XH25" s="180"/>
      <c r="XI25" s="180"/>
      <c r="XJ25" s="180"/>
      <c r="XK25" s="180"/>
      <c r="XL25" s="180"/>
      <c r="XM25" s="180"/>
      <c r="XN25" s="180"/>
      <c r="XO25" s="180"/>
      <c r="XP25" s="180"/>
      <c r="XQ25" s="180"/>
      <c r="XR25" s="180"/>
      <c r="XS25" s="180"/>
      <c r="XT25" s="180"/>
      <c r="XU25" s="180"/>
      <c r="XV25" s="180"/>
      <c r="XW25" s="180"/>
      <c r="XX25" s="180"/>
      <c r="XY25" s="180"/>
      <c r="XZ25" s="180"/>
      <c r="YA25" s="180"/>
      <c r="YB25" s="180"/>
      <c r="YC25" s="180"/>
      <c r="YD25" s="180"/>
      <c r="YE25" s="180"/>
      <c r="YF25" s="180"/>
      <c r="YG25" s="180"/>
      <c r="YH25" s="180"/>
      <c r="YI25" s="180"/>
      <c r="YJ25" s="180"/>
      <c r="YK25" s="180"/>
      <c r="YL25" s="180"/>
      <c r="YM25" s="180"/>
      <c r="YN25" s="180"/>
      <c r="YO25" s="180"/>
      <c r="YP25" s="180"/>
      <c r="YQ25" s="180"/>
      <c r="YR25" s="180"/>
      <c r="YS25" s="180"/>
      <c r="YT25" s="180"/>
      <c r="YU25" s="180"/>
      <c r="YV25" s="180"/>
      <c r="YW25" s="180"/>
      <c r="YX25" s="180"/>
      <c r="YY25" s="180"/>
      <c r="YZ25" s="180"/>
      <c r="ZA25" s="180"/>
      <c r="ZB25" s="180"/>
      <c r="ZC25" s="180"/>
      <c r="ZD25" s="180"/>
      <c r="ZE25" s="180"/>
      <c r="ZF25" s="180"/>
      <c r="ZG25" s="180"/>
      <c r="ZH25" s="180"/>
      <c r="ZI25" s="180"/>
      <c r="ZJ25" s="180"/>
      <c r="ZK25" s="180"/>
      <c r="ZL25" s="180"/>
      <c r="ZM25" s="180"/>
      <c r="ZN25" s="180"/>
      <c r="ZO25" s="180"/>
      <c r="ZP25" s="180"/>
      <c r="ZQ25" s="180"/>
      <c r="ZR25" s="180"/>
      <c r="ZS25" s="180"/>
      <c r="ZT25" s="180"/>
      <c r="ZU25" s="180"/>
      <c r="ZV25" s="180"/>
      <c r="ZW25" s="180"/>
      <c r="ZX25" s="180"/>
      <c r="ZY25" s="180"/>
      <c r="ZZ25" s="180"/>
      <c r="AAA25" s="180"/>
      <c r="AAB25" s="180"/>
      <c r="AAC25" s="180"/>
      <c r="AAD25" s="180"/>
      <c r="AAE25" s="180"/>
      <c r="AAF25" s="180"/>
      <c r="AAG25" s="180"/>
      <c r="AAH25" s="180"/>
      <c r="AAI25" s="180"/>
      <c r="AAJ25" s="180"/>
      <c r="AAK25" s="180"/>
      <c r="AAL25" s="180"/>
      <c r="AAM25" s="180"/>
      <c r="AAN25" s="180"/>
      <c r="AAO25" s="180"/>
      <c r="AAP25" s="180"/>
      <c r="AAQ25" s="180"/>
      <c r="AAR25" s="180"/>
      <c r="AAS25" s="180"/>
      <c r="AAT25" s="180"/>
      <c r="AAU25" s="180"/>
      <c r="AAV25" s="180"/>
      <c r="AAW25" s="180"/>
      <c r="AAX25" s="180"/>
      <c r="AAY25" s="180"/>
      <c r="AAZ25" s="180"/>
      <c r="ABA25" s="180"/>
      <c r="ABB25" s="180"/>
      <c r="ABC25" s="180"/>
      <c r="ABD25" s="180"/>
      <c r="ABE25" s="180"/>
      <c r="ABF25" s="180"/>
      <c r="ABG25" s="180"/>
      <c r="ABH25" s="180"/>
      <c r="ABI25" s="180"/>
      <c r="ABJ25" s="180"/>
      <c r="ABK25" s="180"/>
      <c r="ABL25" s="180"/>
      <c r="ABM25" s="180"/>
      <c r="ABN25" s="180"/>
      <c r="ABO25" s="180"/>
      <c r="ABP25" s="180"/>
      <c r="ABQ25" s="180"/>
      <c r="ABR25" s="180"/>
      <c r="ABS25" s="180"/>
      <c r="ABT25" s="180"/>
      <c r="ABU25" s="180"/>
      <c r="ABV25" s="180"/>
      <c r="ABW25" s="180"/>
      <c r="ABX25" s="180"/>
      <c r="ABY25" s="180"/>
      <c r="ABZ25" s="180"/>
      <c r="ACA25" s="180"/>
      <c r="ACB25" s="180"/>
      <c r="ACC25" s="180"/>
      <c r="ACD25" s="180"/>
      <c r="ACE25" s="180"/>
      <c r="ACF25" s="180"/>
      <c r="ACG25" s="180"/>
      <c r="ACH25" s="180"/>
      <c r="ACI25" s="180"/>
      <c r="ACJ25" s="180"/>
      <c r="ACK25" s="180"/>
      <c r="ACL25" s="180"/>
      <c r="ACM25" s="180"/>
      <c r="ACN25" s="180"/>
      <c r="ACO25" s="180"/>
      <c r="ACP25" s="180"/>
      <c r="ACQ25" s="180"/>
      <c r="ACR25" s="180"/>
      <c r="ACS25" s="180"/>
      <c r="ACT25" s="180"/>
      <c r="ACU25" s="180"/>
      <c r="ACV25" s="180"/>
      <c r="ACW25" s="180"/>
      <c r="ACX25" s="180"/>
      <c r="ACY25" s="180"/>
      <c r="ACZ25" s="180"/>
      <c r="ADA25" s="180"/>
      <c r="ADB25" s="180"/>
      <c r="ADC25" s="180"/>
      <c r="ADD25" s="180"/>
      <c r="ADE25" s="180"/>
      <c r="ADF25" s="180"/>
      <c r="ADG25" s="180"/>
      <c r="ADH25" s="180"/>
      <c r="ADI25" s="180"/>
      <c r="ADJ25" s="180"/>
      <c r="ADK25" s="180"/>
      <c r="ADL25" s="180"/>
      <c r="ADM25" s="180"/>
      <c r="ADN25" s="180"/>
      <c r="ADO25" s="180"/>
      <c r="ADP25" s="180"/>
      <c r="ADQ25" s="180"/>
      <c r="ADR25" s="180"/>
      <c r="ADS25" s="180"/>
      <c r="ADT25" s="180"/>
      <c r="ADU25" s="180"/>
      <c r="ADV25" s="180"/>
      <c r="ADW25" s="180"/>
      <c r="ADX25" s="180"/>
      <c r="ADY25" s="180"/>
      <c r="ADZ25" s="180"/>
      <c r="AEA25" s="180"/>
      <c r="AEB25" s="180"/>
      <c r="AEC25" s="180"/>
      <c r="AED25" s="180"/>
      <c r="AEE25" s="180"/>
      <c r="AEF25" s="180"/>
      <c r="AEG25" s="180"/>
      <c r="AEH25" s="180"/>
      <c r="AEI25" s="180"/>
      <c r="AEJ25" s="180"/>
      <c r="AEK25" s="180"/>
      <c r="AEL25" s="180"/>
      <c r="AEM25" s="180"/>
      <c r="AEN25" s="180"/>
      <c r="AEO25" s="180"/>
      <c r="AEP25" s="180"/>
      <c r="AEQ25" s="180"/>
      <c r="AER25" s="180"/>
      <c r="AES25" s="180"/>
      <c r="AET25" s="180"/>
      <c r="AEU25" s="180"/>
      <c r="AEV25" s="180"/>
      <c r="AEW25" s="180"/>
      <c r="AEX25" s="180"/>
      <c r="AEY25" s="180"/>
      <c r="AEZ25" s="180"/>
      <c r="AFA25" s="180"/>
      <c r="AFB25" s="180"/>
      <c r="AFC25" s="180"/>
      <c r="AFD25" s="180"/>
      <c r="AFE25" s="180"/>
      <c r="AFF25" s="180"/>
      <c r="AFG25" s="180"/>
      <c r="AFH25" s="180"/>
      <c r="AFI25" s="180"/>
      <c r="AFJ25" s="180"/>
      <c r="AFK25" s="180"/>
      <c r="AFL25" s="180"/>
      <c r="AFM25" s="180"/>
      <c r="AFN25" s="180"/>
      <c r="AFO25" s="180"/>
      <c r="AFP25" s="180"/>
      <c r="AFQ25" s="180"/>
      <c r="AFR25" s="180"/>
      <c r="AFS25" s="180"/>
      <c r="AFT25" s="180"/>
      <c r="AFU25" s="180"/>
      <c r="AFV25" s="180"/>
      <c r="AFW25" s="180"/>
      <c r="AFX25" s="180"/>
      <c r="AFY25" s="180"/>
      <c r="AFZ25" s="180"/>
      <c r="AGA25" s="180"/>
      <c r="AGB25" s="180"/>
      <c r="AGC25" s="180"/>
      <c r="AGD25" s="180"/>
      <c r="AGE25" s="180"/>
      <c r="AGF25" s="180"/>
      <c r="AGG25" s="180"/>
      <c r="AGH25" s="180"/>
      <c r="AGI25" s="180"/>
      <c r="AGJ25" s="180"/>
      <c r="AGK25" s="180"/>
      <c r="AGL25" s="180"/>
      <c r="AGM25" s="180"/>
      <c r="AGN25" s="180"/>
      <c r="AGO25" s="180"/>
      <c r="AGP25" s="180"/>
      <c r="AGQ25" s="180"/>
      <c r="AGR25" s="180"/>
      <c r="AGS25" s="180"/>
      <c r="AGT25" s="180"/>
      <c r="AGU25" s="180"/>
      <c r="AGV25" s="180"/>
      <c r="AGW25" s="180"/>
      <c r="AGX25" s="180"/>
      <c r="AGY25" s="180"/>
      <c r="AGZ25" s="180"/>
      <c r="AHA25" s="180"/>
      <c r="AHB25" s="180"/>
      <c r="AHC25" s="180"/>
      <c r="AHD25" s="180"/>
      <c r="AHE25" s="180"/>
      <c r="AHF25" s="180"/>
      <c r="AHG25" s="180"/>
      <c r="AHH25" s="180"/>
      <c r="AHI25" s="180"/>
      <c r="AHJ25" s="180"/>
      <c r="AHK25" s="180"/>
      <c r="AHL25" s="180"/>
      <c r="AHM25" s="180"/>
      <c r="AHN25" s="180"/>
      <c r="AHO25" s="180"/>
      <c r="AHP25" s="180"/>
      <c r="AHQ25" s="180"/>
      <c r="AHR25" s="180"/>
      <c r="AHS25" s="180"/>
      <c r="AHT25" s="180"/>
      <c r="AHU25" s="180"/>
      <c r="AHV25" s="180"/>
      <c r="AHW25" s="180"/>
      <c r="AHX25" s="180"/>
      <c r="AHY25" s="180"/>
      <c r="AHZ25" s="180"/>
      <c r="AIA25" s="180"/>
      <c r="AIB25" s="180"/>
      <c r="AIC25" s="180"/>
      <c r="AID25" s="180"/>
      <c r="AIE25" s="180"/>
      <c r="AIF25" s="180"/>
      <c r="AIG25" s="180"/>
      <c r="AIH25" s="180"/>
      <c r="AII25" s="180"/>
      <c r="AIJ25" s="180"/>
      <c r="AIK25" s="180"/>
      <c r="AIL25" s="180"/>
      <c r="AIM25" s="180"/>
      <c r="AIN25" s="180"/>
      <c r="AIO25" s="180"/>
      <c r="AIP25" s="180"/>
      <c r="AIQ25" s="180"/>
      <c r="AIR25" s="180"/>
      <c r="AIS25" s="180"/>
      <c r="AIT25" s="180"/>
      <c r="AIU25" s="180"/>
      <c r="AIV25" s="180"/>
      <c r="AIW25" s="180"/>
      <c r="AIX25" s="180"/>
      <c r="AIY25" s="180"/>
      <c r="AIZ25" s="180"/>
      <c r="AJA25" s="180"/>
      <c r="AJB25" s="180"/>
      <c r="AJC25" s="180"/>
      <c r="AJD25" s="180"/>
      <c r="AJE25" s="180"/>
      <c r="AJF25" s="180"/>
      <c r="AJG25" s="180"/>
      <c r="AJH25" s="180"/>
      <c r="AJI25" s="180"/>
      <c r="AJJ25" s="180"/>
      <c r="AJK25" s="180"/>
      <c r="AJL25" s="180"/>
      <c r="AJM25" s="180"/>
      <c r="AJN25" s="180"/>
      <c r="AJO25" s="180"/>
      <c r="AJP25" s="180"/>
      <c r="AJQ25" s="180"/>
      <c r="AJR25" s="180"/>
      <c r="AJS25" s="180"/>
      <c r="AJT25" s="180"/>
      <c r="AJU25" s="180"/>
      <c r="AJV25" s="180"/>
      <c r="AJW25" s="180"/>
      <c r="AJX25" s="180"/>
      <c r="AJY25" s="180"/>
      <c r="AJZ25" s="180"/>
      <c r="AKA25" s="180"/>
      <c r="AKB25" s="180"/>
      <c r="AKC25" s="180"/>
      <c r="AKD25" s="180"/>
      <c r="AKE25" s="180"/>
      <c r="AKF25" s="180"/>
      <c r="AKG25" s="180"/>
      <c r="AKH25" s="180"/>
      <c r="AKI25" s="180"/>
      <c r="AKJ25" s="180"/>
      <c r="AKK25" s="180"/>
      <c r="AKL25" s="180"/>
      <c r="AKM25" s="180"/>
      <c r="AKN25" s="180"/>
      <c r="AKO25" s="180"/>
      <c r="AKP25" s="180"/>
      <c r="AKQ25" s="180"/>
      <c r="AKR25" s="180"/>
      <c r="AKS25" s="180"/>
      <c r="AKT25" s="180"/>
      <c r="AKU25" s="180"/>
      <c r="AKV25" s="180"/>
      <c r="AKW25" s="180"/>
      <c r="AKX25" s="180"/>
      <c r="AKY25" s="180"/>
      <c r="AKZ25" s="180"/>
      <c r="ALA25" s="180"/>
      <c r="ALB25" s="180"/>
      <c r="ALC25" s="180"/>
      <c r="ALD25" s="180"/>
      <c r="ALE25" s="180"/>
      <c r="ALF25" s="180"/>
      <c r="ALG25" s="180"/>
      <c r="ALH25" s="180"/>
      <c r="ALI25" s="180"/>
      <c r="ALJ25" s="180"/>
      <c r="ALK25" s="180"/>
      <c r="ALL25" s="180"/>
      <c r="ALM25" s="180"/>
      <c r="ALN25" s="180"/>
      <c r="ALO25" s="180"/>
      <c r="ALP25" s="180"/>
      <c r="ALQ25" s="180"/>
      <c r="ALR25" s="180"/>
      <c r="ALS25" s="180"/>
      <c r="ALT25" s="180"/>
      <c r="ALU25" s="279"/>
      <c r="ALV25" s="279"/>
      <c r="ALW25" s="279"/>
      <c r="ALX25" s="279"/>
      <c r="ALY25" s="279"/>
      <c r="ALZ25" s="279"/>
      <c r="AMA25" s="279"/>
      <c r="AMB25" s="279"/>
      <c r="AMC25" s="279"/>
      <c r="AMD25" s="279"/>
      <c r="AME25" s="279"/>
      <c r="AMF25" s="279"/>
      <c r="AMG25" s="279"/>
      <c r="AMH25" s="279"/>
      <c r="AMI25" s="280"/>
    </row>
    <row r="26" spans="1:1023" s="259" customFormat="1" x14ac:dyDescent="0.25">
      <c r="A26" s="742" t="s">
        <v>334</v>
      </c>
      <c r="B26" s="743"/>
      <c r="C26" s="743"/>
      <c r="D26" s="743"/>
      <c r="E26" s="744"/>
      <c r="F26" s="744"/>
      <c r="G26" s="744"/>
      <c r="H26" s="744"/>
      <c r="I26" s="180"/>
      <c r="J26" s="180"/>
      <c r="K26" s="180"/>
      <c r="L26" s="278"/>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c r="AJ26" s="180"/>
      <c r="AK26" s="180"/>
      <c r="AL26" s="180"/>
      <c r="AM26" s="180"/>
      <c r="AN26" s="180"/>
      <c r="AO26" s="180"/>
      <c r="AP26" s="180"/>
      <c r="AQ26" s="180"/>
      <c r="AR26" s="180"/>
      <c r="AS26" s="180"/>
      <c r="AT26" s="180"/>
      <c r="AU26" s="180"/>
      <c r="AV26" s="180"/>
      <c r="AW26" s="180"/>
      <c r="AX26" s="180"/>
      <c r="AY26" s="180"/>
      <c r="AZ26" s="180"/>
      <c r="BA26" s="180"/>
      <c r="BB26" s="180"/>
      <c r="BC26" s="180"/>
      <c r="BD26" s="180"/>
      <c r="BE26" s="180"/>
      <c r="BF26" s="180"/>
      <c r="BG26" s="180"/>
      <c r="BH26" s="180"/>
      <c r="BI26" s="180"/>
      <c r="BJ26" s="180"/>
      <c r="BK26" s="180"/>
      <c r="BL26" s="180"/>
      <c r="BM26" s="180"/>
      <c r="BN26" s="180"/>
      <c r="BO26" s="180"/>
      <c r="BP26" s="180"/>
      <c r="BQ26" s="180"/>
      <c r="BR26" s="180"/>
      <c r="BS26" s="180"/>
      <c r="BT26" s="180"/>
      <c r="BU26" s="180"/>
      <c r="BV26" s="180"/>
      <c r="BW26" s="180"/>
      <c r="BX26" s="180"/>
      <c r="BY26" s="180"/>
      <c r="BZ26" s="180"/>
      <c r="CA26" s="180"/>
      <c r="CB26" s="180"/>
      <c r="CC26" s="180"/>
      <c r="CD26" s="180"/>
      <c r="CE26" s="180"/>
      <c r="CF26" s="180"/>
      <c r="CG26" s="180"/>
      <c r="CH26" s="180"/>
      <c r="CI26" s="180"/>
      <c r="CJ26" s="180"/>
      <c r="CK26" s="180"/>
      <c r="CL26" s="180"/>
      <c r="CM26" s="180"/>
      <c r="CN26" s="180"/>
      <c r="CO26" s="180"/>
      <c r="CP26" s="180"/>
      <c r="CQ26" s="180"/>
      <c r="CR26" s="180"/>
      <c r="CS26" s="180"/>
      <c r="CT26" s="180"/>
      <c r="CU26" s="180"/>
      <c r="CV26" s="180"/>
      <c r="CW26" s="180"/>
      <c r="CX26" s="180"/>
      <c r="CY26" s="180"/>
      <c r="CZ26" s="180"/>
      <c r="DA26" s="180"/>
      <c r="DB26" s="180"/>
      <c r="DC26" s="180"/>
      <c r="DD26" s="180"/>
      <c r="DE26" s="180"/>
      <c r="DF26" s="180"/>
      <c r="DG26" s="180"/>
      <c r="DH26" s="180"/>
      <c r="DI26" s="180"/>
      <c r="DJ26" s="180"/>
      <c r="DK26" s="180"/>
      <c r="DL26" s="180"/>
      <c r="DM26" s="180"/>
      <c r="DN26" s="180"/>
      <c r="DO26" s="180"/>
      <c r="DP26" s="180"/>
      <c r="DQ26" s="180"/>
      <c r="DR26" s="180"/>
      <c r="DS26" s="180"/>
      <c r="DT26" s="180"/>
      <c r="DU26" s="180"/>
      <c r="DV26" s="180"/>
      <c r="DW26" s="180"/>
      <c r="DX26" s="180"/>
      <c r="DY26" s="180"/>
      <c r="DZ26" s="180"/>
      <c r="EA26" s="180"/>
      <c r="EB26" s="180"/>
      <c r="EC26" s="180"/>
      <c r="ED26" s="180"/>
      <c r="EE26" s="180"/>
      <c r="EF26" s="180"/>
      <c r="EG26" s="180"/>
      <c r="EH26" s="180"/>
      <c r="EI26" s="180"/>
      <c r="EJ26" s="180"/>
      <c r="EK26" s="180"/>
      <c r="EL26" s="180"/>
      <c r="EM26" s="180"/>
      <c r="EN26" s="180"/>
      <c r="EO26" s="180"/>
      <c r="EP26" s="180"/>
      <c r="EQ26" s="180"/>
      <c r="ER26" s="180"/>
      <c r="ES26" s="180"/>
      <c r="ET26" s="180"/>
      <c r="EU26" s="180"/>
      <c r="EV26" s="180"/>
      <c r="EW26" s="180"/>
      <c r="EX26" s="180"/>
      <c r="EY26" s="180"/>
      <c r="EZ26" s="180"/>
      <c r="FA26" s="180"/>
      <c r="FB26" s="180"/>
      <c r="FC26" s="180"/>
      <c r="FD26" s="180"/>
      <c r="FE26" s="180"/>
      <c r="FF26" s="180"/>
      <c r="FG26" s="180"/>
      <c r="FH26" s="180"/>
      <c r="FI26" s="180"/>
      <c r="FJ26" s="180"/>
      <c r="FK26" s="180"/>
      <c r="FL26" s="180"/>
      <c r="FM26" s="180"/>
      <c r="FN26" s="180"/>
      <c r="FO26" s="180"/>
      <c r="FP26" s="180"/>
      <c r="FQ26" s="180"/>
      <c r="FR26" s="180"/>
      <c r="FS26" s="180"/>
      <c r="FT26" s="180"/>
      <c r="FU26" s="180"/>
      <c r="FV26" s="180"/>
      <c r="FW26" s="180"/>
      <c r="FX26" s="180"/>
      <c r="FY26" s="180"/>
      <c r="FZ26" s="180"/>
      <c r="GA26" s="180"/>
      <c r="GB26" s="180"/>
      <c r="GC26" s="180"/>
      <c r="GD26" s="180"/>
      <c r="GE26" s="180"/>
      <c r="GF26" s="180"/>
      <c r="GG26" s="180"/>
      <c r="GH26" s="180"/>
      <c r="GI26" s="180"/>
      <c r="GJ26" s="180"/>
      <c r="GK26" s="180"/>
      <c r="GL26" s="180"/>
      <c r="GM26" s="180"/>
      <c r="GN26" s="180"/>
      <c r="GO26" s="180"/>
      <c r="GP26" s="180"/>
      <c r="GQ26" s="180"/>
      <c r="GR26" s="180"/>
      <c r="GS26" s="180"/>
      <c r="GT26" s="180"/>
      <c r="GU26" s="180"/>
      <c r="GV26" s="180"/>
      <c r="GW26" s="180"/>
      <c r="GX26" s="180"/>
      <c r="GY26" s="180"/>
      <c r="GZ26" s="180"/>
      <c r="HA26" s="180"/>
      <c r="HB26" s="180"/>
      <c r="HC26" s="180"/>
      <c r="HD26" s="180"/>
      <c r="HE26" s="180"/>
      <c r="HF26" s="180"/>
      <c r="HG26" s="180"/>
      <c r="HH26" s="180"/>
      <c r="HI26" s="180"/>
      <c r="HJ26" s="180"/>
      <c r="HK26" s="180"/>
      <c r="HL26" s="180"/>
      <c r="HM26" s="180"/>
      <c r="HN26" s="180"/>
      <c r="HO26" s="180"/>
      <c r="HP26" s="180"/>
      <c r="HQ26" s="180"/>
      <c r="HR26" s="180"/>
      <c r="HS26" s="180"/>
      <c r="HT26" s="180"/>
      <c r="HU26" s="180"/>
      <c r="HV26" s="180"/>
      <c r="HW26" s="180"/>
      <c r="HX26" s="180"/>
      <c r="HY26" s="180"/>
      <c r="HZ26" s="180"/>
      <c r="IA26" s="180"/>
      <c r="IB26" s="180"/>
      <c r="IC26" s="180"/>
      <c r="ID26" s="180"/>
      <c r="IE26" s="180"/>
      <c r="IF26" s="180"/>
      <c r="IG26" s="180"/>
      <c r="IH26" s="180"/>
      <c r="II26" s="180"/>
      <c r="IJ26" s="180"/>
      <c r="IK26" s="180"/>
      <c r="IL26" s="180"/>
      <c r="IM26" s="180"/>
      <c r="IN26" s="180"/>
      <c r="IO26" s="180"/>
      <c r="IP26" s="180"/>
      <c r="IQ26" s="180"/>
      <c r="IR26" s="180"/>
      <c r="IS26" s="180"/>
      <c r="IT26" s="180"/>
      <c r="IU26" s="180"/>
      <c r="IV26" s="180"/>
      <c r="IW26" s="180"/>
      <c r="IX26" s="180"/>
      <c r="IY26" s="180"/>
      <c r="IZ26" s="180"/>
      <c r="JA26" s="180"/>
      <c r="JB26" s="180"/>
      <c r="JC26" s="180"/>
      <c r="JD26" s="180"/>
      <c r="JE26" s="180"/>
      <c r="JF26" s="180"/>
      <c r="JG26" s="180"/>
      <c r="JH26" s="180"/>
      <c r="JI26" s="180"/>
      <c r="JJ26" s="180"/>
      <c r="JK26" s="180"/>
      <c r="JL26" s="180"/>
      <c r="JM26" s="180"/>
      <c r="JN26" s="180"/>
      <c r="JO26" s="180"/>
      <c r="JP26" s="180"/>
      <c r="JQ26" s="180"/>
      <c r="JR26" s="180"/>
      <c r="JS26" s="180"/>
      <c r="JT26" s="180"/>
      <c r="JU26" s="180"/>
      <c r="JV26" s="180"/>
      <c r="JW26" s="180"/>
      <c r="JX26" s="180"/>
      <c r="JY26" s="180"/>
      <c r="JZ26" s="180"/>
      <c r="KA26" s="180"/>
      <c r="KB26" s="180"/>
      <c r="KC26" s="180"/>
      <c r="KD26" s="180"/>
      <c r="KE26" s="180"/>
      <c r="KF26" s="180"/>
      <c r="KG26" s="180"/>
      <c r="KH26" s="180"/>
      <c r="KI26" s="180"/>
      <c r="KJ26" s="180"/>
      <c r="KK26" s="180"/>
      <c r="KL26" s="180"/>
      <c r="KM26" s="180"/>
      <c r="KN26" s="180"/>
      <c r="KO26" s="180"/>
      <c r="KP26" s="180"/>
      <c r="KQ26" s="180"/>
      <c r="KR26" s="180"/>
      <c r="KS26" s="180"/>
      <c r="KT26" s="180"/>
      <c r="KU26" s="180"/>
      <c r="KV26" s="180"/>
      <c r="KW26" s="180"/>
      <c r="KX26" s="180"/>
      <c r="KY26" s="180"/>
      <c r="KZ26" s="180"/>
      <c r="LA26" s="180"/>
      <c r="LB26" s="180"/>
      <c r="LC26" s="180"/>
      <c r="LD26" s="180"/>
      <c r="LE26" s="180"/>
      <c r="LF26" s="180"/>
      <c r="LG26" s="180"/>
      <c r="LH26" s="180"/>
      <c r="LI26" s="180"/>
      <c r="LJ26" s="180"/>
      <c r="LK26" s="180"/>
      <c r="LL26" s="180"/>
      <c r="LM26" s="180"/>
      <c r="LN26" s="180"/>
      <c r="LO26" s="180"/>
      <c r="LP26" s="180"/>
      <c r="LQ26" s="180"/>
      <c r="LR26" s="180"/>
      <c r="LS26" s="180"/>
      <c r="LT26" s="180"/>
      <c r="LU26" s="180"/>
      <c r="LV26" s="180"/>
      <c r="LW26" s="180"/>
      <c r="LX26" s="180"/>
      <c r="LY26" s="180"/>
      <c r="LZ26" s="180"/>
      <c r="MA26" s="180"/>
      <c r="MB26" s="180"/>
      <c r="MC26" s="180"/>
      <c r="MD26" s="180"/>
      <c r="ME26" s="180"/>
      <c r="MF26" s="180"/>
      <c r="MG26" s="180"/>
      <c r="MH26" s="180"/>
      <c r="MI26" s="180"/>
      <c r="MJ26" s="180"/>
      <c r="MK26" s="180"/>
      <c r="ML26" s="180"/>
      <c r="MM26" s="180"/>
      <c r="MN26" s="180"/>
      <c r="MO26" s="180"/>
      <c r="MP26" s="180"/>
      <c r="MQ26" s="180"/>
      <c r="MR26" s="180"/>
      <c r="MS26" s="180"/>
      <c r="MT26" s="180"/>
      <c r="MU26" s="180"/>
      <c r="MV26" s="180"/>
      <c r="MW26" s="180"/>
      <c r="MX26" s="180"/>
      <c r="MY26" s="180"/>
      <c r="MZ26" s="180"/>
      <c r="NA26" s="180"/>
      <c r="NB26" s="180"/>
      <c r="NC26" s="180"/>
      <c r="ND26" s="180"/>
      <c r="NE26" s="180"/>
      <c r="NF26" s="180"/>
      <c r="NG26" s="180"/>
      <c r="NH26" s="180"/>
      <c r="NI26" s="180"/>
      <c r="NJ26" s="180"/>
      <c r="NK26" s="180"/>
      <c r="NL26" s="180"/>
      <c r="NM26" s="180"/>
      <c r="NN26" s="180"/>
      <c r="NO26" s="180"/>
      <c r="NP26" s="180"/>
      <c r="NQ26" s="180"/>
      <c r="NR26" s="180"/>
      <c r="NS26" s="180"/>
      <c r="NT26" s="180"/>
      <c r="NU26" s="180"/>
      <c r="NV26" s="180"/>
      <c r="NW26" s="180"/>
      <c r="NX26" s="180"/>
      <c r="NY26" s="180"/>
      <c r="NZ26" s="180"/>
      <c r="OA26" s="180"/>
      <c r="OB26" s="180"/>
      <c r="OC26" s="180"/>
      <c r="OD26" s="180"/>
      <c r="OE26" s="180"/>
      <c r="OF26" s="180"/>
      <c r="OG26" s="180"/>
      <c r="OH26" s="180"/>
      <c r="OI26" s="180"/>
      <c r="OJ26" s="180"/>
      <c r="OK26" s="180"/>
      <c r="OL26" s="180"/>
      <c r="OM26" s="180"/>
      <c r="ON26" s="180"/>
      <c r="OO26" s="180"/>
      <c r="OP26" s="180"/>
      <c r="OQ26" s="180"/>
      <c r="OR26" s="180"/>
      <c r="OS26" s="180"/>
      <c r="OT26" s="180"/>
      <c r="OU26" s="180"/>
      <c r="OV26" s="180"/>
      <c r="OW26" s="180"/>
      <c r="OX26" s="180"/>
      <c r="OY26" s="180"/>
      <c r="OZ26" s="180"/>
      <c r="PA26" s="180"/>
      <c r="PB26" s="180"/>
      <c r="PC26" s="180"/>
      <c r="PD26" s="180"/>
      <c r="PE26" s="180"/>
      <c r="PF26" s="180"/>
      <c r="PG26" s="180"/>
      <c r="PH26" s="180"/>
      <c r="PI26" s="180"/>
      <c r="PJ26" s="180"/>
      <c r="PK26" s="180"/>
      <c r="PL26" s="180"/>
      <c r="PM26" s="180"/>
      <c r="PN26" s="180"/>
      <c r="PO26" s="180"/>
      <c r="PP26" s="180"/>
      <c r="PQ26" s="180"/>
      <c r="PR26" s="180"/>
      <c r="PS26" s="180"/>
      <c r="PT26" s="180"/>
      <c r="PU26" s="180"/>
      <c r="PV26" s="180"/>
      <c r="PW26" s="180"/>
      <c r="PX26" s="180"/>
      <c r="PY26" s="180"/>
      <c r="PZ26" s="180"/>
      <c r="QA26" s="180"/>
      <c r="QB26" s="180"/>
      <c r="QC26" s="180"/>
      <c r="QD26" s="180"/>
      <c r="QE26" s="180"/>
      <c r="QF26" s="180"/>
      <c r="QG26" s="180"/>
      <c r="QH26" s="180"/>
      <c r="QI26" s="180"/>
      <c r="QJ26" s="180"/>
      <c r="QK26" s="180"/>
      <c r="QL26" s="180"/>
      <c r="QM26" s="180"/>
      <c r="QN26" s="180"/>
      <c r="QO26" s="180"/>
      <c r="QP26" s="180"/>
      <c r="QQ26" s="180"/>
      <c r="QR26" s="180"/>
      <c r="QS26" s="180"/>
      <c r="QT26" s="180"/>
      <c r="QU26" s="180"/>
      <c r="QV26" s="180"/>
      <c r="QW26" s="180"/>
      <c r="QX26" s="180"/>
      <c r="QY26" s="180"/>
      <c r="QZ26" s="180"/>
      <c r="RA26" s="180"/>
      <c r="RB26" s="180"/>
      <c r="RC26" s="180"/>
      <c r="RD26" s="180"/>
      <c r="RE26" s="180"/>
      <c r="RF26" s="180"/>
      <c r="RG26" s="180"/>
      <c r="RH26" s="180"/>
      <c r="RI26" s="180"/>
      <c r="RJ26" s="180"/>
      <c r="RK26" s="180"/>
      <c r="RL26" s="180"/>
      <c r="RM26" s="180"/>
      <c r="RN26" s="180"/>
      <c r="RO26" s="180"/>
      <c r="RP26" s="180"/>
      <c r="RQ26" s="180"/>
      <c r="RR26" s="180"/>
      <c r="RS26" s="180"/>
      <c r="RT26" s="180"/>
      <c r="RU26" s="180"/>
      <c r="RV26" s="180"/>
      <c r="RW26" s="180"/>
      <c r="RX26" s="180"/>
      <c r="RY26" s="180"/>
      <c r="RZ26" s="180"/>
      <c r="SA26" s="180"/>
      <c r="SB26" s="180"/>
      <c r="SC26" s="180"/>
      <c r="SD26" s="180"/>
      <c r="SE26" s="180"/>
      <c r="SF26" s="180"/>
      <c r="SG26" s="180"/>
      <c r="SH26" s="180"/>
      <c r="SI26" s="180"/>
      <c r="SJ26" s="180"/>
      <c r="SK26" s="180"/>
      <c r="SL26" s="180"/>
      <c r="SM26" s="180"/>
      <c r="SN26" s="180"/>
      <c r="SO26" s="180"/>
      <c r="SP26" s="180"/>
      <c r="SQ26" s="180"/>
      <c r="SR26" s="180"/>
      <c r="SS26" s="180"/>
      <c r="ST26" s="180"/>
      <c r="SU26" s="180"/>
      <c r="SV26" s="180"/>
      <c r="SW26" s="180"/>
      <c r="SX26" s="180"/>
      <c r="SY26" s="180"/>
      <c r="SZ26" s="180"/>
      <c r="TA26" s="180"/>
      <c r="TB26" s="180"/>
      <c r="TC26" s="180"/>
      <c r="TD26" s="180"/>
      <c r="TE26" s="180"/>
      <c r="TF26" s="180"/>
      <c r="TG26" s="180"/>
      <c r="TH26" s="180"/>
      <c r="TI26" s="180"/>
      <c r="TJ26" s="180"/>
      <c r="TK26" s="180"/>
      <c r="TL26" s="180"/>
      <c r="TM26" s="180"/>
      <c r="TN26" s="180"/>
      <c r="TO26" s="180"/>
      <c r="TP26" s="180"/>
      <c r="TQ26" s="180"/>
      <c r="TR26" s="180"/>
      <c r="TS26" s="180"/>
      <c r="TT26" s="180"/>
      <c r="TU26" s="180"/>
      <c r="TV26" s="180"/>
      <c r="TW26" s="180"/>
      <c r="TX26" s="180"/>
      <c r="TY26" s="180"/>
      <c r="TZ26" s="180"/>
      <c r="UA26" s="180"/>
      <c r="UB26" s="180"/>
      <c r="UC26" s="180"/>
      <c r="UD26" s="180"/>
      <c r="UE26" s="180"/>
      <c r="UF26" s="180"/>
      <c r="UG26" s="180"/>
      <c r="UH26" s="180"/>
      <c r="UI26" s="180"/>
      <c r="UJ26" s="180"/>
      <c r="UK26" s="180"/>
      <c r="UL26" s="180"/>
      <c r="UM26" s="180"/>
      <c r="UN26" s="180"/>
      <c r="UO26" s="180"/>
      <c r="UP26" s="180"/>
      <c r="UQ26" s="180"/>
      <c r="UR26" s="180"/>
      <c r="US26" s="180"/>
      <c r="UT26" s="180"/>
      <c r="UU26" s="180"/>
      <c r="UV26" s="180"/>
      <c r="UW26" s="180"/>
      <c r="UX26" s="180"/>
      <c r="UY26" s="180"/>
      <c r="UZ26" s="180"/>
      <c r="VA26" s="180"/>
      <c r="VB26" s="180"/>
      <c r="VC26" s="180"/>
      <c r="VD26" s="180"/>
      <c r="VE26" s="180"/>
      <c r="VF26" s="180"/>
      <c r="VG26" s="180"/>
      <c r="VH26" s="180"/>
      <c r="VI26" s="180"/>
      <c r="VJ26" s="180"/>
      <c r="VK26" s="180"/>
      <c r="VL26" s="180"/>
      <c r="VM26" s="180"/>
      <c r="VN26" s="180"/>
      <c r="VO26" s="180"/>
      <c r="VP26" s="180"/>
      <c r="VQ26" s="180"/>
      <c r="VR26" s="180"/>
      <c r="VS26" s="180"/>
      <c r="VT26" s="180"/>
      <c r="VU26" s="180"/>
      <c r="VV26" s="180"/>
      <c r="VW26" s="180"/>
      <c r="VX26" s="180"/>
      <c r="VY26" s="180"/>
      <c r="VZ26" s="180"/>
      <c r="WA26" s="180"/>
      <c r="WB26" s="180"/>
      <c r="WC26" s="180"/>
      <c r="WD26" s="180"/>
      <c r="WE26" s="180"/>
      <c r="WF26" s="180"/>
      <c r="WG26" s="180"/>
      <c r="WH26" s="180"/>
      <c r="WI26" s="180"/>
      <c r="WJ26" s="180"/>
      <c r="WK26" s="180"/>
      <c r="WL26" s="180"/>
      <c r="WM26" s="180"/>
      <c r="WN26" s="180"/>
      <c r="WO26" s="180"/>
      <c r="WP26" s="180"/>
      <c r="WQ26" s="180"/>
      <c r="WR26" s="180"/>
      <c r="WS26" s="180"/>
      <c r="WT26" s="180"/>
      <c r="WU26" s="180"/>
      <c r="WV26" s="180"/>
      <c r="WW26" s="180"/>
      <c r="WX26" s="180"/>
      <c r="WY26" s="180"/>
      <c r="WZ26" s="180"/>
      <c r="XA26" s="180"/>
      <c r="XB26" s="180"/>
      <c r="XC26" s="180"/>
      <c r="XD26" s="180"/>
      <c r="XE26" s="180"/>
      <c r="XF26" s="180"/>
      <c r="XG26" s="180"/>
      <c r="XH26" s="180"/>
      <c r="XI26" s="180"/>
      <c r="XJ26" s="180"/>
      <c r="XK26" s="180"/>
      <c r="XL26" s="180"/>
      <c r="XM26" s="180"/>
      <c r="XN26" s="180"/>
      <c r="XO26" s="180"/>
      <c r="XP26" s="180"/>
      <c r="XQ26" s="180"/>
      <c r="XR26" s="180"/>
      <c r="XS26" s="180"/>
      <c r="XT26" s="180"/>
      <c r="XU26" s="180"/>
      <c r="XV26" s="180"/>
      <c r="XW26" s="180"/>
      <c r="XX26" s="180"/>
      <c r="XY26" s="180"/>
      <c r="XZ26" s="180"/>
      <c r="YA26" s="180"/>
      <c r="YB26" s="180"/>
      <c r="YC26" s="180"/>
      <c r="YD26" s="180"/>
      <c r="YE26" s="180"/>
      <c r="YF26" s="180"/>
      <c r="YG26" s="180"/>
      <c r="YH26" s="180"/>
      <c r="YI26" s="180"/>
      <c r="YJ26" s="180"/>
      <c r="YK26" s="180"/>
      <c r="YL26" s="180"/>
      <c r="YM26" s="180"/>
      <c r="YN26" s="180"/>
      <c r="YO26" s="180"/>
      <c r="YP26" s="180"/>
      <c r="YQ26" s="180"/>
      <c r="YR26" s="180"/>
      <c r="YS26" s="180"/>
      <c r="YT26" s="180"/>
      <c r="YU26" s="180"/>
      <c r="YV26" s="180"/>
      <c r="YW26" s="180"/>
      <c r="YX26" s="180"/>
      <c r="YY26" s="180"/>
      <c r="YZ26" s="180"/>
      <c r="ZA26" s="180"/>
      <c r="ZB26" s="180"/>
      <c r="ZC26" s="180"/>
      <c r="ZD26" s="180"/>
      <c r="ZE26" s="180"/>
      <c r="ZF26" s="180"/>
      <c r="ZG26" s="180"/>
      <c r="ZH26" s="180"/>
      <c r="ZI26" s="180"/>
      <c r="ZJ26" s="180"/>
      <c r="ZK26" s="180"/>
      <c r="ZL26" s="180"/>
      <c r="ZM26" s="180"/>
      <c r="ZN26" s="180"/>
      <c r="ZO26" s="180"/>
      <c r="ZP26" s="180"/>
      <c r="ZQ26" s="180"/>
      <c r="ZR26" s="180"/>
      <c r="ZS26" s="180"/>
      <c r="ZT26" s="180"/>
      <c r="ZU26" s="180"/>
      <c r="ZV26" s="180"/>
      <c r="ZW26" s="180"/>
      <c r="ZX26" s="180"/>
      <c r="ZY26" s="180"/>
      <c r="ZZ26" s="180"/>
      <c r="AAA26" s="180"/>
      <c r="AAB26" s="180"/>
      <c r="AAC26" s="180"/>
      <c r="AAD26" s="180"/>
      <c r="AAE26" s="180"/>
      <c r="AAF26" s="180"/>
      <c r="AAG26" s="180"/>
      <c r="AAH26" s="180"/>
      <c r="AAI26" s="180"/>
      <c r="AAJ26" s="180"/>
      <c r="AAK26" s="180"/>
      <c r="AAL26" s="180"/>
      <c r="AAM26" s="180"/>
      <c r="AAN26" s="180"/>
      <c r="AAO26" s="180"/>
      <c r="AAP26" s="180"/>
      <c r="AAQ26" s="180"/>
      <c r="AAR26" s="180"/>
      <c r="AAS26" s="180"/>
      <c r="AAT26" s="180"/>
      <c r="AAU26" s="180"/>
      <c r="AAV26" s="180"/>
      <c r="AAW26" s="180"/>
      <c r="AAX26" s="180"/>
      <c r="AAY26" s="180"/>
      <c r="AAZ26" s="180"/>
      <c r="ABA26" s="180"/>
      <c r="ABB26" s="180"/>
      <c r="ABC26" s="180"/>
      <c r="ABD26" s="180"/>
      <c r="ABE26" s="180"/>
      <c r="ABF26" s="180"/>
      <c r="ABG26" s="180"/>
      <c r="ABH26" s="180"/>
      <c r="ABI26" s="180"/>
      <c r="ABJ26" s="180"/>
      <c r="ABK26" s="180"/>
      <c r="ABL26" s="180"/>
      <c r="ABM26" s="180"/>
      <c r="ABN26" s="180"/>
      <c r="ABO26" s="180"/>
      <c r="ABP26" s="180"/>
      <c r="ABQ26" s="180"/>
      <c r="ABR26" s="180"/>
      <c r="ABS26" s="180"/>
      <c r="ABT26" s="180"/>
      <c r="ABU26" s="180"/>
      <c r="ABV26" s="180"/>
      <c r="ABW26" s="180"/>
      <c r="ABX26" s="180"/>
      <c r="ABY26" s="180"/>
      <c r="ABZ26" s="180"/>
      <c r="ACA26" s="180"/>
      <c r="ACB26" s="180"/>
      <c r="ACC26" s="180"/>
      <c r="ACD26" s="180"/>
      <c r="ACE26" s="180"/>
      <c r="ACF26" s="180"/>
      <c r="ACG26" s="180"/>
      <c r="ACH26" s="180"/>
      <c r="ACI26" s="180"/>
      <c r="ACJ26" s="180"/>
      <c r="ACK26" s="180"/>
      <c r="ACL26" s="180"/>
      <c r="ACM26" s="180"/>
      <c r="ACN26" s="180"/>
      <c r="ACO26" s="180"/>
      <c r="ACP26" s="180"/>
      <c r="ACQ26" s="180"/>
      <c r="ACR26" s="180"/>
      <c r="ACS26" s="180"/>
      <c r="ACT26" s="180"/>
      <c r="ACU26" s="180"/>
      <c r="ACV26" s="180"/>
      <c r="ACW26" s="180"/>
      <c r="ACX26" s="180"/>
      <c r="ACY26" s="180"/>
      <c r="ACZ26" s="180"/>
      <c r="ADA26" s="180"/>
      <c r="ADB26" s="180"/>
      <c r="ADC26" s="180"/>
      <c r="ADD26" s="180"/>
      <c r="ADE26" s="180"/>
      <c r="ADF26" s="180"/>
      <c r="ADG26" s="180"/>
      <c r="ADH26" s="180"/>
      <c r="ADI26" s="180"/>
      <c r="ADJ26" s="180"/>
      <c r="ADK26" s="180"/>
      <c r="ADL26" s="180"/>
      <c r="ADM26" s="180"/>
      <c r="ADN26" s="180"/>
      <c r="ADO26" s="180"/>
      <c r="ADP26" s="180"/>
      <c r="ADQ26" s="180"/>
      <c r="ADR26" s="180"/>
      <c r="ADS26" s="180"/>
      <c r="ADT26" s="180"/>
      <c r="ADU26" s="180"/>
      <c r="ADV26" s="180"/>
      <c r="ADW26" s="180"/>
      <c r="ADX26" s="180"/>
      <c r="ADY26" s="180"/>
      <c r="ADZ26" s="180"/>
      <c r="AEA26" s="180"/>
      <c r="AEB26" s="180"/>
      <c r="AEC26" s="180"/>
      <c r="AED26" s="180"/>
      <c r="AEE26" s="180"/>
      <c r="AEF26" s="180"/>
      <c r="AEG26" s="180"/>
      <c r="AEH26" s="180"/>
      <c r="AEI26" s="180"/>
      <c r="AEJ26" s="180"/>
      <c r="AEK26" s="180"/>
      <c r="AEL26" s="180"/>
      <c r="AEM26" s="180"/>
      <c r="AEN26" s="180"/>
      <c r="AEO26" s="180"/>
      <c r="AEP26" s="180"/>
      <c r="AEQ26" s="180"/>
      <c r="AER26" s="180"/>
      <c r="AES26" s="180"/>
      <c r="AET26" s="180"/>
      <c r="AEU26" s="180"/>
      <c r="AEV26" s="180"/>
      <c r="AEW26" s="180"/>
      <c r="AEX26" s="180"/>
      <c r="AEY26" s="180"/>
      <c r="AEZ26" s="180"/>
      <c r="AFA26" s="180"/>
      <c r="AFB26" s="180"/>
      <c r="AFC26" s="180"/>
      <c r="AFD26" s="180"/>
      <c r="AFE26" s="180"/>
      <c r="AFF26" s="180"/>
      <c r="AFG26" s="180"/>
      <c r="AFH26" s="180"/>
      <c r="AFI26" s="180"/>
      <c r="AFJ26" s="180"/>
      <c r="AFK26" s="180"/>
      <c r="AFL26" s="180"/>
      <c r="AFM26" s="180"/>
      <c r="AFN26" s="180"/>
      <c r="AFO26" s="180"/>
      <c r="AFP26" s="180"/>
      <c r="AFQ26" s="180"/>
      <c r="AFR26" s="180"/>
      <c r="AFS26" s="180"/>
      <c r="AFT26" s="180"/>
      <c r="AFU26" s="180"/>
      <c r="AFV26" s="180"/>
      <c r="AFW26" s="180"/>
      <c r="AFX26" s="180"/>
      <c r="AFY26" s="180"/>
      <c r="AFZ26" s="180"/>
      <c r="AGA26" s="180"/>
      <c r="AGB26" s="180"/>
      <c r="AGC26" s="180"/>
      <c r="AGD26" s="180"/>
      <c r="AGE26" s="180"/>
      <c r="AGF26" s="180"/>
      <c r="AGG26" s="180"/>
      <c r="AGH26" s="180"/>
      <c r="AGI26" s="180"/>
      <c r="AGJ26" s="180"/>
      <c r="AGK26" s="180"/>
      <c r="AGL26" s="180"/>
      <c r="AGM26" s="180"/>
      <c r="AGN26" s="180"/>
      <c r="AGO26" s="180"/>
      <c r="AGP26" s="180"/>
      <c r="AGQ26" s="180"/>
      <c r="AGR26" s="180"/>
      <c r="AGS26" s="180"/>
      <c r="AGT26" s="180"/>
      <c r="AGU26" s="180"/>
      <c r="AGV26" s="180"/>
      <c r="AGW26" s="180"/>
      <c r="AGX26" s="180"/>
      <c r="AGY26" s="180"/>
      <c r="AGZ26" s="180"/>
      <c r="AHA26" s="180"/>
      <c r="AHB26" s="180"/>
      <c r="AHC26" s="180"/>
      <c r="AHD26" s="180"/>
      <c r="AHE26" s="180"/>
      <c r="AHF26" s="180"/>
      <c r="AHG26" s="180"/>
      <c r="AHH26" s="180"/>
      <c r="AHI26" s="180"/>
      <c r="AHJ26" s="180"/>
      <c r="AHK26" s="180"/>
      <c r="AHL26" s="180"/>
      <c r="AHM26" s="180"/>
      <c r="AHN26" s="180"/>
      <c r="AHO26" s="180"/>
      <c r="AHP26" s="180"/>
      <c r="AHQ26" s="180"/>
      <c r="AHR26" s="180"/>
      <c r="AHS26" s="180"/>
      <c r="AHT26" s="180"/>
      <c r="AHU26" s="180"/>
      <c r="AHV26" s="180"/>
      <c r="AHW26" s="180"/>
      <c r="AHX26" s="180"/>
      <c r="AHY26" s="180"/>
      <c r="AHZ26" s="180"/>
      <c r="AIA26" s="180"/>
      <c r="AIB26" s="180"/>
      <c r="AIC26" s="180"/>
      <c r="AID26" s="180"/>
      <c r="AIE26" s="180"/>
      <c r="AIF26" s="180"/>
      <c r="AIG26" s="180"/>
      <c r="AIH26" s="180"/>
      <c r="AII26" s="180"/>
      <c r="AIJ26" s="180"/>
      <c r="AIK26" s="180"/>
      <c r="AIL26" s="180"/>
      <c r="AIM26" s="180"/>
      <c r="AIN26" s="180"/>
      <c r="AIO26" s="180"/>
      <c r="AIP26" s="180"/>
      <c r="AIQ26" s="180"/>
      <c r="AIR26" s="180"/>
      <c r="AIS26" s="180"/>
      <c r="AIT26" s="180"/>
      <c r="AIU26" s="180"/>
      <c r="AIV26" s="180"/>
      <c r="AIW26" s="180"/>
      <c r="AIX26" s="180"/>
      <c r="AIY26" s="180"/>
      <c r="AIZ26" s="180"/>
      <c r="AJA26" s="180"/>
      <c r="AJB26" s="180"/>
      <c r="AJC26" s="180"/>
      <c r="AJD26" s="180"/>
      <c r="AJE26" s="180"/>
      <c r="AJF26" s="180"/>
      <c r="AJG26" s="180"/>
      <c r="AJH26" s="180"/>
      <c r="AJI26" s="180"/>
      <c r="AJJ26" s="180"/>
      <c r="AJK26" s="180"/>
      <c r="AJL26" s="180"/>
      <c r="AJM26" s="180"/>
      <c r="AJN26" s="180"/>
      <c r="AJO26" s="180"/>
      <c r="AJP26" s="180"/>
      <c r="AJQ26" s="180"/>
      <c r="AJR26" s="180"/>
      <c r="AJS26" s="180"/>
      <c r="AJT26" s="180"/>
      <c r="AJU26" s="180"/>
      <c r="AJV26" s="180"/>
      <c r="AJW26" s="180"/>
      <c r="AJX26" s="180"/>
      <c r="AJY26" s="180"/>
      <c r="AJZ26" s="180"/>
      <c r="AKA26" s="180"/>
      <c r="AKB26" s="180"/>
      <c r="AKC26" s="180"/>
      <c r="AKD26" s="180"/>
      <c r="AKE26" s="180"/>
      <c r="AKF26" s="180"/>
      <c r="AKG26" s="180"/>
      <c r="AKH26" s="180"/>
      <c r="AKI26" s="180"/>
      <c r="AKJ26" s="180"/>
      <c r="AKK26" s="180"/>
      <c r="AKL26" s="180"/>
      <c r="AKM26" s="180"/>
      <c r="AKN26" s="180"/>
      <c r="AKO26" s="180"/>
      <c r="AKP26" s="180"/>
      <c r="AKQ26" s="180"/>
      <c r="AKR26" s="180"/>
      <c r="AKS26" s="180"/>
      <c r="AKT26" s="180"/>
      <c r="AKU26" s="180"/>
      <c r="AKV26" s="180"/>
      <c r="AKW26" s="180"/>
      <c r="AKX26" s="180"/>
      <c r="AKY26" s="180"/>
      <c r="AKZ26" s="180"/>
      <c r="ALA26" s="180"/>
      <c r="ALB26" s="180"/>
      <c r="ALC26" s="180"/>
      <c r="ALD26" s="180"/>
      <c r="ALE26" s="180"/>
      <c r="ALF26" s="180"/>
      <c r="ALG26" s="180"/>
      <c r="ALH26" s="180"/>
      <c r="ALI26" s="180"/>
      <c r="ALJ26" s="180"/>
      <c r="ALK26" s="180"/>
      <c r="ALL26" s="180"/>
      <c r="ALM26" s="180"/>
      <c r="ALN26" s="180"/>
      <c r="ALO26" s="180"/>
      <c r="ALP26" s="180"/>
      <c r="ALQ26" s="180"/>
      <c r="ALR26" s="180"/>
      <c r="ALS26" s="180"/>
      <c r="ALT26" s="180"/>
      <c r="ALU26" s="279"/>
      <c r="ALV26" s="279"/>
      <c r="ALW26" s="279"/>
      <c r="ALX26" s="279"/>
      <c r="ALY26" s="279"/>
      <c r="ALZ26" s="279"/>
      <c r="AMA26" s="279"/>
      <c r="AMB26" s="279"/>
      <c r="AMC26" s="279"/>
      <c r="AMD26" s="279"/>
      <c r="AME26" s="279"/>
      <c r="AMF26" s="279"/>
      <c r="AMG26" s="279"/>
      <c r="AMH26" s="279"/>
      <c r="AMI26" s="280"/>
    </row>
    <row r="27" spans="1:1023" s="259" customFormat="1" x14ac:dyDescent="0.25">
      <c r="A27" s="296"/>
      <c r="B27" s="297"/>
      <c r="C27" s="297"/>
      <c r="D27" s="297"/>
      <c r="E27" s="297"/>
      <c r="F27" s="297"/>
      <c r="G27" s="297"/>
      <c r="H27" s="297"/>
      <c r="I27" s="297"/>
      <c r="J27" s="297"/>
      <c r="K27" s="297"/>
      <c r="L27" s="298"/>
      <c r="M27" s="297"/>
      <c r="N27" s="297"/>
      <c r="O27" s="297"/>
      <c r="P27" s="297"/>
      <c r="Q27" s="297"/>
      <c r="R27" s="297"/>
      <c r="S27" s="297"/>
      <c r="T27" s="297"/>
      <c r="U27" s="297"/>
      <c r="V27" s="297"/>
      <c r="W27" s="297"/>
      <c r="X27" s="297"/>
      <c r="Y27" s="297"/>
      <c r="Z27" s="297"/>
      <c r="AA27" s="297"/>
      <c r="AB27" s="297"/>
      <c r="AC27" s="297"/>
      <c r="AD27" s="297"/>
      <c r="AE27" s="297"/>
      <c r="AF27" s="297"/>
      <c r="AG27" s="297"/>
      <c r="AH27" s="297"/>
      <c r="AI27" s="297"/>
      <c r="AJ27" s="297"/>
      <c r="AK27" s="297"/>
      <c r="AL27" s="297"/>
      <c r="AM27" s="297"/>
      <c r="AN27" s="297"/>
      <c r="AO27" s="297"/>
      <c r="AP27" s="297"/>
      <c r="AQ27" s="297"/>
      <c r="AR27" s="297"/>
      <c r="AS27" s="297"/>
      <c r="AT27" s="297"/>
      <c r="AU27" s="297"/>
      <c r="AV27" s="297"/>
      <c r="AW27" s="297"/>
      <c r="AX27" s="297"/>
      <c r="AY27" s="297"/>
      <c r="AZ27" s="297"/>
      <c r="BA27" s="297"/>
      <c r="BB27" s="297"/>
      <c r="BC27" s="297"/>
      <c r="BD27" s="297"/>
      <c r="BE27" s="297"/>
      <c r="BF27" s="297"/>
      <c r="BG27" s="297"/>
      <c r="BH27" s="297"/>
      <c r="BI27" s="297"/>
      <c r="BJ27" s="297"/>
      <c r="BK27" s="297"/>
      <c r="BL27" s="297"/>
      <c r="BM27" s="297"/>
      <c r="BN27" s="297"/>
      <c r="BO27" s="297"/>
      <c r="BP27" s="297"/>
      <c r="BQ27" s="297"/>
      <c r="BR27" s="297"/>
      <c r="BS27" s="297"/>
      <c r="BT27" s="297"/>
      <c r="BU27" s="297"/>
      <c r="BV27" s="297"/>
      <c r="BW27" s="297"/>
      <c r="BX27" s="297"/>
      <c r="BY27" s="297"/>
      <c r="BZ27" s="297"/>
      <c r="CA27" s="297"/>
      <c r="CB27" s="297"/>
      <c r="CC27" s="297"/>
      <c r="CD27" s="297"/>
      <c r="CE27" s="297"/>
      <c r="CF27" s="297"/>
      <c r="CG27" s="297"/>
      <c r="CH27" s="297"/>
      <c r="CI27" s="297"/>
      <c r="CJ27" s="297"/>
      <c r="CK27" s="297"/>
      <c r="CL27" s="297"/>
      <c r="CM27" s="297"/>
      <c r="CN27" s="297"/>
      <c r="CO27" s="297"/>
      <c r="CP27" s="297"/>
      <c r="CQ27" s="297"/>
      <c r="CR27" s="297"/>
      <c r="CS27" s="297"/>
      <c r="CT27" s="297"/>
      <c r="CU27" s="297"/>
      <c r="CV27" s="297"/>
      <c r="CW27" s="297"/>
      <c r="CX27" s="297"/>
      <c r="CY27" s="297"/>
      <c r="CZ27" s="297"/>
      <c r="DA27" s="297"/>
      <c r="DB27" s="297"/>
      <c r="DC27" s="297"/>
      <c r="DD27" s="297"/>
      <c r="DE27" s="297"/>
      <c r="DF27" s="297"/>
      <c r="DG27" s="297"/>
      <c r="DH27" s="297"/>
      <c r="DI27" s="297"/>
      <c r="DJ27" s="297"/>
      <c r="DK27" s="297"/>
      <c r="DL27" s="297"/>
      <c r="DM27" s="297"/>
      <c r="DN27" s="297"/>
      <c r="DO27" s="297"/>
      <c r="DP27" s="297"/>
      <c r="DQ27" s="297"/>
      <c r="DR27" s="297"/>
      <c r="DS27" s="297"/>
      <c r="DT27" s="297"/>
      <c r="DU27" s="297"/>
      <c r="DV27" s="297"/>
      <c r="DW27" s="297"/>
      <c r="DX27" s="297"/>
      <c r="DY27" s="297"/>
      <c r="DZ27" s="297"/>
      <c r="EA27" s="297"/>
      <c r="EB27" s="297"/>
      <c r="EC27" s="297"/>
      <c r="ED27" s="297"/>
      <c r="EE27" s="297"/>
      <c r="EF27" s="297"/>
      <c r="EG27" s="297"/>
      <c r="EH27" s="297"/>
      <c r="EI27" s="297"/>
      <c r="EJ27" s="297"/>
      <c r="EK27" s="297"/>
      <c r="EL27" s="297"/>
      <c r="EM27" s="297"/>
      <c r="EN27" s="297"/>
      <c r="EO27" s="297"/>
      <c r="EP27" s="297"/>
      <c r="EQ27" s="297"/>
      <c r="ER27" s="297"/>
      <c r="ES27" s="297"/>
      <c r="ET27" s="297"/>
      <c r="EU27" s="297"/>
      <c r="EV27" s="297"/>
      <c r="EW27" s="297"/>
      <c r="EX27" s="297"/>
      <c r="EY27" s="297"/>
      <c r="EZ27" s="297"/>
      <c r="FA27" s="297"/>
      <c r="FB27" s="297"/>
      <c r="FC27" s="297"/>
      <c r="FD27" s="297"/>
      <c r="FE27" s="297"/>
      <c r="FF27" s="297"/>
      <c r="FG27" s="297"/>
      <c r="FH27" s="297"/>
      <c r="FI27" s="297"/>
      <c r="FJ27" s="297"/>
      <c r="FK27" s="297"/>
      <c r="FL27" s="297"/>
      <c r="FM27" s="297"/>
      <c r="FN27" s="297"/>
      <c r="FO27" s="297"/>
      <c r="FP27" s="297"/>
      <c r="FQ27" s="297"/>
      <c r="FR27" s="297"/>
      <c r="FS27" s="297"/>
      <c r="FT27" s="297"/>
      <c r="FU27" s="297"/>
      <c r="FV27" s="297"/>
      <c r="FW27" s="297"/>
      <c r="FX27" s="297"/>
      <c r="FY27" s="297"/>
      <c r="FZ27" s="297"/>
      <c r="GA27" s="297"/>
      <c r="GB27" s="297"/>
      <c r="GC27" s="297"/>
      <c r="GD27" s="297"/>
      <c r="GE27" s="297"/>
      <c r="GF27" s="297"/>
      <c r="GG27" s="297"/>
      <c r="GH27" s="297"/>
      <c r="GI27" s="297"/>
      <c r="GJ27" s="297"/>
      <c r="GK27" s="297"/>
      <c r="GL27" s="297"/>
      <c r="GM27" s="297"/>
      <c r="GN27" s="297"/>
      <c r="GO27" s="297"/>
      <c r="GP27" s="297"/>
      <c r="GQ27" s="297"/>
      <c r="GR27" s="297"/>
      <c r="GS27" s="297"/>
      <c r="GT27" s="297"/>
      <c r="GU27" s="297"/>
      <c r="GV27" s="297"/>
      <c r="GW27" s="297"/>
      <c r="GX27" s="297"/>
      <c r="GY27" s="297"/>
      <c r="GZ27" s="297"/>
      <c r="HA27" s="297"/>
      <c r="HB27" s="297"/>
      <c r="HC27" s="297"/>
      <c r="HD27" s="297"/>
      <c r="HE27" s="297"/>
      <c r="HF27" s="297"/>
      <c r="HG27" s="297"/>
      <c r="HH27" s="297"/>
      <c r="HI27" s="297"/>
      <c r="HJ27" s="297"/>
      <c r="HK27" s="297"/>
      <c r="HL27" s="297"/>
      <c r="HM27" s="297"/>
      <c r="HN27" s="297"/>
      <c r="HO27" s="297"/>
      <c r="HP27" s="297"/>
      <c r="HQ27" s="297"/>
      <c r="HR27" s="297"/>
      <c r="HS27" s="297"/>
      <c r="HT27" s="297"/>
      <c r="HU27" s="297"/>
      <c r="HV27" s="297"/>
      <c r="HW27" s="297"/>
      <c r="HX27" s="297"/>
      <c r="HY27" s="297"/>
      <c r="HZ27" s="297"/>
      <c r="IA27" s="297"/>
      <c r="IB27" s="297"/>
      <c r="IC27" s="297"/>
      <c r="ID27" s="297"/>
      <c r="IE27" s="297"/>
      <c r="IF27" s="297"/>
      <c r="IG27" s="297"/>
      <c r="IH27" s="297"/>
      <c r="II27" s="297"/>
      <c r="IJ27" s="297"/>
      <c r="IK27" s="297"/>
      <c r="IL27" s="297"/>
      <c r="IM27" s="297"/>
      <c r="IN27" s="297"/>
      <c r="IO27" s="297"/>
      <c r="IP27" s="297"/>
      <c r="IQ27" s="297"/>
      <c r="IR27" s="297"/>
      <c r="IS27" s="297"/>
      <c r="IT27" s="297"/>
      <c r="IU27" s="297"/>
      <c r="IV27" s="297"/>
      <c r="IW27" s="297"/>
      <c r="IX27" s="297"/>
      <c r="IY27" s="297"/>
      <c r="IZ27" s="297"/>
      <c r="JA27" s="297"/>
      <c r="JB27" s="297"/>
      <c r="JC27" s="297"/>
      <c r="JD27" s="297"/>
      <c r="JE27" s="297"/>
      <c r="JF27" s="297"/>
      <c r="JG27" s="297"/>
      <c r="JH27" s="297"/>
      <c r="JI27" s="297"/>
      <c r="JJ27" s="297"/>
      <c r="JK27" s="297"/>
      <c r="JL27" s="297"/>
      <c r="JM27" s="297"/>
      <c r="JN27" s="297"/>
      <c r="JO27" s="297"/>
      <c r="JP27" s="297"/>
      <c r="JQ27" s="297"/>
      <c r="JR27" s="297"/>
      <c r="JS27" s="297"/>
      <c r="JT27" s="297"/>
      <c r="JU27" s="297"/>
      <c r="JV27" s="297"/>
      <c r="JW27" s="297"/>
      <c r="JX27" s="297"/>
      <c r="JY27" s="297"/>
      <c r="JZ27" s="297"/>
      <c r="KA27" s="297"/>
      <c r="KB27" s="297"/>
      <c r="KC27" s="297"/>
      <c r="KD27" s="297"/>
      <c r="KE27" s="297"/>
      <c r="KF27" s="297"/>
      <c r="KG27" s="297"/>
      <c r="KH27" s="297"/>
      <c r="KI27" s="297"/>
      <c r="KJ27" s="297"/>
      <c r="KK27" s="297"/>
      <c r="KL27" s="297"/>
      <c r="KM27" s="297"/>
      <c r="KN27" s="297"/>
      <c r="KO27" s="297"/>
      <c r="KP27" s="297"/>
      <c r="KQ27" s="297"/>
      <c r="KR27" s="297"/>
      <c r="KS27" s="297"/>
      <c r="KT27" s="297"/>
      <c r="KU27" s="297"/>
      <c r="KV27" s="297"/>
      <c r="KW27" s="297"/>
      <c r="KX27" s="297"/>
      <c r="KY27" s="297"/>
      <c r="KZ27" s="297"/>
      <c r="LA27" s="297"/>
      <c r="LB27" s="297"/>
      <c r="LC27" s="297"/>
      <c r="LD27" s="297"/>
      <c r="LE27" s="297"/>
      <c r="LF27" s="297"/>
      <c r="LG27" s="297"/>
      <c r="LH27" s="297"/>
      <c r="LI27" s="297"/>
      <c r="LJ27" s="297"/>
      <c r="LK27" s="297"/>
      <c r="LL27" s="297"/>
      <c r="LM27" s="297"/>
      <c r="LN27" s="297"/>
      <c r="LO27" s="297"/>
      <c r="LP27" s="297"/>
      <c r="LQ27" s="297"/>
      <c r="LR27" s="297"/>
      <c r="LS27" s="297"/>
      <c r="LT27" s="297"/>
      <c r="LU27" s="297"/>
      <c r="LV27" s="297"/>
      <c r="LW27" s="297"/>
      <c r="LX27" s="297"/>
      <c r="LY27" s="297"/>
      <c r="LZ27" s="297"/>
      <c r="MA27" s="297"/>
      <c r="MB27" s="297"/>
      <c r="MC27" s="297"/>
      <c r="MD27" s="297"/>
      <c r="ME27" s="297"/>
      <c r="MF27" s="297"/>
      <c r="MG27" s="297"/>
      <c r="MH27" s="297"/>
      <c r="MI27" s="297"/>
      <c r="MJ27" s="297"/>
      <c r="MK27" s="297"/>
      <c r="ML27" s="297"/>
      <c r="MM27" s="297"/>
      <c r="MN27" s="297"/>
      <c r="MO27" s="297"/>
      <c r="MP27" s="297"/>
      <c r="MQ27" s="297"/>
      <c r="MR27" s="297"/>
      <c r="MS27" s="297"/>
      <c r="MT27" s="297"/>
      <c r="MU27" s="297"/>
      <c r="MV27" s="297"/>
      <c r="MW27" s="297"/>
      <c r="MX27" s="297"/>
      <c r="MY27" s="297"/>
      <c r="MZ27" s="297"/>
      <c r="NA27" s="297"/>
      <c r="NB27" s="297"/>
      <c r="NC27" s="297"/>
      <c r="ND27" s="297"/>
      <c r="NE27" s="297"/>
      <c r="NF27" s="297"/>
      <c r="NG27" s="297"/>
      <c r="NH27" s="297"/>
      <c r="NI27" s="297"/>
      <c r="NJ27" s="297"/>
      <c r="NK27" s="297"/>
      <c r="NL27" s="297"/>
      <c r="NM27" s="297"/>
      <c r="NN27" s="297"/>
      <c r="NO27" s="297"/>
      <c r="NP27" s="297"/>
      <c r="NQ27" s="297"/>
      <c r="NR27" s="297"/>
      <c r="NS27" s="297"/>
      <c r="NT27" s="297"/>
      <c r="NU27" s="297"/>
      <c r="NV27" s="297"/>
      <c r="NW27" s="297"/>
      <c r="NX27" s="297"/>
      <c r="NY27" s="297"/>
      <c r="NZ27" s="297"/>
      <c r="OA27" s="297"/>
      <c r="OB27" s="297"/>
      <c r="OC27" s="297"/>
      <c r="OD27" s="297"/>
      <c r="OE27" s="297"/>
      <c r="OF27" s="297"/>
      <c r="OG27" s="297"/>
      <c r="OH27" s="297"/>
      <c r="OI27" s="297"/>
      <c r="OJ27" s="297"/>
      <c r="OK27" s="297"/>
      <c r="OL27" s="297"/>
      <c r="OM27" s="297"/>
      <c r="ON27" s="297"/>
      <c r="OO27" s="297"/>
      <c r="OP27" s="297"/>
      <c r="OQ27" s="297"/>
      <c r="OR27" s="297"/>
      <c r="OS27" s="297"/>
      <c r="OT27" s="297"/>
      <c r="OU27" s="297"/>
      <c r="OV27" s="297"/>
      <c r="OW27" s="297"/>
      <c r="OX27" s="297"/>
      <c r="OY27" s="297"/>
      <c r="OZ27" s="297"/>
      <c r="PA27" s="297"/>
      <c r="PB27" s="297"/>
      <c r="PC27" s="297"/>
      <c r="PD27" s="297"/>
      <c r="PE27" s="297"/>
      <c r="PF27" s="297"/>
      <c r="PG27" s="297"/>
      <c r="PH27" s="297"/>
      <c r="PI27" s="297"/>
      <c r="PJ27" s="297"/>
      <c r="PK27" s="297"/>
      <c r="PL27" s="297"/>
      <c r="PM27" s="297"/>
      <c r="PN27" s="297"/>
      <c r="PO27" s="297"/>
      <c r="PP27" s="297"/>
      <c r="PQ27" s="297"/>
      <c r="PR27" s="297"/>
      <c r="PS27" s="297"/>
      <c r="PT27" s="297"/>
      <c r="PU27" s="297"/>
      <c r="PV27" s="297"/>
      <c r="PW27" s="297"/>
      <c r="PX27" s="297"/>
      <c r="PY27" s="297"/>
      <c r="PZ27" s="297"/>
      <c r="QA27" s="297"/>
      <c r="QB27" s="297"/>
      <c r="QC27" s="297"/>
      <c r="QD27" s="297"/>
      <c r="QE27" s="297"/>
      <c r="QF27" s="297"/>
      <c r="QG27" s="297"/>
      <c r="QH27" s="297"/>
      <c r="QI27" s="297"/>
      <c r="QJ27" s="297"/>
      <c r="QK27" s="297"/>
      <c r="QL27" s="297"/>
      <c r="QM27" s="297"/>
      <c r="QN27" s="297"/>
      <c r="QO27" s="297"/>
      <c r="QP27" s="297"/>
      <c r="QQ27" s="297"/>
      <c r="QR27" s="297"/>
      <c r="QS27" s="297"/>
      <c r="QT27" s="297"/>
      <c r="QU27" s="297"/>
      <c r="QV27" s="297"/>
      <c r="QW27" s="297"/>
      <c r="QX27" s="297"/>
      <c r="QY27" s="297"/>
      <c r="QZ27" s="297"/>
      <c r="RA27" s="297"/>
      <c r="RB27" s="297"/>
      <c r="RC27" s="297"/>
      <c r="RD27" s="297"/>
      <c r="RE27" s="297"/>
      <c r="RF27" s="297"/>
      <c r="RG27" s="297"/>
      <c r="RH27" s="297"/>
      <c r="RI27" s="297"/>
      <c r="RJ27" s="297"/>
      <c r="RK27" s="297"/>
      <c r="RL27" s="297"/>
      <c r="RM27" s="297"/>
      <c r="RN27" s="297"/>
      <c r="RO27" s="297"/>
      <c r="RP27" s="297"/>
      <c r="RQ27" s="297"/>
      <c r="RR27" s="297"/>
      <c r="RS27" s="297"/>
      <c r="RT27" s="297"/>
      <c r="RU27" s="297"/>
      <c r="RV27" s="297"/>
      <c r="RW27" s="297"/>
      <c r="RX27" s="297"/>
      <c r="RY27" s="297"/>
      <c r="RZ27" s="297"/>
      <c r="SA27" s="297"/>
      <c r="SB27" s="297"/>
      <c r="SC27" s="297"/>
      <c r="SD27" s="297"/>
      <c r="SE27" s="297"/>
      <c r="SF27" s="297"/>
      <c r="SG27" s="297"/>
      <c r="SH27" s="297"/>
      <c r="SI27" s="297"/>
      <c r="SJ27" s="297"/>
      <c r="SK27" s="297"/>
      <c r="SL27" s="297"/>
      <c r="SM27" s="297"/>
      <c r="SN27" s="297"/>
      <c r="SO27" s="297"/>
      <c r="SP27" s="297"/>
      <c r="SQ27" s="297"/>
      <c r="SR27" s="297"/>
      <c r="SS27" s="297"/>
      <c r="ST27" s="297"/>
      <c r="SU27" s="297"/>
      <c r="SV27" s="297"/>
      <c r="SW27" s="297"/>
      <c r="SX27" s="297"/>
      <c r="SY27" s="297"/>
      <c r="SZ27" s="297"/>
      <c r="TA27" s="297"/>
      <c r="TB27" s="297"/>
      <c r="TC27" s="297"/>
      <c r="TD27" s="297"/>
      <c r="TE27" s="297"/>
      <c r="TF27" s="297"/>
      <c r="TG27" s="297"/>
      <c r="TH27" s="297"/>
      <c r="TI27" s="297"/>
      <c r="TJ27" s="297"/>
      <c r="TK27" s="297"/>
      <c r="TL27" s="297"/>
      <c r="TM27" s="297"/>
      <c r="TN27" s="297"/>
      <c r="TO27" s="297"/>
      <c r="TP27" s="297"/>
      <c r="TQ27" s="297"/>
      <c r="TR27" s="297"/>
      <c r="TS27" s="297"/>
      <c r="TT27" s="297"/>
      <c r="TU27" s="297"/>
      <c r="TV27" s="297"/>
      <c r="TW27" s="297"/>
      <c r="TX27" s="297"/>
      <c r="TY27" s="297"/>
      <c r="TZ27" s="297"/>
      <c r="UA27" s="297"/>
      <c r="UB27" s="297"/>
      <c r="UC27" s="297"/>
      <c r="UD27" s="297"/>
      <c r="UE27" s="297"/>
      <c r="UF27" s="297"/>
      <c r="UG27" s="297"/>
      <c r="UH27" s="297"/>
      <c r="UI27" s="297"/>
      <c r="UJ27" s="297"/>
      <c r="UK27" s="297"/>
      <c r="UL27" s="297"/>
      <c r="UM27" s="297"/>
      <c r="UN27" s="297"/>
      <c r="UO27" s="297"/>
      <c r="UP27" s="297"/>
      <c r="UQ27" s="297"/>
      <c r="UR27" s="297"/>
      <c r="US27" s="297"/>
      <c r="UT27" s="297"/>
      <c r="UU27" s="297"/>
      <c r="UV27" s="297"/>
      <c r="UW27" s="297"/>
      <c r="UX27" s="297"/>
      <c r="UY27" s="297"/>
      <c r="UZ27" s="297"/>
      <c r="VA27" s="297"/>
      <c r="VB27" s="297"/>
      <c r="VC27" s="297"/>
      <c r="VD27" s="297"/>
      <c r="VE27" s="297"/>
      <c r="VF27" s="297"/>
      <c r="VG27" s="297"/>
      <c r="VH27" s="297"/>
      <c r="VI27" s="297"/>
      <c r="VJ27" s="297"/>
      <c r="VK27" s="297"/>
      <c r="VL27" s="297"/>
      <c r="VM27" s="297"/>
      <c r="VN27" s="297"/>
      <c r="VO27" s="297"/>
      <c r="VP27" s="297"/>
      <c r="VQ27" s="297"/>
      <c r="VR27" s="297"/>
      <c r="VS27" s="297"/>
      <c r="VT27" s="297"/>
      <c r="VU27" s="297"/>
      <c r="VV27" s="297"/>
      <c r="VW27" s="297"/>
      <c r="VX27" s="297"/>
      <c r="VY27" s="297"/>
      <c r="VZ27" s="297"/>
      <c r="WA27" s="297"/>
      <c r="WB27" s="297"/>
      <c r="WC27" s="297"/>
      <c r="WD27" s="297"/>
      <c r="WE27" s="297"/>
      <c r="WF27" s="297"/>
      <c r="WG27" s="297"/>
      <c r="WH27" s="297"/>
      <c r="WI27" s="297"/>
      <c r="WJ27" s="297"/>
      <c r="WK27" s="297"/>
      <c r="WL27" s="297"/>
      <c r="WM27" s="297"/>
      <c r="WN27" s="297"/>
      <c r="WO27" s="297"/>
      <c r="WP27" s="297"/>
      <c r="WQ27" s="297"/>
      <c r="WR27" s="297"/>
      <c r="WS27" s="297"/>
      <c r="WT27" s="297"/>
      <c r="WU27" s="297"/>
      <c r="WV27" s="297"/>
      <c r="WW27" s="297"/>
      <c r="WX27" s="297"/>
      <c r="WY27" s="297"/>
      <c r="WZ27" s="297"/>
      <c r="XA27" s="297"/>
      <c r="XB27" s="297"/>
      <c r="XC27" s="297"/>
      <c r="XD27" s="297"/>
      <c r="XE27" s="297"/>
      <c r="XF27" s="297"/>
      <c r="XG27" s="297"/>
      <c r="XH27" s="297"/>
      <c r="XI27" s="297"/>
      <c r="XJ27" s="297"/>
      <c r="XK27" s="297"/>
      <c r="XL27" s="297"/>
      <c r="XM27" s="297"/>
      <c r="XN27" s="297"/>
      <c r="XO27" s="297"/>
      <c r="XP27" s="297"/>
      <c r="XQ27" s="297"/>
      <c r="XR27" s="297"/>
      <c r="XS27" s="297"/>
      <c r="XT27" s="297"/>
      <c r="XU27" s="297"/>
      <c r="XV27" s="297"/>
      <c r="XW27" s="297"/>
      <c r="XX27" s="297"/>
      <c r="XY27" s="297"/>
      <c r="XZ27" s="297"/>
      <c r="YA27" s="297"/>
      <c r="YB27" s="297"/>
      <c r="YC27" s="297"/>
      <c r="YD27" s="297"/>
      <c r="YE27" s="297"/>
      <c r="YF27" s="297"/>
      <c r="YG27" s="297"/>
      <c r="YH27" s="297"/>
      <c r="YI27" s="297"/>
      <c r="YJ27" s="297"/>
      <c r="YK27" s="297"/>
      <c r="YL27" s="297"/>
      <c r="YM27" s="297"/>
      <c r="YN27" s="297"/>
      <c r="YO27" s="297"/>
      <c r="YP27" s="297"/>
      <c r="YQ27" s="297"/>
      <c r="YR27" s="297"/>
      <c r="YS27" s="297"/>
      <c r="YT27" s="297"/>
      <c r="YU27" s="297"/>
      <c r="YV27" s="297"/>
      <c r="YW27" s="297"/>
      <c r="YX27" s="297"/>
      <c r="YY27" s="297"/>
      <c r="YZ27" s="297"/>
      <c r="ZA27" s="297"/>
      <c r="ZB27" s="297"/>
      <c r="ZC27" s="297"/>
      <c r="ZD27" s="297"/>
      <c r="ZE27" s="297"/>
      <c r="ZF27" s="297"/>
      <c r="ZG27" s="297"/>
      <c r="ZH27" s="297"/>
      <c r="ZI27" s="297"/>
      <c r="ZJ27" s="297"/>
      <c r="ZK27" s="297"/>
      <c r="ZL27" s="297"/>
      <c r="ZM27" s="297"/>
      <c r="ZN27" s="297"/>
      <c r="ZO27" s="297"/>
      <c r="ZP27" s="297"/>
      <c r="ZQ27" s="297"/>
      <c r="ZR27" s="297"/>
      <c r="ZS27" s="297"/>
      <c r="ZT27" s="297"/>
      <c r="ZU27" s="297"/>
      <c r="ZV27" s="297"/>
      <c r="ZW27" s="297"/>
      <c r="ZX27" s="297"/>
      <c r="ZY27" s="297"/>
      <c r="ZZ27" s="297"/>
      <c r="AAA27" s="297"/>
      <c r="AAB27" s="297"/>
      <c r="AAC27" s="297"/>
      <c r="AAD27" s="297"/>
      <c r="AAE27" s="297"/>
      <c r="AAF27" s="297"/>
      <c r="AAG27" s="297"/>
      <c r="AAH27" s="297"/>
      <c r="AAI27" s="297"/>
      <c r="AAJ27" s="297"/>
      <c r="AAK27" s="297"/>
      <c r="AAL27" s="297"/>
      <c r="AAM27" s="297"/>
      <c r="AAN27" s="297"/>
      <c r="AAO27" s="297"/>
      <c r="AAP27" s="297"/>
      <c r="AAQ27" s="297"/>
      <c r="AAR27" s="297"/>
      <c r="AAS27" s="297"/>
      <c r="AAT27" s="297"/>
      <c r="AAU27" s="297"/>
      <c r="AAV27" s="297"/>
      <c r="AAW27" s="297"/>
      <c r="AAX27" s="297"/>
      <c r="AAY27" s="297"/>
      <c r="AAZ27" s="297"/>
      <c r="ABA27" s="297"/>
      <c r="ABB27" s="297"/>
      <c r="ABC27" s="297"/>
      <c r="ABD27" s="297"/>
      <c r="ABE27" s="297"/>
      <c r="ABF27" s="297"/>
      <c r="ABG27" s="297"/>
      <c r="ABH27" s="297"/>
      <c r="ABI27" s="297"/>
      <c r="ABJ27" s="297"/>
      <c r="ABK27" s="297"/>
      <c r="ABL27" s="297"/>
      <c r="ABM27" s="297"/>
      <c r="ABN27" s="297"/>
      <c r="ABO27" s="297"/>
      <c r="ABP27" s="297"/>
      <c r="ABQ27" s="297"/>
      <c r="ABR27" s="297"/>
      <c r="ABS27" s="297"/>
      <c r="ABT27" s="297"/>
      <c r="ABU27" s="297"/>
      <c r="ABV27" s="297"/>
      <c r="ABW27" s="297"/>
      <c r="ABX27" s="297"/>
      <c r="ABY27" s="297"/>
      <c r="ABZ27" s="297"/>
      <c r="ACA27" s="297"/>
      <c r="ACB27" s="297"/>
      <c r="ACC27" s="297"/>
      <c r="ACD27" s="297"/>
      <c r="ACE27" s="297"/>
      <c r="ACF27" s="297"/>
      <c r="ACG27" s="297"/>
      <c r="ACH27" s="297"/>
      <c r="ACI27" s="297"/>
      <c r="ACJ27" s="297"/>
      <c r="ACK27" s="297"/>
      <c r="ACL27" s="297"/>
      <c r="ACM27" s="297"/>
      <c r="ACN27" s="297"/>
      <c r="ACO27" s="297"/>
      <c r="ACP27" s="297"/>
      <c r="ACQ27" s="297"/>
      <c r="ACR27" s="297"/>
      <c r="ACS27" s="297"/>
      <c r="ACT27" s="297"/>
      <c r="ACU27" s="297"/>
      <c r="ACV27" s="297"/>
      <c r="ACW27" s="297"/>
      <c r="ACX27" s="297"/>
      <c r="ACY27" s="297"/>
      <c r="ACZ27" s="297"/>
      <c r="ADA27" s="297"/>
      <c r="ADB27" s="297"/>
      <c r="ADC27" s="297"/>
      <c r="ADD27" s="297"/>
      <c r="ADE27" s="297"/>
      <c r="ADF27" s="297"/>
      <c r="ADG27" s="297"/>
      <c r="ADH27" s="297"/>
      <c r="ADI27" s="297"/>
      <c r="ADJ27" s="297"/>
      <c r="ADK27" s="297"/>
      <c r="ADL27" s="297"/>
      <c r="ADM27" s="297"/>
      <c r="ADN27" s="297"/>
      <c r="ADO27" s="297"/>
      <c r="ADP27" s="297"/>
      <c r="ADQ27" s="297"/>
      <c r="ADR27" s="297"/>
      <c r="ADS27" s="297"/>
      <c r="ADT27" s="297"/>
      <c r="ADU27" s="297"/>
      <c r="ADV27" s="297"/>
      <c r="ADW27" s="297"/>
      <c r="ADX27" s="297"/>
      <c r="ADY27" s="297"/>
      <c r="ADZ27" s="297"/>
      <c r="AEA27" s="297"/>
      <c r="AEB27" s="297"/>
      <c r="AEC27" s="297"/>
      <c r="AED27" s="297"/>
      <c r="AEE27" s="297"/>
      <c r="AEF27" s="297"/>
      <c r="AEG27" s="297"/>
      <c r="AEH27" s="297"/>
      <c r="AEI27" s="297"/>
      <c r="AEJ27" s="297"/>
      <c r="AEK27" s="297"/>
      <c r="AEL27" s="297"/>
      <c r="AEM27" s="297"/>
      <c r="AEN27" s="297"/>
      <c r="AEO27" s="297"/>
      <c r="AEP27" s="297"/>
      <c r="AEQ27" s="297"/>
      <c r="AER27" s="297"/>
      <c r="AES27" s="297"/>
      <c r="AET27" s="297"/>
      <c r="AEU27" s="297"/>
      <c r="AEV27" s="297"/>
      <c r="AEW27" s="297"/>
      <c r="AEX27" s="297"/>
      <c r="AEY27" s="297"/>
      <c r="AEZ27" s="297"/>
      <c r="AFA27" s="297"/>
      <c r="AFB27" s="297"/>
      <c r="AFC27" s="297"/>
      <c r="AFD27" s="297"/>
      <c r="AFE27" s="297"/>
      <c r="AFF27" s="297"/>
      <c r="AFG27" s="297"/>
      <c r="AFH27" s="297"/>
      <c r="AFI27" s="297"/>
      <c r="AFJ27" s="297"/>
      <c r="AFK27" s="297"/>
      <c r="AFL27" s="297"/>
      <c r="AFM27" s="297"/>
      <c r="AFN27" s="297"/>
      <c r="AFO27" s="297"/>
      <c r="AFP27" s="297"/>
      <c r="AFQ27" s="297"/>
      <c r="AFR27" s="297"/>
      <c r="AFS27" s="297"/>
      <c r="AFT27" s="297"/>
      <c r="AFU27" s="297"/>
      <c r="AFV27" s="297"/>
      <c r="AFW27" s="297"/>
      <c r="AFX27" s="297"/>
      <c r="AFY27" s="297"/>
      <c r="AFZ27" s="297"/>
      <c r="AGA27" s="297"/>
      <c r="AGB27" s="297"/>
      <c r="AGC27" s="297"/>
      <c r="AGD27" s="297"/>
      <c r="AGE27" s="297"/>
      <c r="AGF27" s="297"/>
      <c r="AGG27" s="297"/>
      <c r="AGH27" s="297"/>
      <c r="AGI27" s="297"/>
      <c r="AGJ27" s="297"/>
      <c r="AGK27" s="297"/>
      <c r="AGL27" s="297"/>
      <c r="AGM27" s="297"/>
      <c r="AGN27" s="297"/>
      <c r="AGO27" s="297"/>
      <c r="AGP27" s="297"/>
      <c r="AGQ27" s="297"/>
      <c r="AGR27" s="297"/>
      <c r="AGS27" s="297"/>
      <c r="AGT27" s="297"/>
      <c r="AGU27" s="297"/>
      <c r="AGV27" s="297"/>
      <c r="AGW27" s="297"/>
      <c r="AGX27" s="297"/>
      <c r="AGY27" s="297"/>
      <c r="AGZ27" s="297"/>
      <c r="AHA27" s="297"/>
      <c r="AHB27" s="297"/>
      <c r="AHC27" s="297"/>
      <c r="AHD27" s="297"/>
      <c r="AHE27" s="297"/>
      <c r="AHF27" s="297"/>
      <c r="AHG27" s="297"/>
      <c r="AHH27" s="297"/>
      <c r="AHI27" s="297"/>
      <c r="AHJ27" s="297"/>
      <c r="AHK27" s="297"/>
      <c r="AHL27" s="297"/>
      <c r="AHM27" s="297"/>
      <c r="AHN27" s="297"/>
      <c r="AHO27" s="297"/>
      <c r="AHP27" s="297"/>
      <c r="AHQ27" s="297"/>
      <c r="AHR27" s="297"/>
      <c r="AHS27" s="297"/>
      <c r="AHT27" s="297"/>
      <c r="AHU27" s="297"/>
      <c r="AHV27" s="297"/>
      <c r="AHW27" s="297"/>
      <c r="AHX27" s="297"/>
      <c r="AHY27" s="297"/>
      <c r="AHZ27" s="297"/>
      <c r="AIA27" s="297"/>
      <c r="AIB27" s="297"/>
      <c r="AIC27" s="297"/>
      <c r="AID27" s="297"/>
      <c r="AIE27" s="297"/>
      <c r="AIF27" s="297"/>
      <c r="AIG27" s="297"/>
      <c r="AIH27" s="297"/>
      <c r="AII27" s="297"/>
      <c r="AIJ27" s="297"/>
      <c r="AIK27" s="297"/>
      <c r="AIL27" s="297"/>
      <c r="AIM27" s="297"/>
      <c r="AIN27" s="297"/>
      <c r="AIO27" s="297"/>
      <c r="AIP27" s="297"/>
      <c r="AIQ27" s="297"/>
      <c r="AIR27" s="297"/>
      <c r="AIS27" s="297"/>
      <c r="AIT27" s="297"/>
      <c r="AIU27" s="297"/>
      <c r="AIV27" s="297"/>
      <c r="AIW27" s="297"/>
      <c r="AIX27" s="297"/>
      <c r="AIY27" s="297"/>
      <c r="AIZ27" s="297"/>
      <c r="AJA27" s="297"/>
      <c r="AJB27" s="297"/>
      <c r="AJC27" s="297"/>
      <c r="AJD27" s="297"/>
      <c r="AJE27" s="297"/>
      <c r="AJF27" s="297"/>
      <c r="AJG27" s="297"/>
      <c r="AJH27" s="297"/>
      <c r="AJI27" s="297"/>
      <c r="AJJ27" s="297"/>
      <c r="AJK27" s="297"/>
      <c r="AJL27" s="297"/>
      <c r="AJM27" s="297"/>
      <c r="AJN27" s="297"/>
      <c r="AJO27" s="297"/>
      <c r="AJP27" s="297"/>
      <c r="AJQ27" s="297"/>
      <c r="AJR27" s="297"/>
      <c r="AJS27" s="297"/>
      <c r="AJT27" s="297"/>
      <c r="AJU27" s="297"/>
      <c r="AJV27" s="297"/>
      <c r="AJW27" s="297"/>
      <c r="AJX27" s="297"/>
      <c r="AJY27" s="297"/>
      <c r="AJZ27" s="297"/>
      <c r="AKA27" s="297"/>
      <c r="AKB27" s="297"/>
      <c r="AKC27" s="297"/>
      <c r="AKD27" s="297"/>
      <c r="AKE27" s="297"/>
      <c r="AKF27" s="297"/>
      <c r="AKG27" s="297"/>
      <c r="AKH27" s="297"/>
      <c r="AKI27" s="297"/>
      <c r="AKJ27" s="297"/>
      <c r="AKK27" s="297"/>
      <c r="AKL27" s="297"/>
      <c r="AKM27" s="297"/>
      <c r="AKN27" s="297"/>
      <c r="AKO27" s="297"/>
      <c r="AKP27" s="297"/>
      <c r="AKQ27" s="297"/>
      <c r="AKR27" s="297"/>
      <c r="AKS27" s="297"/>
      <c r="AKT27" s="297"/>
      <c r="AKU27" s="297"/>
      <c r="AKV27" s="297"/>
      <c r="AKW27" s="297"/>
      <c r="AKX27" s="297"/>
      <c r="AKY27" s="297"/>
      <c r="AKZ27" s="297"/>
      <c r="ALA27" s="297"/>
      <c r="ALB27" s="297"/>
      <c r="ALC27" s="297"/>
      <c r="ALD27" s="297"/>
      <c r="ALE27" s="297"/>
      <c r="ALF27" s="297"/>
      <c r="ALG27" s="297"/>
      <c r="ALH27" s="297"/>
      <c r="ALI27" s="297"/>
      <c r="ALJ27" s="297"/>
      <c r="ALK27" s="297"/>
      <c r="ALL27" s="297"/>
      <c r="ALM27" s="297"/>
      <c r="ALN27" s="297"/>
      <c r="ALO27" s="297"/>
      <c r="ALP27" s="297"/>
      <c r="ALQ27" s="297"/>
      <c r="ALR27" s="297"/>
      <c r="ALS27" s="297"/>
      <c r="ALT27" s="297"/>
      <c r="ALU27" s="299"/>
      <c r="ALV27" s="299"/>
      <c r="ALW27" s="299"/>
      <c r="ALX27" s="299"/>
      <c r="ALY27" s="299"/>
      <c r="ALZ27" s="299"/>
      <c r="AMA27" s="299"/>
      <c r="AMB27" s="299"/>
      <c r="AMC27" s="299"/>
      <c r="AMD27" s="299"/>
      <c r="AME27" s="299"/>
      <c r="AMF27" s="299"/>
      <c r="AMG27" s="299"/>
      <c r="AMH27" s="299"/>
      <c r="AMI27" s="300"/>
    </row>
    <row r="28" spans="1:1023" s="259" customFormat="1" x14ac:dyDescent="0.25">
      <c r="A28" s="255"/>
      <c r="B28" s="255"/>
      <c r="C28" s="255"/>
      <c r="D28" s="255"/>
      <c r="E28" s="255"/>
      <c r="F28" s="255"/>
      <c r="G28" s="255"/>
      <c r="H28" s="255"/>
      <c r="I28" s="255"/>
      <c r="J28" s="255"/>
      <c r="K28" s="255"/>
      <c r="L28" s="255"/>
      <c r="M28" s="255"/>
      <c r="N28" s="255"/>
      <c r="O28" s="255"/>
      <c r="P28" s="255"/>
      <c r="Q28" s="255"/>
      <c r="R28" s="255"/>
      <c r="S28" s="255"/>
      <c r="T28" s="255"/>
      <c r="U28" s="255"/>
      <c r="V28" s="255"/>
      <c r="W28" s="255"/>
      <c r="X28" s="255"/>
      <c r="Y28" s="255"/>
      <c r="Z28" s="255"/>
      <c r="AA28" s="255"/>
      <c r="AB28" s="255"/>
      <c r="AC28" s="255"/>
      <c r="AD28" s="255"/>
      <c r="AE28" s="255"/>
      <c r="AF28" s="255"/>
      <c r="AG28" s="255"/>
      <c r="AH28" s="255"/>
      <c r="AI28" s="255"/>
      <c r="AJ28" s="255"/>
      <c r="AK28" s="255"/>
      <c r="AL28" s="255"/>
      <c r="AM28" s="255"/>
      <c r="AN28" s="255"/>
      <c r="AO28" s="255"/>
      <c r="AP28" s="255"/>
      <c r="AQ28" s="255"/>
      <c r="AR28" s="255"/>
      <c r="AS28" s="255"/>
      <c r="AT28" s="255"/>
      <c r="AU28" s="255"/>
      <c r="AV28" s="255"/>
      <c r="AW28" s="255"/>
      <c r="AX28" s="255"/>
      <c r="AY28" s="255"/>
      <c r="AZ28" s="255"/>
      <c r="BA28" s="255"/>
      <c r="BB28" s="255"/>
      <c r="BC28" s="255"/>
      <c r="BD28" s="255"/>
      <c r="BE28" s="255"/>
      <c r="BF28" s="255"/>
      <c r="BG28" s="255"/>
      <c r="BH28" s="255"/>
      <c r="BI28" s="255"/>
      <c r="BJ28" s="255"/>
      <c r="BK28" s="255"/>
      <c r="BL28" s="255"/>
      <c r="BM28" s="255"/>
      <c r="BN28" s="255"/>
      <c r="BO28" s="255"/>
      <c r="BP28" s="255"/>
      <c r="BQ28" s="255"/>
      <c r="BR28" s="255"/>
      <c r="BS28" s="255"/>
      <c r="BT28" s="255"/>
      <c r="BU28" s="255"/>
      <c r="BV28" s="255"/>
      <c r="BW28" s="255"/>
      <c r="BX28" s="255"/>
      <c r="BY28" s="255"/>
      <c r="BZ28" s="255"/>
      <c r="CA28" s="255"/>
      <c r="CB28" s="255"/>
      <c r="CC28" s="255"/>
      <c r="CD28" s="255"/>
      <c r="CE28" s="255"/>
      <c r="CF28" s="255"/>
      <c r="CG28" s="255"/>
      <c r="CH28" s="255"/>
      <c r="CI28" s="255"/>
      <c r="CJ28" s="255"/>
      <c r="CK28" s="255"/>
      <c r="CL28" s="255"/>
      <c r="CM28" s="255"/>
      <c r="CN28" s="255"/>
      <c r="CO28" s="255"/>
      <c r="CP28" s="255"/>
      <c r="CQ28" s="255"/>
      <c r="CR28" s="255"/>
      <c r="CS28" s="255"/>
      <c r="CT28" s="255"/>
      <c r="CU28" s="255"/>
      <c r="CV28" s="255"/>
      <c r="CW28" s="255"/>
      <c r="CX28" s="255"/>
      <c r="CY28" s="255"/>
      <c r="CZ28" s="255"/>
      <c r="DA28" s="255"/>
      <c r="DB28" s="255"/>
      <c r="DC28" s="255"/>
      <c r="DD28" s="255"/>
      <c r="DE28" s="255"/>
      <c r="DF28" s="255"/>
      <c r="DG28" s="255"/>
      <c r="DH28" s="255"/>
      <c r="DI28" s="255"/>
      <c r="DJ28" s="255"/>
      <c r="DK28" s="255"/>
      <c r="DL28" s="255"/>
      <c r="DM28" s="255"/>
      <c r="DN28" s="255"/>
      <c r="DO28" s="255"/>
      <c r="DP28" s="255"/>
      <c r="DQ28" s="255"/>
      <c r="DR28" s="255"/>
      <c r="DS28" s="255"/>
      <c r="DT28" s="255"/>
      <c r="DU28" s="255"/>
      <c r="DV28" s="255"/>
      <c r="DW28" s="255"/>
      <c r="DX28" s="255"/>
      <c r="DY28" s="255"/>
      <c r="DZ28" s="255"/>
      <c r="EA28" s="255"/>
      <c r="EB28" s="255"/>
      <c r="EC28" s="255"/>
      <c r="ED28" s="255"/>
      <c r="EE28" s="255"/>
      <c r="EF28" s="255"/>
      <c r="EG28" s="255"/>
      <c r="EH28" s="255"/>
      <c r="EI28" s="255"/>
      <c r="EJ28" s="255"/>
      <c r="EK28" s="255"/>
      <c r="EL28" s="255"/>
      <c r="EM28" s="255"/>
      <c r="EN28" s="255"/>
      <c r="EO28" s="255"/>
      <c r="EP28" s="255"/>
      <c r="EQ28" s="255"/>
      <c r="ER28" s="255"/>
      <c r="ES28" s="255"/>
      <c r="ET28" s="255"/>
      <c r="EU28" s="255"/>
      <c r="EV28" s="255"/>
      <c r="EW28" s="255"/>
      <c r="EX28" s="255"/>
      <c r="EY28" s="255"/>
      <c r="EZ28" s="255"/>
      <c r="FA28" s="255"/>
      <c r="FB28" s="255"/>
      <c r="FC28" s="255"/>
      <c r="FD28" s="255"/>
      <c r="FE28" s="255"/>
      <c r="FF28" s="255"/>
      <c r="FG28" s="255"/>
      <c r="FH28" s="255"/>
      <c r="FI28" s="255"/>
      <c r="FJ28" s="255"/>
      <c r="FK28" s="255"/>
      <c r="FL28" s="255"/>
      <c r="FM28" s="255"/>
      <c r="FN28" s="255"/>
      <c r="FO28" s="255"/>
      <c r="FP28" s="255"/>
      <c r="FQ28" s="255"/>
      <c r="FR28" s="255"/>
      <c r="FS28" s="255"/>
      <c r="FT28" s="255"/>
      <c r="FU28" s="255"/>
      <c r="FV28" s="255"/>
      <c r="FW28" s="255"/>
      <c r="FX28" s="255"/>
      <c r="FY28" s="255"/>
      <c r="FZ28" s="255"/>
      <c r="GA28" s="255"/>
      <c r="GB28" s="255"/>
      <c r="GC28" s="255"/>
      <c r="GD28" s="255"/>
      <c r="GE28" s="255"/>
      <c r="GF28" s="255"/>
      <c r="GG28" s="255"/>
      <c r="GH28" s="255"/>
      <c r="GI28" s="255"/>
      <c r="GJ28" s="255"/>
      <c r="GK28" s="255"/>
      <c r="GL28" s="255"/>
      <c r="GM28" s="255"/>
      <c r="GN28" s="255"/>
      <c r="GO28" s="255"/>
      <c r="GP28" s="255"/>
      <c r="GQ28" s="255"/>
      <c r="GR28" s="255"/>
      <c r="GS28" s="255"/>
      <c r="GT28" s="255"/>
      <c r="GU28" s="255"/>
      <c r="GV28" s="255"/>
      <c r="GW28" s="255"/>
      <c r="GX28" s="255"/>
      <c r="GY28" s="255"/>
      <c r="GZ28" s="255"/>
      <c r="HA28" s="255"/>
      <c r="HB28" s="255"/>
      <c r="HC28" s="255"/>
      <c r="HD28" s="255"/>
      <c r="HE28" s="255"/>
      <c r="HF28" s="255"/>
      <c r="HG28" s="255"/>
      <c r="HH28" s="255"/>
      <c r="HI28" s="255"/>
      <c r="HJ28" s="255"/>
      <c r="HK28" s="255"/>
      <c r="HL28" s="255"/>
      <c r="HM28" s="255"/>
      <c r="HN28" s="255"/>
      <c r="HO28" s="255"/>
      <c r="HP28" s="255"/>
      <c r="HQ28" s="255"/>
      <c r="HR28" s="255"/>
      <c r="HS28" s="255"/>
      <c r="HT28" s="255"/>
      <c r="HU28" s="255"/>
      <c r="HV28" s="255"/>
      <c r="HW28" s="255"/>
      <c r="HX28" s="255"/>
      <c r="HY28" s="255"/>
      <c r="HZ28" s="255"/>
      <c r="IA28" s="255"/>
      <c r="IB28" s="255"/>
      <c r="IC28" s="255"/>
      <c r="ID28" s="255"/>
      <c r="IE28" s="255"/>
      <c r="IF28" s="255"/>
      <c r="IG28" s="255"/>
      <c r="IH28" s="255"/>
      <c r="II28" s="255"/>
      <c r="IJ28" s="255"/>
      <c r="IK28" s="255"/>
      <c r="IL28" s="255"/>
      <c r="IM28" s="255"/>
      <c r="IN28" s="255"/>
      <c r="IO28" s="255"/>
      <c r="IP28" s="255"/>
      <c r="IQ28" s="255"/>
      <c r="IR28" s="255"/>
      <c r="IS28" s="255"/>
      <c r="IT28" s="255"/>
      <c r="IU28" s="255"/>
      <c r="IV28" s="255"/>
      <c r="IW28" s="255"/>
      <c r="IX28" s="255"/>
      <c r="IY28" s="255"/>
      <c r="IZ28" s="255"/>
      <c r="JA28" s="255"/>
      <c r="JB28" s="255"/>
      <c r="JC28" s="255"/>
      <c r="JD28" s="255"/>
      <c r="JE28" s="255"/>
      <c r="JF28" s="255"/>
      <c r="JG28" s="255"/>
      <c r="JH28" s="255"/>
      <c r="JI28" s="255"/>
      <c r="JJ28" s="255"/>
      <c r="JK28" s="255"/>
      <c r="JL28" s="255"/>
      <c r="JM28" s="255"/>
      <c r="JN28" s="255"/>
      <c r="JO28" s="255"/>
      <c r="JP28" s="255"/>
      <c r="JQ28" s="255"/>
      <c r="JR28" s="255"/>
      <c r="JS28" s="255"/>
      <c r="JT28" s="255"/>
      <c r="JU28" s="255"/>
      <c r="JV28" s="255"/>
      <c r="JW28" s="255"/>
      <c r="JX28" s="255"/>
      <c r="JY28" s="255"/>
      <c r="JZ28" s="255"/>
      <c r="KA28" s="255"/>
      <c r="KB28" s="255"/>
      <c r="KC28" s="255"/>
      <c r="KD28" s="255"/>
      <c r="KE28" s="255"/>
      <c r="KF28" s="255"/>
      <c r="KG28" s="255"/>
      <c r="KH28" s="255"/>
      <c r="KI28" s="255"/>
      <c r="KJ28" s="255"/>
      <c r="KK28" s="255"/>
      <c r="KL28" s="255"/>
      <c r="KM28" s="255"/>
      <c r="KN28" s="255"/>
      <c r="KO28" s="255"/>
      <c r="KP28" s="255"/>
      <c r="KQ28" s="255"/>
      <c r="KR28" s="255"/>
      <c r="KS28" s="255"/>
      <c r="KT28" s="255"/>
      <c r="KU28" s="255"/>
      <c r="KV28" s="255"/>
      <c r="KW28" s="255"/>
      <c r="KX28" s="255"/>
      <c r="KY28" s="255"/>
      <c r="KZ28" s="255"/>
      <c r="LA28" s="255"/>
      <c r="LB28" s="255"/>
      <c r="LC28" s="255"/>
      <c r="LD28" s="255"/>
      <c r="LE28" s="255"/>
      <c r="LF28" s="255"/>
      <c r="LG28" s="255"/>
      <c r="LH28" s="255"/>
      <c r="LI28" s="255"/>
      <c r="LJ28" s="255"/>
      <c r="LK28" s="255"/>
      <c r="LL28" s="255"/>
      <c r="LM28" s="255"/>
      <c r="LN28" s="255"/>
      <c r="LO28" s="255"/>
      <c r="LP28" s="255"/>
      <c r="LQ28" s="255"/>
      <c r="LR28" s="255"/>
      <c r="LS28" s="255"/>
      <c r="LT28" s="255"/>
      <c r="LU28" s="255"/>
      <c r="LV28" s="255"/>
      <c r="LW28" s="255"/>
      <c r="LX28" s="255"/>
      <c r="LY28" s="255"/>
      <c r="LZ28" s="255"/>
      <c r="MA28" s="255"/>
      <c r="MB28" s="255"/>
      <c r="MC28" s="255"/>
      <c r="MD28" s="255"/>
      <c r="ME28" s="255"/>
      <c r="MF28" s="255"/>
      <c r="MG28" s="255"/>
      <c r="MH28" s="255"/>
      <c r="MI28" s="255"/>
      <c r="MJ28" s="255"/>
      <c r="MK28" s="255"/>
      <c r="ML28" s="255"/>
      <c r="MM28" s="255"/>
      <c r="MN28" s="255"/>
      <c r="MO28" s="255"/>
      <c r="MP28" s="255"/>
      <c r="MQ28" s="255"/>
      <c r="MR28" s="255"/>
      <c r="MS28" s="255"/>
      <c r="MT28" s="255"/>
      <c r="MU28" s="255"/>
      <c r="MV28" s="255"/>
      <c r="MW28" s="255"/>
      <c r="MX28" s="255"/>
      <c r="MY28" s="255"/>
      <c r="MZ28" s="255"/>
      <c r="NA28" s="255"/>
      <c r="NB28" s="255"/>
      <c r="NC28" s="255"/>
      <c r="ND28" s="255"/>
      <c r="NE28" s="255"/>
      <c r="NF28" s="255"/>
      <c r="NG28" s="255"/>
      <c r="NH28" s="255"/>
      <c r="NI28" s="255"/>
      <c r="NJ28" s="255"/>
      <c r="NK28" s="255"/>
      <c r="NL28" s="255"/>
      <c r="NM28" s="255"/>
      <c r="NN28" s="255"/>
      <c r="NO28" s="255"/>
      <c r="NP28" s="255"/>
      <c r="NQ28" s="255"/>
      <c r="NR28" s="255"/>
      <c r="NS28" s="255"/>
      <c r="NT28" s="255"/>
      <c r="NU28" s="255"/>
      <c r="NV28" s="255"/>
      <c r="NW28" s="255"/>
      <c r="NX28" s="255"/>
      <c r="NY28" s="255"/>
      <c r="NZ28" s="255"/>
      <c r="OA28" s="255"/>
      <c r="OB28" s="255"/>
      <c r="OC28" s="255"/>
      <c r="OD28" s="255"/>
      <c r="OE28" s="255"/>
      <c r="OF28" s="255"/>
      <c r="OG28" s="255"/>
      <c r="OH28" s="255"/>
      <c r="OI28" s="255"/>
      <c r="OJ28" s="255"/>
      <c r="OK28" s="255"/>
      <c r="OL28" s="255"/>
      <c r="OM28" s="255"/>
      <c r="ON28" s="255"/>
      <c r="OO28" s="255"/>
      <c r="OP28" s="255"/>
      <c r="OQ28" s="255"/>
      <c r="OR28" s="255"/>
      <c r="OS28" s="255"/>
      <c r="OT28" s="255"/>
      <c r="OU28" s="255"/>
      <c r="OV28" s="255"/>
      <c r="OW28" s="255"/>
      <c r="OX28" s="255"/>
      <c r="OY28" s="255"/>
      <c r="OZ28" s="255"/>
      <c r="PA28" s="255"/>
      <c r="PB28" s="255"/>
      <c r="PC28" s="255"/>
      <c r="PD28" s="255"/>
      <c r="PE28" s="255"/>
      <c r="PF28" s="255"/>
      <c r="PG28" s="255"/>
      <c r="PH28" s="255"/>
      <c r="PI28" s="255"/>
      <c r="PJ28" s="255"/>
      <c r="PK28" s="255"/>
      <c r="PL28" s="255"/>
      <c r="PM28" s="255"/>
      <c r="PN28" s="255"/>
      <c r="PO28" s="255"/>
      <c r="PP28" s="255"/>
      <c r="PQ28" s="255"/>
      <c r="PR28" s="255"/>
      <c r="PS28" s="255"/>
      <c r="PT28" s="255"/>
      <c r="PU28" s="255"/>
      <c r="PV28" s="255"/>
      <c r="PW28" s="255"/>
      <c r="PX28" s="255"/>
      <c r="PY28" s="255"/>
      <c r="PZ28" s="255"/>
      <c r="QA28" s="255"/>
      <c r="QB28" s="255"/>
      <c r="QC28" s="255"/>
      <c r="QD28" s="255"/>
      <c r="QE28" s="255"/>
      <c r="QF28" s="255"/>
      <c r="QG28" s="255"/>
      <c r="QH28" s="255"/>
      <c r="QI28" s="255"/>
      <c r="QJ28" s="255"/>
      <c r="QK28" s="255"/>
      <c r="QL28" s="255"/>
      <c r="QM28" s="255"/>
      <c r="QN28" s="255"/>
      <c r="QO28" s="255"/>
      <c r="QP28" s="255"/>
      <c r="QQ28" s="255"/>
      <c r="QR28" s="255"/>
      <c r="QS28" s="255"/>
      <c r="QT28" s="255"/>
      <c r="QU28" s="255"/>
      <c r="QV28" s="255"/>
      <c r="QW28" s="255"/>
      <c r="QX28" s="255"/>
      <c r="QY28" s="255"/>
      <c r="QZ28" s="255"/>
      <c r="RA28" s="255"/>
      <c r="RB28" s="255"/>
      <c r="RC28" s="255"/>
      <c r="RD28" s="255"/>
      <c r="RE28" s="255"/>
      <c r="RF28" s="255"/>
      <c r="RG28" s="255"/>
      <c r="RH28" s="255"/>
      <c r="RI28" s="255"/>
      <c r="RJ28" s="255"/>
      <c r="RK28" s="255"/>
      <c r="RL28" s="255"/>
      <c r="RM28" s="255"/>
      <c r="RN28" s="255"/>
      <c r="RO28" s="255"/>
      <c r="RP28" s="255"/>
      <c r="RQ28" s="255"/>
      <c r="RR28" s="255"/>
      <c r="RS28" s="255"/>
      <c r="RT28" s="255"/>
      <c r="RU28" s="255"/>
      <c r="RV28" s="255"/>
      <c r="RW28" s="255"/>
      <c r="RX28" s="255"/>
      <c r="RY28" s="255"/>
      <c r="RZ28" s="255"/>
      <c r="SA28" s="255"/>
      <c r="SB28" s="255"/>
      <c r="SC28" s="255"/>
      <c r="SD28" s="255"/>
      <c r="SE28" s="255"/>
      <c r="SF28" s="255"/>
      <c r="SG28" s="255"/>
      <c r="SH28" s="255"/>
      <c r="SI28" s="255"/>
      <c r="SJ28" s="255"/>
      <c r="SK28" s="255"/>
      <c r="SL28" s="255"/>
      <c r="SM28" s="255"/>
      <c r="SN28" s="255"/>
      <c r="SO28" s="255"/>
      <c r="SP28" s="255"/>
      <c r="SQ28" s="255"/>
      <c r="SR28" s="255"/>
      <c r="SS28" s="255"/>
      <c r="ST28" s="255"/>
      <c r="SU28" s="255"/>
      <c r="SV28" s="255"/>
      <c r="SW28" s="255"/>
      <c r="SX28" s="255"/>
      <c r="SY28" s="255"/>
      <c r="SZ28" s="255"/>
      <c r="TA28" s="255"/>
      <c r="TB28" s="255"/>
      <c r="TC28" s="255"/>
      <c r="TD28" s="255"/>
      <c r="TE28" s="255"/>
      <c r="TF28" s="255"/>
      <c r="TG28" s="255"/>
      <c r="TH28" s="255"/>
      <c r="TI28" s="255"/>
      <c r="TJ28" s="255"/>
      <c r="TK28" s="255"/>
      <c r="TL28" s="255"/>
      <c r="TM28" s="255"/>
      <c r="TN28" s="255"/>
      <c r="TO28" s="255"/>
      <c r="TP28" s="255"/>
      <c r="TQ28" s="255"/>
      <c r="TR28" s="255"/>
      <c r="TS28" s="255"/>
      <c r="TT28" s="255"/>
      <c r="TU28" s="255"/>
      <c r="TV28" s="255"/>
      <c r="TW28" s="255"/>
      <c r="TX28" s="255"/>
      <c r="TY28" s="255"/>
      <c r="TZ28" s="255"/>
      <c r="UA28" s="255"/>
      <c r="UB28" s="255"/>
      <c r="UC28" s="255"/>
      <c r="UD28" s="255"/>
      <c r="UE28" s="255"/>
      <c r="UF28" s="255"/>
      <c r="UG28" s="255"/>
      <c r="UH28" s="255"/>
      <c r="UI28" s="255"/>
      <c r="UJ28" s="255"/>
      <c r="UK28" s="255"/>
      <c r="UL28" s="255"/>
      <c r="UM28" s="255"/>
      <c r="UN28" s="255"/>
      <c r="UO28" s="255"/>
      <c r="UP28" s="255"/>
      <c r="UQ28" s="255"/>
      <c r="UR28" s="255"/>
      <c r="US28" s="255"/>
      <c r="UT28" s="255"/>
      <c r="UU28" s="255"/>
      <c r="UV28" s="255"/>
      <c r="UW28" s="255"/>
      <c r="UX28" s="255"/>
      <c r="UY28" s="255"/>
      <c r="UZ28" s="255"/>
      <c r="VA28" s="255"/>
      <c r="VB28" s="255"/>
      <c r="VC28" s="255"/>
      <c r="VD28" s="255"/>
      <c r="VE28" s="255"/>
      <c r="VF28" s="255"/>
      <c r="VG28" s="255"/>
      <c r="VH28" s="255"/>
      <c r="VI28" s="255"/>
      <c r="VJ28" s="255"/>
      <c r="VK28" s="255"/>
      <c r="VL28" s="255"/>
      <c r="VM28" s="255"/>
      <c r="VN28" s="255"/>
      <c r="VO28" s="255"/>
      <c r="VP28" s="255"/>
      <c r="VQ28" s="255"/>
      <c r="VR28" s="255"/>
      <c r="VS28" s="255"/>
      <c r="VT28" s="255"/>
      <c r="VU28" s="255"/>
      <c r="VV28" s="255"/>
      <c r="VW28" s="255"/>
      <c r="VX28" s="255"/>
      <c r="VY28" s="255"/>
      <c r="VZ28" s="255"/>
      <c r="WA28" s="255"/>
      <c r="WB28" s="255"/>
      <c r="WC28" s="255"/>
      <c r="WD28" s="255"/>
      <c r="WE28" s="255"/>
      <c r="WF28" s="255"/>
      <c r="WG28" s="255"/>
      <c r="WH28" s="255"/>
      <c r="WI28" s="255"/>
      <c r="WJ28" s="255"/>
      <c r="WK28" s="255"/>
      <c r="WL28" s="255"/>
      <c r="WM28" s="255"/>
      <c r="WN28" s="255"/>
      <c r="WO28" s="255"/>
      <c r="WP28" s="255"/>
      <c r="WQ28" s="255"/>
      <c r="WR28" s="255"/>
      <c r="WS28" s="255"/>
      <c r="WT28" s="255"/>
      <c r="WU28" s="255"/>
      <c r="WV28" s="255"/>
      <c r="WW28" s="255"/>
      <c r="WX28" s="255"/>
      <c r="WY28" s="255"/>
      <c r="WZ28" s="255"/>
      <c r="XA28" s="255"/>
      <c r="XB28" s="255"/>
      <c r="XC28" s="255"/>
      <c r="XD28" s="255"/>
      <c r="XE28" s="255"/>
      <c r="XF28" s="255"/>
      <c r="XG28" s="255"/>
      <c r="XH28" s="255"/>
      <c r="XI28" s="255"/>
      <c r="XJ28" s="255"/>
      <c r="XK28" s="255"/>
      <c r="XL28" s="255"/>
      <c r="XM28" s="255"/>
      <c r="XN28" s="255"/>
      <c r="XO28" s="255"/>
      <c r="XP28" s="255"/>
      <c r="XQ28" s="255"/>
      <c r="XR28" s="255"/>
      <c r="XS28" s="255"/>
      <c r="XT28" s="255"/>
      <c r="XU28" s="255"/>
      <c r="XV28" s="255"/>
      <c r="XW28" s="255"/>
      <c r="XX28" s="255"/>
      <c r="XY28" s="255"/>
      <c r="XZ28" s="255"/>
      <c r="YA28" s="255"/>
      <c r="YB28" s="255"/>
      <c r="YC28" s="255"/>
      <c r="YD28" s="255"/>
      <c r="YE28" s="255"/>
      <c r="YF28" s="255"/>
      <c r="YG28" s="255"/>
      <c r="YH28" s="255"/>
      <c r="YI28" s="255"/>
      <c r="YJ28" s="255"/>
      <c r="YK28" s="255"/>
      <c r="YL28" s="255"/>
      <c r="YM28" s="255"/>
      <c r="YN28" s="255"/>
      <c r="YO28" s="255"/>
      <c r="YP28" s="255"/>
      <c r="YQ28" s="255"/>
      <c r="YR28" s="255"/>
      <c r="YS28" s="255"/>
      <c r="YT28" s="255"/>
      <c r="YU28" s="255"/>
      <c r="YV28" s="255"/>
      <c r="YW28" s="255"/>
      <c r="YX28" s="255"/>
      <c r="YY28" s="255"/>
      <c r="YZ28" s="255"/>
      <c r="ZA28" s="255"/>
      <c r="ZB28" s="255"/>
      <c r="ZC28" s="255"/>
      <c r="ZD28" s="255"/>
      <c r="ZE28" s="255"/>
      <c r="ZF28" s="255"/>
      <c r="ZG28" s="255"/>
      <c r="ZH28" s="255"/>
      <c r="ZI28" s="255"/>
      <c r="ZJ28" s="255"/>
      <c r="ZK28" s="255"/>
      <c r="ZL28" s="255"/>
      <c r="ZM28" s="255"/>
      <c r="ZN28" s="255"/>
      <c r="ZO28" s="255"/>
      <c r="ZP28" s="255"/>
      <c r="ZQ28" s="255"/>
      <c r="ZR28" s="255"/>
      <c r="ZS28" s="255"/>
      <c r="ZT28" s="255"/>
      <c r="ZU28" s="255"/>
      <c r="ZV28" s="255"/>
      <c r="ZW28" s="255"/>
      <c r="ZX28" s="255"/>
      <c r="ZY28" s="255"/>
      <c r="ZZ28" s="255"/>
      <c r="AAA28" s="255"/>
      <c r="AAB28" s="255"/>
      <c r="AAC28" s="255"/>
      <c r="AAD28" s="255"/>
      <c r="AAE28" s="255"/>
      <c r="AAF28" s="255"/>
      <c r="AAG28" s="255"/>
      <c r="AAH28" s="255"/>
      <c r="AAI28" s="255"/>
      <c r="AAJ28" s="255"/>
      <c r="AAK28" s="255"/>
      <c r="AAL28" s="255"/>
      <c r="AAM28" s="255"/>
      <c r="AAN28" s="255"/>
      <c r="AAO28" s="255"/>
      <c r="AAP28" s="255"/>
      <c r="AAQ28" s="255"/>
      <c r="AAR28" s="255"/>
      <c r="AAS28" s="255"/>
      <c r="AAT28" s="255"/>
      <c r="AAU28" s="255"/>
      <c r="AAV28" s="255"/>
      <c r="AAW28" s="255"/>
      <c r="AAX28" s="255"/>
      <c r="AAY28" s="255"/>
      <c r="AAZ28" s="255"/>
      <c r="ABA28" s="255"/>
      <c r="ABB28" s="255"/>
      <c r="ABC28" s="255"/>
      <c r="ABD28" s="255"/>
      <c r="ABE28" s="255"/>
      <c r="ABF28" s="255"/>
      <c r="ABG28" s="255"/>
      <c r="ABH28" s="255"/>
      <c r="ABI28" s="255"/>
      <c r="ABJ28" s="255"/>
      <c r="ABK28" s="255"/>
      <c r="ABL28" s="255"/>
      <c r="ABM28" s="255"/>
      <c r="ABN28" s="255"/>
      <c r="ABO28" s="255"/>
      <c r="ABP28" s="255"/>
      <c r="ABQ28" s="255"/>
      <c r="ABR28" s="255"/>
      <c r="ABS28" s="255"/>
      <c r="ABT28" s="255"/>
      <c r="ABU28" s="255"/>
      <c r="ABV28" s="255"/>
      <c r="ABW28" s="255"/>
      <c r="ABX28" s="255"/>
      <c r="ABY28" s="255"/>
      <c r="ABZ28" s="255"/>
      <c r="ACA28" s="255"/>
      <c r="ACB28" s="255"/>
      <c r="ACC28" s="255"/>
      <c r="ACD28" s="255"/>
      <c r="ACE28" s="255"/>
      <c r="ACF28" s="255"/>
      <c r="ACG28" s="255"/>
      <c r="ACH28" s="255"/>
      <c r="ACI28" s="255"/>
      <c r="ACJ28" s="255"/>
      <c r="ACK28" s="255"/>
      <c r="ACL28" s="255"/>
      <c r="ACM28" s="255"/>
      <c r="ACN28" s="255"/>
      <c r="ACO28" s="255"/>
      <c r="ACP28" s="255"/>
      <c r="ACQ28" s="255"/>
      <c r="ACR28" s="255"/>
      <c r="ACS28" s="255"/>
      <c r="ACT28" s="255"/>
      <c r="ACU28" s="255"/>
      <c r="ACV28" s="255"/>
      <c r="ACW28" s="255"/>
      <c r="ACX28" s="255"/>
      <c r="ACY28" s="255"/>
      <c r="ACZ28" s="255"/>
      <c r="ADA28" s="255"/>
      <c r="ADB28" s="255"/>
      <c r="ADC28" s="255"/>
      <c r="ADD28" s="255"/>
      <c r="ADE28" s="255"/>
      <c r="ADF28" s="255"/>
      <c r="ADG28" s="255"/>
      <c r="ADH28" s="255"/>
      <c r="ADI28" s="255"/>
      <c r="ADJ28" s="255"/>
      <c r="ADK28" s="255"/>
      <c r="ADL28" s="255"/>
      <c r="ADM28" s="255"/>
      <c r="ADN28" s="255"/>
      <c r="ADO28" s="255"/>
      <c r="ADP28" s="255"/>
      <c r="ADQ28" s="255"/>
      <c r="ADR28" s="255"/>
      <c r="ADS28" s="255"/>
      <c r="ADT28" s="255"/>
      <c r="ADU28" s="255"/>
      <c r="ADV28" s="255"/>
      <c r="ADW28" s="255"/>
      <c r="ADX28" s="255"/>
      <c r="ADY28" s="255"/>
      <c r="ADZ28" s="255"/>
      <c r="AEA28" s="255"/>
      <c r="AEB28" s="255"/>
      <c r="AEC28" s="255"/>
      <c r="AED28" s="255"/>
      <c r="AEE28" s="255"/>
      <c r="AEF28" s="255"/>
      <c r="AEG28" s="255"/>
      <c r="AEH28" s="255"/>
      <c r="AEI28" s="255"/>
      <c r="AEJ28" s="255"/>
      <c r="AEK28" s="255"/>
      <c r="AEL28" s="255"/>
      <c r="AEM28" s="255"/>
      <c r="AEN28" s="255"/>
      <c r="AEO28" s="255"/>
      <c r="AEP28" s="255"/>
      <c r="AEQ28" s="255"/>
      <c r="AER28" s="255"/>
      <c r="AES28" s="255"/>
      <c r="AET28" s="255"/>
      <c r="AEU28" s="255"/>
      <c r="AEV28" s="255"/>
      <c r="AEW28" s="255"/>
      <c r="AEX28" s="255"/>
      <c r="AEY28" s="255"/>
      <c r="AEZ28" s="255"/>
      <c r="AFA28" s="255"/>
      <c r="AFB28" s="255"/>
      <c r="AFC28" s="255"/>
      <c r="AFD28" s="255"/>
      <c r="AFE28" s="255"/>
      <c r="AFF28" s="255"/>
      <c r="AFG28" s="255"/>
      <c r="AFH28" s="255"/>
      <c r="AFI28" s="255"/>
      <c r="AFJ28" s="255"/>
      <c r="AFK28" s="255"/>
      <c r="AFL28" s="255"/>
      <c r="AFM28" s="255"/>
      <c r="AFN28" s="255"/>
      <c r="AFO28" s="255"/>
      <c r="AFP28" s="255"/>
      <c r="AFQ28" s="255"/>
      <c r="AFR28" s="255"/>
      <c r="AFS28" s="255"/>
      <c r="AFT28" s="255"/>
      <c r="AFU28" s="255"/>
      <c r="AFV28" s="255"/>
      <c r="AFW28" s="255"/>
      <c r="AFX28" s="255"/>
      <c r="AFY28" s="255"/>
      <c r="AFZ28" s="255"/>
      <c r="AGA28" s="255"/>
      <c r="AGB28" s="255"/>
      <c r="AGC28" s="255"/>
      <c r="AGD28" s="255"/>
      <c r="AGE28" s="255"/>
      <c r="AGF28" s="255"/>
      <c r="AGG28" s="255"/>
      <c r="AGH28" s="255"/>
      <c r="AGI28" s="255"/>
      <c r="AGJ28" s="255"/>
      <c r="AGK28" s="255"/>
      <c r="AGL28" s="255"/>
      <c r="AGM28" s="255"/>
      <c r="AGN28" s="255"/>
      <c r="AGO28" s="255"/>
      <c r="AGP28" s="255"/>
      <c r="AGQ28" s="255"/>
      <c r="AGR28" s="255"/>
      <c r="AGS28" s="255"/>
      <c r="AGT28" s="255"/>
      <c r="AGU28" s="255"/>
      <c r="AGV28" s="255"/>
      <c r="AGW28" s="255"/>
      <c r="AGX28" s="255"/>
      <c r="AGY28" s="255"/>
      <c r="AGZ28" s="255"/>
      <c r="AHA28" s="255"/>
      <c r="AHB28" s="255"/>
      <c r="AHC28" s="255"/>
      <c r="AHD28" s="255"/>
      <c r="AHE28" s="255"/>
      <c r="AHF28" s="255"/>
      <c r="AHG28" s="255"/>
      <c r="AHH28" s="255"/>
      <c r="AHI28" s="255"/>
      <c r="AHJ28" s="255"/>
      <c r="AHK28" s="255"/>
      <c r="AHL28" s="255"/>
      <c r="AHM28" s="255"/>
      <c r="AHN28" s="255"/>
      <c r="AHO28" s="255"/>
      <c r="AHP28" s="255"/>
      <c r="AHQ28" s="255"/>
      <c r="AHR28" s="255"/>
      <c r="AHS28" s="255"/>
      <c r="AHT28" s="255"/>
      <c r="AHU28" s="255"/>
      <c r="AHV28" s="255"/>
      <c r="AHW28" s="255"/>
      <c r="AHX28" s="255"/>
      <c r="AHY28" s="255"/>
      <c r="AHZ28" s="255"/>
      <c r="AIA28" s="255"/>
      <c r="AIB28" s="255"/>
      <c r="AIC28" s="255"/>
      <c r="AID28" s="255"/>
      <c r="AIE28" s="255"/>
      <c r="AIF28" s="255"/>
      <c r="AIG28" s="255"/>
      <c r="AIH28" s="255"/>
      <c r="AII28" s="255"/>
      <c r="AIJ28" s="255"/>
      <c r="AIK28" s="255"/>
      <c r="AIL28" s="255"/>
      <c r="AIM28" s="255"/>
      <c r="AIN28" s="255"/>
      <c r="AIO28" s="255"/>
      <c r="AIP28" s="255"/>
      <c r="AIQ28" s="255"/>
      <c r="AIR28" s="255"/>
      <c r="AIS28" s="255"/>
      <c r="AIT28" s="255"/>
      <c r="AIU28" s="255"/>
      <c r="AIV28" s="255"/>
      <c r="AIW28" s="255"/>
      <c r="AIX28" s="255"/>
      <c r="AIY28" s="255"/>
      <c r="AIZ28" s="255"/>
      <c r="AJA28" s="255"/>
      <c r="AJB28" s="255"/>
      <c r="AJC28" s="255"/>
      <c r="AJD28" s="255"/>
      <c r="AJE28" s="255"/>
      <c r="AJF28" s="255"/>
      <c r="AJG28" s="255"/>
      <c r="AJH28" s="255"/>
      <c r="AJI28" s="255"/>
      <c r="AJJ28" s="255"/>
      <c r="AJK28" s="255"/>
      <c r="AJL28" s="255"/>
      <c r="AJM28" s="255"/>
      <c r="AJN28" s="255"/>
      <c r="AJO28" s="255"/>
      <c r="AJP28" s="255"/>
      <c r="AJQ28" s="255"/>
      <c r="AJR28" s="255"/>
      <c r="AJS28" s="255"/>
      <c r="AJT28" s="255"/>
      <c r="AJU28" s="255"/>
      <c r="AJV28" s="255"/>
      <c r="AJW28" s="255"/>
      <c r="AJX28" s="255"/>
      <c r="AJY28" s="255"/>
      <c r="AJZ28" s="255"/>
      <c r="AKA28" s="255"/>
      <c r="AKB28" s="255"/>
      <c r="AKC28" s="255"/>
      <c r="AKD28" s="255"/>
      <c r="AKE28" s="255"/>
      <c r="AKF28" s="255"/>
      <c r="AKG28" s="255"/>
      <c r="AKH28" s="255"/>
      <c r="AKI28" s="255"/>
      <c r="AKJ28" s="255"/>
      <c r="AKK28" s="255"/>
      <c r="AKL28" s="255"/>
      <c r="AKM28" s="255"/>
      <c r="AKN28" s="255"/>
      <c r="AKO28" s="255"/>
      <c r="AKP28" s="255"/>
      <c r="AKQ28" s="255"/>
      <c r="AKR28" s="255"/>
      <c r="AKS28" s="255"/>
      <c r="AKT28" s="255"/>
      <c r="AKU28" s="255"/>
      <c r="AKV28" s="255"/>
      <c r="AKW28" s="255"/>
      <c r="AKX28" s="255"/>
      <c r="AKY28" s="255"/>
      <c r="AKZ28" s="255"/>
      <c r="ALA28" s="255"/>
      <c r="ALB28" s="255"/>
      <c r="ALC28" s="255"/>
      <c r="ALD28" s="255"/>
      <c r="ALE28" s="255"/>
      <c r="ALF28" s="255"/>
      <c r="ALG28" s="255"/>
      <c r="ALH28" s="255"/>
      <c r="ALI28" s="255"/>
      <c r="ALJ28" s="255"/>
      <c r="ALK28" s="255"/>
      <c r="ALL28" s="255"/>
      <c r="ALM28" s="255"/>
      <c r="ALN28" s="255"/>
      <c r="ALO28" s="255"/>
      <c r="ALP28" s="255"/>
      <c r="ALQ28" s="255"/>
      <c r="ALR28" s="255"/>
      <c r="ALS28" s="255"/>
      <c r="ALT28" s="255"/>
      <c r="ALU28" s="255"/>
      <c r="ALV28" s="255"/>
      <c r="ALW28" s="255"/>
      <c r="ALX28" s="255"/>
      <c r="ALY28" s="255"/>
      <c r="ALZ28" s="255"/>
      <c r="AMA28" s="255"/>
      <c r="AMB28" s="255"/>
      <c r="AMC28" s="255"/>
      <c r="AMD28" s="255"/>
      <c r="AME28" s="255"/>
      <c r="AMF28" s="255"/>
      <c r="AMG28" s="255"/>
      <c r="AMH28" s="255"/>
      <c r="AMI28" s="255"/>
    </row>
    <row r="29" spans="1:1023" s="259" customFormat="1" x14ac:dyDescent="0.25">
      <c r="A29" s="256"/>
      <c r="B29" s="256"/>
      <c r="C29" s="256"/>
      <c r="D29" s="256"/>
      <c r="E29" s="256"/>
      <c r="F29" s="256"/>
      <c r="G29" s="256"/>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6"/>
      <c r="AL29" s="256"/>
      <c r="AM29" s="256"/>
      <c r="AN29" s="256"/>
      <c r="AO29" s="256"/>
      <c r="AP29" s="256"/>
      <c r="AQ29" s="256"/>
      <c r="AR29" s="256"/>
      <c r="AS29" s="256"/>
      <c r="AT29" s="256"/>
      <c r="AU29" s="256"/>
      <c r="AV29" s="256"/>
      <c r="AW29" s="256"/>
      <c r="AX29" s="256"/>
      <c r="AY29" s="256"/>
      <c r="AZ29" s="256"/>
      <c r="BA29" s="256"/>
      <c r="BB29" s="256"/>
      <c r="BC29" s="256"/>
      <c r="BD29" s="256"/>
      <c r="BE29" s="256"/>
      <c r="BF29" s="256"/>
      <c r="BG29" s="256"/>
      <c r="BH29" s="256"/>
      <c r="BI29" s="256"/>
      <c r="BJ29" s="256"/>
      <c r="BK29" s="256"/>
      <c r="BL29" s="256"/>
      <c r="BM29" s="256"/>
      <c r="BN29" s="256"/>
      <c r="BO29" s="256"/>
      <c r="BP29" s="256"/>
      <c r="BQ29" s="256"/>
      <c r="BR29" s="256"/>
      <c r="BS29" s="256"/>
      <c r="BT29" s="256"/>
      <c r="BU29" s="256"/>
      <c r="BV29" s="256"/>
      <c r="BW29" s="256"/>
      <c r="BX29" s="256"/>
      <c r="BY29" s="256"/>
      <c r="BZ29" s="256"/>
      <c r="CA29" s="256"/>
      <c r="CB29" s="256"/>
      <c r="CC29" s="256"/>
      <c r="CD29" s="256"/>
      <c r="CE29" s="256"/>
      <c r="CF29" s="256"/>
      <c r="CG29" s="256"/>
      <c r="CH29" s="256"/>
      <c r="CI29" s="256"/>
      <c r="CJ29" s="256"/>
      <c r="CK29" s="256"/>
      <c r="CL29" s="256"/>
      <c r="CM29" s="256"/>
      <c r="CN29" s="256"/>
      <c r="CO29" s="256"/>
      <c r="CP29" s="256"/>
      <c r="CQ29" s="256"/>
      <c r="CR29" s="256"/>
      <c r="CS29" s="256"/>
      <c r="CT29" s="256"/>
      <c r="CU29" s="256"/>
      <c r="CV29" s="256"/>
      <c r="CW29" s="256"/>
      <c r="CX29" s="256"/>
      <c r="CY29" s="256"/>
      <c r="CZ29" s="256"/>
      <c r="DA29" s="256"/>
      <c r="DB29" s="256"/>
      <c r="DC29" s="256"/>
      <c r="DD29" s="256"/>
      <c r="DE29" s="256"/>
      <c r="DF29" s="256"/>
      <c r="DG29" s="256"/>
      <c r="DH29" s="256"/>
      <c r="DI29" s="256"/>
      <c r="DJ29" s="256"/>
      <c r="DK29" s="256"/>
      <c r="DL29" s="256"/>
      <c r="DM29" s="256"/>
      <c r="DN29" s="256"/>
      <c r="DO29" s="256"/>
      <c r="DP29" s="256"/>
      <c r="DQ29" s="256"/>
      <c r="DR29" s="256"/>
      <c r="DS29" s="256"/>
      <c r="DT29" s="256"/>
      <c r="DU29" s="256"/>
      <c r="DV29" s="256"/>
      <c r="DW29" s="256"/>
      <c r="DX29" s="256"/>
      <c r="DY29" s="256"/>
      <c r="DZ29" s="256"/>
      <c r="EA29" s="256"/>
      <c r="EB29" s="256"/>
      <c r="EC29" s="256"/>
      <c r="ED29" s="256"/>
      <c r="EE29" s="256"/>
      <c r="EF29" s="256"/>
      <c r="EG29" s="256"/>
      <c r="EH29" s="256"/>
      <c r="EI29" s="256"/>
      <c r="EJ29" s="256"/>
      <c r="EK29" s="256"/>
      <c r="EL29" s="256"/>
      <c r="EM29" s="256"/>
      <c r="EN29" s="256"/>
      <c r="EO29" s="256"/>
      <c r="EP29" s="256"/>
      <c r="EQ29" s="256"/>
      <c r="ER29" s="256"/>
      <c r="ES29" s="256"/>
      <c r="ET29" s="256"/>
      <c r="EU29" s="256"/>
      <c r="EV29" s="256"/>
      <c r="EW29" s="256"/>
      <c r="EX29" s="256"/>
      <c r="EY29" s="256"/>
      <c r="EZ29" s="256"/>
      <c r="FA29" s="256"/>
      <c r="FB29" s="256"/>
      <c r="FC29" s="256"/>
      <c r="FD29" s="256"/>
      <c r="FE29" s="256"/>
      <c r="FF29" s="256"/>
      <c r="FG29" s="256"/>
      <c r="FH29" s="256"/>
      <c r="FI29" s="256"/>
      <c r="FJ29" s="256"/>
      <c r="FK29" s="256"/>
      <c r="FL29" s="256"/>
      <c r="FM29" s="256"/>
      <c r="FN29" s="256"/>
      <c r="FO29" s="256"/>
      <c r="FP29" s="256"/>
      <c r="FQ29" s="256"/>
      <c r="FR29" s="256"/>
      <c r="FS29" s="256"/>
      <c r="FT29" s="256"/>
      <c r="FU29" s="256"/>
      <c r="FV29" s="256"/>
      <c r="FW29" s="256"/>
      <c r="FX29" s="256"/>
      <c r="FY29" s="256"/>
      <c r="FZ29" s="256"/>
      <c r="GA29" s="256"/>
      <c r="GB29" s="256"/>
      <c r="GC29" s="256"/>
      <c r="GD29" s="256"/>
      <c r="GE29" s="256"/>
      <c r="GF29" s="256"/>
      <c r="GG29" s="256"/>
      <c r="GH29" s="256"/>
      <c r="GI29" s="256"/>
      <c r="GJ29" s="256"/>
      <c r="GK29" s="256"/>
      <c r="GL29" s="256"/>
      <c r="GM29" s="256"/>
      <c r="GN29" s="256"/>
      <c r="GO29" s="256"/>
      <c r="GP29" s="256"/>
      <c r="GQ29" s="256"/>
      <c r="GR29" s="256"/>
      <c r="GS29" s="256"/>
      <c r="GT29" s="256"/>
      <c r="GU29" s="256"/>
      <c r="GV29" s="256"/>
      <c r="GW29" s="256"/>
      <c r="GX29" s="256"/>
      <c r="GY29" s="256"/>
      <c r="GZ29" s="256"/>
      <c r="HA29" s="256"/>
      <c r="HB29" s="256"/>
      <c r="HC29" s="256"/>
      <c r="HD29" s="256"/>
      <c r="HE29" s="256"/>
      <c r="HF29" s="256"/>
      <c r="HG29" s="256"/>
      <c r="HH29" s="256"/>
      <c r="HI29" s="256"/>
      <c r="HJ29" s="256"/>
      <c r="HK29" s="256"/>
      <c r="HL29" s="256"/>
      <c r="HM29" s="256"/>
      <c r="HN29" s="256"/>
      <c r="HO29" s="256"/>
      <c r="HP29" s="256"/>
      <c r="HQ29" s="256"/>
      <c r="HR29" s="256"/>
      <c r="HS29" s="256"/>
      <c r="HT29" s="256"/>
      <c r="HU29" s="256"/>
      <c r="HV29" s="256"/>
      <c r="HW29" s="256"/>
      <c r="HX29" s="256"/>
      <c r="HY29" s="256"/>
      <c r="HZ29" s="256"/>
      <c r="IA29" s="256"/>
      <c r="IB29" s="256"/>
      <c r="IC29" s="256"/>
      <c r="ID29" s="256"/>
      <c r="IE29" s="256"/>
      <c r="IF29" s="256"/>
      <c r="IG29" s="256"/>
      <c r="IH29" s="256"/>
      <c r="II29" s="256"/>
      <c r="IJ29" s="256"/>
      <c r="IK29" s="256"/>
      <c r="IL29" s="256"/>
      <c r="IM29" s="256"/>
      <c r="IN29" s="256"/>
      <c r="IO29" s="256"/>
      <c r="IP29" s="256"/>
      <c r="IQ29" s="256"/>
      <c r="IR29" s="256"/>
      <c r="IS29" s="256"/>
      <c r="IT29" s="256"/>
      <c r="IU29" s="256"/>
      <c r="IV29" s="256"/>
      <c r="IW29" s="256"/>
      <c r="IX29" s="256"/>
      <c r="IY29" s="256"/>
      <c r="IZ29" s="256"/>
      <c r="JA29" s="256"/>
      <c r="JB29" s="256"/>
      <c r="JC29" s="256"/>
      <c r="JD29" s="256"/>
      <c r="JE29" s="256"/>
      <c r="JF29" s="256"/>
      <c r="JG29" s="256"/>
      <c r="JH29" s="256"/>
      <c r="JI29" s="256"/>
      <c r="JJ29" s="256"/>
      <c r="JK29" s="256"/>
      <c r="JL29" s="256"/>
      <c r="JM29" s="256"/>
      <c r="JN29" s="256"/>
      <c r="JO29" s="256"/>
      <c r="JP29" s="256"/>
      <c r="JQ29" s="256"/>
      <c r="JR29" s="256"/>
      <c r="JS29" s="256"/>
      <c r="JT29" s="256"/>
      <c r="JU29" s="256"/>
      <c r="JV29" s="256"/>
      <c r="JW29" s="256"/>
      <c r="JX29" s="256"/>
      <c r="JY29" s="256"/>
      <c r="JZ29" s="256"/>
      <c r="KA29" s="256"/>
      <c r="KB29" s="256"/>
      <c r="KC29" s="256"/>
      <c r="KD29" s="256"/>
      <c r="KE29" s="256"/>
      <c r="KF29" s="256"/>
      <c r="KG29" s="256"/>
      <c r="KH29" s="256"/>
      <c r="KI29" s="256"/>
      <c r="KJ29" s="256"/>
      <c r="KK29" s="256"/>
      <c r="KL29" s="256"/>
      <c r="KM29" s="256"/>
      <c r="KN29" s="256"/>
      <c r="KO29" s="256"/>
      <c r="KP29" s="256"/>
      <c r="KQ29" s="256"/>
      <c r="KR29" s="256"/>
      <c r="KS29" s="256"/>
      <c r="KT29" s="256"/>
      <c r="KU29" s="256"/>
      <c r="KV29" s="256"/>
      <c r="KW29" s="256"/>
      <c r="KX29" s="256"/>
      <c r="KY29" s="256"/>
      <c r="KZ29" s="256"/>
      <c r="LA29" s="256"/>
      <c r="LB29" s="256"/>
      <c r="LC29" s="256"/>
      <c r="LD29" s="256"/>
      <c r="LE29" s="256"/>
      <c r="LF29" s="256"/>
      <c r="LG29" s="256"/>
      <c r="LH29" s="256"/>
      <c r="LI29" s="256"/>
      <c r="LJ29" s="256"/>
      <c r="LK29" s="256"/>
      <c r="LL29" s="256"/>
      <c r="LM29" s="256"/>
      <c r="LN29" s="256"/>
      <c r="LO29" s="256"/>
      <c r="LP29" s="256"/>
      <c r="LQ29" s="256"/>
      <c r="LR29" s="256"/>
      <c r="LS29" s="256"/>
      <c r="LT29" s="256"/>
      <c r="LU29" s="256"/>
      <c r="LV29" s="256"/>
      <c r="LW29" s="256"/>
      <c r="LX29" s="256"/>
      <c r="LY29" s="256"/>
      <c r="LZ29" s="256"/>
      <c r="MA29" s="256"/>
      <c r="MB29" s="256"/>
      <c r="MC29" s="256"/>
      <c r="MD29" s="256"/>
      <c r="ME29" s="256"/>
      <c r="MF29" s="256"/>
      <c r="MG29" s="256"/>
      <c r="MH29" s="256"/>
      <c r="MI29" s="256"/>
      <c r="MJ29" s="256"/>
      <c r="MK29" s="256"/>
      <c r="ML29" s="256"/>
      <c r="MM29" s="256"/>
      <c r="MN29" s="256"/>
      <c r="MO29" s="256"/>
      <c r="MP29" s="256"/>
      <c r="MQ29" s="256"/>
      <c r="MR29" s="256"/>
      <c r="MS29" s="256"/>
      <c r="MT29" s="256"/>
      <c r="MU29" s="256"/>
      <c r="MV29" s="256"/>
      <c r="MW29" s="256"/>
      <c r="MX29" s="256"/>
      <c r="MY29" s="256"/>
      <c r="MZ29" s="256"/>
      <c r="NA29" s="256"/>
      <c r="NB29" s="256"/>
      <c r="NC29" s="256"/>
      <c r="ND29" s="256"/>
      <c r="NE29" s="256"/>
      <c r="NF29" s="256"/>
      <c r="NG29" s="256"/>
      <c r="NH29" s="256"/>
      <c r="NI29" s="256"/>
      <c r="NJ29" s="256"/>
      <c r="NK29" s="256"/>
      <c r="NL29" s="256"/>
      <c r="NM29" s="256"/>
      <c r="NN29" s="256"/>
      <c r="NO29" s="256"/>
      <c r="NP29" s="256"/>
      <c r="NQ29" s="256"/>
      <c r="NR29" s="256"/>
      <c r="NS29" s="256"/>
      <c r="NT29" s="256"/>
      <c r="NU29" s="256"/>
      <c r="NV29" s="256"/>
      <c r="NW29" s="256"/>
      <c r="NX29" s="256"/>
      <c r="NY29" s="256"/>
      <c r="NZ29" s="256"/>
      <c r="OA29" s="256"/>
      <c r="OB29" s="256"/>
      <c r="OC29" s="256"/>
      <c r="OD29" s="256"/>
      <c r="OE29" s="256"/>
      <c r="OF29" s="256"/>
      <c r="OG29" s="256"/>
      <c r="OH29" s="256"/>
      <c r="OI29" s="256"/>
      <c r="OJ29" s="256"/>
      <c r="OK29" s="256"/>
      <c r="OL29" s="256"/>
      <c r="OM29" s="256"/>
      <c r="ON29" s="256"/>
      <c r="OO29" s="256"/>
      <c r="OP29" s="256"/>
      <c r="OQ29" s="256"/>
      <c r="OR29" s="256"/>
      <c r="OS29" s="256"/>
      <c r="OT29" s="256"/>
      <c r="OU29" s="256"/>
      <c r="OV29" s="256"/>
      <c r="OW29" s="256"/>
      <c r="OX29" s="256"/>
      <c r="OY29" s="256"/>
      <c r="OZ29" s="256"/>
      <c r="PA29" s="256"/>
      <c r="PB29" s="256"/>
      <c r="PC29" s="256"/>
      <c r="PD29" s="256"/>
      <c r="PE29" s="256"/>
      <c r="PF29" s="256"/>
      <c r="PG29" s="256"/>
      <c r="PH29" s="256"/>
      <c r="PI29" s="256"/>
      <c r="PJ29" s="256"/>
      <c r="PK29" s="256"/>
      <c r="PL29" s="256"/>
      <c r="PM29" s="256"/>
      <c r="PN29" s="256"/>
      <c r="PO29" s="256"/>
      <c r="PP29" s="256"/>
      <c r="PQ29" s="256"/>
      <c r="PR29" s="256"/>
      <c r="PS29" s="256"/>
      <c r="PT29" s="256"/>
      <c r="PU29" s="256"/>
      <c r="PV29" s="256"/>
      <c r="PW29" s="256"/>
      <c r="PX29" s="256"/>
      <c r="PY29" s="256"/>
      <c r="PZ29" s="256"/>
      <c r="QA29" s="256"/>
      <c r="QB29" s="256"/>
      <c r="QC29" s="256"/>
      <c r="QD29" s="256"/>
      <c r="QE29" s="256"/>
      <c r="QF29" s="256"/>
      <c r="QG29" s="256"/>
      <c r="QH29" s="256"/>
      <c r="QI29" s="256"/>
      <c r="QJ29" s="256"/>
      <c r="QK29" s="256"/>
      <c r="QL29" s="256"/>
      <c r="QM29" s="256"/>
      <c r="QN29" s="256"/>
      <c r="QO29" s="256"/>
      <c r="QP29" s="256"/>
      <c r="QQ29" s="256"/>
      <c r="QR29" s="256"/>
      <c r="QS29" s="256"/>
      <c r="QT29" s="256"/>
      <c r="QU29" s="256"/>
      <c r="QV29" s="256"/>
      <c r="QW29" s="256"/>
      <c r="QX29" s="256"/>
      <c r="QY29" s="256"/>
      <c r="QZ29" s="256"/>
      <c r="RA29" s="256"/>
      <c r="RB29" s="256"/>
      <c r="RC29" s="256"/>
      <c r="RD29" s="256"/>
      <c r="RE29" s="256"/>
      <c r="RF29" s="256"/>
      <c r="RG29" s="256"/>
      <c r="RH29" s="256"/>
      <c r="RI29" s="256"/>
      <c r="RJ29" s="256"/>
      <c r="RK29" s="256"/>
      <c r="RL29" s="256"/>
      <c r="RM29" s="256"/>
      <c r="RN29" s="256"/>
      <c r="RO29" s="256"/>
      <c r="RP29" s="256"/>
      <c r="RQ29" s="256"/>
      <c r="RR29" s="256"/>
      <c r="RS29" s="256"/>
      <c r="RT29" s="256"/>
      <c r="RU29" s="256"/>
      <c r="RV29" s="256"/>
      <c r="RW29" s="256"/>
      <c r="RX29" s="256"/>
      <c r="RY29" s="256"/>
      <c r="RZ29" s="256"/>
      <c r="SA29" s="256"/>
      <c r="SB29" s="256"/>
      <c r="SC29" s="256"/>
      <c r="SD29" s="256"/>
      <c r="SE29" s="256"/>
      <c r="SF29" s="256"/>
      <c r="SG29" s="256"/>
      <c r="SH29" s="256"/>
      <c r="SI29" s="256"/>
      <c r="SJ29" s="256"/>
      <c r="SK29" s="256"/>
      <c r="SL29" s="256"/>
      <c r="SM29" s="256"/>
      <c r="SN29" s="256"/>
      <c r="SO29" s="256"/>
      <c r="SP29" s="256"/>
      <c r="SQ29" s="256"/>
      <c r="SR29" s="256"/>
      <c r="SS29" s="256"/>
      <c r="ST29" s="256"/>
      <c r="SU29" s="256"/>
      <c r="SV29" s="256"/>
      <c r="SW29" s="256"/>
      <c r="SX29" s="256"/>
      <c r="SY29" s="256"/>
      <c r="SZ29" s="256"/>
      <c r="TA29" s="256"/>
      <c r="TB29" s="256"/>
      <c r="TC29" s="256"/>
      <c r="TD29" s="256"/>
      <c r="TE29" s="256"/>
      <c r="TF29" s="256"/>
      <c r="TG29" s="256"/>
      <c r="TH29" s="256"/>
      <c r="TI29" s="256"/>
      <c r="TJ29" s="256"/>
      <c r="TK29" s="256"/>
      <c r="TL29" s="256"/>
      <c r="TM29" s="256"/>
      <c r="TN29" s="256"/>
      <c r="TO29" s="256"/>
      <c r="TP29" s="256"/>
      <c r="TQ29" s="256"/>
      <c r="TR29" s="256"/>
      <c r="TS29" s="256"/>
      <c r="TT29" s="256"/>
      <c r="TU29" s="256"/>
      <c r="TV29" s="256"/>
      <c r="TW29" s="256"/>
      <c r="TX29" s="256"/>
      <c r="TY29" s="256"/>
      <c r="TZ29" s="256"/>
      <c r="UA29" s="256"/>
      <c r="UB29" s="256"/>
      <c r="UC29" s="256"/>
      <c r="UD29" s="256"/>
      <c r="UE29" s="256"/>
      <c r="UF29" s="256"/>
      <c r="UG29" s="256"/>
      <c r="UH29" s="256"/>
      <c r="UI29" s="256"/>
      <c r="UJ29" s="256"/>
      <c r="UK29" s="256"/>
      <c r="UL29" s="256"/>
      <c r="UM29" s="256"/>
      <c r="UN29" s="256"/>
      <c r="UO29" s="256"/>
      <c r="UP29" s="256"/>
      <c r="UQ29" s="256"/>
      <c r="UR29" s="256"/>
      <c r="US29" s="256"/>
      <c r="UT29" s="256"/>
      <c r="UU29" s="256"/>
      <c r="UV29" s="256"/>
      <c r="UW29" s="256"/>
      <c r="UX29" s="256"/>
      <c r="UY29" s="256"/>
      <c r="UZ29" s="256"/>
      <c r="VA29" s="256"/>
      <c r="VB29" s="256"/>
      <c r="VC29" s="256"/>
      <c r="VD29" s="256"/>
      <c r="VE29" s="256"/>
      <c r="VF29" s="256"/>
      <c r="VG29" s="256"/>
      <c r="VH29" s="256"/>
      <c r="VI29" s="256"/>
      <c r="VJ29" s="256"/>
      <c r="VK29" s="256"/>
      <c r="VL29" s="256"/>
      <c r="VM29" s="256"/>
      <c r="VN29" s="256"/>
      <c r="VO29" s="256"/>
      <c r="VP29" s="256"/>
      <c r="VQ29" s="256"/>
      <c r="VR29" s="256"/>
      <c r="VS29" s="256"/>
      <c r="VT29" s="256"/>
      <c r="VU29" s="256"/>
      <c r="VV29" s="256"/>
      <c r="VW29" s="256"/>
      <c r="VX29" s="256"/>
      <c r="VY29" s="256"/>
      <c r="VZ29" s="256"/>
      <c r="WA29" s="256"/>
      <c r="WB29" s="256"/>
      <c r="WC29" s="256"/>
      <c r="WD29" s="256"/>
      <c r="WE29" s="256"/>
      <c r="WF29" s="256"/>
      <c r="WG29" s="256"/>
      <c r="WH29" s="256"/>
      <c r="WI29" s="256"/>
      <c r="WJ29" s="256"/>
      <c r="WK29" s="256"/>
      <c r="WL29" s="256"/>
      <c r="WM29" s="256"/>
      <c r="WN29" s="256"/>
      <c r="WO29" s="256"/>
      <c r="WP29" s="256"/>
      <c r="WQ29" s="256"/>
      <c r="WR29" s="256"/>
      <c r="WS29" s="256"/>
      <c r="WT29" s="256"/>
      <c r="WU29" s="256"/>
      <c r="WV29" s="256"/>
      <c r="WW29" s="256"/>
      <c r="WX29" s="256"/>
      <c r="WY29" s="256"/>
      <c r="WZ29" s="256"/>
      <c r="XA29" s="256"/>
      <c r="XB29" s="256"/>
      <c r="XC29" s="256"/>
      <c r="XD29" s="256"/>
      <c r="XE29" s="256"/>
      <c r="XF29" s="256"/>
      <c r="XG29" s="256"/>
      <c r="XH29" s="256"/>
      <c r="XI29" s="256"/>
      <c r="XJ29" s="256"/>
      <c r="XK29" s="256"/>
      <c r="XL29" s="256"/>
      <c r="XM29" s="256"/>
      <c r="XN29" s="256"/>
      <c r="XO29" s="256"/>
      <c r="XP29" s="256"/>
      <c r="XQ29" s="256"/>
      <c r="XR29" s="256"/>
      <c r="XS29" s="256"/>
      <c r="XT29" s="256"/>
      <c r="XU29" s="256"/>
      <c r="XV29" s="256"/>
      <c r="XW29" s="256"/>
      <c r="XX29" s="256"/>
      <c r="XY29" s="256"/>
      <c r="XZ29" s="256"/>
      <c r="YA29" s="256"/>
      <c r="YB29" s="256"/>
      <c r="YC29" s="256"/>
      <c r="YD29" s="256"/>
      <c r="YE29" s="256"/>
      <c r="YF29" s="256"/>
      <c r="YG29" s="256"/>
      <c r="YH29" s="256"/>
      <c r="YI29" s="256"/>
      <c r="YJ29" s="256"/>
      <c r="YK29" s="256"/>
      <c r="YL29" s="256"/>
      <c r="YM29" s="256"/>
      <c r="YN29" s="256"/>
      <c r="YO29" s="256"/>
      <c r="YP29" s="256"/>
      <c r="YQ29" s="256"/>
      <c r="YR29" s="256"/>
      <c r="YS29" s="256"/>
      <c r="YT29" s="256"/>
      <c r="YU29" s="256"/>
      <c r="YV29" s="256"/>
      <c r="YW29" s="256"/>
      <c r="YX29" s="256"/>
      <c r="YY29" s="256"/>
      <c r="YZ29" s="256"/>
      <c r="ZA29" s="256"/>
      <c r="ZB29" s="256"/>
      <c r="ZC29" s="256"/>
      <c r="ZD29" s="256"/>
      <c r="ZE29" s="256"/>
      <c r="ZF29" s="256"/>
      <c r="ZG29" s="256"/>
      <c r="ZH29" s="256"/>
      <c r="ZI29" s="256"/>
      <c r="ZJ29" s="256"/>
      <c r="ZK29" s="256"/>
      <c r="ZL29" s="256"/>
      <c r="ZM29" s="256"/>
      <c r="ZN29" s="256"/>
      <c r="ZO29" s="256"/>
      <c r="ZP29" s="256"/>
      <c r="ZQ29" s="256"/>
      <c r="ZR29" s="256"/>
      <c r="ZS29" s="256"/>
      <c r="ZT29" s="256"/>
      <c r="ZU29" s="256"/>
      <c r="ZV29" s="256"/>
      <c r="ZW29" s="256"/>
      <c r="ZX29" s="256"/>
      <c r="ZY29" s="256"/>
      <c r="ZZ29" s="256"/>
      <c r="AAA29" s="256"/>
      <c r="AAB29" s="256"/>
      <c r="AAC29" s="256"/>
      <c r="AAD29" s="256"/>
      <c r="AAE29" s="256"/>
      <c r="AAF29" s="256"/>
      <c r="AAG29" s="256"/>
      <c r="AAH29" s="256"/>
      <c r="AAI29" s="256"/>
      <c r="AAJ29" s="256"/>
      <c r="AAK29" s="256"/>
      <c r="AAL29" s="256"/>
      <c r="AAM29" s="256"/>
      <c r="AAN29" s="256"/>
      <c r="AAO29" s="256"/>
      <c r="AAP29" s="256"/>
      <c r="AAQ29" s="256"/>
      <c r="AAR29" s="256"/>
      <c r="AAS29" s="256"/>
      <c r="AAT29" s="256"/>
      <c r="AAU29" s="256"/>
      <c r="AAV29" s="256"/>
      <c r="AAW29" s="256"/>
      <c r="AAX29" s="256"/>
      <c r="AAY29" s="256"/>
      <c r="AAZ29" s="256"/>
      <c r="ABA29" s="256"/>
      <c r="ABB29" s="256"/>
      <c r="ABC29" s="256"/>
      <c r="ABD29" s="256"/>
      <c r="ABE29" s="256"/>
      <c r="ABF29" s="256"/>
      <c r="ABG29" s="256"/>
      <c r="ABH29" s="256"/>
      <c r="ABI29" s="256"/>
      <c r="ABJ29" s="256"/>
      <c r="ABK29" s="256"/>
      <c r="ABL29" s="256"/>
      <c r="ABM29" s="256"/>
      <c r="ABN29" s="256"/>
      <c r="ABO29" s="256"/>
      <c r="ABP29" s="256"/>
      <c r="ABQ29" s="256"/>
      <c r="ABR29" s="256"/>
      <c r="ABS29" s="256"/>
      <c r="ABT29" s="256"/>
      <c r="ABU29" s="256"/>
      <c r="ABV29" s="256"/>
      <c r="ABW29" s="256"/>
      <c r="ABX29" s="256"/>
      <c r="ABY29" s="256"/>
      <c r="ABZ29" s="256"/>
      <c r="ACA29" s="256"/>
      <c r="ACB29" s="256"/>
      <c r="ACC29" s="256"/>
      <c r="ACD29" s="256"/>
      <c r="ACE29" s="256"/>
      <c r="ACF29" s="256"/>
      <c r="ACG29" s="256"/>
      <c r="ACH29" s="256"/>
      <c r="ACI29" s="256"/>
      <c r="ACJ29" s="256"/>
      <c r="ACK29" s="256"/>
      <c r="ACL29" s="256"/>
      <c r="ACM29" s="256"/>
      <c r="ACN29" s="256"/>
      <c r="ACO29" s="256"/>
      <c r="ACP29" s="256"/>
      <c r="ACQ29" s="256"/>
      <c r="ACR29" s="256"/>
      <c r="ACS29" s="256"/>
      <c r="ACT29" s="256"/>
      <c r="ACU29" s="256"/>
      <c r="ACV29" s="256"/>
      <c r="ACW29" s="256"/>
      <c r="ACX29" s="256"/>
      <c r="ACY29" s="256"/>
      <c r="ACZ29" s="256"/>
      <c r="ADA29" s="256"/>
      <c r="ADB29" s="256"/>
      <c r="ADC29" s="256"/>
      <c r="ADD29" s="256"/>
      <c r="ADE29" s="256"/>
      <c r="ADF29" s="256"/>
      <c r="ADG29" s="256"/>
      <c r="ADH29" s="256"/>
      <c r="ADI29" s="256"/>
      <c r="ADJ29" s="256"/>
      <c r="ADK29" s="256"/>
      <c r="ADL29" s="256"/>
      <c r="ADM29" s="256"/>
      <c r="ADN29" s="256"/>
      <c r="ADO29" s="256"/>
      <c r="ADP29" s="256"/>
      <c r="ADQ29" s="256"/>
      <c r="ADR29" s="256"/>
      <c r="ADS29" s="256"/>
      <c r="ADT29" s="256"/>
      <c r="ADU29" s="256"/>
      <c r="ADV29" s="256"/>
      <c r="ADW29" s="256"/>
      <c r="ADX29" s="256"/>
      <c r="ADY29" s="256"/>
      <c r="ADZ29" s="256"/>
      <c r="AEA29" s="256"/>
      <c r="AEB29" s="256"/>
      <c r="AEC29" s="256"/>
      <c r="AED29" s="256"/>
      <c r="AEE29" s="256"/>
      <c r="AEF29" s="256"/>
      <c r="AEG29" s="256"/>
      <c r="AEH29" s="256"/>
      <c r="AEI29" s="256"/>
      <c r="AEJ29" s="256"/>
      <c r="AEK29" s="256"/>
      <c r="AEL29" s="256"/>
      <c r="AEM29" s="256"/>
      <c r="AEN29" s="256"/>
      <c r="AEO29" s="256"/>
      <c r="AEP29" s="256"/>
      <c r="AEQ29" s="256"/>
      <c r="AER29" s="256"/>
      <c r="AES29" s="256"/>
      <c r="AET29" s="256"/>
      <c r="AEU29" s="256"/>
      <c r="AEV29" s="256"/>
      <c r="AEW29" s="256"/>
      <c r="AEX29" s="256"/>
      <c r="AEY29" s="256"/>
      <c r="AEZ29" s="256"/>
      <c r="AFA29" s="256"/>
      <c r="AFB29" s="256"/>
      <c r="AFC29" s="256"/>
      <c r="AFD29" s="256"/>
      <c r="AFE29" s="256"/>
      <c r="AFF29" s="256"/>
      <c r="AFG29" s="256"/>
      <c r="AFH29" s="256"/>
      <c r="AFI29" s="256"/>
      <c r="AFJ29" s="256"/>
      <c r="AFK29" s="256"/>
      <c r="AFL29" s="256"/>
      <c r="AFM29" s="256"/>
      <c r="AFN29" s="256"/>
      <c r="AFO29" s="256"/>
      <c r="AFP29" s="256"/>
      <c r="AFQ29" s="256"/>
      <c r="AFR29" s="256"/>
      <c r="AFS29" s="256"/>
      <c r="AFT29" s="256"/>
      <c r="AFU29" s="256"/>
      <c r="AFV29" s="256"/>
      <c r="AFW29" s="256"/>
      <c r="AFX29" s="256"/>
      <c r="AFY29" s="256"/>
      <c r="AFZ29" s="256"/>
      <c r="AGA29" s="256"/>
      <c r="AGB29" s="256"/>
      <c r="AGC29" s="256"/>
      <c r="AGD29" s="256"/>
      <c r="AGE29" s="256"/>
      <c r="AGF29" s="256"/>
      <c r="AGG29" s="256"/>
      <c r="AGH29" s="256"/>
      <c r="AGI29" s="256"/>
      <c r="AGJ29" s="256"/>
      <c r="AGK29" s="256"/>
      <c r="AGL29" s="256"/>
      <c r="AGM29" s="256"/>
      <c r="AGN29" s="256"/>
      <c r="AGO29" s="256"/>
      <c r="AGP29" s="256"/>
      <c r="AGQ29" s="256"/>
      <c r="AGR29" s="256"/>
      <c r="AGS29" s="256"/>
      <c r="AGT29" s="256"/>
      <c r="AGU29" s="256"/>
      <c r="AGV29" s="256"/>
      <c r="AGW29" s="256"/>
      <c r="AGX29" s="256"/>
      <c r="AGY29" s="256"/>
      <c r="AGZ29" s="256"/>
      <c r="AHA29" s="256"/>
      <c r="AHB29" s="256"/>
      <c r="AHC29" s="256"/>
      <c r="AHD29" s="256"/>
      <c r="AHE29" s="256"/>
      <c r="AHF29" s="256"/>
      <c r="AHG29" s="256"/>
      <c r="AHH29" s="256"/>
      <c r="AHI29" s="256"/>
      <c r="AHJ29" s="256"/>
      <c r="AHK29" s="256"/>
      <c r="AHL29" s="256"/>
      <c r="AHM29" s="256"/>
      <c r="AHN29" s="256"/>
      <c r="AHO29" s="256"/>
      <c r="AHP29" s="256"/>
      <c r="AHQ29" s="256"/>
      <c r="AHR29" s="256"/>
      <c r="AHS29" s="256"/>
      <c r="AHT29" s="256"/>
      <c r="AHU29" s="256"/>
      <c r="AHV29" s="256"/>
      <c r="AHW29" s="256"/>
      <c r="AHX29" s="256"/>
      <c r="AHY29" s="256"/>
      <c r="AHZ29" s="256"/>
      <c r="AIA29" s="256"/>
      <c r="AIB29" s="256"/>
      <c r="AIC29" s="256"/>
      <c r="AID29" s="256"/>
      <c r="AIE29" s="256"/>
      <c r="AIF29" s="256"/>
      <c r="AIG29" s="256"/>
      <c r="AIH29" s="256"/>
      <c r="AII29" s="256"/>
      <c r="AIJ29" s="256"/>
      <c r="AIK29" s="256"/>
      <c r="AIL29" s="256"/>
      <c r="AIM29" s="256"/>
      <c r="AIN29" s="256"/>
      <c r="AIO29" s="256"/>
      <c r="AIP29" s="256"/>
      <c r="AIQ29" s="256"/>
      <c r="AIR29" s="256"/>
      <c r="AIS29" s="256"/>
      <c r="AIT29" s="256"/>
      <c r="AIU29" s="256"/>
      <c r="AIV29" s="256"/>
      <c r="AIW29" s="256"/>
      <c r="AIX29" s="256"/>
      <c r="AIY29" s="256"/>
      <c r="AIZ29" s="256"/>
      <c r="AJA29" s="256"/>
      <c r="AJB29" s="256"/>
      <c r="AJC29" s="256"/>
      <c r="AJD29" s="256"/>
      <c r="AJE29" s="256"/>
      <c r="AJF29" s="256"/>
      <c r="AJG29" s="256"/>
      <c r="AJH29" s="256"/>
      <c r="AJI29" s="256"/>
      <c r="AJJ29" s="256"/>
      <c r="AJK29" s="256"/>
      <c r="AJL29" s="256"/>
      <c r="AJM29" s="256"/>
      <c r="AJN29" s="256"/>
      <c r="AJO29" s="256"/>
      <c r="AJP29" s="256"/>
      <c r="AJQ29" s="256"/>
      <c r="AJR29" s="256"/>
      <c r="AJS29" s="256"/>
      <c r="AJT29" s="256"/>
      <c r="AJU29" s="256"/>
      <c r="AJV29" s="256"/>
      <c r="AJW29" s="256"/>
      <c r="AJX29" s="256"/>
      <c r="AJY29" s="256"/>
      <c r="AJZ29" s="256"/>
      <c r="AKA29" s="256"/>
      <c r="AKB29" s="256"/>
      <c r="AKC29" s="256"/>
      <c r="AKD29" s="256"/>
      <c r="AKE29" s="256"/>
      <c r="AKF29" s="256"/>
      <c r="AKG29" s="256"/>
      <c r="AKH29" s="256"/>
      <c r="AKI29" s="256"/>
      <c r="AKJ29" s="256"/>
      <c r="AKK29" s="256"/>
      <c r="AKL29" s="256"/>
      <c r="AKM29" s="256"/>
      <c r="AKN29" s="256"/>
      <c r="AKO29" s="256"/>
      <c r="AKP29" s="256"/>
      <c r="AKQ29" s="256"/>
      <c r="AKR29" s="256"/>
      <c r="AKS29" s="256"/>
      <c r="AKT29" s="256"/>
      <c r="AKU29" s="256"/>
      <c r="AKV29" s="256"/>
      <c r="AKW29" s="256"/>
      <c r="AKX29" s="256"/>
      <c r="AKY29" s="256"/>
      <c r="AKZ29" s="256"/>
      <c r="ALA29" s="256"/>
      <c r="ALB29" s="256"/>
      <c r="ALC29" s="256"/>
      <c r="ALD29" s="256"/>
      <c r="ALE29" s="256"/>
      <c r="ALF29" s="256"/>
      <c r="ALG29" s="256"/>
      <c r="ALH29" s="256"/>
      <c r="ALI29" s="256"/>
      <c r="ALJ29" s="256"/>
      <c r="ALK29" s="256"/>
      <c r="ALL29" s="256"/>
      <c r="ALM29" s="256"/>
      <c r="ALN29" s="256"/>
      <c r="ALO29" s="256"/>
      <c r="ALP29" s="256"/>
      <c r="ALQ29" s="256"/>
      <c r="ALR29" s="256"/>
      <c r="ALS29" s="256"/>
      <c r="ALT29" s="256"/>
      <c r="ALU29" s="256"/>
      <c r="ALV29" s="256"/>
      <c r="ALW29" s="256"/>
      <c r="ALX29" s="256"/>
      <c r="ALY29" s="256"/>
      <c r="ALZ29" s="256"/>
      <c r="AMA29" s="256"/>
      <c r="AMB29" s="256"/>
      <c r="AMC29" s="256"/>
      <c r="AMD29" s="256"/>
      <c r="AME29" s="256"/>
      <c r="AMF29" s="256"/>
      <c r="AMG29" s="256"/>
      <c r="AMH29" s="256"/>
      <c r="AMI29" s="256"/>
    </row>
    <row r="30" spans="1:1023" s="259" customFormat="1" x14ac:dyDescent="0.25">
      <c r="A30" s="256"/>
      <c r="B30" s="256"/>
      <c r="C30" s="256"/>
      <c r="D30" s="303"/>
      <c r="E30" s="180" t="s">
        <v>335</v>
      </c>
      <c r="F30" s="180" t="s">
        <v>336</v>
      </c>
      <c r="G30" s="180" t="s">
        <v>337</v>
      </c>
      <c r="H30" s="304" t="s">
        <v>338</v>
      </c>
      <c r="I30" s="305"/>
      <c r="J30" s="304"/>
      <c r="K30" s="304"/>
      <c r="L30" s="256"/>
      <c r="M30" s="256"/>
      <c r="N30" s="256"/>
      <c r="O30" s="256"/>
      <c r="P30" s="256"/>
      <c r="Q30" s="256"/>
      <c r="R30" s="256"/>
      <c r="S30" s="256"/>
      <c r="T30" s="256"/>
      <c r="U30" s="256"/>
      <c r="V30" s="256"/>
      <c r="W30" s="256"/>
      <c r="X30" s="256"/>
      <c r="Y30" s="256"/>
      <c r="Z30" s="256"/>
      <c r="AA30" s="256"/>
      <c r="AB30" s="256"/>
      <c r="AC30" s="256"/>
      <c r="AD30" s="256"/>
      <c r="AE30" s="256"/>
      <c r="AF30" s="256"/>
      <c r="AG30" s="256"/>
      <c r="AH30" s="256"/>
      <c r="AI30" s="256"/>
      <c r="AJ30" s="256"/>
      <c r="AK30" s="256"/>
      <c r="AL30" s="256"/>
      <c r="AM30" s="256"/>
      <c r="AN30" s="256"/>
      <c r="AO30" s="256"/>
      <c r="AP30" s="256"/>
      <c r="AQ30" s="256"/>
      <c r="AR30" s="256"/>
      <c r="AS30" s="256"/>
      <c r="AT30" s="256"/>
      <c r="AU30" s="256"/>
      <c r="AV30" s="256"/>
      <c r="AW30" s="256"/>
      <c r="AX30" s="256"/>
      <c r="AY30" s="256"/>
      <c r="AZ30" s="256"/>
      <c r="BA30" s="256"/>
      <c r="BB30" s="256"/>
      <c r="BC30" s="256"/>
      <c r="BD30" s="256"/>
      <c r="BE30" s="256"/>
      <c r="BF30" s="256"/>
      <c r="BG30" s="256"/>
      <c r="BH30" s="256"/>
      <c r="BI30" s="256"/>
      <c r="BJ30" s="256"/>
      <c r="BK30" s="256"/>
      <c r="BL30" s="256"/>
      <c r="BM30" s="256"/>
      <c r="BN30" s="256"/>
      <c r="BO30" s="256"/>
      <c r="BP30" s="256"/>
      <c r="BQ30" s="256"/>
      <c r="BR30" s="256"/>
      <c r="BS30" s="256"/>
      <c r="BT30" s="256"/>
      <c r="BU30" s="256"/>
      <c r="BV30" s="256"/>
      <c r="BW30" s="256"/>
      <c r="BX30" s="256"/>
      <c r="BY30" s="256"/>
      <c r="BZ30" s="256"/>
      <c r="CA30" s="256"/>
      <c r="CB30" s="256"/>
      <c r="CC30" s="256"/>
      <c r="CD30" s="256"/>
      <c r="CE30" s="256"/>
      <c r="CF30" s="256"/>
      <c r="CG30" s="256"/>
      <c r="CH30" s="256"/>
      <c r="CI30" s="256"/>
      <c r="CJ30" s="256"/>
      <c r="CK30" s="256"/>
      <c r="CL30" s="256"/>
      <c r="CM30" s="256"/>
      <c r="CN30" s="256"/>
      <c r="CO30" s="256"/>
      <c r="CP30" s="256"/>
      <c r="CQ30" s="256"/>
      <c r="CR30" s="256"/>
      <c r="CS30" s="256"/>
      <c r="CT30" s="256"/>
      <c r="CU30" s="256"/>
      <c r="CV30" s="256"/>
      <c r="CW30" s="256"/>
      <c r="CX30" s="256"/>
      <c r="CY30" s="256"/>
      <c r="CZ30" s="256"/>
      <c r="DA30" s="256"/>
      <c r="DB30" s="256"/>
      <c r="DC30" s="256"/>
      <c r="DD30" s="256"/>
      <c r="DE30" s="256"/>
      <c r="DF30" s="256"/>
      <c r="DG30" s="256"/>
      <c r="DH30" s="256"/>
      <c r="DI30" s="256"/>
      <c r="DJ30" s="256"/>
      <c r="DK30" s="256"/>
      <c r="DL30" s="256"/>
      <c r="DM30" s="256"/>
      <c r="DN30" s="256"/>
      <c r="DO30" s="256"/>
      <c r="DP30" s="256"/>
      <c r="DQ30" s="256"/>
      <c r="DR30" s="256"/>
      <c r="DS30" s="256"/>
      <c r="DT30" s="256"/>
      <c r="DU30" s="256"/>
      <c r="DV30" s="256"/>
      <c r="DW30" s="256"/>
      <c r="DX30" s="256"/>
      <c r="DY30" s="256"/>
      <c r="DZ30" s="256"/>
      <c r="EA30" s="256"/>
      <c r="EB30" s="256"/>
      <c r="EC30" s="256"/>
      <c r="ED30" s="256"/>
      <c r="EE30" s="256"/>
      <c r="EF30" s="256"/>
      <c r="EG30" s="256"/>
      <c r="EH30" s="256"/>
      <c r="EI30" s="256"/>
      <c r="EJ30" s="256"/>
      <c r="EK30" s="256"/>
      <c r="EL30" s="256"/>
      <c r="EM30" s="256"/>
      <c r="EN30" s="256"/>
      <c r="EO30" s="256"/>
      <c r="EP30" s="256"/>
      <c r="EQ30" s="256"/>
      <c r="ER30" s="256"/>
      <c r="ES30" s="256"/>
      <c r="ET30" s="256"/>
      <c r="EU30" s="256"/>
      <c r="EV30" s="256"/>
      <c r="EW30" s="256"/>
      <c r="EX30" s="256"/>
      <c r="EY30" s="256"/>
      <c r="EZ30" s="256"/>
      <c r="FA30" s="256"/>
      <c r="FB30" s="256"/>
      <c r="FC30" s="256"/>
      <c r="FD30" s="256"/>
      <c r="FE30" s="256"/>
      <c r="FF30" s="256"/>
      <c r="FG30" s="256"/>
      <c r="FH30" s="256"/>
      <c r="FI30" s="256"/>
      <c r="FJ30" s="256"/>
      <c r="FK30" s="256"/>
      <c r="FL30" s="256"/>
      <c r="FM30" s="256"/>
      <c r="FN30" s="256"/>
      <c r="FO30" s="256"/>
      <c r="FP30" s="256"/>
      <c r="FQ30" s="256"/>
      <c r="FR30" s="256"/>
      <c r="FS30" s="256"/>
      <c r="FT30" s="256"/>
      <c r="FU30" s="256"/>
      <c r="FV30" s="256"/>
      <c r="FW30" s="256"/>
      <c r="FX30" s="256"/>
      <c r="FY30" s="256"/>
      <c r="FZ30" s="256"/>
      <c r="GA30" s="256"/>
      <c r="GB30" s="256"/>
      <c r="GC30" s="256"/>
      <c r="GD30" s="256"/>
      <c r="GE30" s="256"/>
      <c r="GF30" s="256"/>
      <c r="GG30" s="256"/>
      <c r="GH30" s="256"/>
      <c r="GI30" s="256"/>
      <c r="GJ30" s="256"/>
      <c r="GK30" s="256"/>
      <c r="GL30" s="256"/>
      <c r="GM30" s="256"/>
      <c r="GN30" s="256"/>
      <c r="GO30" s="256"/>
      <c r="GP30" s="256"/>
      <c r="GQ30" s="256"/>
      <c r="GR30" s="256"/>
      <c r="GS30" s="256"/>
      <c r="GT30" s="256"/>
      <c r="GU30" s="256"/>
      <c r="GV30" s="256"/>
      <c r="GW30" s="256"/>
      <c r="GX30" s="256"/>
      <c r="GY30" s="256"/>
      <c r="GZ30" s="256"/>
      <c r="HA30" s="256"/>
      <c r="HB30" s="256"/>
      <c r="HC30" s="256"/>
      <c r="HD30" s="256"/>
      <c r="HE30" s="256"/>
      <c r="HF30" s="256"/>
      <c r="HG30" s="256"/>
      <c r="HH30" s="256"/>
      <c r="HI30" s="256"/>
      <c r="HJ30" s="256"/>
      <c r="HK30" s="256"/>
      <c r="HL30" s="256"/>
      <c r="HM30" s="256"/>
      <c r="HN30" s="256"/>
      <c r="HO30" s="256"/>
      <c r="HP30" s="256"/>
      <c r="HQ30" s="256"/>
      <c r="HR30" s="256"/>
      <c r="HS30" s="256"/>
      <c r="HT30" s="256"/>
      <c r="HU30" s="256"/>
      <c r="HV30" s="256"/>
      <c r="HW30" s="256"/>
      <c r="HX30" s="256"/>
      <c r="HY30" s="256"/>
      <c r="HZ30" s="256"/>
      <c r="IA30" s="256"/>
      <c r="IB30" s="256"/>
      <c r="IC30" s="256"/>
      <c r="ID30" s="256"/>
      <c r="IE30" s="256"/>
      <c r="IF30" s="256"/>
      <c r="IG30" s="256"/>
      <c r="IH30" s="256"/>
      <c r="II30" s="256"/>
      <c r="IJ30" s="256"/>
      <c r="IK30" s="256"/>
      <c r="IL30" s="256"/>
      <c r="IM30" s="256"/>
      <c r="IN30" s="256"/>
      <c r="IO30" s="256"/>
      <c r="IP30" s="256"/>
      <c r="IQ30" s="256"/>
      <c r="IR30" s="256"/>
      <c r="IS30" s="256"/>
      <c r="IT30" s="256"/>
      <c r="IU30" s="256"/>
      <c r="IV30" s="256"/>
      <c r="IW30" s="256"/>
      <c r="IX30" s="256"/>
      <c r="IY30" s="256"/>
      <c r="IZ30" s="256"/>
      <c r="JA30" s="256"/>
      <c r="JB30" s="256"/>
      <c r="JC30" s="256"/>
      <c r="JD30" s="256"/>
      <c r="JE30" s="256"/>
      <c r="JF30" s="256"/>
      <c r="JG30" s="256"/>
      <c r="JH30" s="256"/>
      <c r="JI30" s="256"/>
      <c r="JJ30" s="256"/>
      <c r="JK30" s="256"/>
      <c r="JL30" s="256"/>
      <c r="JM30" s="256"/>
      <c r="JN30" s="256"/>
      <c r="JO30" s="256"/>
      <c r="JP30" s="256"/>
      <c r="JQ30" s="256"/>
      <c r="JR30" s="256"/>
      <c r="JS30" s="256"/>
      <c r="JT30" s="256"/>
      <c r="JU30" s="256"/>
      <c r="JV30" s="256"/>
      <c r="JW30" s="256"/>
      <c r="JX30" s="256"/>
      <c r="JY30" s="256"/>
      <c r="JZ30" s="256"/>
      <c r="KA30" s="256"/>
      <c r="KB30" s="256"/>
      <c r="KC30" s="256"/>
      <c r="KD30" s="256"/>
      <c r="KE30" s="256"/>
      <c r="KF30" s="256"/>
      <c r="KG30" s="256"/>
      <c r="KH30" s="256"/>
      <c r="KI30" s="256"/>
      <c r="KJ30" s="256"/>
      <c r="KK30" s="256"/>
      <c r="KL30" s="256"/>
      <c r="KM30" s="256"/>
      <c r="KN30" s="256"/>
      <c r="KO30" s="256"/>
      <c r="KP30" s="256"/>
      <c r="KQ30" s="256"/>
      <c r="KR30" s="256"/>
      <c r="KS30" s="256"/>
      <c r="KT30" s="256"/>
      <c r="KU30" s="256"/>
      <c r="KV30" s="256"/>
      <c r="KW30" s="256"/>
      <c r="KX30" s="256"/>
      <c r="KY30" s="256"/>
      <c r="KZ30" s="256"/>
      <c r="LA30" s="256"/>
      <c r="LB30" s="256"/>
      <c r="LC30" s="256"/>
      <c r="LD30" s="256"/>
      <c r="LE30" s="256"/>
      <c r="LF30" s="256"/>
      <c r="LG30" s="256"/>
      <c r="LH30" s="256"/>
      <c r="LI30" s="256"/>
      <c r="LJ30" s="256"/>
      <c r="LK30" s="256"/>
      <c r="LL30" s="256"/>
      <c r="LM30" s="256"/>
      <c r="LN30" s="256"/>
      <c r="LO30" s="256"/>
      <c r="LP30" s="256"/>
      <c r="LQ30" s="256"/>
      <c r="LR30" s="256"/>
      <c r="LS30" s="256"/>
      <c r="LT30" s="256"/>
      <c r="LU30" s="256"/>
      <c r="LV30" s="256"/>
      <c r="LW30" s="256"/>
      <c r="LX30" s="256"/>
      <c r="LY30" s="256"/>
      <c r="LZ30" s="256"/>
      <c r="MA30" s="256"/>
      <c r="MB30" s="256"/>
      <c r="MC30" s="256"/>
      <c r="MD30" s="256"/>
      <c r="ME30" s="256"/>
      <c r="MF30" s="256"/>
      <c r="MG30" s="256"/>
      <c r="MH30" s="256"/>
      <c r="MI30" s="256"/>
      <c r="MJ30" s="256"/>
      <c r="MK30" s="256"/>
      <c r="ML30" s="256"/>
      <c r="MM30" s="256"/>
      <c r="MN30" s="256"/>
      <c r="MO30" s="256"/>
      <c r="MP30" s="256"/>
      <c r="MQ30" s="256"/>
      <c r="MR30" s="256"/>
      <c r="MS30" s="256"/>
      <c r="MT30" s="256"/>
      <c r="MU30" s="256"/>
      <c r="MV30" s="256"/>
      <c r="MW30" s="256"/>
      <c r="MX30" s="256"/>
      <c r="MY30" s="256"/>
      <c r="MZ30" s="256"/>
      <c r="NA30" s="256"/>
      <c r="NB30" s="256"/>
      <c r="NC30" s="256"/>
      <c r="ND30" s="256"/>
      <c r="NE30" s="256"/>
      <c r="NF30" s="256"/>
      <c r="NG30" s="256"/>
      <c r="NH30" s="256"/>
      <c r="NI30" s="256"/>
      <c r="NJ30" s="256"/>
      <c r="NK30" s="256"/>
      <c r="NL30" s="256"/>
      <c r="NM30" s="256"/>
      <c r="NN30" s="256"/>
      <c r="NO30" s="256"/>
      <c r="NP30" s="256"/>
      <c r="NQ30" s="256"/>
      <c r="NR30" s="256"/>
      <c r="NS30" s="256"/>
      <c r="NT30" s="256"/>
      <c r="NU30" s="256"/>
      <c r="NV30" s="256"/>
      <c r="NW30" s="256"/>
      <c r="NX30" s="256"/>
      <c r="NY30" s="256"/>
      <c r="NZ30" s="256"/>
      <c r="OA30" s="256"/>
      <c r="OB30" s="256"/>
      <c r="OC30" s="256"/>
      <c r="OD30" s="256"/>
      <c r="OE30" s="256"/>
      <c r="OF30" s="256"/>
      <c r="OG30" s="256"/>
      <c r="OH30" s="256"/>
      <c r="OI30" s="256"/>
      <c r="OJ30" s="256"/>
      <c r="OK30" s="256"/>
      <c r="OL30" s="256"/>
      <c r="OM30" s="256"/>
      <c r="ON30" s="256"/>
      <c r="OO30" s="256"/>
      <c r="OP30" s="256"/>
      <c r="OQ30" s="256"/>
      <c r="OR30" s="256"/>
      <c r="OS30" s="256"/>
      <c r="OT30" s="256"/>
      <c r="OU30" s="256"/>
      <c r="OV30" s="256"/>
      <c r="OW30" s="256"/>
      <c r="OX30" s="256"/>
      <c r="OY30" s="256"/>
      <c r="OZ30" s="256"/>
      <c r="PA30" s="256"/>
      <c r="PB30" s="256"/>
      <c r="PC30" s="256"/>
      <c r="PD30" s="256"/>
      <c r="PE30" s="256"/>
      <c r="PF30" s="256"/>
      <c r="PG30" s="256"/>
      <c r="PH30" s="256"/>
      <c r="PI30" s="256"/>
      <c r="PJ30" s="256"/>
      <c r="PK30" s="256"/>
      <c r="PL30" s="256"/>
      <c r="PM30" s="256"/>
      <c r="PN30" s="256"/>
      <c r="PO30" s="256"/>
      <c r="PP30" s="256"/>
      <c r="PQ30" s="256"/>
      <c r="PR30" s="256"/>
      <c r="PS30" s="256"/>
      <c r="PT30" s="256"/>
      <c r="PU30" s="256"/>
      <c r="PV30" s="256"/>
      <c r="PW30" s="256"/>
      <c r="PX30" s="256"/>
      <c r="PY30" s="256"/>
      <c r="PZ30" s="256"/>
      <c r="QA30" s="256"/>
      <c r="QB30" s="256"/>
      <c r="QC30" s="256"/>
      <c r="QD30" s="256"/>
      <c r="QE30" s="256"/>
      <c r="QF30" s="256"/>
      <c r="QG30" s="256"/>
      <c r="QH30" s="256"/>
      <c r="QI30" s="256"/>
      <c r="QJ30" s="256"/>
      <c r="QK30" s="256"/>
      <c r="QL30" s="256"/>
      <c r="QM30" s="256"/>
      <c r="QN30" s="256"/>
      <c r="QO30" s="256"/>
      <c r="QP30" s="256"/>
      <c r="QQ30" s="256"/>
      <c r="QR30" s="256"/>
      <c r="QS30" s="256"/>
      <c r="QT30" s="256"/>
      <c r="QU30" s="256"/>
      <c r="QV30" s="256"/>
      <c r="QW30" s="256"/>
      <c r="QX30" s="256"/>
      <c r="QY30" s="256"/>
      <c r="QZ30" s="256"/>
      <c r="RA30" s="256"/>
      <c r="RB30" s="256"/>
      <c r="RC30" s="256"/>
      <c r="RD30" s="256"/>
      <c r="RE30" s="256"/>
      <c r="RF30" s="256"/>
      <c r="RG30" s="256"/>
      <c r="RH30" s="256"/>
      <c r="RI30" s="256"/>
      <c r="RJ30" s="256"/>
      <c r="RK30" s="256"/>
      <c r="RL30" s="256"/>
      <c r="RM30" s="256"/>
      <c r="RN30" s="256"/>
      <c r="RO30" s="256"/>
      <c r="RP30" s="256"/>
      <c r="RQ30" s="256"/>
      <c r="RR30" s="256"/>
      <c r="RS30" s="256"/>
      <c r="RT30" s="256"/>
      <c r="RU30" s="256"/>
      <c r="RV30" s="256"/>
      <c r="RW30" s="256"/>
      <c r="RX30" s="256"/>
      <c r="RY30" s="256"/>
      <c r="RZ30" s="256"/>
      <c r="SA30" s="256"/>
      <c r="SB30" s="256"/>
      <c r="SC30" s="256"/>
      <c r="SD30" s="256"/>
      <c r="SE30" s="256"/>
      <c r="SF30" s="256"/>
      <c r="SG30" s="256"/>
      <c r="SH30" s="256"/>
      <c r="SI30" s="256"/>
      <c r="SJ30" s="256"/>
      <c r="SK30" s="256"/>
      <c r="SL30" s="256"/>
      <c r="SM30" s="256"/>
      <c r="SN30" s="256"/>
      <c r="SO30" s="256"/>
      <c r="SP30" s="256"/>
      <c r="SQ30" s="256"/>
      <c r="SR30" s="256"/>
      <c r="SS30" s="256"/>
      <c r="ST30" s="256"/>
      <c r="SU30" s="256"/>
      <c r="SV30" s="256"/>
      <c r="SW30" s="256"/>
      <c r="SX30" s="256"/>
      <c r="SY30" s="256"/>
      <c r="SZ30" s="256"/>
      <c r="TA30" s="256"/>
      <c r="TB30" s="256"/>
      <c r="TC30" s="256"/>
      <c r="TD30" s="256"/>
      <c r="TE30" s="256"/>
      <c r="TF30" s="256"/>
      <c r="TG30" s="256"/>
      <c r="TH30" s="256"/>
      <c r="TI30" s="256"/>
      <c r="TJ30" s="256"/>
      <c r="TK30" s="256"/>
      <c r="TL30" s="256"/>
      <c r="TM30" s="256"/>
      <c r="TN30" s="256"/>
      <c r="TO30" s="256"/>
      <c r="TP30" s="256"/>
      <c r="TQ30" s="256"/>
      <c r="TR30" s="256"/>
      <c r="TS30" s="256"/>
      <c r="TT30" s="256"/>
      <c r="TU30" s="256"/>
      <c r="TV30" s="256"/>
      <c r="TW30" s="256"/>
      <c r="TX30" s="256"/>
      <c r="TY30" s="256"/>
      <c r="TZ30" s="256"/>
      <c r="UA30" s="256"/>
      <c r="UB30" s="256"/>
      <c r="UC30" s="256"/>
      <c r="UD30" s="256"/>
      <c r="UE30" s="256"/>
      <c r="UF30" s="256"/>
      <c r="UG30" s="256"/>
      <c r="UH30" s="256"/>
      <c r="UI30" s="256"/>
      <c r="UJ30" s="256"/>
      <c r="UK30" s="256"/>
      <c r="UL30" s="256"/>
      <c r="UM30" s="256"/>
      <c r="UN30" s="256"/>
      <c r="UO30" s="256"/>
      <c r="UP30" s="256"/>
      <c r="UQ30" s="256"/>
      <c r="UR30" s="256"/>
      <c r="US30" s="256"/>
      <c r="UT30" s="256"/>
      <c r="UU30" s="256"/>
      <c r="UV30" s="256"/>
      <c r="UW30" s="256"/>
      <c r="UX30" s="256"/>
      <c r="UY30" s="256"/>
      <c r="UZ30" s="256"/>
      <c r="VA30" s="256"/>
      <c r="VB30" s="256"/>
      <c r="VC30" s="256"/>
      <c r="VD30" s="256"/>
      <c r="VE30" s="256"/>
      <c r="VF30" s="256"/>
      <c r="VG30" s="256"/>
      <c r="VH30" s="256"/>
      <c r="VI30" s="256"/>
      <c r="VJ30" s="256"/>
      <c r="VK30" s="256"/>
      <c r="VL30" s="256"/>
      <c r="VM30" s="256"/>
      <c r="VN30" s="256"/>
      <c r="VO30" s="256"/>
      <c r="VP30" s="256"/>
      <c r="VQ30" s="256"/>
      <c r="VR30" s="256"/>
      <c r="VS30" s="256"/>
      <c r="VT30" s="256"/>
      <c r="VU30" s="256"/>
      <c r="VV30" s="256"/>
      <c r="VW30" s="256"/>
      <c r="VX30" s="256"/>
      <c r="VY30" s="256"/>
      <c r="VZ30" s="256"/>
      <c r="WA30" s="256"/>
      <c r="WB30" s="256"/>
      <c r="WC30" s="256"/>
      <c r="WD30" s="256"/>
      <c r="WE30" s="256"/>
      <c r="WF30" s="256"/>
      <c r="WG30" s="256"/>
      <c r="WH30" s="256"/>
      <c r="WI30" s="256"/>
      <c r="WJ30" s="256"/>
      <c r="WK30" s="256"/>
      <c r="WL30" s="256"/>
      <c r="WM30" s="256"/>
      <c r="WN30" s="256"/>
      <c r="WO30" s="256"/>
      <c r="WP30" s="256"/>
      <c r="WQ30" s="256"/>
      <c r="WR30" s="256"/>
      <c r="WS30" s="256"/>
      <c r="WT30" s="256"/>
      <c r="WU30" s="256"/>
      <c r="WV30" s="256"/>
      <c r="WW30" s="256"/>
      <c r="WX30" s="256"/>
      <c r="WY30" s="256"/>
      <c r="WZ30" s="256"/>
      <c r="XA30" s="256"/>
      <c r="XB30" s="256"/>
      <c r="XC30" s="256"/>
      <c r="XD30" s="256"/>
      <c r="XE30" s="256"/>
      <c r="XF30" s="256"/>
      <c r="XG30" s="256"/>
      <c r="XH30" s="256"/>
      <c r="XI30" s="256"/>
      <c r="XJ30" s="256"/>
      <c r="XK30" s="256"/>
      <c r="XL30" s="256"/>
      <c r="XM30" s="256"/>
      <c r="XN30" s="256"/>
      <c r="XO30" s="256"/>
      <c r="XP30" s="256"/>
      <c r="XQ30" s="256"/>
      <c r="XR30" s="256"/>
      <c r="XS30" s="256"/>
      <c r="XT30" s="256"/>
      <c r="XU30" s="256"/>
      <c r="XV30" s="256"/>
      <c r="XW30" s="256"/>
      <c r="XX30" s="256"/>
      <c r="XY30" s="256"/>
      <c r="XZ30" s="256"/>
      <c r="YA30" s="256"/>
      <c r="YB30" s="256"/>
      <c r="YC30" s="256"/>
      <c r="YD30" s="256"/>
      <c r="YE30" s="256"/>
      <c r="YF30" s="256"/>
      <c r="YG30" s="256"/>
      <c r="YH30" s="256"/>
      <c r="YI30" s="256"/>
      <c r="YJ30" s="256"/>
      <c r="YK30" s="256"/>
      <c r="YL30" s="256"/>
      <c r="YM30" s="256"/>
      <c r="YN30" s="256"/>
      <c r="YO30" s="256"/>
      <c r="YP30" s="256"/>
      <c r="YQ30" s="256"/>
      <c r="YR30" s="256"/>
      <c r="YS30" s="256"/>
      <c r="YT30" s="256"/>
      <c r="YU30" s="256"/>
      <c r="YV30" s="256"/>
      <c r="YW30" s="256"/>
      <c r="YX30" s="256"/>
      <c r="YY30" s="256"/>
      <c r="YZ30" s="256"/>
      <c r="ZA30" s="256"/>
      <c r="ZB30" s="256"/>
      <c r="ZC30" s="256"/>
      <c r="ZD30" s="256"/>
      <c r="ZE30" s="256"/>
      <c r="ZF30" s="256"/>
      <c r="ZG30" s="256"/>
      <c r="ZH30" s="256"/>
      <c r="ZI30" s="256"/>
      <c r="ZJ30" s="256"/>
      <c r="ZK30" s="256"/>
      <c r="ZL30" s="256"/>
      <c r="ZM30" s="256"/>
      <c r="ZN30" s="256"/>
      <c r="ZO30" s="256"/>
      <c r="ZP30" s="256"/>
      <c r="ZQ30" s="256"/>
      <c r="ZR30" s="256"/>
      <c r="ZS30" s="256"/>
      <c r="ZT30" s="256"/>
      <c r="ZU30" s="256"/>
      <c r="ZV30" s="256"/>
      <c r="ZW30" s="256"/>
      <c r="ZX30" s="256"/>
      <c r="ZY30" s="256"/>
      <c r="ZZ30" s="256"/>
      <c r="AAA30" s="256"/>
      <c r="AAB30" s="256"/>
      <c r="AAC30" s="256"/>
      <c r="AAD30" s="256"/>
      <c r="AAE30" s="256"/>
      <c r="AAF30" s="256"/>
      <c r="AAG30" s="256"/>
      <c r="AAH30" s="256"/>
      <c r="AAI30" s="256"/>
      <c r="AAJ30" s="256"/>
      <c r="AAK30" s="256"/>
      <c r="AAL30" s="256"/>
      <c r="AAM30" s="256"/>
      <c r="AAN30" s="256"/>
      <c r="AAO30" s="256"/>
      <c r="AAP30" s="256"/>
      <c r="AAQ30" s="256"/>
      <c r="AAR30" s="256"/>
      <c r="AAS30" s="256"/>
      <c r="AAT30" s="256"/>
      <c r="AAU30" s="256"/>
      <c r="AAV30" s="256"/>
      <c r="AAW30" s="256"/>
      <c r="AAX30" s="256"/>
      <c r="AAY30" s="256"/>
      <c r="AAZ30" s="256"/>
      <c r="ABA30" s="256"/>
      <c r="ABB30" s="256"/>
      <c r="ABC30" s="256"/>
      <c r="ABD30" s="256"/>
      <c r="ABE30" s="256"/>
      <c r="ABF30" s="256"/>
      <c r="ABG30" s="256"/>
      <c r="ABH30" s="256"/>
      <c r="ABI30" s="256"/>
      <c r="ABJ30" s="256"/>
      <c r="ABK30" s="256"/>
      <c r="ABL30" s="256"/>
      <c r="ABM30" s="256"/>
      <c r="ABN30" s="256"/>
      <c r="ABO30" s="256"/>
      <c r="ABP30" s="256"/>
      <c r="ABQ30" s="256"/>
      <c r="ABR30" s="256"/>
      <c r="ABS30" s="256"/>
      <c r="ABT30" s="256"/>
      <c r="ABU30" s="256"/>
      <c r="ABV30" s="256"/>
      <c r="ABW30" s="256"/>
      <c r="ABX30" s="256"/>
      <c r="ABY30" s="256"/>
      <c r="ABZ30" s="256"/>
      <c r="ACA30" s="256"/>
      <c r="ACB30" s="256"/>
      <c r="ACC30" s="256"/>
      <c r="ACD30" s="256"/>
      <c r="ACE30" s="256"/>
      <c r="ACF30" s="256"/>
      <c r="ACG30" s="256"/>
      <c r="ACH30" s="256"/>
      <c r="ACI30" s="256"/>
      <c r="ACJ30" s="256"/>
      <c r="ACK30" s="256"/>
      <c r="ACL30" s="256"/>
      <c r="ACM30" s="256"/>
      <c r="ACN30" s="256"/>
      <c r="ACO30" s="256"/>
      <c r="ACP30" s="256"/>
      <c r="ACQ30" s="256"/>
      <c r="ACR30" s="256"/>
      <c r="ACS30" s="256"/>
      <c r="ACT30" s="256"/>
      <c r="ACU30" s="256"/>
      <c r="ACV30" s="256"/>
      <c r="ACW30" s="256"/>
      <c r="ACX30" s="256"/>
      <c r="ACY30" s="256"/>
      <c r="ACZ30" s="256"/>
      <c r="ADA30" s="256"/>
      <c r="ADB30" s="256"/>
      <c r="ADC30" s="256"/>
      <c r="ADD30" s="256"/>
      <c r="ADE30" s="256"/>
      <c r="ADF30" s="256"/>
      <c r="ADG30" s="256"/>
      <c r="ADH30" s="256"/>
      <c r="ADI30" s="256"/>
      <c r="ADJ30" s="256"/>
      <c r="ADK30" s="256"/>
      <c r="ADL30" s="256"/>
      <c r="ADM30" s="256"/>
      <c r="ADN30" s="256"/>
      <c r="ADO30" s="256"/>
      <c r="ADP30" s="256"/>
      <c r="ADQ30" s="256"/>
      <c r="ADR30" s="256"/>
      <c r="ADS30" s="256"/>
      <c r="ADT30" s="256"/>
      <c r="ADU30" s="256"/>
      <c r="ADV30" s="256"/>
      <c r="ADW30" s="256"/>
      <c r="ADX30" s="256"/>
      <c r="ADY30" s="256"/>
      <c r="ADZ30" s="256"/>
      <c r="AEA30" s="256"/>
      <c r="AEB30" s="256"/>
      <c r="AEC30" s="256"/>
      <c r="AED30" s="256"/>
      <c r="AEE30" s="256"/>
      <c r="AEF30" s="256"/>
      <c r="AEG30" s="256"/>
      <c r="AEH30" s="256"/>
      <c r="AEI30" s="256"/>
      <c r="AEJ30" s="256"/>
      <c r="AEK30" s="256"/>
      <c r="AEL30" s="256"/>
      <c r="AEM30" s="256"/>
      <c r="AEN30" s="256"/>
      <c r="AEO30" s="256"/>
      <c r="AEP30" s="256"/>
      <c r="AEQ30" s="256"/>
      <c r="AER30" s="256"/>
      <c r="AES30" s="256"/>
      <c r="AET30" s="256"/>
      <c r="AEU30" s="256"/>
      <c r="AEV30" s="256"/>
      <c r="AEW30" s="256"/>
      <c r="AEX30" s="256"/>
      <c r="AEY30" s="256"/>
      <c r="AEZ30" s="256"/>
      <c r="AFA30" s="256"/>
      <c r="AFB30" s="256"/>
      <c r="AFC30" s="256"/>
      <c r="AFD30" s="256"/>
      <c r="AFE30" s="256"/>
      <c r="AFF30" s="256"/>
      <c r="AFG30" s="256"/>
      <c r="AFH30" s="256"/>
      <c r="AFI30" s="256"/>
      <c r="AFJ30" s="256"/>
      <c r="AFK30" s="256"/>
      <c r="AFL30" s="256"/>
      <c r="AFM30" s="256"/>
      <c r="AFN30" s="256"/>
      <c r="AFO30" s="256"/>
      <c r="AFP30" s="256"/>
      <c r="AFQ30" s="256"/>
      <c r="AFR30" s="256"/>
      <c r="AFS30" s="256"/>
      <c r="AFT30" s="256"/>
      <c r="AFU30" s="256"/>
      <c r="AFV30" s="256"/>
      <c r="AFW30" s="256"/>
      <c r="AFX30" s="256"/>
      <c r="AFY30" s="256"/>
      <c r="AFZ30" s="256"/>
      <c r="AGA30" s="256"/>
      <c r="AGB30" s="256"/>
      <c r="AGC30" s="256"/>
      <c r="AGD30" s="256"/>
      <c r="AGE30" s="256"/>
      <c r="AGF30" s="256"/>
      <c r="AGG30" s="256"/>
      <c r="AGH30" s="256"/>
      <c r="AGI30" s="256"/>
      <c r="AGJ30" s="256"/>
      <c r="AGK30" s="256"/>
      <c r="AGL30" s="256"/>
      <c r="AGM30" s="256"/>
      <c r="AGN30" s="256"/>
      <c r="AGO30" s="256"/>
      <c r="AGP30" s="256"/>
      <c r="AGQ30" s="256"/>
      <c r="AGR30" s="256"/>
      <c r="AGS30" s="256"/>
      <c r="AGT30" s="256"/>
      <c r="AGU30" s="256"/>
      <c r="AGV30" s="256"/>
      <c r="AGW30" s="256"/>
      <c r="AGX30" s="256"/>
      <c r="AGY30" s="256"/>
      <c r="AGZ30" s="256"/>
      <c r="AHA30" s="256"/>
      <c r="AHB30" s="256"/>
      <c r="AHC30" s="256"/>
      <c r="AHD30" s="256"/>
      <c r="AHE30" s="256"/>
      <c r="AHF30" s="256"/>
      <c r="AHG30" s="256"/>
      <c r="AHH30" s="256"/>
      <c r="AHI30" s="256"/>
      <c r="AHJ30" s="256"/>
      <c r="AHK30" s="256"/>
      <c r="AHL30" s="256"/>
      <c r="AHM30" s="256"/>
      <c r="AHN30" s="256"/>
      <c r="AHO30" s="256"/>
      <c r="AHP30" s="256"/>
      <c r="AHQ30" s="256"/>
      <c r="AHR30" s="256"/>
      <c r="AHS30" s="256"/>
      <c r="AHT30" s="256"/>
      <c r="AHU30" s="256"/>
      <c r="AHV30" s="256"/>
      <c r="AHW30" s="256"/>
      <c r="AHX30" s="256"/>
      <c r="AHY30" s="256"/>
      <c r="AHZ30" s="256"/>
      <c r="AIA30" s="256"/>
      <c r="AIB30" s="256"/>
      <c r="AIC30" s="256"/>
      <c r="AID30" s="256"/>
      <c r="AIE30" s="256"/>
      <c r="AIF30" s="256"/>
      <c r="AIG30" s="256"/>
      <c r="AIH30" s="256"/>
      <c r="AII30" s="256"/>
      <c r="AIJ30" s="256"/>
      <c r="AIK30" s="256"/>
      <c r="AIL30" s="256"/>
      <c r="AIM30" s="256"/>
      <c r="AIN30" s="256"/>
      <c r="AIO30" s="256"/>
      <c r="AIP30" s="256"/>
      <c r="AIQ30" s="256"/>
      <c r="AIR30" s="256"/>
      <c r="AIS30" s="256"/>
      <c r="AIT30" s="256"/>
      <c r="AIU30" s="256"/>
      <c r="AIV30" s="256"/>
      <c r="AIW30" s="256"/>
      <c r="AIX30" s="256"/>
      <c r="AIY30" s="256"/>
      <c r="AIZ30" s="256"/>
      <c r="AJA30" s="256"/>
      <c r="AJB30" s="256"/>
      <c r="AJC30" s="256"/>
      <c r="AJD30" s="256"/>
      <c r="AJE30" s="256"/>
      <c r="AJF30" s="256"/>
      <c r="AJG30" s="256"/>
      <c r="AJH30" s="256"/>
      <c r="AJI30" s="256"/>
      <c r="AJJ30" s="256"/>
      <c r="AJK30" s="256"/>
      <c r="AJL30" s="256"/>
      <c r="AJM30" s="256"/>
      <c r="AJN30" s="256"/>
      <c r="AJO30" s="256"/>
      <c r="AJP30" s="256"/>
      <c r="AJQ30" s="256"/>
      <c r="AJR30" s="256"/>
      <c r="AJS30" s="256"/>
      <c r="AJT30" s="256"/>
      <c r="AJU30" s="256"/>
      <c r="AJV30" s="256"/>
      <c r="AJW30" s="256"/>
      <c r="AJX30" s="256"/>
      <c r="AJY30" s="256"/>
      <c r="AJZ30" s="256"/>
      <c r="AKA30" s="256"/>
      <c r="AKB30" s="256"/>
      <c r="AKC30" s="256"/>
      <c r="AKD30" s="256"/>
      <c r="AKE30" s="256"/>
      <c r="AKF30" s="256"/>
      <c r="AKG30" s="256"/>
      <c r="AKH30" s="256"/>
      <c r="AKI30" s="256"/>
      <c r="AKJ30" s="256"/>
      <c r="AKK30" s="256"/>
      <c r="AKL30" s="256"/>
      <c r="AKM30" s="256"/>
      <c r="AKN30" s="256"/>
      <c r="AKO30" s="256"/>
      <c r="AKP30" s="256"/>
      <c r="AKQ30" s="256"/>
      <c r="AKR30" s="256"/>
      <c r="AKS30" s="256"/>
      <c r="AKT30" s="256"/>
      <c r="AKU30" s="256"/>
      <c r="AKV30" s="256"/>
      <c r="AKW30" s="256"/>
      <c r="AKX30" s="256"/>
      <c r="AKY30" s="256"/>
      <c r="AKZ30" s="256"/>
      <c r="ALA30" s="256"/>
      <c r="ALB30" s="256"/>
      <c r="ALC30" s="256"/>
      <c r="ALD30" s="256"/>
      <c r="ALE30" s="256"/>
      <c r="ALF30" s="256"/>
      <c r="ALG30" s="256"/>
      <c r="ALH30" s="256"/>
      <c r="ALI30" s="256"/>
      <c r="ALJ30" s="256"/>
      <c r="ALK30" s="256"/>
      <c r="ALL30" s="256"/>
      <c r="ALM30" s="256"/>
      <c r="ALN30" s="256"/>
      <c r="ALO30" s="256"/>
      <c r="ALP30" s="256"/>
      <c r="ALQ30" s="256"/>
      <c r="ALR30" s="256"/>
      <c r="ALS30" s="256"/>
      <c r="ALT30" s="256"/>
      <c r="ALU30" s="258"/>
      <c r="ALV30" s="258"/>
      <c r="ALW30" s="258"/>
      <c r="ALX30" s="258"/>
      <c r="ALY30" s="258"/>
      <c r="ALZ30" s="258"/>
      <c r="AMA30" s="258"/>
      <c r="AMB30" s="258"/>
      <c r="AMC30" s="258"/>
      <c r="AMD30" s="258"/>
      <c r="AME30" s="258"/>
      <c r="AMF30" s="258"/>
      <c r="AMG30" s="258"/>
      <c r="AMH30" s="258"/>
      <c r="AMI30" s="256"/>
    </row>
    <row r="31" spans="1:1023" s="259" customFormat="1" ht="30" x14ac:dyDescent="0.25">
      <c r="A31" s="256"/>
      <c r="B31" s="256"/>
      <c r="C31" s="256"/>
      <c r="D31" s="303"/>
      <c r="E31" s="306" t="s">
        <v>339</v>
      </c>
      <c r="F31" s="307">
        <f>E12*G12</f>
        <v>0</v>
      </c>
      <c r="G31" s="307">
        <f>G12*(1-E12)</f>
        <v>0</v>
      </c>
      <c r="H31" s="308">
        <f>1-G12</f>
        <v>1</v>
      </c>
      <c r="I31" s="305"/>
      <c r="J31" s="304"/>
      <c r="K31" s="304"/>
      <c r="L31" s="256"/>
      <c r="M31" s="256"/>
      <c r="N31" s="256"/>
      <c r="O31" s="256"/>
      <c r="P31" s="256"/>
      <c r="Q31" s="256"/>
      <c r="R31" s="256"/>
      <c r="S31" s="256"/>
      <c r="T31" s="256"/>
      <c r="U31" s="256"/>
      <c r="V31" s="256"/>
      <c r="W31" s="256"/>
      <c r="X31" s="256"/>
      <c r="Y31" s="256"/>
      <c r="Z31" s="256"/>
      <c r="AA31" s="256"/>
      <c r="AB31" s="256"/>
      <c r="AC31" s="256"/>
      <c r="AD31" s="256"/>
      <c r="AE31" s="256"/>
      <c r="AF31" s="256"/>
      <c r="AG31" s="256"/>
      <c r="AH31" s="256"/>
      <c r="AI31" s="256"/>
      <c r="AJ31" s="256"/>
      <c r="AK31" s="256"/>
      <c r="AL31" s="256"/>
      <c r="AM31" s="256"/>
      <c r="AN31" s="256"/>
      <c r="AO31" s="256"/>
      <c r="AP31" s="256"/>
      <c r="AQ31" s="256"/>
      <c r="AR31" s="256"/>
      <c r="AS31" s="256"/>
      <c r="AT31" s="256"/>
      <c r="AU31" s="256"/>
      <c r="AV31" s="256"/>
      <c r="AW31" s="256"/>
      <c r="AX31" s="256"/>
      <c r="AY31" s="256"/>
      <c r="AZ31" s="256"/>
      <c r="BA31" s="256"/>
      <c r="BB31" s="256"/>
      <c r="BC31" s="256"/>
      <c r="BD31" s="256"/>
      <c r="BE31" s="256"/>
      <c r="BF31" s="256"/>
      <c r="BG31" s="256"/>
      <c r="BH31" s="256"/>
      <c r="BI31" s="256"/>
      <c r="BJ31" s="256"/>
      <c r="BK31" s="256"/>
      <c r="BL31" s="256"/>
      <c r="BM31" s="256"/>
      <c r="BN31" s="256"/>
      <c r="BO31" s="256"/>
      <c r="BP31" s="256"/>
      <c r="BQ31" s="256"/>
      <c r="BR31" s="256"/>
      <c r="BS31" s="256"/>
      <c r="BT31" s="256"/>
      <c r="BU31" s="256"/>
      <c r="BV31" s="256"/>
      <c r="BW31" s="256"/>
      <c r="BX31" s="256"/>
      <c r="BY31" s="256"/>
      <c r="BZ31" s="256"/>
      <c r="CA31" s="256"/>
      <c r="CB31" s="256"/>
      <c r="CC31" s="256"/>
      <c r="CD31" s="256"/>
      <c r="CE31" s="256"/>
      <c r="CF31" s="256"/>
      <c r="CG31" s="256"/>
      <c r="CH31" s="256"/>
      <c r="CI31" s="256"/>
      <c r="CJ31" s="256"/>
      <c r="CK31" s="256"/>
      <c r="CL31" s="256"/>
      <c r="CM31" s="256"/>
      <c r="CN31" s="256"/>
      <c r="CO31" s="256"/>
      <c r="CP31" s="256"/>
      <c r="CQ31" s="256"/>
      <c r="CR31" s="256"/>
      <c r="CS31" s="256"/>
      <c r="CT31" s="256"/>
      <c r="CU31" s="256"/>
      <c r="CV31" s="256"/>
      <c r="CW31" s="256"/>
      <c r="CX31" s="256"/>
      <c r="CY31" s="256"/>
      <c r="CZ31" s="256"/>
      <c r="DA31" s="256"/>
      <c r="DB31" s="256"/>
      <c r="DC31" s="256"/>
      <c r="DD31" s="256"/>
      <c r="DE31" s="256"/>
      <c r="DF31" s="256"/>
      <c r="DG31" s="256"/>
      <c r="DH31" s="256"/>
      <c r="DI31" s="256"/>
      <c r="DJ31" s="256"/>
      <c r="DK31" s="256"/>
      <c r="DL31" s="256"/>
      <c r="DM31" s="256"/>
      <c r="DN31" s="256"/>
      <c r="DO31" s="256"/>
      <c r="DP31" s="256"/>
      <c r="DQ31" s="256"/>
      <c r="DR31" s="256"/>
      <c r="DS31" s="256"/>
      <c r="DT31" s="256"/>
      <c r="DU31" s="256"/>
      <c r="DV31" s="256"/>
      <c r="DW31" s="256"/>
      <c r="DX31" s="256"/>
      <c r="DY31" s="256"/>
      <c r="DZ31" s="256"/>
      <c r="EA31" s="256"/>
      <c r="EB31" s="256"/>
      <c r="EC31" s="256"/>
      <c r="ED31" s="256"/>
      <c r="EE31" s="256"/>
      <c r="EF31" s="256"/>
      <c r="EG31" s="256"/>
      <c r="EH31" s="256"/>
      <c r="EI31" s="256"/>
      <c r="EJ31" s="256"/>
      <c r="EK31" s="256"/>
      <c r="EL31" s="256"/>
      <c r="EM31" s="256"/>
      <c r="EN31" s="256"/>
      <c r="EO31" s="256"/>
      <c r="EP31" s="256"/>
      <c r="EQ31" s="256"/>
      <c r="ER31" s="256"/>
      <c r="ES31" s="256"/>
      <c r="ET31" s="256"/>
      <c r="EU31" s="256"/>
      <c r="EV31" s="256"/>
      <c r="EW31" s="256"/>
      <c r="EX31" s="256"/>
      <c r="EY31" s="256"/>
      <c r="EZ31" s="256"/>
      <c r="FA31" s="256"/>
      <c r="FB31" s="256"/>
      <c r="FC31" s="256"/>
      <c r="FD31" s="256"/>
      <c r="FE31" s="256"/>
      <c r="FF31" s="256"/>
      <c r="FG31" s="256"/>
      <c r="FH31" s="256"/>
      <c r="FI31" s="256"/>
      <c r="FJ31" s="256"/>
      <c r="FK31" s="256"/>
      <c r="FL31" s="256"/>
      <c r="FM31" s="256"/>
      <c r="FN31" s="256"/>
      <c r="FO31" s="256"/>
      <c r="FP31" s="256"/>
      <c r="FQ31" s="256"/>
      <c r="FR31" s="256"/>
      <c r="FS31" s="256"/>
      <c r="FT31" s="256"/>
      <c r="FU31" s="256"/>
      <c r="FV31" s="256"/>
      <c r="FW31" s="256"/>
      <c r="FX31" s="256"/>
      <c r="FY31" s="256"/>
      <c r="FZ31" s="256"/>
      <c r="GA31" s="256"/>
      <c r="GB31" s="256"/>
      <c r="GC31" s="256"/>
      <c r="GD31" s="256"/>
      <c r="GE31" s="256"/>
      <c r="GF31" s="256"/>
      <c r="GG31" s="256"/>
      <c r="GH31" s="256"/>
      <c r="GI31" s="256"/>
      <c r="GJ31" s="256"/>
      <c r="GK31" s="256"/>
      <c r="GL31" s="256"/>
      <c r="GM31" s="256"/>
      <c r="GN31" s="256"/>
      <c r="GO31" s="256"/>
      <c r="GP31" s="256"/>
      <c r="GQ31" s="256"/>
      <c r="GR31" s="256"/>
      <c r="GS31" s="256"/>
      <c r="GT31" s="256"/>
      <c r="GU31" s="256"/>
      <c r="GV31" s="256"/>
      <c r="GW31" s="256"/>
      <c r="GX31" s="256"/>
      <c r="GY31" s="256"/>
      <c r="GZ31" s="256"/>
      <c r="HA31" s="256"/>
      <c r="HB31" s="256"/>
      <c r="HC31" s="256"/>
      <c r="HD31" s="256"/>
      <c r="HE31" s="256"/>
      <c r="HF31" s="256"/>
      <c r="HG31" s="256"/>
      <c r="HH31" s="256"/>
      <c r="HI31" s="256"/>
      <c r="HJ31" s="256"/>
      <c r="HK31" s="256"/>
      <c r="HL31" s="256"/>
      <c r="HM31" s="256"/>
      <c r="HN31" s="256"/>
      <c r="HO31" s="256"/>
      <c r="HP31" s="256"/>
      <c r="HQ31" s="256"/>
      <c r="HR31" s="256"/>
      <c r="HS31" s="256"/>
      <c r="HT31" s="256"/>
      <c r="HU31" s="256"/>
      <c r="HV31" s="256"/>
      <c r="HW31" s="256"/>
      <c r="HX31" s="256"/>
      <c r="HY31" s="256"/>
      <c r="HZ31" s="256"/>
      <c r="IA31" s="256"/>
      <c r="IB31" s="256"/>
      <c r="IC31" s="256"/>
      <c r="ID31" s="256"/>
      <c r="IE31" s="256"/>
      <c r="IF31" s="256"/>
      <c r="IG31" s="256"/>
      <c r="IH31" s="256"/>
      <c r="II31" s="256"/>
      <c r="IJ31" s="256"/>
      <c r="IK31" s="256"/>
      <c r="IL31" s="256"/>
      <c r="IM31" s="256"/>
      <c r="IN31" s="256"/>
      <c r="IO31" s="256"/>
      <c r="IP31" s="256"/>
      <c r="IQ31" s="256"/>
      <c r="IR31" s="256"/>
      <c r="IS31" s="256"/>
      <c r="IT31" s="256"/>
      <c r="IU31" s="256"/>
      <c r="IV31" s="256"/>
      <c r="IW31" s="256"/>
      <c r="IX31" s="256"/>
      <c r="IY31" s="256"/>
      <c r="IZ31" s="256"/>
      <c r="JA31" s="256"/>
      <c r="JB31" s="256"/>
      <c r="JC31" s="256"/>
      <c r="JD31" s="256"/>
      <c r="JE31" s="256"/>
      <c r="JF31" s="256"/>
      <c r="JG31" s="256"/>
      <c r="JH31" s="256"/>
      <c r="JI31" s="256"/>
      <c r="JJ31" s="256"/>
      <c r="JK31" s="256"/>
      <c r="JL31" s="256"/>
      <c r="JM31" s="256"/>
      <c r="JN31" s="256"/>
      <c r="JO31" s="256"/>
      <c r="JP31" s="256"/>
      <c r="JQ31" s="256"/>
      <c r="JR31" s="256"/>
      <c r="JS31" s="256"/>
      <c r="JT31" s="256"/>
      <c r="JU31" s="256"/>
      <c r="JV31" s="256"/>
      <c r="JW31" s="256"/>
      <c r="JX31" s="256"/>
      <c r="JY31" s="256"/>
      <c r="JZ31" s="256"/>
      <c r="KA31" s="256"/>
      <c r="KB31" s="256"/>
      <c r="KC31" s="256"/>
      <c r="KD31" s="256"/>
      <c r="KE31" s="256"/>
      <c r="KF31" s="256"/>
      <c r="KG31" s="256"/>
      <c r="KH31" s="256"/>
      <c r="KI31" s="256"/>
      <c r="KJ31" s="256"/>
      <c r="KK31" s="256"/>
      <c r="KL31" s="256"/>
      <c r="KM31" s="256"/>
      <c r="KN31" s="256"/>
      <c r="KO31" s="256"/>
      <c r="KP31" s="256"/>
      <c r="KQ31" s="256"/>
      <c r="KR31" s="256"/>
      <c r="KS31" s="256"/>
      <c r="KT31" s="256"/>
      <c r="KU31" s="256"/>
      <c r="KV31" s="256"/>
      <c r="KW31" s="256"/>
      <c r="KX31" s="256"/>
      <c r="KY31" s="256"/>
      <c r="KZ31" s="256"/>
      <c r="LA31" s="256"/>
      <c r="LB31" s="256"/>
      <c r="LC31" s="256"/>
      <c r="LD31" s="256"/>
      <c r="LE31" s="256"/>
      <c r="LF31" s="256"/>
      <c r="LG31" s="256"/>
      <c r="LH31" s="256"/>
      <c r="LI31" s="256"/>
      <c r="LJ31" s="256"/>
      <c r="LK31" s="256"/>
      <c r="LL31" s="256"/>
      <c r="LM31" s="256"/>
      <c r="LN31" s="256"/>
      <c r="LO31" s="256"/>
      <c r="LP31" s="256"/>
      <c r="LQ31" s="256"/>
      <c r="LR31" s="256"/>
      <c r="LS31" s="256"/>
      <c r="LT31" s="256"/>
      <c r="LU31" s="256"/>
      <c r="LV31" s="256"/>
      <c r="LW31" s="256"/>
      <c r="LX31" s="256"/>
      <c r="LY31" s="256"/>
      <c r="LZ31" s="256"/>
      <c r="MA31" s="256"/>
      <c r="MB31" s="256"/>
      <c r="MC31" s="256"/>
      <c r="MD31" s="256"/>
      <c r="ME31" s="256"/>
      <c r="MF31" s="256"/>
      <c r="MG31" s="256"/>
      <c r="MH31" s="256"/>
      <c r="MI31" s="256"/>
      <c r="MJ31" s="256"/>
      <c r="MK31" s="256"/>
      <c r="ML31" s="256"/>
      <c r="MM31" s="256"/>
      <c r="MN31" s="256"/>
      <c r="MO31" s="256"/>
      <c r="MP31" s="256"/>
      <c r="MQ31" s="256"/>
      <c r="MR31" s="256"/>
      <c r="MS31" s="256"/>
      <c r="MT31" s="256"/>
      <c r="MU31" s="256"/>
      <c r="MV31" s="256"/>
      <c r="MW31" s="256"/>
      <c r="MX31" s="256"/>
      <c r="MY31" s="256"/>
      <c r="MZ31" s="256"/>
      <c r="NA31" s="256"/>
      <c r="NB31" s="256"/>
      <c r="NC31" s="256"/>
      <c r="ND31" s="256"/>
      <c r="NE31" s="256"/>
      <c r="NF31" s="256"/>
      <c r="NG31" s="256"/>
      <c r="NH31" s="256"/>
      <c r="NI31" s="256"/>
      <c r="NJ31" s="256"/>
      <c r="NK31" s="256"/>
      <c r="NL31" s="256"/>
      <c r="NM31" s="256"/>
      <c r="NN31" s="256"/>
      <c r="NO31" s="256"/>
      <c r="NP31" s="256"/>
      <c r="NQ31" s="256"/>
      <c r="NR31" s="256"/>
      <c r="NS31" s="256"/>
      <c r="NT31" s="256"/>
      <c r="NU31" s="256"/>
      <c r="NV31" s="256"/>
      <c r="NW31" s="256"/>
      <c r="NX31" s="256"/>
      <c r="NY31" s="256"/>
      <c r="NZ31" s="256"/>
      <c r="OA31" s="256"/>
      <c r="OB31" s="256"/>
      <c r="OC31" s="256"/>
      <c r="OD31" s="256"/>
      <c r="OE31" s="256"/>
      <c r="OF31" s="256"/>
      <c r="OG31" s="256"/>
      <c r="OH31" s="256"/>
      <c r="OI31" s="256"/>
      <c r="OJ31" s="256"/>
      <c r="OK31" s="256"/>
      <c r="OL31" s="256"/>
      <c r="OM31" s="256"/>
      <c r="ON31" s="256"/>
      <c r="OO31" s="256"/>
      <c r="OP31" s="256"/>
      <c r="OQ31" s="256"/>
      <c r="OR31" s="256"/>
      <c r="OS31" s="256"/>
      <c r="OT31" s="256"/>
      <c r="OU31" s="256"/>
      <c r="OV31" s="256"/>
      <c r="OW31" s="256"/>
      <c r="OX31" s="256"/>
      <c r="OY31" s="256"/>
      <c r="OZ31" s="256"/>
      <c r="PA31" s="256"/>
      <c r="PB31" s="256"/>
      <c r="PC31" s="256"/>
      <c r="PD31" s="256"/>
      <c r="PE31" s="256"/>
      <c r="PF31" s="256"/>
      <c r="PG31" s="256"/>
      <c r="PH31" s="256"/>
      <c r="PI31" s="256"/>
      <c r="PJ31" s="256"/>
      <c r="PK31" s="256"/>
      <c r="PL31" s="256"/>
      <c r="PM31" s="256"/>
      <c r="PN31" s="256"/>
      <c r="PO31" s="256"/>
      <c r="PP31" s="256"/>
      <c r="PQ31" s="256"/>
      <c r="PR31" s="256"/>
      <c r="PS31" s="256"/>
      <c r="PT31" s="256"/>
      <c r="PU31" s="256"/>
      <c r="PV31" s="256"/>
      <c r="PW31" s="256"/>
      <c r="PX31" s="256"/>
      <c r="PY31" s="256"/>
      <c r="PZ31" s="256"/>
      <c r="QA31" s="256"/>
      <c r="QB31" s="256"/>
      <c r="QC31" s="256"/>
      <c r="QD31" s="256"/>
      <c r="QE31" s="256"/>
      <c r="QF31" s="256"/>
      <c r="QG31" s="256"/>
      <c r="QH31" s="256"/>
      <c r="QI31" s="256"/>
      <c r="QJ31" s="256"/>
      <c r="QK31" s="256"/>
      <c r="QL31" s="256"/>
      <c r="QM31" s="256"/>
      <c r="QN31" s="256"/>
      <c r="QO31" s="256"/>
      <c r="QP31" s="256"/>
      <c r="QQ31" s="256"/>
      <c r="QR31" s="256"/>
      <c r="QS31" s="256"/>
      <c r="QT31" s="256"/>
      <c r="QU31" s="256"/>
      <c r="QV31" s="256"/>
      <c r="QW31" s="256"/>
      <c r="QX31" s="256"/>
      <c r="QY31" s="256"/>
      <c r="QZ31" s="256"/>
      <c r="RA31" s="256"/>
      <c r="RB31" s="256"/>
      <c r="RC31" s="256"/>
      <c r="RD31" s="256"/>
      <c r="RE31" s="256"/>
      <c r="RF31" s="256"/>
      <c r="RG31" s="256"/>
      <c r="RH31" s="256"/>
      <c r="RI31" s="256"/>
      <c r="RJ31" s="256"/>
      <c r="RK31" s="256"/>
      <c r="RL31" s="256"/>
      <c r="RM31" s="256"/>
      <c r="RN31" s="256"/>
      <c r="RO31" s="256"/>
      <c r="RP31" s="256"/>
      <c r="RQ31" s="256"/>
      <c r="RR31" s="256"/>
      <c r="RS31" s="256"/>
      <c r="RT31" s="256"/>
      <c r="RU31" s="256"/>
      <c r="RV31" s="256"/>
      <c r="RW31" s="256"/>
      <c r="RX31" s="256"/>
      <c r="RY31" s="256"/>
      <c r="RZ31" s="256"/>
      <c r="SA31" s="256"/>
      <c r="SB31" s="256"/>
      <c r="SC31" s="256"/>
      <c r="SD31" s="256"/>
      <c r="SE31" s="256"/>
      <c r="SF31" s="256"/>
      <c r="SG31" s="256"/>
      <c r="SH31" s="256"/>
      <c r="SI31" s="256"/>
      <c r="SJ31" s="256"/>
      <c r="SK31" s="256"/>
      <c r="SL31" s="256"/>
      <c r="SM31" s="256"/>
      <c r="SN31" s="256"/>
      <c r="SO31" s="256"/>
      <c r="SP31" s="256"/>
      <c r="SQ31" s="256"/>
      <c r="SR31" s="256"/>
      <c r="SS31" s="256"/>
      <c r="ST31" s="256"/>
      <c r="SU31" s="256"/>
      <c r="SV31" s="256"/>
      <c r="SW31" s="256"/>
      <c r="SX31" s="256"/>
      <c r="SY31" s="256"/>
      <c r="SZ31" s="256"/>
      <c r="TA31" s="256"/>
      <c r="TB31" s="256"/>
      <c r="TC31" s="256"/>
      <c r="TD31" s="256"/>
      <c r="TE31" s="256"/>
      <c r="TF31" s="256"/>
      <c r="TG31" s="256"/>
      <c r="TH31" s="256"/>
      <c r="TI31" s="256"/>
      <c r="TJ31" s="256"/>
      <c r="TK31" s="256"/>
      <c r="TL31" s="256"/>
      <c r="TM31" s="256"/>
      <c r="TN31" s="256"/>
      <c r="TO31" s="256"/>
      <c r="TP31" s="256"/>
      <c r="TQ31" s="256"/>
      <c r="TR31" s="256"/>
      <c r="TS31" s="256"/>
      <c r="TT31" s="256"/>
      <c r="TU31" s="256"/>
      <c r="TV31" s="256"/>
      <c r="TW31" s="256"/>
      <c r="TX31" s="256"/>
      <c r="TY31" s="256"/>
      <c r="TZ31" s="256"/>
      <c r="UA31" s="256"/>
      <c r="UB31" s="256"/>
      <c r="UC31" s="256"/>
      <c r="UD31" s="256"/>
      <c r="UE31" s="256"/>
      <c r="UF31" s="256"/>
      <c r="UG31" s="256"/>
      <c r="UH31" s="256"/>
      <c r="UI31" s="256"/>
      <c r="UJ31" s="256"/>
      <c r="UK31" s="256"/>
      <c r="UL31" s="256"/>
      <c r="UM31" s="256"/>
      <c r="UN31" s="256"/>
      <c r="UO31" s="256"/>
      <c r="UP31" s="256"/>
      <c r="UQ31" s="256"/>
      <c r="UR31" s="256"/>
      <c r="US31" s="256"/>
      <c r="UT31" s="256"/>
      <c r="UU31" s="256"/>
      <c r="UV31" s="256"/>
      <c r="UW31" s="256"/>
      <c r="UX31" s="256"/>
      <c r="UY31" s="256"/>
      <c r="UZ31" s="256"/>
      <c r="VA31" s="256"/>
      <c r="VB31" s="256"/>
      <c r="VC31" s="256"/>
      <c r="VD31" s="256"/>
      <c r="VE31" s="256"/>
      <c r="VF31" s="256"/>
      <c r="VG31" s="256"/>
      <c r="VH31" s="256"/>
      <c r="VI31" s="256"/>
      <c r="VJ31" s="256"/>
      <c r="VK31" s="256"/>
      <c r="VL31" s="256"/>
      <c r="VM31" s="256"/>
      <c r="VN31" s="256"/>
      <c r="VO31" s="256"/>
      <c r="VP31" s="256"/>
      <c r="VQ31" s="256"/>
      <c r="VR31" s="256"/>
      <c r="VS31" s="256"/>
      <c r="VT31" s="256"/>
      <c r="VU31" s="256"/>
      <c r="VV31" s="256"/>
      <c r="VW31" s="256"/>
      <c r="VX31" s="256"/>
      <c r="VY31" s="256"/>
      <c r="VZ31" s="256"/>
      <c r="WA31" s="256"/>
      <c r="WB31" s="256"/>
      <c r="WC31" s="256"/>
      <c r="WD31" s="256"/>
      <c r="WE31" s="256"/>
      <c r="WF31" s="256"/>
      <c r="WG31" s="256"/>
      <c r="WH31" s="256"/>
      <c r="WI31" s="256"/>
      <c r="WJ31" s="256"/>
      <c r="WK31" s="256"/>
      <c r="WL31" s="256"/>
      <c r="WM31" s="256"/>
      <c r="WN31" s="256"/>
      <c r="WO31" s="256"/>
      <c r="WP31" s="256"/>
      <c r="WQ31" s="256"/>
      <c r="WR31" s="256"/>
      <c r="WS31" s="256"/>
      <c r="WT31" s="256"/>
      <c r="WU31" s="256"/>
      <c r="WV31" s="256"/>
      <c r="WW31" s="256"/>
      <c r="WX31" s="256"/>
      <c r="WY31" s="256"/>
      <c r="WZ31" s="256"/>
      <c r="XA31" s="256"/>
      <c r="XB31" s="256"/>
      <c r="XC31" s="256"/>
      <c r="XD31" s="256"/>
      <c r="XE31" s="256"/>
      <c r="XF31" s="256"/>
      <c r="XG31" s="256"/>
      <c r="XH31" s="256"/>
      <c r="XI31" s="256"/>
      <c r="XJ31" s="256"/>
      <c r="XK31" s="256"/>
      <c r="XL31" s="256"/>
      <c r="XM31" s="256"/>
      <c r="XN31" s="256"/>
      <c r="XO31" s="256"/>
      <c r="XP31" s="256"/>
      <c r="XQ31" s="256"/>
      <c r="XR31" s="256"/>
      <c r="XS31" s="256"/>
      <c r="XT31" s="256"/>
      <c r="XU31" s="256"/>
      <c r="XV31" s="256"/>
      <c r="XW31" s="256"/>
      <c r="XX31" s="256"/>
      <c r="XY31" s="256"/>
      <c r="XZ31" s="256"/>
      <c r="YA31" s="256"/>
      <c r="YB31" s="256"/>
      <c r="YC31" s="256"/>
      <c r="YD31" s="256"/>
      <c r="YE31" s="256"/>
      <c r="YF31" s="256"/>
      <c r="YG31" s="256"/>
      <c r="YH31" s="256"/>
      <c r="YI31" s="256"/>
      <c r="YJ31" s="256"/>
      <c r="YK31" s="256"/>
      <c r="YL31" s="256"/>
      <c r="YM31" s="256"/>
      <c r="YN31" s="256"/>
      <c r="YO31" s="256"/>
      <c r="YP31" s="256"/>
      <c r="YQ31" s="256"/>
      <c r="YR31" s="256"/>
      <c r="YS31" s="256"/>
      <c r="YT31" s="256"/>
      <c r="YU31" s="256"/>
      <c r="YV31" s="256"/>
      <c r="YW31" s="256"/>
      <c r="YX31" s="256"/>
      <c r="YY31" s="256"/>
      <c r="YZ31" s="256"/>
      <c r="ZA31" s="256"/>
      <c r="ZB31" s="256"/>
      <c r="ZC31" s="256"/>
      <c r="ZD31" s="256"/>
      <c r="ZE31" s="256"/>
      <c r="ZF31" s="256"/>
      <c r="ZG31" s="256"/>
      <c r="ZH31" s="256"/>
      <c r="ZI31" s="256"/>
      <c r="ZJ31" s="256"/>
      <c r="ZK31" s="256"/>
      <c r="ZL31" s="256"/>
      <c r="ZM31" s="256"/>
      <c r="ZN31" s="256"/>
      <c r="ZO31" s="256"/>
      <c r="ZP31" s="256"/>
      <c r="ZQ31" s="256"/>
      <c r="ZR31" s="256"/>
      <c r="ZS31" s="256"/>
      <c r="ZT31" s="256"/>
      <c r="ZU31" s="256"/>
      <c r="ZV31" s="256"/>
      <c r="ZW31" s="256"/>
      <c r="ZX31" s="256"/>
      <c r="ZY31" s="256"/>
      <c r="ZZ31" s="256"/>
      <c r="AAA31" s="256"/>
      <c r="AAB31" s="256"/>
      <c r="AAC31" s="256"/>
      <c r="AAD31" s="256"/>
      <c r="AAE31" s="256"/>
      <c r="AAF31" s="256"/>
      <c r="AAG31" s="256"/>
      <c r="AAH31" s="256"/>
      <c r="AAI31" s="256"/>
      <c r="AAJ31" s="256"/>
      <c r="AAK31" s="256"/>
      <c r="AAL31" s="256"/>
      <c r="AAM31" s="256"/>
      <c r="AAN31" s="256"/>
      <c r="AAO31" s="256"/>
      <c r="AAP31" s="256"/>
      <c r="AAQ31" s="256"/>
      <c r="AAR31" s="256"/>
      <c r="AAS31" s="256"/>
      <c r="AAT31" s="256"/>
      <c r="AAU31" s="256"/>
      <c r="AAV31" s="256"/>
      <c r="AAW31" s="256"/>
      <c r="AAX31" s="256"/>
      <c r="AAY31" s="256"/>
      <c r="AAZ31" s="256"/>
      <c r="ABA31" s="256"/>
      <c r="ABB31" s="256"/>
      <c r="ABC31" s="256"/>
      <c r="ABD31" s="256"/>
      <c r="ABE31" s="256"/>
      <c r="ABF31" s="256"/>
      <c r="ABG31" s="256"/>
      <c r="ABH31" s="256"/>
      <c r="ABI31" s="256"/>
      <c r="ABJ31" s="256"/>
      <c r="ABK31" s="256"/>
      <c r="ABL31" s="256"/>
      <c r="ABM31" s="256"/>
      <c r="ABN31" s="256"/>
      <c r="ABO31" s="256"/>
      <c r="ABP31" s="256"/>
      <c r="ABQ31" s="256"/>
      <c r="ABR31" s="256"/>
      <c r="ABS31" s="256"/>
      <c r="ABT31" s="256"/>
      <c r="ABU31" s="256"/>
      <c r="ABV31" s="256"/>
      <c r="ABW31" s="256"/>
      <c r="ABX31" s="256"/>
      <c r="ABY31" s="256"/>
      <c r="ABZ31" s="256"/>
      <c r="ACA31" s="256"/>
      <c r="ACB31" s="256"/>
      <c r="ACC31" s="256"/>
      <c r="ACD31" s="256"/>
      <c r="ACE31" s="256"/>
      <c r="ACF31" s="256"/>
      <c r="ACG31" s="256"/>
      <c r="ACH31" s="256"/>
      <c r="ACI31" s="256"/>
      <c r="ACJ31" s="256"/>
      <c r="ACK31" s="256"/>
      <c r="ACL31" s="256"/>
      <c r="ACM31" s="256"/>
      <c r="ACN31" s="256"/>
      <c r="ACO31" s="256"/>
      <c r="ACP31" s="256"/>
      <c r="ACQ31" s="256"/>
      <c r="ACR31" s="256"/>
      <c r="ACS31" s="256"/>
      <c r="ACT31" s="256"/>
      <c r="ACU31" s="256"/>
      <c r="ACV31" s="256"/>
      <c r="ACW31" s="256"/>
      <c r="ACX31" s="256"/>
      <c r="ACY31" s="256"/>
      <c r="ACZ31" s="256"/>
      <c r="ADA31" s="256"/>
      <c r="ADB31" s="256"/>
      <c r="ADC31" s="256"/>
      <c r="ADD31" s="256"/>
      <c r="ADE31" s="256"/>
      <c r="ADF31" s="256"/>
      <c r="ADG31" s="256"/>
      <c r="ADH31" s="256"/>
      <c r="ADI31" s="256"/>
      <c r="ADJ31" s="256"/>
      <c r="ADK31" s="256"/>
      <c r="ADL31" s="256"/>
      <c r="ADM31" s="256"/>
      <c r="ADN31" s="256"/>
      <c r="ADO31" s="256"/>
      <c r="ADP31" s="256"/>
      <c r="ADQ31" s="256"/>
      <c r="ADR31" s="256"/>
      <c r="ADS31" s="256"/>
      <c r="ADT31" s="256"/>
      <c r="ADU31" s="256"/>
      <c r="ADV31" s="256"/>
      <c r="ADW31" s="256"/>
      <c r="ADX31" s="256"/>
      <c r="ADY31" s="256"/>
      <c r="ADZ31" s="256"/>
      <c r="AEA31" s="256"/>
      <c r="AEB31" s="256"/>
      <c r="AEC31" s="256"/>
      <c r="AED31" s="256"/>
      <c r="AEE31" s="256"/>
      <c r="AEF31" s="256"/>
      <c r="AEG31" s="256"/>
      <c r="AEH31" s="256"/>
      <c r="AEI31" s="256"/>
      <c r="AEJ31" s="256"/>
      <c r="AEK31" s="256"/>
      <c r="AEL31" s="256"/>
      <c r="AEM31" s="256"/>
      <c r="AEN31" s="256"/>
      <c r="AEO31" s="256"/>
      <c r="AEP31" s="256"/>
      <c r="AEQ31" s="256"/>
      <c r="AER31" s="256"/>
      <c r="AES31" s="256"/>
      <c r="AET31" s="256"/>
      <c r="AEU31" s="256"/>
      <c r="AEV31" s="256"/>
      <c r="AEW31" s="256"/>
      <c r="AEX31" s="256"/>
      <c r="AEY31" s="256"/>
      <c r="AEZ31" s="256"/>
      <c r="AFA31" s="256"/>
      <c r="AFB31" s="256"/>
      <c r="AFC31" s="256"/>
      <c r="AFD31" s="256"/>
      <c r="AFE31" s="256"/>
      <c r="AFF31" s="256"/>
      <c r="AFG31" s="256"/>
      <c r="AFH31" s="256"/>
      <c r="AFI31" s="256"/>
      <c r="AFJ31" s="256"/>
      <c r="AFK31" s="256"/>
      <c r="AFL31" s="256"/>
      <c r="AFM31" s="256"/>
      <c r="AFN31" s="256"/>
      <c r="AFO31" s="256"/>
      <c r="AFP31" s="256"/>
      <c r="AFQ31" s="256"/>
      <c r="AFR31" s="256"/>
      <c r="AFS31" s="256"/>
      <c r="AFT31" s="256"/>
      <c r="AFU31" s="256"/>
      <c r="AFV31" s="256"/>
      <c r="AFW31" s="256"/>
      <c r="AFX31" s="256"/>
      <c r="AFY31" s="256"/>
      <c r="AFZ31" s="256"/>
      <c r="AGA31" s="256"/>
      <c r="AGB31" s="256"/>
      <c r="AGC31" s="256"/>
      <c r="AGD31" s="256"/>
      <c r="AGE31" s="256"/>
      <c r="AGF31" s="256"/>
      <c r="AGG31" s="256"/>
      <c r="AGH31" s="256"/>
      <c r="AGI31" s="256"/>
      <c r="AGJ31" s="256"/>
      <c r="AGK31" s="256"/>
      <c r="AGL31" s="256"/>
      <c r="AGM31" s="256"/>
      <c r="AGN31" s="256"/>
      <c r="AGO31" s="256"/>
      <c r="AGP31" s="256"/>
      <c r="AGQ31" s="256"/>
      <c r="AGR31" s="256"/>
      <c r="AGS31" s="256"/>
      <c r="AGT31" s="256"/>
      <c r="AGU31" s="256"/>
      <c r="AGV31" s="256"/>
      <c r="AGW31" s="256"/>
      <c r="AGX31" s="256"/>
      <c r="AGY31" s="256"/>
      <c r="AGZ31" s="256"/>
      <c r="AHA31" s="256"/>
      <c r="AHB31" s="256"/>
      <c r="AHC31" s="256"/>
      <c r="AHD31" s="256"/>
      <c r="AHE31" s="256"/>
      <c r="AHF31" s="256"/>
      <c r="AHG31" s="256"/>
      <c r="AHH31" s="256"/>
      <c r="AHI31" s="256"/>
      <c r="AHJ31" s="256"/>
      <c r="AHK31" s="256"/>
      <c r="AHL31" s="256"/>
      <c r="AHM31" s="256"/>
      <c r="AHN31" s="256"/>
      <c r="AHO31" s="256"/>
      <c r="AHP31" s="256"/>
      <c r="AHQ31" s="256"/>
      <c r="AHR31" s="256"/>
      <c r="AHS31" s="256"/>
      <c r="AHT31" s="256"/>
      <c r="AHU31" s="256"/>
      <c r="AHV31" s="256"/>
      <c r="AHW31" s="256"/>
      <c r="AHX31" s="256"/>
      <c r="AHY31" s="256"/>
      <c r="AHZ31" s="256"/>
      <c r="AIA31" s="256"/>
      <c r="AIB31" s="256"/>
      <c r="AIC31" s="256"/>
      <c r="AID31" s="256"/>
      <c r="AIE31" s="256"/>
      <c r="AIF31" s="256"/>
      <c r="AIG31" s="256"/>
      <c r="AIH31" s="256"/>
      <c r="AII31" s="256"/>
      <c r="AIJ31" s="256"/>
      <c r="AIK31" s="256"/>
      <c r="AIL31" s="256"/>
      <c r="AIM31" s="256"/>
      <c r="AIN31" s="256"/>
      <c r="AIO31" s="256"/>
      <c r="AIP31" s="256"/>
      <c r="AIQ31" s="256"/>
      <c r="AIR31" s="256"/>
      <c r="AIS31" s="256"/>
      <c r="AIT31" s="256"/>
      <c r="AIU31" s="256"/>
      <c r="AIV31" s="256"/>
      <c r="AIW31" s="256"/>
      <c r="AIX31" s="256"/>
      <c r="AIY31" s="256"/>
      <c r="AIZ31" s="256"/>
      <c r="AJA31" s="256"/>
      <c r="AJB31" s="256"/>
      <c r="AJC31" s="256"/>
      <c r="AJD31" s="256"/>
      <c r="AJE31" s="256"/>
      <c r="AJF31" s="256"/>
      <c r="AJG31" s="256"/>
      <c r="AJH31" s="256"/>
      <c r="AJI31" s="256"/>
      <c r="AJJ31" s="256"/>
      <c r="AJK31" s="256"/>
      <c r="AJL31" s="256"/>
      <c r="AJM31" s="256"/>
      <c r="AJN31" s="256"/>
      <c r="AJO31" s="256"/>
      <c r="AJP31" s="256"/>
      <c r="AJQ31" s="256"/>
      <c r="AJR31" s="256"/>
      <c r="AJS31" s="256"/>
      <c r="AJT31" s="256"/>
      <c r="AJU31" s="256"/>
      <c r="AJV31" s="256"/>
      <c r="AJW31" s="256"/>
      <c r="AJX31" s="256"/>
      <c r="AJY31" s="256"/>
      <c r="AJZ31" s="256"/>
      <c r="AKA31" s="256"/>
      <c r="AKB31" s="256"/>
      <c r="AKC31" s="256"/>
      <c r="AKD31" s="256"/>
      <c r="AKE31" s="256"/>
      <c r="AKF31" s="256"/>
      <c r="AKG31" s="256"/>
      <c r="AKH31" s="256"/>
      <c r="AKI31" s="256"/>
      <c r="AKJ31" s="256"/>
      <c r="AKK31" s="256"/>
      <c r="AKL31" s="256"/>
      <c r="AKM31" s="256"/>
      <c r="AKN31" s="256"/>
      <c r="AKO31" s="256"/>
      <c r="AKP31" s="256"/>
      <c r="AKQ31" s="256"/>
      <c r="AKR31" s="256"/>
      <c r="AKS31" s="256"/>
      <c r="AKT31" s="256"/>
      <c r="AKU31" s="256"/>
      <c r="AKV31" s="256"/>
      <c r="AKW31" s="256"/>
      <c r="AKX31" s="256"/>
      <c r="AKY31" s="256"/>
      <c r="AKZ31" s="256"/>
      <c r="ALA31" s="256"/>
      <c r="ALB31" s="256"/>
      <c r="ALC31" s="256"/>
      <c r="ALD31" s="256"/>
      <c r="ALE31" s="256"/>
      <c r="ALF31" s="256"/>
      <c r="ALG31" s="256"/>
      <c r="ALH31" s="256"/>
      <c r="ALI31" s="256"/>
      <c r="ALJ31" s="256"/>
      <c r="ALK31" s="256"/>
      <c r="ALL31" s="256"/>
      <c r="ALM31" s="256"/>
      <c r="ALN31" s="256"/>
      <c r="ALO31" s="256"/>
      <c r="ALP31" s="256"/>
      <c r="ALQ31" s="256"/>
      <c r="ALR31" s="256"/>
      <c r="ALS31" s="256"/>
      <c r="ALT31" s="256"/>
      <c r="ALU31" s="258"/>
      <c r="ALV31" s="258"/>
      <c r="ALW31" s="258"/>
      <c r="ALX31" s="258"/>
      <c r="ALY31" s="258"/>
      <c r="ALZ31" s="258"/>
      <c r="AMA31" s="258"/>
      <c r="AMB31" s="258"/>
      <c r="AMC31" s="258"/>
      <c r="AMD31" s="258"/>
      <c r="AME31" s="258"/>
      <c r="AMF31" s="258"/>
      <c r="AMG31" s="258"/>
      <c r="AMH31" s="258"/>
      <c r="AMI31" s="256"/>
    </row>
    <row r="32" spans="1:1023" s="259" customFormat="1" ht="30" x14ac:dyDescent="0.25">
      <c r="A32" s="256"/>
      <c r="B32" s="256"/>
      <c r="C32" s="256"/>
      <c r="D32" s="303"/>
      <c r="E32" s="306" t="s">
        <v>340</v>
      </c>
      <c r="F32" s="307">
        <f>E14*G14</f>
        <v>0</v>
      </c>
      <c r="G32" s="307">
        <f>G14*(1-E14)</f>
        <v>0</v>
      </c>
      <c r="H32" s="308">
        <f>1-G14</f>
        <v>1</v>
      </c>
      <c r="I32" s="309"/>
      <c r="J32" s="303"/>
      <c r="K32" s="304"/>
      <c r="L32" s="256"/>
      <c r="M32" s="256"/>
      <c r="N32" s="256"/>
      <c r="O32" s="256"/>
      <c r="P32" s="256"/>
      <c r="Q32" s="256"/>
      <c r="R32" s="256"/>
      <c r="S32" s="256"/>
      <c r="T32" s="256"/>
      <c r="U32" s="256"/>
      <c r="V32" s="256"/>
      <c r="W32" s="256"/>
      <c r="X32" s="256"/>
      <c r="Y32" s="256"/>
      <c r="Z32" s="256"/>
      <c r="AA32" s="256"/>
      <c r="AB32" s="256"/>
      <c r="AC32" s="256"/>
      <c r="AD32" s="256"/>
      <c r="AE32" s="256"/>
      <c r="AF32" s="256"/>
      <c r="AG32" s="256"/>
      <c r="AH32" s="256"/>
      <c r="AI32" s="256"/>
      <c r="AJ32" s="256"/>
      <c r="AK32" s="256"/>
      <c r="AL32" s="256"/>
      <c r="AM32" s="256"/>
      <c r="AN32" s="256"/>
      <c r="AO32" s="256"/>
      <c r="AP32" s="256"/>
      <c r="AQ32" s="256"/>
      <c r="AR32" s="256"/>
      <c r="AS32" s="256"/>
      <c r="AT32" s="256"/>
      <c r="AU32" s="256"/>
      <c r="AV32" s="256"/>
      <c r="AW32" s="256"/>
      <c r="AX32" s="256"/>
      <c r="AY32" s="256"/>
      <c r="AZ32" s="256"/>
      <c r="BA32" s="256"/>
      <c r="BB32" s="256"/>
      <c r="BC32" s="256"/>
      <c r="BD32" s="256"/>
      <c r="BE32" s="256"/>
      <c r="BF32" s="256"/>
      <c r="BG32" s="256"/>
      <c r="BH32" s="256"/>
      <c r="BI32" s="256"/>
      <c r="BJ32" s="256"/>
      <c r="BK32" s="256"/>
      <c r="BL32" s="256"/>
      <c r="BM32" s="256"/>
      <c r="BN32" s="256"/>
      <c r="BO32" s="256"/>
      <c r="BP32" s="256"/>
      <c r="BQ32" s="256"/>
      <c r="BR32" s="256"/>
      <c r="BS32" s="256"/>
      <c r="BT32" s="256"/>
      <c r="BU32" s="256"/>
      <c r="BV32" s="256"/>
      <c r="BW32" s="256"/>
      <c r="BX32" s="256"/>
      <c r="BY32" s="256"/>
      <c r="BZ32" s="256"/>
      <c r="CA32" s="256"/>
      <c r="CB32" s="256"/>
      <c r="CC32" s="256"/>
      <c r="CD32" s="256"/>
      <c r="CE32" s="256"/>
      <c r="CF32" s="256"/>
      <c r="CG32" s="256"/>
      <c r="CH32" s="256"/>
      <c r="CI32" s="256"/>
      <c r="CJ32" s="256"/>
      <c r="CK32" s="256"/>
      <c r="CL32" s="256"/>
      <c r="CM32" s="256"/>
      <c r="CN32" s="256"/>
      <c r="CO32" s="256"/>
      <c r="CP32" s="256"/>
      <c r="CQ32" s="256"/>
      <c r="CR32" s="256"/>
      <c r="CS32" s="256"/>
      <c r="CT32" s="256"/>
      <c r="CU32" s="256"/>
      <c r="CV32" s="256"/>
      <c r="CW32" s="256"/>
      <c r="CX32" s="256"/>
      <c r="CY32" s="256"/>
      <c r="CZ32" s="256"/>
      <c r="DA32" s="256"/>
      <c r="DB32" s="256"/>
      <c r="DC32" s="256"/>
      <c r="DD32" s="256"/>
      <c r="DE32" s="256"/>
      <c r="DF32" s="256"/>
      <c r="DG32" s="256"/>
      <c r="DH32" s="256"/>
      <c r="DI32" s="256"/>
      <c r="DJ32" s="256"/>
      <c r="DK32" s="256"/>
      <c r="DL32" s="256"/>
      <c r="DM32" s="256"/>
      <c r="DN32" s="256"/>
      <c r="DO32" s="256"/>
      <c r="DP32" s="256"/>
      <c r="DQ32" s="256"/>
      <c r="DR32" s="256"/>
      <c r="DS32" s="256"/>
      <c r="DT32" s="256"/>
      <c r="DU32" s="256"/>
      <c r="DV32" s="256"/>
      <c r="DW32" s="256"/>
      <c r="DX32" s="256"/>
      <c r="DY32" s="256"/>
      <c r="DZ32" s="256"/>
      <c r="EA32" s="256"/>
      <c r="EB32" s="256"/>
      <c r="EC32" s="256"/>
      <c r="ED32" s="256"/>
      <c r="EE32" s="256"/>
      <c r="EF32" s="256"/>
      <c r="EG32" s="256"/>
      <c r="EH32" s="256"/>
      <c r="EI32" s="256"/>
      <c r="EJ32" s="256"/>
      <c r="EK32" s="256"/>
      <c r="EL32" s="256"/>
      <c r="EM32" s="256"/>
      <c r="EN32" s="256"/>
      <c r="EO32" s="256"/>
      <c r="EP32" s="256"/>
      <c r="EQ32" s="256"/>
      <c r="ER32" s="256"/>
      <c r="ES32" s="256"/>
      <c r="ET32" s="256"/>
      <c r="EU32" s="256"/>
      <c r="EV32" s="256"/>
      <c r="EW32" s="256"/>
      <c r="EX32" s="256"/>
      <c r="EY32" s="256"/>
      <c r="EZ32" s="256"/>
      <c r="FA32" s="256"/>
      <c r="FB32" s="256"/>
      <c r="FC32" s="256"/>
      <c r="FD32" s="256"/>
      <c r="FE32" s="256"/>
      <c r="FF32" s="256"/>
      <c r="FG32" s="256"/>
      <c r="FH32" s="256"/>
      <c r="FI32" s="256"/>
      <c r="FJ32" s="256"/>
      <c r="FK32" s="256"/>
      <c r="FL32" s="256"/>
      <c r="FM32" s="256"/>
      <c r="FN32" s="256"/>
      <c r="FO32" s="256"/>
      <c r="FP32" s="256"/>
      <c r="FQ32" s="256"/>
      <c r="FR32" s="256"/>
      <c r="FS32" s="256"/>
      <c r="FT32" s="256"/>
      <c r="FU32" s="256"/>
      <c r="FV32" s="256"/>
      <c r="FW32" s="256"/>
      <c r="FX32" s="256"/>
      <c r="FY32" s="256"/>
      <c r="FZ32" s="256"/>
      <c r="GA32" s="256"/>
      <c r="GB32" s="256"/>
      <c r="GC32" s="256"/>
      <c r="GD32" s="256"/>
      <c r="GE32" s="256"/>
      <c r="GF32" s="256"/>
      <c r="GG32" s="256"/>
      <c r="GH32" s="256"/>
      <c r="GI32" s="256"/>
      <c r="GJ32" s="256"/>
      <c r="GK32" s="256"/>
      <c r="GL32" s="256"/>
      <c r="GM32" s="256"/>
      <c r="GN32" s="256"/>
      <c r="GO32" s="256"/>
      <c r="GP32" s="256"/>
      <c r="GQ32" s="256"/>
      <c r="GR32" s="256"/>
      <c r="GS32" s="256"/>
      <c r="GT32" s="256"/>
      <c r="GU32" s="256"/>
      <c r="GV32" s="256"/>
      <c r="GW32" s="256"/>
      <c r="GX32" s="256"/>
      <c r="GY32" s="256"/>
      <c r="GZ32" s="256"/>
      <c r="HA32" s="256"/>
      <c r="HB32" s="256"/>
      <c r="HC32" s="256"/>
      <c r="HD32" s="256"/>
      <c r="HE32" s="256"/>
      <c r="HF32" s="256"/>
      <c r="HG32" s="256"/>
      <c r="HH32" s="256"/>
      <c r="HI32" s="256"/>
      <c r="HJ32" s="256"/>
      <c r="HK32" s="256"/>
      <c r="HL32" s="256"/>
      <c r="HM32" s="256"/>
      <c r="HN32" s="256"/>
      <c r="HO32" s="256"/>
      <c r="HP32" s="256"/>
      <c r="HQ32" s="256"/>
      <c r="HR32" s="256"/>
      <c r="HS32" s="256"/>
      <c r="HT32" s="256"/>
      <c r="HU32" s="256"/>
      <c r="HV32" s="256"/>
      <c r="HW32" s="256"/>
      <c r="HX32" s="256"/>
      <c r="HY32" s="256"/>
      <c r="HZ32" s="256"/>
      <c r="IA32" s="256"/>
      <c r="IB32" s="256"/>
      <c r="IC32" s="256"/>
      <c r="ID32" s="256"/>
      <c r="IE32" s="256"/>
      <c r="IF32" s="256"/>
      <c r="IG32" s="256"/>
      <c r="IH32" s="256"/>
      <c r="II32" s="256"/>
      <c r="IJ32" s="256"/>
      <c r="IK32" s="256"/>
      <c r="IL32" s="256"/>
      <c r="IM32" s="256"/>
      <c r="IN32" s="256"/>
      <c r="IO32" s="256"/>
      <c r="IP32" s="256"/>
      <c r="IQ32" s="256"/>
      <c r="IR32" s="256"/>
      <c r="IS32" s="256"/>
      <c r="IT32" s="256"/>
      <c r="IU32" s="256"/>
      <c r="IV32" s="256"/>
      <c r="IW32" s="256"/>
      <c r="IX32" s="256"/>
      <c r="IY32" s="256"/>
      <c r="IZ32" s="256"/>
      <c r="JA32" s="256"/>
      <c r="JB32" s="256"/>
      <c r="JC32" s="256"/>
      <c r="JD32" s="256"/>
      <c r="JE32" s="256"/>
      <c r="JF32" s="256"/>
      <c r="JG32" s="256"/>
      <c r="JH32" s="256"/>
      <c r="JI32" s="256"/>
      <c r="JJ32" s="256"/>
      <c r="JK32" s="256"/>
      <c r="JL32" s="256"/>
      <c r="JM32" s="256"/>
      <c r="JN32" s="256"/>
      <c r="JO32" s="256"/>
      <c r="JP32" s="256"/>
      <c r="JQ32" s="256"/>
      <c r="JR32" s="256"/>
      <c r="JS32" s="256"/>
      <c r="JT32" s="256"/>
      <c r="JU32" s="256"/>
      <c r="JV32" s="256"/>
      <c r="JW32" s="256"/>
      <c r="JX32" s="256"/>
      <c r="JY32" s="256"/>
      <c r="JZ32" s="256"/>
      <c r="KA32" s="256"/>
      <c r="KB32" s="256"/>
      <c r="KC32" s="256"/>
      <c r="KD32" s="256"/>
      <c r="KE32" s="256"/>
      <c r="KF32" s="256"/>
      <c r="KG32" s="256"/>
      <c r="KH32" s="256"/>
      <c r="KI32" s="256"/>
      <c r="KJ32" s="256"/>
      <c r="KK32" s="256"/>
      <c r="KL32" s="256"/>
      <c r="KM32" s="256"/>
      <c r="KN32" s="256"/>
      <c r="KO32" s="256"/>
      <c r="KP32" s="256"/>
      <c r="KQ32" s="256"/>
      <c r="KR32" s="256"/>
      <c r="KS32" s="256"/>
      <c r="KT32" s="256"/>
      <c r="KU32" s="256"/>
      <c r="KV32" s="256"/>
      <c r="KW32" s="256"/>
      <c r="KX32" s="256"/>
      <c r="KY32" s="256"/>
      <c r="KZ32" s="256"/>
      <c r="LA32" s="256"/>
      <c r="LB32" s="256"/>
      <c r="LC32" s="256"/>
      <c r="LD32" s="256"/>
      <c r="LE32" s="256"/>
      <c r="LF32" s="256"/>
      <c r="LG32" s="256"/>
      <c r="LH32" s="256"/>
      <c r="LI32" s="256"/>
      <c r="LJ32" s="256"/>
      <c r="LK32" s="256"/>
      <c r="LL32" s="256"/>
      <c r="LM32" s="256"/>
      <c r="LN32" s="256"/>
      <c r="LO32" s="256"/>
      <c r="LP32" s="256"/>
      <c r="LQ32" s="256"/>
      <c r="LR32" s="256"/>
      <c r="LS32" s="256"/>
      <c r="LT32" s="256"/>
      <c r="LU32" s="256"/>
      <c r="LV32" s="256"/>
      <c r="LW32" s="256"/>
      <c r="LX32" s="256"/>
      <c r="LY32" s="256"/>
      <c r="LZ32" s="256"/>
      <c r="MA32" s="256"/>
      <c r="MB32" s="256"/>
      <c r="MC32" s="256"/>
      <c r="MD32" s="256"/>
      <c r="ME32" s="256"/>
      <c r="MF32" s="256"/>
      <c r="MG32" s="256"/>
      <c r="MH32" s="256"/>
      <c r="MI32" s="256"/>
      <c r="MJ32" s="256"/>
      <c r="MK32" s="256"/>
      <c r="ML32" s="256"/>
      <c r="MM32" s="256"/>
      <c r="MN32" s="256"/>
      <c r="MO32" s="256"/>
      <c r="MP32" s="256"/>
      <c r="MQ32" s="256"/>
      <c r="MR32" s="256"/>
      <c r="MS32" s="256"/>
      <c r="MT32" s="256"/>
      <c r="MU32" s="256"/>
      <c r="MV32" s="256"/>
      <c r="MW32" s="256"/>
      <c r="MX32" s="256"/>
      <c r="MY32" s="256"/>
      <c r="MZ32" s="256"/>
      <c r="NA32" s="256"/>
      <c r="NB32" s="256"/>
      <c r="NC32" s="256"/>
      <c r="ND32" s="256"/>
      <c r="NE32" s="256"/>
      <c r="NF32" s="256"/>
      <c r="NG32" s="256"/>
      <c r="NH32" s="256"/>
      <c r="NI32" s="256"/>
      <c r="NJ32" s="256"/>
      <c r="NK32" s="256"/>
      <c r="NL32" s="256"/>
      <c r="NM32" s="256"/>
      <c r="NN32" s="256"/>
      <c r="NO32" s="256"/>
      <c r="NP32" s="256"/>
      <c r="NQ32" s="256"/>
      <c r="NR32" s="256"/>
      <c r="NS32" s="256"/>
      <c r="NT32" s="256"/>
      <c r="NU32" s="256"/>
      <c r="NV32" s="256"/>
      <c r="NW32" s="256"/>
      <c r="NX32" s="256"/>
      <c r="NY32" s="256"/>
      <c r="NZ32" s="256"/>
      <c r="OA32" s="256"/>
      <c r="OB32" s="256"/>
      <c r="OC32" s="256"/>
      <c r="OD32" s="256"/>
      <c r="OE32" s="256"/>
      <c r="OF32" s="256"/>
      <c r="OG32" s="256"/>
      <c r="OH32" s="256"/>
      <c r="OI32" s="256"/>
      <c r="OJ32" s="256"/>
      <c r="OK32" s="256"/>
      <c r="OL32" s="256"/>
      <c r="OM32" s="256"/>
      <c r="ON32" s="256"/>
      <c r="OO32" s="256"/>
      <c r="OP32" s="256"/>
      <c r="OQ32" s="256"/>
      <c r="OR32" s="256"/>
      <c r="OS32" s="256"/>
      <c r="OT32" s="256"/>
      <c r="OU32" s="256"/>
      <c r="OV32" s="256"/>
      <c r="OW32" s="256"/>
      <c r="OX32" s="256"/>
      <c r="OY32" s="256"/>
      <c r="OZ32" s="256"/>
      <c r="PA32" s="256"/>
      <c r="PB32" s="256"/>
      <c r="PC32" s="256"/>
      <c r="PD32" s="256"/>
      <c r="PE32" s="256"/>
      <c r="PF32" s="256"/>
      <c r="PG32" s="256"/>
      <c r="PH32" s="256"/>
      <c r="PI32" s="256"/>
      <c r="PJ32" s="256"/>
      <c r="PK32" s="256"/>
      <c r="PL32" s="256"/>
      <c r="PM32" s="256"/>
      <c r="PN32" s="256"/>
      <c r="PO32" s="256"/>
      <c r="PP32" s="256"/>
      <c r="PQ32" s="256"/>
      <c r="PR32" s="256"/>
      <c r="PS32" s="256"/>
      <c r="PT32" s="256"/>
      <c r="PU32" s="256"/>
      <c r="PV32" s="256"/>
      <c r="PW32" s="256"/>
      <c r="PX32" s="256"/>
      <c r="PY32" s="256"/>
      <c r="PZ32" s="256"/>
      <c r="QA32" s="256"/>
      <c r="QB32" s="256"/>
      <c r="QC32" s="256"/>
      <c r="QD32" s="256"/>
      <c r="QE32" s="256"/>
      <c r="QF32" s="256"/>
      <c r="QG32" s="256"/>
      <c r="QH32" s="256"/>
      <c r="QI32" s="256"/>
      <c r="QJ32" s="256"/>
      <c r="QK32" s="256"/>
      <c r="QL32" s="256"/>
      <c r="QM32" s="256"/>
      <c r="QN32" s="256"/>
      <c r="QO32" s="256"/>
      <c r="QP32" s="256"/>
      <c r="QQ32" s="256"/>
      <c r="QR32" s="256"/>
      <c r="QS32" s="256"/>
      <c r="QT32" s="256"/>
      <c r="QU32" s="256"/>
      <c r="QV32" s="256"/>
      <c r="QW32" s="256"/>
      <c r="QX32" s="256"/>
      <c r="QY32" s="256"/>
      <c r="QZ32" s="256"/>
      <c r="RA32" s="256"/>
      <c r="RB32" s="256"/>
      <c r="RC32" s="256"/>
      <c r="RD32" s="256"/>
      <c r="RE32" s="256"/>
      <c r="RF32" s="256"/>
      <c r="RG32" s="256"/>
      <c r="RH32" s="256"/>
      <c r="RI32" s="256"/>
      <c r="RJ32" s="256"/>
      <c r="RK32" s="256"/>
      <c r="RL32" s="256"/>
      <c r="RM32" s="256"/>
      <c r="RN32" s="256"/>
      <c r="RO32" s="256"/>
      <c r="RP32" s="256"/>
      <c r="RQ32" s="256"/>
      <c r="RR32" s="256"/>
      <c r="RS32" s="256"/>
      <c r="RT32" s="256"/>
      <c r="RU32" s="256"/>
      <c r="RV32" s="256"/>
      <c r="RW32" s="256"/>
      <c r="RX32" s="256"/>
      <c r="RY32" s="256"/>
      <c r="RZ32" s="256"/>
      <c r="SA32" s="256"/>
      <c r="SB32" s="256"/>
      <c r="SC32" s="256"/>
      <c r="SD32" s="256"/>
      <c r="SE32" s="256"/>
      <c r="SF32" s="256"/>
      <c r="SG32" s="256"/>
      <c r="SH32" s="256"/>
      <c r="SI32" s="256"/>
      <c r="SJ32" s="256"/>
      <c r="SK32" s="256"/>
      <c r="SL32" s="256"/>
      <c r="SM32" s="256"/>
      <c r="SN32" s="256"/>
      <c r="SO32" s="256"/>
      <c r="SP32" s="256"/>
      <c r="SQ32" s="256"/>
      <c r="SR32" s="256"/>
      <c r="SS32" s="256"/>
      <c r="ST32" s="256"/>
      <c r="SU32" s="256"/>
      <c r="SV32" s="256"/>
      <c r="SW32" s="256"/>
      <c r="SX32" s="256"/>
      <c r="SY32" s="256"/>
      <c r="SZ32" s="256"/>
      <c r="TA32" s="256"/>
      <c r="TB32" s="256"/>
      <c r="TC32" s="256"/>
      <c r="TD32" s="256"/>
      <c r="TE32" s="256"/>
      <c r="TF32" s="256"/>
      <c r="TG32" s="256"/>
      <c r="TH32" s="256"/>
      <c r="TI32" s="256"/>
      <c r="TJ32" s="256"/>
      <c r="TK32" s="256"/>
      <c r="TL32" s="256"/>
      <c r="TM32" s="256"/>
      <c r="TN32" s="256"/>
      <c r="TO32" s="256"/>
      <c r="TP32" s="256"/>
      <c r="TQ32" s="256"/>
      <c r="TR32" s="256"/>
      <c r="TS32" s="256"/>
      <c r="TT32" s="256"/>
      <c r="TU32" s="256"/>
      <c r="TV32" s="256"/>
      <c r="TW32" s="256"/>
      <c r="TX32" s="256"/>
      <c r="TY32" s="256"/>
      <c r="TZ32" s="256"/>
      <c r="UA32" s="256"/>
      <c r="UB32" s="256"/>
      <c r="UC32" s="256"/>
      <c r="UD32" s="256"/>
      <c r="UE32" s="256"/>
      <c r="UF32" s="256"/>
      <c r="UG32" s="256"/>
      <c r="UH32" s="256"/>
      <c r="UI32" s="256"/>
      <c r="UJ32" s="256"/>
      <c r="UK32" s="256"/>
      <c r="UL32" s="256"/>
      <c r="UM32" s="256"/>
      <c r="UN32" s="256"/>
      <c r="UO32" s="256"/>
      <c r="UP32" s="256"/>
      <c r="UQ32" s="256"/>
      <c r="UR32" s="256"/>
      <c r="US32" s="256"/>
      <c r="UT32" s="256"/>
      <c r="UU32" s="256"/>
      <c r="UV32" s="256"/>
      <c r="UW32" s="256"/>
      <c r="UX32" s="256"/>
      <c r="UY32" s="256"/>
      <c r="UZ32" s="256"/>
      <c r="VA32" s="256"/>
      <c r="VB32" s="256"/>
      <c r="VC32" s="256"/>
      <c r="VD32" s="256"/>
      <c r="VE32" s="256"/>
      <c r="VF32" s="256"/>
      <c r="VG32" s="256"/>
      <c r="VH32" s="256"/>
      <c r="VI32" s="256"/>
      <c r="VJ32" s="256"/>
      <c r="VK32" s="256"/>
      <c r="VL32" s="256"/>
      <c r="VM32" s="256"/>
      <c r="VN32" s="256"/>
      <c r="VO32" s="256"/>
      <c r="VP32" s="256"/>
      <c r="VQ32" s="256"/>
      <c r="VR32" s="256"/>
      <c r="VS32" s="256"/>
      <c r="VT32" s="256"/>
      <c r="VU32" s="256"/>
      <c r="VV32" s="256"/>
      <c r="VW32" s="256"/>
      <c r="VX32" s="256"/>
      <c r="VY32" s="256"/>
      <c r="VZ32" s="256"/>
      <c r="WA32" s="256"/>
      <c r="WB32" s="256"/>
      <c r="WC32" s="256"/>
      <c r="WD32" s="256"/>
      <c r="WE32" s="256"/>
      <c r="WF32" s="256"/>
      <c r="WG32" s="256"/>
      <c r="WH32" s="256"/>
      <c r="WI32" s="256"/>
      <c r="WJ32" s="256"/>
      <c r="WK32" s="256"/>
      <c r="WL32" s="256"/>
      <c r="WM32" s="256"/>
      <c r="WN32" s="256"/>
      <c r="WO32" s="256"/>
      <c r="WP32" s="256"/>
      <c r="WQ32" s="256"/>
      <c r="WR32" s="256"/>
      <c r="WS32" s="256"/>
      <c r="WT32" s="256"/>
      <c r="WU32" s="256"/>
      <c r="WV32" s="256"/>
      <c r="WW32" s="256"/>
      <c r="WX32" s="256"/>
      <c r="WY32" s="256"/>
      <c r="WZ32" s="256"/>
      <c r="XA32" s="256"/>
      <c r="XB32" s="256"/>
      <c r="XC32" s="256"/>
      <c r="XD32" s="256"/>
      <c r="XE32" s="256"/>
      <c r="XF32" s="256"/>
      <c r="XG32" s="256"/>
      <c r="XH32" s="256"/>
      <c r="XI32" s="256"/>
      <c r="XJ32" s="256"/>
      <c r="XK32" s="256"/>
      <c r="XL32" s="256"/>
      <c r="XM32" s="256"/>
      <c r="XN32" s="256"/>
      <c r="XO32" s="256"/>
      <c r="XP32" s="256"/>
      <c r="XQ32" s="256"/>
      <c r="XR32" s="256"/>
      <c r="XS32" s="256"/>
      <c r="XT32" s="256"/>
      <c r="XU32" s="256"/>
      <c r="XV32" s="256"/>
      <c r="XW32" s="256"/>
      <c r="XX32" s="256"/>
      <c r="XY32" s="256"/>
      <c r="XZ32" s="256"/>
      <c r="YA32" s="256"/>
      <c r="YB32" s="256"/>
      <c r="YC32" s="256"/>
      <c r="YD32" s="256"/>
      <c r="YE32" s="256"/>
      <c r="YF32" s="256"/>
      <c r="YG32" s="256"/>
      <c r="YH32" s="256"/>
      <c r="YI32" s="256"/>
      <c r="YJ32" s="256"/>
      <c r="YK32" s="256"/>
      <c r="YL32" s="256"/>
      <c r="YM32" s="256"/>
      <c r="YN32" s="256"/>
      <c r="YO32" s="256"/>
      <c r="YP32" s="256"/>
      <c r="YQ32" s="256"/>
      <c r="YR32" s="256"/>
      <c r="YS32" s="256"/>
      <c r="YT32" s="256"/>
      <c r="YU32" s="256"/>
      <c r="YV32" s="256"/>
      <c r="YW32" s="256"/>
      <c r="YX32" s="256"/>
      <c r="YY32" s="256"/>
      <c r="YZ32" s="256"/>
      <c r="ZA32" s="256"/>
      <c r="ZB32" s="256"/>
      <c r="ZC32" s="256"/>
      <c r="ZD32" s="256"/>
      <c r="ZE32" s="256"/>
      <c r="ZF32" s="256"/>
      <c r="ZG32" s="256"/>
      <c r="ZH32" s="256"/>
      <c r="ZI32" s="256"/>
      <c r="ZJ32" s="256"/>
      <c r="ZK32" s="256"/>
      <c r="ZL32" s="256"/>
      <c r="ZM32" s="256"/>
      <c r="ZN32" s="256"/>
      <c r="ZO32" s="256"/>
      <c r="ZP32" s="256"/>
      <c r="ZQ32" s="256"/>
      <c r="ZR32" s="256"/>
      <c r="ZS32" s="256"/>
      <c r="ZT32" s="256"/>
      <c r="ZU32" s="256"/>
      <c r="ZV32" s="256"/>
      <c r="ZW32" s="256"/>
      <c r="ZX32" s="256"/>
      <c r="ZY32" s="256"/>
      <c r="ZZ32" s="256"/>
      <c r="AAA32" s="256"/>
      <c r="AAB32" s="256"/>
      <c r="AAC32" s="256"/>
      <c r="AAD32" s="256"/>
      <c r="AAE32" s="256"/>
      <c r="AAF32" s="256"/>
      <c r="AAG32" s="256"/>
      <c r="AAH32" s="256"/>
      <c r="AAI32" s="256"/>
      <c r="AAJ32" s="256"/>
      <c r="AAK32" s="256"/>
      <c r="AAL32" s="256"/>
      <c r="AAM32" s="256"/>
      <c r="AAN32" s="256"/>
      <c r="AAO32" s="256"/>
      <c r="AAP32" s="256"/>
      <c r="AAQ32" s="256"/>
      <c r="AAR32" s="256"/>
      <c r="AAS32" s="256"/>
      <c r="AAT32" s="256"/>
      <c r="AAU32" s="256"/>
      <c r="AAV32" s="256"/>
      <c r="AAW32" s="256"/>
      <c r="AAX32" s="256"/>
      <c r="AAY32" s="256"/>
      <c r="AAZ32" s="256"/>
      <c r="ABA32" s="256"/>
      <c r="ABB32" s="256"/>
      <c r="ABC32" s="256"/>
      <c r="ABD32" s="256"/>
      <c r="ABE32" s="256"/>
      <c r="ABF32" s="256"/>
      <c r="ABG32" s="256"/>
      <c r="ABH32" s="256"/>
      <c r="ABI32" s="256"/>
      <c r="ABJ32" s="256"/>
      <c r="ABK32" s="256"/>
      <c r="ABL32" s="256"/>
      <c r="ABM32" s="256"/>
      <c r="ABN32" s="256"/>
      <c r="ABO32" s="256"/>
      <c r="ABP32" s="256"/>
      <c r="ABQ32" s="256"/>
      <c r="ABR32" s="256"/>
      <c r="ABS32" s="256"/>
      <c r="ABT32" s="256"/>
      <c r="ABU32" s="256"/>
      <c r="ABV32" s="256"/>
      <c r="ABW32" s="256"/>
      <c r="ABX32" s="256"/>
      <c r="ABY32" s="256"/>
      <c r="ABZ32" s="256"/>
      <c r="ACA32" s="256"/>
      <c r="ACB32" s="256"/>
      <c r="ACC32" s="256"/>
      <c r="ACD32" s="256"/>
      <c r="ACE32" s="256"/>
      <c r="ACF32" s="256"/>
      <c r="ACG32" s="256"/>
      <c r="ACH32" s="256"/>
      <c r="ACI32" s="256"/>
      <c r="ACJ32" s="256"/>
      <c r="ACK32" s="256"/>
      <c r="ACL32" s="256"/>
      <c r="ACM32" s="256"/>
      <c r="ACN32" s="256"/>
      <c r="ACO32" s="256"/>
      <c r="ACP32" s="256"/>
      <c r="ACQ32" s="256"/>
      <c r="ACR32" s="256"/>
      <c r="ACS32" s="256"/>
      <c r="ACT32" s="256"/>
      <c r="ACU32" s="256"/>
      <c r="ACV32" s="256"/>
      <c r="ACW32" s="256"/>
      <c r="ACX32" s="256"/>
      <c r="ACY32" s="256"/>
      <c r="ACZ32" s="256"/>
      <c r="ADA32" s="256"/>
      <c r="ADB32" s="256"/>
      <c r="ADC32" s="256"/>
      <c r="ADD32" s="256"/>
      <c r="ADE32" s="256"/>
      <c r="ADF32" s="256"/>
      <c r="ADG32" s="256"/>
      <c r="ADH32" s="256"/>
      <c r="ADI32" s="256"/>
      <c r="ADJ32" s="256"/>
      <c r="ADK32" s="256"/>
      <c r="ADL32" s="256"/>
      <c r="ADM32" s="256"/>
      <c r="ADN32" s="256"/>
      <c r="ADO32" s="256"/>
      <c r="ADP32" s="256"/>
      <c r="ADQ32" s="256"/>
      <c r="ADR32" s="256"/>
      <c r="ADS32" s="256"/>
      <c r="ADT32" s="256"/>
      <c r="ADU32" s="256"/>
      <c r="ADV32" s="256"/>
      <c r="ADW32" s="256"/>
      <c r="ADX32" s="256"/>
      <c r="ADY32" s="256"/>
      <c r="ADZ32" s="256"/>
      <c r="AEA32" s="256"/>
      <c r="AEB32" s="256"/>
      <c r="AEC32" s="256"/>
      <c r="AED32" s="256"/>
      <c r="AEE32" s="256"/>
      <c r="AEF32" s="256"/>
      <c r="AEG32" s="256"/>
      <c r="AEH32" s="256"/>
      <c r="AEI32" s="256"/>
      <c r="AEJ32" s="256"/>
      <c r="AEK32" s="256"/>
      <c r="AEL32" s="256"/>
      <c r="AEM32" s="256"/>
      <c r="AEN32" s="256"/>
      <c r="AEO32" s="256"/>
      <c r="AEP32" s="256"/>
      <c r="AEQ32" s="256"/>
      <c r="AER32" s="256"/>
      <c r="AES32" s="256"/>
      <c r="AET32" s="256"/>
      <c r="AEU32" s="256"/>
      <c r="AEV32" s="256"/>
      <c r="AEW32" s="256"/>
      <c r="AEX32" s="256"/>
      <c r="AEY32" s="256"/>
      <c r="AEZ32" s="256"/>
      <c r="AFA32" s="256"/>
      <c r="AFB32" s="256"/>
      <c r="AFC32" s="256"/>
      <c r="AFD32" s="256"/>
      <c r="AFE32" s="256"/>
      <c r="AFF32" s="256"/>
      <c r="AFG32" s="256"/>
      <c r="AFH32" s="256"/>
      <c r="AFI32" s="256"/>
      <c r="AFJ32" s="256"/>
      <c r="AFK32" s="256"/>
      <c r="AFL32" s="256"/>
      <c r="AFM32" s="256"/>
      <c r="AFN32" s="256"/>
      <c r="AFO32" s="256"/>
      <c r="AFP32" s="256"/>
      <c r="AFQ32" s="256"/>
      <c r="AFR32" s="256"/>
      <c r="AFS32" s="256"/>
      <c r="AFT32" s="256"/>
      <c r="AFU32" s="256"/>
      <c r="AFV32" s="256"/>
      <c r="AFW32" s="256"/>
      <c r="AFX32" s="256"/>
      <c r="AFY32" s="256"/>
      <c r="AFZ32" s="256"/>
      <c r="AGA32" s="256"/>
      <c r="AGB32" s="256"/>
      <c r="AGC32" s="256"/>
      <c r="AGD32" s="256"/>
      <c r="AGE32" s="256"/>
      <c r="AGF32" s="256"/>
      <c r="AGG32" s="256"/>
      <c r="AGH32" s="256"/>
      <c r="AGI32" s="256"/>
      <c r="AGJ32" s="256"/>
      <c r="AGK32" s="256"/>
      <c r="AGL32" s="256"/>
      <c r="AGM32" s="256"/>
      <c r="AGN32" s="256"/>
      <c r="AGO32" s="256"/>
      <c r="AGP32" s="256"/>
      <c r="AGQ32" s="256"/>
      <c r="AGR32" s="256"/>
      <c r="AGS32" s="256"/>
      <c r="AGT32" s="256"/>
      <c r="AGU32" s="256"/>
      <c r="AGV32" s="256"/>
      <c r="AGW32" s="256"/>
      <c r="AGX32" s="256"/>
      <c r="AGY32" s="256"/>
      <c r="AGZ32" s="256"/>
      <c r="AHA32" s="256"/>
      <c r="AHB32" s="256"/>
      <c r="AHC32" s="256"/>
      <c r="AHD32" s="256"/>
      <c r="AHE32" s="256"/>
      <c r="AHF32" s="256"/>
      <c r="AHG32" s="256"/>
      <c r="AHH32" s="256"/>
      <c r="AHI32" s="256"/>
      <c r="AHJ32" s="256"/>
      <c r="AHK32" s="256"/>
      <c r="AHL32" s="256"/>
      <c r="AHM32" s="256"/>
      <c r="AHN32" s="256"/>
      <c r="AHO32" s="256"/>
      <c r="AHP32" s="256"/>
      <c r="AHQ32" s="256"/>
      <c r="AHR32" s="256"/>
      <c r="AHS32" s="256"/>
      <c r="AHT32" s="256"/>
      <c r="AHU32" s="256"/>
      <c r="AHV32" s="256"/>
      <c r="AHW32" s="256"/>
      <c r="AHX32" s="256"/>
      <c r="AHY32" s="256"/>
      <c r="AHZ32" s="256"/>
      <c r="AIA32" s="256"/>
      <c r="AIB32" s="256"/>
      <c r="AIC32" s="256"/>
      <c r="AID32" s="256"/>
      <c r="AIE32" s="256"/>
      <c r="AIF32" s="256"/>
      <c r="AIG32" s="256"/>
      <c r="AIH32" s="256"/>
      <c r="AII32" s="256"/>
      <c r="AIJ32" s="256"/>
      <c r="AIK32" s="256"/>
      <c r="AIL32" s="256"/>
      <c r="AIM32" s="256"/>
      <c r="AIN32" s="256"/>
      <c r="AIO32" s="256"/>
      <c r="AIP32" s="256"/>
      <c r="AIQ32" s="256"/>
      <c r="AIR32" s="256"/>
      <c r="AIS32" s="256"/>
      <c r="AIT32" s="256"/>
      <c r="AIU32" s="256"/>
      <c r="AIV32" s="256"/>
      <c r="AIW32" s="256"/>
      <c r="AIX32" s="256"/>
      <c r="AIY32" s="256"/>
      <c r="AIZ32" s="256"/>
      <c r="AJA32" s="256"/>
      <c r="AJB32" s="256"/>
      <c r="AJC32" s="256"/>
      <c r="AJD32" s="256"/>
      <c r="AJE32" s="256"/>
      <c r="AJF32" s="256"/>
      <c r="AJG32" s="256"/>
      <c r="AJH32" s="256"/>
      <c r="AJI32" s="256"/>
      <c r="AJJ32" s="256"/>
      <c r="AJK32" s="256"/>
      <c r="AJL32" s="256"/>
      <c r="AJM32" s="256"/>
      <c r="AJN32" s="256"/>
      <c r="AJO32" s="256"/>
      <c r="AJP32" s="256"/>
      <c r="AJQ32" s="256"/>
      <c r="AJR32" s="256"/>
      <c r="AJS32" s="256"/>
      <c r="AJT32" s="256"/>
      <c r="AJU32" s="256"/>
      <c r="AJV32" s="256"/>
      <c r="AJW32" s="256"/>
      <c r="AJX32" s="256"/>
      <c r="AJY32" s="256"/>
      <c r="AJZ32" s="256"/>
      <c r="AKA32" s="256"/>
      <c r="AKB32" s="256"/>
      <c r="AKC32" s="256"/>
      <c r="AKD32" s="256"/>
      <c r="AKE32" s="256"/>
      <c r="AKF32" s="256"/>
      <c r="AKG32" s="256"/>
      <c r="AKH32" s="256"/>
      <c r="AKI32" s="256"/>
      <c r="AKJ32" s="256"/>
      <c r="AKK32" s="256"/>
      <c r="AKL32" s="256"/>
      <c r="AKM32" s="256"/>
      <c r="AKN32" s="256"/>
      <c r="AKO32" s="256"/>
      <c r="AKP32" s="256"/>
      <c r="AKQ32" s="256"/>
      <c r="AKR32" s="256"/>
      <c r="AKS32" s="256"/>
      <c r="AKT32" s="256"/>
      <c r="AKU32" s="256"/>
      <c r="AKV32" s="256"/>
      <c r="AKW32" s="256"/>
      <c r="AKX32" s="256"/>
      <c r="AKY32" s="256"/>
      <c r="AKZ32" s="256"/>
      <c r="ALA32" s="256"/>
      <c r="ALB32" s="256"/>
      <c r="ALC32" s="256"/>
      <c r="ALD32" s="256"/>
      <c r="ALE32" s="256"/>
      <c r="ALF32" s="256"/>
      <c r="ALG32" s="256"/>
      <c r="ALH32" s="256"/>
      <c r="ALI32" s="256"/>
      <c r="ALJ32" s="256"/>
      <c r="ALK32" s="256"/>
      <c r="ALL32" s="256"/>
      <c r="ALM32" s="256"/>
      <c r="ALN32" s="256"/>
      <c r="ALO32" s="256"/>
      <c r="ALP32" s="256"/>
      <c r="ALQ32" s="256"/>
      <c r="ALR32" s="256"/>
      <c r="ALS32" s="256"/>
      <c r="ALT32" s="256"/>
      <c r="ALU32" s="258"/>
      <c r="ALV32" s="258"/>
      <c r="ALW32" s="258"/>
      <c r="ALX32" s="258"/>
      <c r="ALY32" s="258"/>
      <c r="ALZ32" s="258"/>
      <c r="AMA32" s="258"/>
      <c r="AMB32" s="258"/>
      <c r="AMC32" s="258"/>
      <c r="AMD32" s="258"/>
      <c r="AME32" s="258"/>
      <c r="AMF32" s="258"/>
      <c r="AMG32" s="258"/>
      <c r="AMH32" s="258"/>
      <c r="AMI32" s="256"/>
    </row>
    <row r="33" spans="1:1023" s="259" customFormat="1" x14ac:dyDescent="0.25">
      <c r="A33" s="256"/>
      <c r="B33" s="256"/>
      <c r="C33" s="256"/>
      <c r="D33" s="303"/>
      <c r="E33" s="306" t="s">
        <v>341</v>
      </c>
      <c r="F33" s="307">
        <f>E16*G16</f>
        <v>0</v>
      </c>
      <c r="G33" s="307">
        <f>G16*(1-E16)</f>
        <v>0</v>
      </c>
      <c r="H33" s="308">
        <f>1-G16</f>
        <v>1</v>
      </c>
      <c r="I33" s="303"/>
      <c r="J33" s="303"/>
      <c r="K33" s="304"/>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c r="AL33" s="256"/>
      <c r="AM33" s="256"/>
      <c r="AN33" s="256"/>
      <c r="AO33" s="256"/>
      <c r="AP33" s="256"/>
      <c r="AQ33" s="256"/>
      <c r="AR33" s="256"/>
      <c r="AS33" s="256"/>
      <c r="AT33" s="256"/>
      <c r="AU33" s="256"/>
      <c r="AV33" s="256"/>
      <c r="AW33" s="256"/>
      <c r="AX33" s="256"/>
      <c r="AY33" s="256"/>
      <c r="AZ33" s="256"/>
      <c r="BA33" s="256"/>
      <c r="BB33" s="256"/>
      <c r="BC33" s="256"/>
      <c r="BD33" s="256"/>
      <c r="BE33" s="256"/>
      <c r="BF33" s="256"/>
      <c r="BG33" s="256"/>
      <c r="BH33" s="256"/>
      <c r="BI33" s="256"/>
      <c r="BJ33" s="256"/>
      <c r="BK33" s="256"/>
      <c r="BL33" s="256"/>
      <c r="BM33" s="256"/>
      <c r="BN33" s="256"/>
      <c r="BO33" s="256"/>
      <c r="BP33" s="256"/>
      <c r="BQ33" s="256"/>
      <c r="BR33" s="256"/>
      <c r="BS33" s="256"/>
      <c r="BT33" s="256"/>
      <c r="BU33" s="256"/>
      <c r="BV33" s="256"/>
      <c r="BW33" s="256"/>
      <c r="BX33" s="256"/>
      <c r="BY33" s="256"/>
      <c r="BZ33" s="256"/>
      <c r="CA33" s="256"/>
      <c r="CB33" s="256"/>
      <c r="CC33" s="256"/>
      <c r="CD33" s="256"/>
      <c r="CE33" s="256"/>
      <c r="CF33" s="256"/>
      <c r="CG33" s="256"/>
      <c r="CH33" s="256"/>
      <c r="CI33" s="256"/>
      <c r="CJ33" s="256"/>
      <c r="CK33" s="256"/>
      <c r="CL33" s="256"/>
      <c r="CM33" s="256"/>
      <c r="CN33" s="256"/>
      <c r="CO33" s="256"/>
      <c r="CP33" s="256"/>
      <c r="CQ33" s="256"/>
      <c r="CR33" s="256"/>
      <c r="CS33" s="256"/>
      <c r="CT33" s="256"/>
      <c r="CU33" s="256"/>
      <c r="CV33" s="256"/>
      <c r="CW33" s="256"/>
      <c r="CX33" s="256"/>
      <c r="CY33" s="256"/>
      <c r="CZ33" s="256"/>
      <c r="DA33" s="256"/>
      <c r="DB33" s="256"/>
      <c r="DC33" s="256"/>
      <c r="DD33" s="256"/>
      <c r="DE33" s="256"/>
      <c r="DF33" s="256"/>
      <c r="DG33" s="256"/>
      <c r="DH33" s="256"/>
      <c r="DI33" s="256"/>
      <c r="DJ33" s="256"/>
      <c r="DK33" s="256"/>
      <c r="DL33" s="256"/>
      <c r="DM33" s="256"/>
      <c r="DN33" s="256"/>
      <c r="DO33" s="256"/>
      <c r="DP33" s="256"/>
      <c r="DQ33" s="256"/>
      <c r="DR33" s="256"/>
      <c r="DS33" s="256"/>
      <c r="DT33" s="256"/>
      <c r="DU33" s="256"/>
      <c r="DV33" s="256"/>
      <c r="DW33" s="256"/>
      <c r="DX33" s="256"/>
      <c r="DY33" s="256"/>
      <c r="DZ33" s="256"/>
      <c r="EA33" s="256"/>
      <c r="EB33" s="256"/>
      <c r="EC33" s="256"/>
      <c r="ED33" s="256"/>
      <c r="EE33" s="256"/>
      <c r="EF33" s="256"/>
      <c r="EG33" s="256"/>
      <c r="EH33" s="256"/>
      <c r="EI33" s="256"/>
      <c r="EJ33" s="256"/>
      <c r="EK33" s="256"/>
      <c r="EL33" s="256"/>
      <c r="EM33" s="256"/>
      <c r="EN33" s="256"/>
      <c r="EO33" s="256"/>
      <c r="EP33" s="256"/>
      <c r="EQ33" s="256"/>
      <c r="ER33" s="256"/>
      <c r="ES33" s="256"/>
      <c r="ET33" s="256"/>
      <c r="EU33" s="256"/>
      <c r="EV33" s="256"/>
      <c r="EW33" s="256"/>
      <c r="EX33" s="256"/>
      <c r="EY33" s="256"/>
      <c r="EZ33" s="256"/>
      <c r="FA33" s="256"/>
      <c r="FB33" s="256"/>
      <c r="FC33" s="256"/>
      <c r="FD33" s="256"/>
      <c r="FE33" s="256"/>
      <c r="FF33" s="256"/>
      <c r="FG33" s="256"/>
      <c r="FH33" s="256"/>
      <c r="FI33" s="256"/>
      <c r="FJ33" s="256"/>
      <c r="FK33" s="256"/>
      <c r="FL33" s="256"/>
      <c r="FM33" s="256"/>
      <c r="FN33" s="256"/>
      <c r="FO33" s="256"/>
      <c r="FP33" s="256"/>
      <c r="FQ33" s="256"/>
      <c r="FR33" s="256"/>
      <c r="FS33" s="256"/>
      <c r="FT33" s="256"/>
      <c r="FU33" s="256"/>
      <c r="FV33" s="256"/>
      <c r="FW33" s="256"/>
      <c r="FX33" s="256"/>
      <c r="FY33" s="256"/>
      <c r="FZ33" s="256"/>
      <c r="GA33" s="256"/>
      <c r="GB33" s="256"/>
      <c r="GC33" s="256"/>
      <c r="GD33" s="256"/>
      <c r="GE33" s="256"/>
      <c r="GF33" s="256"/>
      <c r="GG33" s="256"/>
      <c r="GH33" s="256"/>
      <c r="GI33" s="256"/>
      <c r="GJ33" s="256"/>
      <c r="GK33" s="256"/>
      <c r="GL33" s="256"/>
      <c r="GM33" s="256"/>
      <c r="GN33" s="256"/>
      <c r="GO33" s="256"/>
      <c r="GP33" s="256"/>
      <c r="GQ33" s="256"/>
      <c r="GR33" s="256"/>
      <c r="GS33" s="256"/>
      <c r="GT33" s="256"/>
      <c r="GU33" s="256"/>
      <c r="GV33" s="256"/>
      <c r="GW33" s="256"/>
      <c r="GX33" s="256"/>
      <c r="GY33" s="256"/>
      <c r="GZ33" s="256"/>
      <c r="HA33" s="256"/>
      <c r="HB33" s="256"/>
      <c r="HC33" s="256"/>
      <c r="HD33" s="256"/>
      <c r="HE33" s="256"/>
      <c r="HF33" s="256"/>
      <c r="HG33" s="256"/>
      <c r="HH33" s="256"/>
      <c r="HI33" s="256"/>
      <c r="HJ33" s="256"/>
      <c r="HK33" s="256"/>
      <c r="HL33" s="256"/>
      <c r="HM33" s="256"/>
      <c r="HN33" s="256"/>
      <c r="HO33" s="256"/>
      <c r="HP33" s="256"/>
      <c r="HQ33" s="256"/>
      <c r="HR33" s="256"/>
      <c r="HS33" s="256"/>
      <c r="HT33" s="256"/>
      <c r="HU33" s="256"/>
      <c r="HV33" s="256"/>
      <c r="HW33" s="256"/>
      <c r="HX33" s="256"/>
      <c r="HY33" s="256"/>
      <c r="HZ33" s="256"/>
      <c r="IA33" s="256"/>
      <c r="IB33" s="256"/>
      <c r="IC33" s="256"/>
      <c r="ID33" s="256"/>
      <c r="IE33" s="256"/>
      <c r="IF33" s="256"/>
      <c r="IG33" s="256"/>
      <c r="IH33" s="256"/>
      <c r="II33" s="256"/>
      <c r="IJ33" s="256"/>
      <c r="IK33" s="256"/>
      <c r="IL33" s="256"/>
      <c r="IM33" s="256"/>
      <c r="IN33" s="256"/>
      <c r="IO33" s="256"/>
      <c r="IP33" s="256"/>
      <c r="IQ33" s="256"/>
      <c r="IR33" s="256"/>
      <c r="IS33" s="256"/>
      <c r="IT33" s="256"/>
      <c r="IU33" s="256"/>
      <c r="IV33" s="256"/>
      <c r="IW33" s="256"/>
      <c r="IX33" s="256"/>
      <c r="IY33" s="256"/>
      <c r="IZ33" s="256"/>
      <c r="JA33" s="256"/>
      <c r="JB33" s="256"/>
      <c r="JC33" s="256"/>
      <c r="JD33" s="256"/>
      <c r="JE33" s="256"/>
      <c r="JF33" s="256"/>
      <c r="JG33" s="256"/>
      <c r="JH33" s="256"/>
      <c r="JI33" s="256"/>
      <c r="JJ33" s="256"/>
      <c r="JK33" s="256"/>
      <c r="JL33" s="256"/>
      <c r="JM33" s="256"/>
      <c r="JN33" s="256"/>
      <c r="JO33" s="256"/>
      <c r="JP33" s="256"/>
      <c r="JQ33" s="256"/>
      <c r="JR33" s="256"/>
      <c r="JS33" s="256"/>
      <c r="JT33" s="256"/>
      <c r="JU33" s="256"/>
      <c r="JV33" s="256"/>
      <c r="JW33" s="256"/>
      <c r="JX33" s="256"/>
      <c r="JY33" s="256"/>
      <c r="JZ33" s="256"/>
      <c r="KA33" s="256"/>
      <c r="KB33" s="256"/>
      <c r="KC33" s="256"/>
      <c r="KD33" s="256"/>
      <c r="KE33" s="256"/>
      <c r="KF33" s="256"/>
      <c r="KG33" s="256"/>
      <c r="KH33" s="256"/>
      <c r="KI33" s="256"/>
      <c r="KJ33" s="256"/>
      <c r="KK33" s="256"/>
      <c r="KL33" s="256"/>
      <c r="KM33" s="256"/>
      <c r="KN33" s="256"/>
      <c r="KO33" s="256"/>
      <c r="KP33" s="256"/>
      <c r="KQ33" s="256"/>
      <c r="KR33" s="256"/>
      <c r="KS33" s="256"/>
      <c r="KT33" s="256"/>
      <c r="KU33" s="256"/>
      <c r="KV33" s="256"/>
      <c r="KW33" s="256"/>
      <c r="KX33" s="256"/>
      <c r="KY33" s="256"/>
      <c r="KZ33" s="256"/>
      <c r="LA33" s="256"/>
      <c r="LB33" s="256"/>
      <c r="LC33" s="256"/>
      <c r="LD33" s="256"/>
      <c r="LE33" s="256"/>
      <c r="LF33" s="256"/>
      <c r="LG33" s="256"/>
      <c r="LH33" s="256"/>
      <c r="LI33" s="256"/>
      <c r="LJ33" s="256"/>
      <c r="LK33" s="256"/>
      <c r="LL33" s="256"/>
      <c r="LM33" s="256"/>
      <c r="LN33" s="256"/>
      <c r="LO33" s="256"/>
      <c r="LP33" s="256"/>
      <c r="LQ33" s="256"/>
      <c r="LR33" s="256"/>
      <c r="LS33" s="256"/>
      <c r="LT33" s="256"/>
      <c r="LU33" s="256"/>
      <c r="LV33" s="256"/>
      <c r="LW33" s="256"/>
      <c r="LX33" s="256"/>
      <c r="LY33" s="256"/>
      <c r="LZ33" s="256"/>
      <c r="MA33" s="256"/>
      <c r="MB33" s="256"/>
      <c r="MC33" s="256"/>
      <c r="MD33" s="256"/>
      <c r="ME33" s="256"/>
      <c r="MF33" s="256"/>
      <c r="MG33" s="256"/>
      <c r="MH33" s="256"/>
      <c r="MI33" s="256"/>
      <c r="MJ33" s="256"/>
      <c r="MK33" s="256"/>
      <c r="ML33" s="256"/>
      <c r="MM33" s="256"/>
      <c r="MN33" s="256"/>
      <c r="MO33" s="256"/>
      <c r="MP33" s="256"/>
      <c r="MQ33" s="256"/>
      <c r="MR33" s="256"/>
      <c r="MS33" s="256"/>
      <c r="MT33" s="256"/>
      <c r="MU33" s="256"/>
      <c r="MV33" s="256"/>
      <c r="MW33" s="256"/>
      <c r="MX33" s="256"/>
      <c r="MY33" s="256"/>
      <c r="MZ33" s="256"/>
      <c r="NA33" s="256"/>
      <c r="NB33" s="256"/>
      <c r="NC33" s="256"/>
      <c r="ND33" s="256"/>
      <c r="NE33" s="256"/>
      <c r="NF33" s="256"/>
      <c r="NG33" s="256"/>
      <c r="NH33" s="256"/>
      <c r="NI33" s="256"/>
      <c r="NJ33" s="256"/>
      <c r="NK33" s="256"/>
      <c r="NL33" s="256"/>
      <c r="NM33" s="256"/>
      <c r="NN33" s="256"/>
      <c r="NO33" s="256"/>
      <c r="NP33" s="256"/>
      <c r="NQ33" s="256"/>
      <c r="NR33" s="256"/>
      <c r="NS33" s="256"/>
      <c r="NT33" s="256"/>
      <c r="NU33" s="256"/>
      <c r="NV33" s="256"/>
      <c r="NW33" s="256"/>
      <c r="NX33" s="256"/>
      <c r="NY33" s="256"/>
      <c r="NZ33" s="256"/>
      <c r="OA33" s="256"/>
      <c r="OB33" s="256"/>
      <c r="OC33" s="256"/>
      <c r="OD33" s="256"/>
      <c r="OE33" s="256"/>
      <c r="OF33" s="256"/>
      <c r="OG33" s="256"/>
      <c r="OH33" s="256"/>
      <c r="OI33" s="256"/>
      <c r="OJ33" s="256"/>
      <c r="OK33" s="256"/>
      <c r="OL33" s="256"/>
      <c r="OM33" s="256"/>
      <c r="ON33" s="256"/>
      <c r="OO33" s="256"/>
      <c r="OP33" s="256"/>
      <c r="OQ33" s="256"/>
      <c r="OR33" s="256"/>
      <c r="OS33" s="256"/>
      <c r="OT33" s="256"/>
      <c r="OU33" s="256"/>
      <c r="OV33" s="256"/>
      <c r="OW33" s="256"/>
      <c r="OX33" s="256"/>
      <c r="OY33" s="256"/>
      <c r="OZ33" s="256"/>
      <c r="PA33" s="256"/>
      <c r="PB33" s="256"/>
      <c r="PC33" s="256"/>
      <c r="PD33" s="256"/>
      <c r="PE33" s="256"/>
      <c r="PF33" s="256"/>
      <c r="PG33" s="256"/>
      <c r="PH33" s="256"/>
      <c r="PI33" s="256"/>
      <c r="PJ33" s="256"/>
      <c r="PK33" s="256"/>
      <c r="PL33" s="256"/>
      <c r="PM33" s="256"/>
      <c r="PN33" s="256"/>
      <c r="PO33" s="256"/>
      <c r="PP33" s="256"/>
      <c r="PQ33" s="256"/>
      <c r="PR33" s="256"/>
      <c r="PS33" s="256"/>
      <c r="PT33" s="256"/>
      <c r="PU33" s="256"/>
      <c r="PV33" s="256"/>
      <c r="PW33" s="256"/>
      <c r="PX33" s="256"/>
      <c r="PY33" s="256"/>
      <c r="PZ33" s="256"/>
      <c r="QA33" s="256"/>
      <c r="QB33" s="256"/>
      <c r="QC33" s="256"/>
      <c r="QD33" s="256"/>
      <c r="QE33" s="256"/>
      <c r="QF33" s="256"/>
      <c r="QG33" s="256"/>
      <c r="QH33" s="256"/>
      <c r="QI33" s="256"/>
      <c r="QJ33" s="256"/>
      <c r="QK33" s="256"/>
      <c r="QL33" s="256"/>
      <c r="QM33" s="256"/>
      <c r="QN33" s="256"/>
      <c r="QO33" s="256"/>
      <c r="QP33" s="256"/>
      <c r="QQ33" s="256"/>
      <c r="QR33" s="256"/>
      <c r="QS33" s="256"/>
      <c r="QT33" s="256"/>
      <c r="QU33" s="256"/>
      <c r="QV33" s="256"/>
      <c r="QW33" s="256"/>
      <c r="QX33" s="256"/>
      <c r="QY33" s="256"/>
      <c r="QZ33" s="256"/>
      <c r="RA33" s="256"/>
      <c r="RB33" s="256"/>
      <c r="RC33" s="256"/>
      <c r="RD33" s="256"/>
      <c r="RE33" s="256"/>
      <c r="RF33" s="256"/>
      <c r="RG33" s="256"/>
      <c r="RH33" s="256"/>
      <c r="RI33" s="256"/>
      <c r="RJ33" s="256"/>
      <c r="RK33" s="256"/>
      <c r="RL33" s="256"/>
      <c r="RM33" s="256"/>
      <c r="RN33" s="256"/>
      <c r="RO33" s="256"/>
      <c r="RP33" s="256"/>
      <c r="RQ33" s="256"/>
      <c r="RR33" s="256"/>
      <c r="RS33" s="256"/>
      <c r="RT33" s="256"/>
      <c r="RU33" s="256"/>
      <c r="RV33" s="256"/>
      <c r="RW33" s="256"/>
      <c r="RX33" s="256"/>
      <c r="RY33" s="256"/>
      <c r="RZ33" s="256"/>
      <c r="SA33" s="256"/>
      <c r="SB33" s="256"/>
      <c r="SC33" s="256"/>
      <c r="SD33" s="256"/>
      <c r="SE33" s="256"/>
      <c r="SF33" s="256"/>
      <c r="SG33" s="256"/>
      <c r="SH33" s="256"/>
      <c r="SI33" s="256"/>
      <c r="SJ33" s="256"/>
      <c r="SK33" s="256"/>
      <c r="SL33" s="256"/>
      <c r="SM33" s="256"/>
      <c r="SN33" s="256"/>
      <c r="SO33" s="256"/>
      <c r="SP33" s="256"/>
      <c r="SQ33" s="256"/>
      <c r="SR33" s="256"/>
      <c r="SS33" s="256"/>
      <c r="ST33" s="256"/>
      <c r="SU33" s="256"/>
      <c r="SV33" s="256"/>
      <c r="SW33" s="256"/>
      <c r="SX33" s="256"/>
      <c r="SY33" s="256"/>
      <c r="SZ33" s="256"/>
      <c r="TA33" s="256"/>
      <c r="TB33" s="256"/>
      <c r="TC33" s="256"/>
      <c r="TD33" s="256"/>
      <c r="TE33" s="256"/>
      <c r="TF33" s="256"/>
      <c r="TG33" s="256"/>
      <c r="TH33" s="256"/>
      <c r="TI33" s="256"/>
      <c r="TJ33" s="256"/>
      <c r="TK33" s="256"/>
      <c r="TL33" s="256"/>
      <c r="TM33" s="256"/>
      <c r="TN33" s="256"/>
      <c r="TO33" s="256"/>
      <c r="TP33" s="256"/>
      <c r="TQ33" s="256"/>
      <c r="TR33" s="256"/>
      <c r="TS33" s="256"/>
      <c r="TT33" s="256"/>
      <c r="TU33" s="256"/>
      <c r="TV33" s="256"/>
      <c r="TW33" s="256"/>
      <c r="TX33" s="256"/>
      <c r="TY33" s="256"/>
      <c r="TZ33" s="256"/>
      <c r="UA33" s="256"/>
      <c r="UB33" s="256"/>
      <c r="UC33" s="256"/>
      <c r="UD33" s="256"/>
      <c r="UE33" s="256"/>
      <c r="UF33" s="256"/>
      <c r="UG33" s="256"/>
      <c r="UH33" s="256"/>
      <c r="UI33" s="256"/>
      <c r="UJ33" s="256"/>
      <c r="UK33" s="256"/>
      <c r="UL33" s="256"/>
      <c r="UM33" s="256"/>
      <c r="UN33" s="256"/>
      <c r="UO33" s="256"/>
      <c r="UP33" s="256"/>
      <c r="UQ33" s="256"/>
      <c r="UR33" s="256"/>
      <c r="US33" s="256"/>
      <c r="UT33" s="256"/>
      <c r="UU33" s="256"/>
      <c r="UV33" s="256"/>
      <c r="UW33" s="256"/>
      <c r="UX33" s="256"/>
      <c r="UY33" s="256"/>
      <c r="UZ33" s="256"/>
      <c r="VA33" s="256"/>
      <c r="VB33" s="256"/>
      <c r="VC33" s="256"/>
      <c r="VD33" s="256"/>
      <c r="VE33" s="256"/>
      <c r="VF33" s="256"/>
      <c r="VG33" s="256"/>
      <c r="VH33" s="256"/>
      <c r="VI33" s="256"/>
      <c r="VJ33" s="256"/>
      <c r="VK33" s="256"/>
      <c r="VL33" s="256"/>
      <c r="VM33" s="256"/>
      <c r="VN33" s="256"/>
      <c r="VO33" s="256"/>
      <c r="VP33" s="256"/>
      <c r="VQ33" s="256"/>
      <c r="VR33" s="256"/>
      <c r="VS33" s="256"/>
      <c r="VT33" s="256"/>
      <c r="VU33" s="256"/>
      <c r="VV33" s="256"/>
      <c r="VW33" s="256"/>
      <c r="VX33" s="256"/>
      <c r="VY33" s="256"/>
      <c r="VZ33" s="256"/>
      <c r="WA33" s="256"/>
      <c r="WB33" s="256"/>
      <c r="WC33" s="256"/>
      <c r="WD33" s="256"/>
      <c r="WE33" s="256"/>
      <c r="WF33" s="256"/>
      <c r="WG33" s="256"/>
      <c r="WH33" s="256"/>
      <c r="WI33" s="256"/>
      <c r="WJ33" s="256"/>
      <c r="WK33" s="256"/>
      <c r="WL33" s="256"/>
      <c r="WM33" s="256"/>
      <c r="WN33" s="256"/>
      <c r="WO33" s="256"/>
      <c r="WP33" s="256"/>
      <c r="WQ33" s="256"/>
      <c r="WR33" s="256"/>
      <c r="WS33" s="256"/>
      <c r="WT33" s="256"/>
      <c r="WU33" s="256"/>
      <c r="WV33" s="256"/>
      <c r="WW33" s="256"/>
      <c r="WX33" s="256"/>
      <c r="WY33" s="256"/>
      <c r="WZ33" s="256"/>
      <c r="XA33" s="256"/>
      <c r="XB33" s="256"/>
      <c r="XC33" s="256"/>
      <c r="XD33" s="256"/>
      <c r="XE33" s="256"/>
      <c r="XF33" s="256"/>
      <c r="XG33" s="256"/>
      <c r="XH33" s="256"/>
      <c r="XI33" s="256"/>
      <c r="XJ33" s="256"/>
      <c r="XK33" s="256"/>
      <c r="XL33" s="256"/>
      <c r="XM33" s="256"/>
      <c r="XN33" s="256"/>
      <c r="XO33" s="256"/>
      <c r="XP33" s="256"/>
      <c r="XQ33" s="256"/>
      <c r="XR33" s="256"/>
      <c r="XS33" s="256"/>
      <c r="XT33" s="256"/>
      <c r="XU33" s="256"/>
      <c r="XV33" s="256"/>
      <c r="XW33" s="256"/>
      <c r="XX33" s="256"/>
      <c r="XY33" s="256"/>
      <c r="XZ33" s="256"/>
      <c r="YA33" s="256"/>
      <c r="YB33" s="256"/>
      <c r="YC33" s="256"/>
      <c r="YD33" s="256"/>
      <c r="YE33" s="256"/>
      <c r="YF33" s="256"/>
      <c r="YG33" s="256"/>
      <c r="YH33" s="256"/>
      <c r="YI33" s="256"/>
      <c r="YJ33" s="256"/>
      <c r="YK33" s="256"/>
      <c r="YL33" s="256"/>
      <c r="YM33" s="256"/>
      <c r="YN33" s="256"/>
      <c r="YO33" s="256"/>
      <c r="YP33" s="256"/>
      <c r="YQ33" s="256"/>
      <c r="YR33" s="256"/>
      <c r="YS33" s="256"/>
      <c r="YT33" s="256"/>
      <c r="YU33" s="256"/>
      <c r="YV33" s="256"/>
      <c r="YW33" s="256"/>
      <c r="YX33" s="256"/>
      <c r="YY33" s="256"/>
      <c r="YZ33" s="256"/>
      <c r="ZA33" s="256"/>
      <c r="ZB33" s="256"/>
      <c r="ZC33" s="256"/>
      <c r="ZD33" s="256"/>
      <c r="ZE33" s="256"/>
      <c r="ZF33" s="256"/>
      <c r="ZG33" s="256"/>
      <c r="ZH33" s="256"/>
      <c r="ZI33" s="256"/>
      <c r="ZJ33" s="256"/>
      <c r="ZK33" s="256"/>
      <c r="ZL33" s="256"/>
      <c r="ZM33" s="256"/>
      <c r="ZN33" s="256"/>
      <c r="ZO33" s="256"/>
      <c r="ZP33" s="256"/>
      <c r="ZQ33" s="256"/>
      <c r="ZR33" s="256"/>
      <c r="ZS33" s="256"/>
      <c r="ZT33" s="256"/>
      <c r="ZU33" s="256"/>
      <c r="ZV33" s="256"/>
      <c r="ZW33" s="256"/>
      <c r="ZX33" s="256"/>
      <c r="ZY33" s="256"/>
      <c r="ZZ33" s="256"/>
      <c r="AAA33" s="256"/>
      <c r="AAB33" s="256"/>
      <c r="AAC33" s="256"/>
      <c r="AAD33" s="256"/>
      <c r="AAE33" s="256"/>
      <c r="AAF33" s="256"/>
      <c r="AAG33" s="256"/>
      <c r="AAH33" s="256"/>
      <c r="AAI33" s="256"/>
      <c r="AAJ33" s="256"/>
      <c r="AAK33" s="256"/>
      <c r="AAL33" s="256"/>
      <c r="AAM33" s="256"/>
      <c r="AAN33" s="256"/>
      <c r="AAO33" s="256"/>
      <c r="AAP33" s="256"/>
      <c r="AAQ33" s="256"/>
      <c r="AAR33" s="256"/>
      <c r="AAS33" s="256"/>
      <c r="AAT33" s="256"/>
      <c r="AAU33" s="256"/>
      <c r="AAV33" s="256"/>
      <c r="AAW33" s="256"/>
      <c r="AAX33" s="256"/>
      <c r="AAY33" s="256"/>
      <c r="AAZ33" s="256"/>
      <c r="ABA33" s="256"/>
      <c r="ABB33" s="256"/>
      <c r="ABC33" s="256"/>
      <c r="ABD33" s="256"/>
      <c r="ABE33" s="256"/>
      <c r="ABF33" s="256"/>
      <c r="ABG33" s="256"/>
      <c r="ABH33" s="256"/>
      <c r="ABI33" s="256"/>
      <c r="ABJ33" s="256"/>
      <c r="ABK33" s="256"/>
      <c r="ABL33" s="256"/>
      <c r="ABM33" s="256"/>
      <c r="ABN33" s="256"/>
      <c r="ABO33" s="256"/>
      <c r="ABP33" s="256"/>
      <c r="ABQ33" s="256"/>
      <c r="ABR33" s="256"/>
      <c r="ABS33" s="256"/>
      <c r="ABT33" s="256"/>
      <c r="ABU33" s="256"/>
      <c r="ABV33" s="256"/>
      <c r="ABW33" s="256"/>
      <c r="ABX33" s="256"/>
      <c r="ABY33" s="256"/>
      <c r="ABZ33" s="256"/>
      <c r="ACA33" s="256"/>
      <c r="ACB33" s="256"/>
      <c r="ACC33" s="256"/>
      <c r="ACD33" s="256"/>
      <c r="ACE33" s="256"/>
      <c r="ACF33" s="256"/>
      <c r="ACG33" s="256"/>
      <c r="ACH33" s="256"/>
      <c r="ACI33" s="256"/>
      <c r="ACJ33" s="256"/>
      <c r="ACK33" s="256"/>
      <c r="ACL33" s="256"/>
      <c r="ACM33" s="256"/>
      <c r="ACN33" s="256"/>
      <c r="ACO33" s="256"/>
      <c r="ACP33" s="256"/>
      <c r="ACQ33" s="256"/>
      <c r="ACR33" s="256"/>
      <c r="ACS33" s="256"/>
      <c r="ACT33" s="256"/>
      <c r="ACU33" s="256"/>
      <c r="ACV33" s="256"/>
      <c r="ACW33" s="256"/>
      <c r="ACX33" s="256"/>
      <c r="ACY33" s="256"/>
      <c r="ACZ33" s="256"/>
      <c r="ADA33" s="256"/>
      <c r="ADB33" s="256"/>
      <c r="ADC33" s="256"/>
      <c r="ADD33" s="256"/>
      <c r="ADE33" s="256"/>
      <c r="ADF33" s="256"/>
      <c r="ADG33" s="256"/>
      <c r="ADH33" s="256"/>
      <c r="ADI33" s="256"/>
      <c r="ADJ33" s="256"/>
      <c r="ADK33" s="256"/>
      <c r="ADL33" s="256"/>
      <c r="ADM33" s="256"/>
      <c r="ADN33" s="256"/>
      <c r="ADO33" s="256"/>
      <c r="ADP33" s="256"/>
      <c r="ADQ33" s="256"/>
      <c r="ADR33" s="256"/>
      <c r="ADS33" s="256"/>
      <c r="ADT33" s="256"/>
      <c r="ADU33" s="256"/>
      <c r="ADV33" s="256"/>
      <c r="ADW33" s="256"/>
      <c r="ADX33" s="256"/>
      <c r="ADY33" s="256"/>
      <c r="ADZ33" s="256"/>
      <c r="AEA33" s="256"/>
      <c r="AEB33" s="256"/>
      <c r="AEC33" s="256"/>
      <c r="AED33" s="256"/>
      <c r="AEE33" s="256"/>
      <c r="AEF33" s="256"/>
      <c r="AEG33" s="256"/>
      <c r="AEH33" s="256"/>
      <c r="AEI33" s="256"/>
      <c r="AEJ33" s="256"/>
      <c r="AEK33" s="256"/>
      <c r="AEL33" s="256"/>
      <c r="AEM33" s="256"/>
      <c r="AEN33" s="256"/>
      <c r="AEO33" s="256"/>
      <c r="AEP33" s="256"/>
      <c r="AEQ33" s="256"/>
      <c r="AER33" s="256"/>
      <c r="AES33" s="256"/>
      <c r="AET33" s="256"/>
      <c r="AEU33" s="256"/>
      <c r="AEV33" s="256"/>
      <c r="AEW33" s="256"/>
      <c r="AEX33" s="256"/>
      <c r="AEY33" s="256"/>
      <c r="AEZ33" s="256"/>
      <c r="AFA33" s="256"/>
      <c r="AFB33" s="256"/>
      <c r="AFC33" s="256"/>
      <c r="AFD33" s="256"/>
      <c r="AFE33" s="256"/>
      <c r="AFF33" s="256"/>
      <c r="AFG33" s="256"/>
      <c r="AFH33" s="256"/>
      <c r="AFI33" s="256"/>
      <c r="AFJ33" s="256"/>
      <c r="AFK33" s="256"/>
      <c r="AFL33" s="256"/>
      <c r="AFM33" s="256"/>
      <c r="AFN33" s="256"/>
      <c r="AFO33" s="256"/>
      <c r="AFP33" s="256"/>
      <c r="AFQ33" s="256"/>
      <c r="AFR33" s="256"/>
      <c r="AFS33" s="256"/>
      <c r="AFT33" s="256"/>
      <c r="AFU33" s="256"/>
      <c r="AFV33" s="256"/>
      <c r="AFW33" s="256"/>
      <c r="AFX33" s="256"/>
      <c r="AFY33" s="256"/>
      <c r="AFZ33" s="256"/>
      <c r="AGA33" s="256"/>
      <c r="AGB33" s="256"/>
      <c r="AGC33" s="256"/>
      <c r="AGD33" s="256"/>
      <c r="AGE33" s="256"/>
      <c r="AGF33" s="256"/>
      <c r="AGG33" s="256"/>
      <c r="AGH33" s="256"/>
      <c r="AGI33" s="256"/>
      <c r="AGJ33" s="256"/>
      <c r="AGK33" s="256"/>
      <c r="AGL33" s="256"/>
      <c r="AGM33" s="256"/>
      <c r="AGN33" s="256"/>
      <c r="AGO33" s="256"/>
      <c r="AGP33" s="256"/>
      <c r="AGQ33" s="256"/>
      <c r="AGR33" s="256"/>
      <c r="AGS33" s="256"/>
      <c r="AGT33" s="256"/>
      <c r="AGU33" s="256"/>
      <c r="AGV33" s="256"/>
      <c r="AGW33" s="256"/>
      <c r="AGX33" s="256"/>
      <c r="AGY33" s="256"/>
      <c r="AGZ33" s="256"/>
      <c r="AHA33" s="256"/>
      <c r="AHB33" s="256"/>
      <c r="AHC33" s="256"/>
      <c r="AHD33" s="256"/>
      <c r="AHE33" s="256"/>
      <c r="AHF33" s="256"/>
      <c r="AHG33" s="256"/>
      <c r="AHH33" s="256"/>
      <c r="AHI33" s="256"/>
      <c r="AHJ33" s="256"/>
      <c r="AHK33" s="256"/>
      <c r="AHL33" s="256"/>
      <c r="AHM33" s="256"/>
      <c r="AHN33" s="256"/>
      <c r="AHO33" s="256"/>
      <c r="AHP33" s="256"/>
      <c r="AHQ33" s="256"/>
      <c r="AHR33" s="256"/>
      <c r="AHS33" s="256"/>
      <c r="AHT33" s="256"/>
      <c r="AHU33" s="256"/>
      <c r="AHV33" s="256"/>
      <c r="AHW33" s="256"/>
      <c r="AHX33" s="256"/>
      <c r="AHY33" s="256"/>
      <c r="AHZ33" s="256"/>
      <c r="AIA33" s="256"/>
      <c r="AIB33" s="256"/>
      <c r="AIC33" s="256"/>
      <c r="AID33" s="256"/>
      <c r="AIE33" s="256"/>
      <c r="AIF33" s="256"/>
      <c r="AIG33" s="256"/>
      <c r="AIH33" s="256"/>
      <c r="AII33" s="256"/>
      <c r="AIJ33" s="256"/>
      <c r="AIK33" s="256"/>
      <c r="AIL33" s="256"/>
      <c r="AIM33" s="256"/>
      <c r="AIN33" s="256"/>
      <c r="AIO33" s="256"/>
      <c r="AIP33" s="256"/>
      <c r="AIQ33" s="256"/>
      <c r="AIR33" s="256"/>
      <c r="AIS33" s="256"/>
      <c r="AIT33" s="256"/>
      <c r="AIU33" s="256"/>
      <c r="AIV33" s="256"/>
      <c r="AIW33" s="256"/>
      <c r="AIX33" s="256"/>
      <c r="AIY33" s="256"/>
      <c r="AIZ33" s="256"/>
      <c r="AJA33" s="256"/>
      <c r="AJB33" s="256"/>
      <c r="AJC33" s="256"/>
      <c r="AJD33" s="256"/>
      <c r="AJE33" s="256"/>
      <c r="AJF33" s="256"/>
      <c r="AJG33" s="256"/>
      <c r="AJH33" s="256"/>
      <c r="AJI33" s="256"/>
      <c r="AJJ33" s="256"/>
      <c r="AJK33" s="256"/>
      <c r="AJL33" s="256"/>
      <c r="AJM33" s="256"/>
      <c r="AJN33" s="256"/>
      <c r="AJO33" s="256"/>
      <c r="AJP33" s="256"/>
      <c r="AJQ33" s="256"/>
      <c r="AJR33" s="256"/>
      <c r="AJS33" s="256"/>
      <c r="AJT33" s="256"/>
      <c r="AJU33" s="256"/>
      <c r="AJV33" s="256"/>
      <c r="AJW33" s="256"/>
      <c r="AJX33" s="256"/>
      <c r="AJY33" s="256"/>
      <c r="AJZ33" s="256"/>
      <c r="AKA33" s="256"/>
      <c r="AKB33" s="256"/>
      <c r="AKC33" s="256"/>
      <c r="AKD33" s="256"/>
      <c r="AKE33" s="256"/>
      <c r="AKF33" s="256"/>
      <c r="AKG33" s="256"/>
      <c r="AKH33" s="256"/>
      <c r="AKI33" s="256"/>
      <c r="AKJ33" s="256"/>
      <c r="AKK33" s="256"/>
      <c r="AKL33" s="256"/>
      <c r="AKM33" s="256"/>
      <c r="AKN33" s="256"/>
      <c r="AKO33" s="256"/>
      <c r="AKP33" s="256"/>
      <c r="AKQ33" s="256"/>
      <c r="AKR33" s="256"/>
      <c r="AKS33" s="256"/>
      <c r="AKT33" s="256"/>
      <c r="AKU33" s="256"/>
      <c r="AKV33" s="256"/>
      <c r="AKW33" s="256"/>
      <c r="AKX33" s="256"/>
      <c r="AKY33" s="256"/>
      <c r="AKZ33" s="256"/>
      <c r="ALA33" s="256"/>
      <c r="ALB33" s="256"/>
      <c r="ALC33" s="256"/>
      <c r="ALD33" s="256"/>
      <c r="ALE33" s="256"/>
      <c r="ALF33" s="256"/>
      <c r="ALG33" s="256"/>
      <c r="ALH33" s="256"/>
      <c r="ALI33" s="256"/>
      <c r="ALJ33" s="256"/>
      <c r="ALK33" s="256"/>
      <c r="ALL33" s="256"/>
      <c r="ALM33" s="256"/>
      <c r="ALN33" s="256"/>
      <c r="ALO33" s="256"/>
      <c r="ALP33" s="256"/>
      <c r="ALQ33" s="256"/>
      <c r="ALR33" s="256"/>
      <c r="ALS33" s="256"/>
      <c r="ALT33" s="256"/>
      <c r="ALU33" s="258"/>
      <c r="ALV33" s="258"/>
      <c r="ALW33" s="258"/>
      <c r="ALX33" s="258"/>
      <c r="ALY33" s="258"/>
      <c r="ALZ33" s="258"/>
      <c r="AMA33" s="258"/>
      <c r="AMB33" s="258"/>
      <c r="AMC33" s="258"/>
      <c r="AMD33" s="258"/>
      <c r="AME33" s="258"/>
      <c r="AMF33" s="258"/>
      <c r="AMG33" s="258"/>
      <c r="AMH33" s="258"/>
      <c r="AMI33" s="256"/>
    </row>
    <row r="34" spans="1:1023" s="259" customFormat="1" x14ac:dyDescent="0.25">
      <c r="A34" s="256"/>
      <c r="B34" s="256"/>
      <c r="C34" s="256"/>
      <c r="D34" s="303"/>
      <c r="E34" s="306" t="s">
        <v>342</v>
      </c>
      <c r="F34" s="307">
        <f>E18*G18</f>
        <v>0</v>
      </c>
      <c r="G34" s="307">
        <f>G18*(1-E18)</f>
        <v>0</v>
      </c>
      <c r="H34" s="308">
        <f>1-G18</f>
        <v>1</v>
      </c>
      <c r="I34" s="303"/>
      <c r="J34" s="303"/>
      <c r="K34" s="303"/>
      <c r="L34" s="256"/>
      <c r="M34" s="256"/>
      <c r="N34" s="256"/>
      <c r="O34" s="256"/>
      <c r="P34" s="256"/>
      <c r="Q34" s="256"/>
      <c r="R34" s="256"/>
      <c r="S34" s="256"/>
      <c r="T34" s="256"/>
      <c r="U34" s="256"/>
      <c r="V34" s="256"/>
      <c r="W34" s="256"/>
      <c r="X34" s="256"/>
      <c r="Y34" s="256"/>
      <c r="Z34" s="256"/>
      <c r="AA34" s="256"/>
      <c r="AB34" s="256"/>
      <c r="AC34" s="256"/>
      <c r="AD34" s="256"/>
      <c r="AE34" s="256"/>
      <c r="AF34" s="256"/>
      <c r="AG34" s="256"/>
      <c r="AH34" s="256"/>
      <c r="AI34" s="256"/>
      <c r="AJ34" s="256"/>
      <c r="AK34" s="256"/>
      <c r="AL34" s="256"/>
      <c r="AM34" s="256"/>
      <c r="AN34" s="256"/>
      <c r="AO34" s="256"/>
      <c r="AP34" s="256"/>
      <c r="AQ34" s="256"/>
      <c r="AR34" s="256"/>
      <c r="AS34" s="256"/>
      <c r="AT34" s="256"/>
      <c r="AU34" s="256"/>
      <c r="AV34" s="256"/>
      <c r="AW34" s="256"/>
      <c r="AX34" s="256"/>
      <c r="AY34" s="256"/>
      <c r="AZ34" s="256"/>
      <c r="BA34" s="256"/>
      <c r="BB34" s="256"/>
      <c r="BC34" s="256"/>
      <c r="BD34" s="256"/>
      <c r="BE34" s="256"/>
      <c r="BF34" s="256"/>
      <c r="BG34" s="256"/>
      <c r="BH34" s="256"/>
      <c r="BI34" s="256"/>
      <c r="BJ34" s="256"/>
      <c r="BK34" s="256"/>
      <c r="BL34" s="256"/>
      <c r="BM34" s="256"/>
      <c r="BN34" s="256"/>
      <c r="BO34" s="256"/>
      <c r="BP34" s="256"/>
      <c r="BQ34" s="256"/>
      <c r="BR34" s="256"/>
      <c r="BS34" s="256"/>
      <c r="BT34" s="256"/>
      <c r="BU34" s="256"/>
      <c r="BV34" s="256"/>
      <c r="BW34" s="256"/>
      <c r="BX34" s="256"/>
      <c r="BY34" s="256"/>
      <c r="BZ34" s="256"/>
      <c r="CA34" s="256"/>
      <c r="CB34" s="256"/>
      <c r="CC34" s="256"/>
      <c r="CD34" s="256"/>
      <c r="CE34" s="256"/>
      <c r="CF34" s="256"/>
      <c r="CG34" s="256"/>
      <c r="CH34" s="256"/>
      <c r="CI34" s="256"/>
      <c r="CJ34" s="256"/>
      <c r="CK34" s="256"/>
      <c r="CL34" s="256"/>
      <c r="CM34" s="256"/>
      <c r="CN34" s="256"/>
      <c r="CO34" s="256"/>
      <c r="CP34" s="256"/>
      <c r="CQ34" s="256"/>
      <c r="CR34" s="256"/>
      <c r="CS34" s="256"/>
      <c r="CT34" s="256"/>
      <c r="CU34" s="256"/>
      <c r="CV34" s="256"/>
      <c r="CW34" s="256"/>
      <c r="CX34" s="256"/>
      <c r="CY34" s="256"/>
      <c r="CZ34" s="256"/>
      <c r="DA34" s="256"/>
      <c r="DB34" s="256"/>
      <c r="DC34" s="256"/>
      <c r="DD34" s="256"/>
      <c r="DE34" s="256"/>
      <c r="DF34" s="256"/>
      <c r="DG34" s="256"/>
      <c r="DH34" s="256"/>
      <c r="DI34" s="256"/>
      <c r="DJ34" s="256"/>
      <c r="DK34" s="256"/>
      <c r="DL34" s="256"/>
      <c r="DM34" s="256"/>
      <c r="DN34" s="256"/>
      <c r="DO34" s="256"/>
      <c r="DP34" s="256"/>
      <c r="DQ34" s="256"/>
      <c r="DR34" s="256"/>
      <c r="DS34" s="256"/>
      <c r="DT34" s="256"/>
      <c r="DU34" s="256"/>
      <c r="DV34" s="256"/>
      <c r="DW34" s="256"/>
      <c r="DX34" s="256"/>
      <c r="DY34" s="256"/>
      <c r="DZ34" s="256"/>
      <c r="EA34" s="256"/>
      <c r="EB34" s="256"/>
      <c r="EC34" s="256"/>
      <c r="ED34" s="256"/>
      <c r="EE34" s="256"/>
      <c r="EF34" s="256"/>
      <c r="EG34" s="256"/>
      <c r="EH34" s="256"/>
      <c r="EI34" s="256"/>
      <c r="EJ34" s="256"/>
      <c r="EK34" s="256"/>
      <c r="EL34" s="256"/>
      <c r="EM34" s="256"/>
      <c r="EN34" s="256"/>
      <c r="EO34" s="256"/>
      <c r="EP34" s="256"/>
      <c r="EQ34" s="256"/>
      <c r="ER34" s="256"/>
      <c r="ES34" s="256"/>
      <c r="ET34" s="256"/>
      <c r="EU34" s="256"/>
      <c r="EV34" s="256"/>
      <c r="EW34" s="256"/>
      <c r="EX34" s="256"/>
      <c r="EY34" s="256"/>
      <c r="EZ34" s="256"/>
      <c r="FA34" s="256"/>
      <c r="FB34" s="256"/>
      <c r="FC34" s="256"/>
      <c r="FD34" s="256"/>
      <c r="FE34" s="256"/>
      <c r="FF34" s="256"/>
      <c r="FG34" s="256"/>
      <c r="FH34" s="256"/>
      <c r="FI34" s="256"/>
      <c r="FJ34" s="256"/>
      <c r="FK34" s="256"/>
      <c r="FL34" s="256"/>
      <c r="FM34" s="256"/>
      <c r="FN34" s="256"/>
      <c r="FO34" s="256"/>
      <c r="FP34" s="256"/>
      <c r="FQ34" s="256"/>
      <c r="FR34" s="256"/>
      <c r="FS34" s="256"/>
      <c r="FT34" s="256"/>
      <c r="FU34" s="256"/>
      <c r="FV34" s="256"/>
      <c r="FW34" s="256"/>
      <c r="FX34" s="256"/>
      <c r="FY34" s="256"/>
      <c r="FZ34" s="256"/>
      <c r="GA34" s="256"/>
      <c r="GB34" s="256"/>
      <c r="GC34" s="256"/>
      <c r="GD34" s="256"/>
      <c r="GE34" s="256"/>
      <c r="GF34" s="256"/>
      <c r="GG34" s="256"/>
      <c r="GH34" s="256"/>
      <c r="GI34" s="256"/>
      <c r="GJ34" s="256"/>
      <c r="GK34" s="256"/>
      <c r="GL34" s="256"/>
      <c r="GM34" s="256"/>
      <c r="GN34" s="256"/>
      <c r="GO34" s="256"/>
      <c r="GP34" s="256"/>
      <c r="GQ34" s="256"/>
      <c r="GR34" s="256"/>
      <c r="GS34" s="256"/>
      <c r="GT34" s="256"/>
      <c r="GU34" s="256"/>
      <c r="GV34" s="256"/>
      <c r="GW34" s="256"/>
      <c r="GX34" s="256"/>
      <c r="GY34" s="256"/>
      <c r="GZ34" s="256"/>
      <c r="HA34" s="256"/>
      <c r="HB34" s="256"/>
      <c r="HC34" s="256"/>
      <c r="HD34" s="256"/>
      <c r="HE34" s="256"/>
      <c r="HF34" s="256"/>
      <c r="HG34" s="256"/>
      <c r="HH34" s="256"/>
      <c r="HI34" s="256"/>
      <c r="HJ34" s="256"/>
      <c r="HK34" s="256"/>
      <c r="HL34" s="256"/>
      <c r="HM34" s="256"/>
      <c r="HN34" s="256"/>
      <c r="HO34" s="256"/>
      <c r="HP34" s="256"/>
      <c r="HQ34" s="256"/>
      <c r="HR34" s="256"/>
      <c r="HS34" s="256"/>
      <c r="HT34" s="256"/>
      <c r="HU34" s="256"/>
      <c r="HV34" s="256"/>
      <c r="HW34" s="256"/>
      <c r="HX34" s="256"/>
      <c r="HY34" s="256"/>
      <c r="HZ34" s="256"/>
      <c r="IA34" s="256"/>
      <c r="IB34" s="256"/>
      <c r="IC34" s="256"/>
      <c r="ID34" s="256"/>
      <c r="IE34" s="256"/>
      <c r="IF34" s="256"/>
      <c r="IG34" s="256"/>
      <c r="IH34" s="256"/>
      <c r="II34" s="256"/>
      <c r="IJ34" s="256"/>
      <c r="IK34" s="256"/>
      <c r="IL34" s="256"/>
      <c r="IM34" s="256"/>
      <c r="IN34" s="256"/>
      <c r="IO34" s="256"/>
      <c r="IP34" s="256"/>
      <c r="IQ34" s="256"/>
      <c r="IR34" s="256"/>
      <c r="IS34" s="256"/>
      <c r="IT34" s="256"/>
      <c r="IU34" s="256"/>
      <c r="IV34" s="256"/>
      <c r="IW34" s="256"/>
      <c r="IX34" s="256"/>
      <c r="IY34" s="256"/>
      <c r="IZ34" s="256"/>
      <c r="JA34" s="256"/>
      <c r="JB34" s="256"/>
      <c r="JC34" s="256"/>
      <c r="JD34" s="256"/>
      <c r="JE34" s="256"/>
      <c r="JF34" s="256"/>
      <c r="JG34" s="256"/>
      <c r="JH34" s="256"/>
      <c r="JI34" s="256"/>
      <c r="JJ34" s="256"/>
      <c r="JK34" s="256"/>
      <c r="JL34" s="256"/>
      <c r="JM34" s="256"/>
      <c r="JN34" s="256"/>
      <c r="JO34" s="256"/>
      <c r="JP34" s="256"/>
      <c r="JQ34" s="256"/>
      <c r="JR34" s="256"/>
      <c r="JS34" s="256"/>
      <c r="JT34" s="256"/>
      <c r="JU34" s="256"/>
      <c r="JV34" s="256"/>
      <c r="JW34" s="256"/>
      <c r="JX34" s="256"/>
      <c r="JY34" s="256"/>
      <c r="JZ34" s="256"/>
      <c r="KA34" s="256"/>
      <c r="KB34" s="256"/>
      <c r="KC34" s="256"/>
      <c r="KD34" s="256"/>
      <c r="KE34" s="256"/>
      <c r="KF34" s="256"/>
      <c r="KG34" s="256"/>
      <c r="KH34" s="256"/>
      <c r="KI34" s="256"/>
      <c r="KJ34" s="256"/>
      <c r="KK34" s="256"/>
      <c r="KL34" s="256"/>
      <c r="KM34" s="256"/>
      <c r="KN34" s="256"/>
      <c r="KO34" s="256"/>
      <c r="KP34" s="256"/>
      <c r="KQ34" s="256"/>
      <c r="KR34" s="256"/>
      <c r="KS34" s="256"/>
      <c r="KT34" s="256"/>
      <c r="KU34" s="256"/>
      <c r="KV34" s="256"/>
      <c r="KW34" s="256"/>
      <c r="KX34" s="256"/>
      <c r="KY34" s="256"/>
      <c r="KZ34" s="256"/>
      <c r="LA34" s="256"/>
      <c r="LB34" s="256"/>
      <c r="LC34" s="256"/>
      <c r="LD34" s="256"/>
      <c r="LE34" s="256"/>
      <c r="LF34" s="256"/>
      <c r="LG34" s="256"/>
      <c r="LH34" s="256"/>
      <c r="LI34" s="256"/>
      <c r="LJ34" s="256"/>
      <c r="LK34" s="256"/>
      <c r="LL34" s="256"/>
      <c r="LM34" s="256"/>
      <c r="LN34" s="256"/>
      <c r="LO34" s="256"/>
      <c r="LP34" s="256"/>
      <c r="LQ34" s="256"/>
      <c r="LR34" s="256"/>
      <c r="LS34" s="256"/>
      <c r="LT34" s="256"/>
      <c r="LU34" s="256"/>
      <c r="LV34" s="256"/>
      <c r="LW34" s="256"/>
      <c r="LX34" s="256"/>
      <c r="LY34" s="256"/>
      <c r="LZ34" s="256"/>
      <c r="MA34" s="256"/>
      <c r="MB34" s="256"/>
      <c r="MC34" s="256"/>
      <c r="MD34" s="256"/>
      <c r="ME34" s="256"/>
      <c r="MF34" s="256"/>
      <c r="MG34" s="256"/>
      <c r="MH34" s="256"/>
      <c r="MI34" s="256"/>
      <c r="MJ34" s="256"/>
      <c r="MK34" s="256"/>
      <c r="ML34" s="256"/>
      <c r="MM34" s="256"/>
      <c r="MN34" s="256"/>
      <c r="MO34" s="256"/>
      <c r="MP34" s="256"/>
      <c r="MQ34" s="256"/>
      <c r="MR34" s="256"/>
      <c r="MS34" s="256"/>
      <c r="MT34" s="256"/>
      <c r="MU34" s="256"/>
      <c r="MV34" s="256"/>
      <c r="MW34" s="256"/>
      <c r="MX34" s="256"/>
      <c r="MY34" s="256"/>
      <c r="MZ34" s="256"/>
      <c r="NA34" s="256"/>
      <c r="NB34" s="256"/>
      <c r="NC34" s="256"/>
      <c r="ND34" s="256"/>
      <c r="NE34" s="256"/>
      <c r="NF34" s="256"/>
      <c r="NG34" s="256"/>
      <c r="NH34" s="256"/>
      <c r="NI34" s="256"/>
      <c r="NJ34" s="256"/>
      <c r="NK34" s="256"/>
      <c r="NL34" s="256"/>
      <c r="NM34" s="256"/>
      <c r="NN34" s="256"/>
      <c r="NO34" s="256"/>
      <c r="NP34" s="256"/>
      <c r="NQ34" s="256"/>
      <c r="NR34" s="256"/>
      <c r="NS34" s="256"/>
      <c r="NT34" s="256"/>
      <c r="NU34" s="256"/>
      <c r="NV34" s="256"/>
      <c r="NW34" s="256"/>
      <c r="NX34" s="256"/>
      <c r="NY34" s="256"/>
      <c r="NZ34" s="256"/>
      <c r="OA34" s="256"/>
      <c r="OB34" s="256"/>
      <c r="OC34" s="256"/>
      <c r="OD34" s="256"/>
      <c r="OE34" s="256"/>
      <c r="OF34" s="256"/>
      <c r="OG34" s="256"/>
      <c r="OH34" s="256"/>
      <c r="OI34" s="256"/>
      <c r="OJ34" s="256"/>
      <c r="OK34" s="256"/>
      <c r="OL34" s="256"/>
      <c r="OM34" s="256"/>
      <c r="ON34" s="256"/>
      <c r="OO34" s="256"/>
      <c r="OP34" s="256"/>
      <c r="OQ34" s="256"/>
      <c r="OR34" s="256"/>
      <c r="OS34" s="256"/>
      <c r="OT34" s="256"/>
      <c r="OU34" s="256"/>
      <c r="OV34" s="256"/>
      <c r="OW34" s="256"/>
      <c r="OX34" s="256"/>
      <c r="OY34" s="256"/>
      <c r="OZ34" s="256"/>
      <c r="PA34" s="256"/>
      <c r="PB34" s="256"/>
      <c r="PC34" s="256"/>
      <c r="PD34" s="256"/>
      <c r="PE34" s="256"/>
      <c r="PF34" s="256"/>
      <c r="PG34" s="256"/>
      <c r="PH34" s="256"/>
      <c r="PI34" s="256"/>
      <c r="PJ34" s="256"/>
      <c r="PK34" s="256"/>
      <c r="PL34" s="256"/>
      <c r="PM34" s="256"/>
      <c r="PN34" s="256"/>
      <c r="PO34" s="256"/>
      <c r="PP34" s="256"/>
      <c r="PQ34" s="256"/>
      <c r="PR34" s="256"/>
      <c r="PS34" s="256"/>
      <c r="PT34" s="256"/>
      <c r="PU34" s="256"/>
      <c r="PV34" s="256"/>
      <c r="PW34" s="256"/>
      <c r="PX34" s="256"/>
      <c r="PY34" s="256"/>
      <c r="PZ34" s="256"/>
      <c r="QA34" s="256"/>
      <c r="QB34" s="256"/>
      <c r="QC34" s="256"/>
      <c r="QD34" s="256"/>
      <c r="QE34" s="256"/>
      <c r="QF34" s="256"/>
      <c r="QG34" s="256"/>
      <c r="QH34" s="256"/>
      <c r="QI34" s="256"/>
      <c r="QJ34" s="256"/>
      <c r="QK34" s="256"/>
      <c r="QL34" s="256"/>
      <c r="QM34" s="256"/>
      <c r="QN34" s="256"/>
      <c r="QO34" s="256"/>
      <c r="QP34" s="256"/>
      <c r="QQ34" s="256"/>
      <c r="QR34" s="256"/>
      <c r="QS34" s="256"/>
      <c r="QT34" s="256"/>
      <c r="QU34" s="256"/>
      <c r="QV34" s="256"/>
      <c r="QW34" s="256"/>
      <c r="QX34" s="256"/>
      <c r="QY34" s="256"/>
      <c r="QZ34" s="256"/>
      <c r="RA34" s="256"/>
      <c r="RB34" s="256"/>
      <c r="RC34" s="256"/>
      <c r="RD34" s="256"/>
      <c r="RE34" s="256"/>
      <c r="RF34" s="256"/>
      <c r="RG34" s="256"/>
      <c r="RH34" s="256"/>
      <c r="RI34" s="256"/>
      <c r="RJ34" s="256"/>
      <c r="RK34" s="256"/>
      <c r="RL34" s="256"/>
      <c r="RM34" s="256"/>
      <c r="RN34" s="256"/>
      <c r="RO34" s="256"/>
      <c r="RP34" s="256"/>
      <c r="RQ34" s="256"/>
      <c r="RR34" s="256"/>
      <c r="RS34" s="256"/>
      <c r="RT34" s="256"/>
      <c r="RU34" s="256"/>
      <c r="RV34" s="256"/>
      <c r="RW34" s="256"/>
      <c r="RX34" s="256"/>
      <c r="RY34" s="256"/>
      <c r="RZ34" s="256"/>
      <c r="SA34" s="256"/>
      <c r="SB34" s="256"/>
      <c r="SC34" s="256"/>
      <c r="SD34" s="256"/>
      <c r="SE34" s="256"/>
      <c r="SF34" s="256"/>
      <c r="SG34" s="256"/>
      <c r="SH34" s="256"/>
      <c r="SI34" s="256"/>
      <c r="SJ34" s="256"/>
      <c r="SK34" s="256"/>
      <c r="SL34" s="256"/>
      <c r="SM34" s="256"/>
      <c r="SN34" s="256"/>
      <c r="SO34" s="256"/>
      <c r="SP34" s="256"/>
      <c r="SQ34" s="256"/>
      <c r="SR34" s="256"/>
      <c r="SS34" s="256"/>
      <c r="ST34" s="256"/>
      <c r="SU34" s="256"/>
      <c r="SV34" s="256"/>
      <c r="SW34" s="256"/>
      <c r="SX34" s="256"/>
      <c r="SY34" s="256"/>
      <c r="SZ34" s="256"/>
      <c r="TA34" s="256"/>
      <c r="TB34" s="256"/>
      <c r="TC34" s="256"/>
      <c r="TD34" s="256"/>
      <c r="TE34" s="256"/>
      <c r="TF34" s="256"/>
      <c r="TG34" s="256"/>
      <c r="TH34" s="256"/>
      <c r="TI34" s="256"/>
      <c r="TJ34" s="256"/>
      <c r="TK34" s="256"/>
      <c r="TL34" s="256"/>
      <c r="TM34" s="256"/>
      <c r="TN34" s="256"/>
      <c r="TO34" s="256"/>
      <c r="TP34" s="256"/>
      <c r="TQ34" s="256"/>
      <c r="TR34" s="256"/>
      <c r="TS34" s="256"/>
      <c r="TT34" s="256"/>
      <c r="TU34" s="256"/>
      <c r="TV34" s="256"/>
      <c r="TW34" s="256"/>
      <c r="TX34" s="256"/>
      <c r="TY34" s="256"/>
      <c r="TZ34" s="256"/>
      <c r="UA34" s="256"/>
      <c r="UB34" s="256"/>
      <c r="UC34" s="256"/>
      <c r="UD34" s="256"/>
      <c r="UE34" s="256"/>
      <c r="UF34" s="256"/>
      <c r="UG34" s="256"/>
      <c r="UH34" s="256"/>
      <c r="UI34" s="256"/>
      <c r="UJ34" s="256"/>
      <c r="UK34" s="256"/>
      <c r="UL34" s="256"/>
      <c r="UM34" s="256"/>
      <c r="UN34" s="256"/>
      <c r="UO34" s="256"/>
      <c r="UP34" s="256"/>
      <c r="UQ34" s="256"/>
      <c r="UR34" s="256"/>
      <c r="US34" s="256"/>
      <c r="UT34" s="256"/>
      <c r="UU34" s="256"/>
      <c r="UV34" s="256"/>
      <c r="UW34" s="256"/>
      <c r="UX34" s="256"/>
      <c r="UY34" s="256"/>
      <c r="UZ34" s="256"/>
      <c r="VA34" s="256"/>
      <c r="VB34" s="256"/>
      <c r="VC34" s="256"/>
      <c r="VD34" s="256"/>
      <c r="VE34" s="256"/>
      <c r="VF34" s="256"/>
      <c r="VG34" s="256"/>
      <c r="VH34" s="256"/>
      <c r="VI34" s="256"/>
      <c r="VJ34" s="256"/>
      <c r="VK34" s="256"/>
      <c r="VL34" s="256"/>
      <c r="VM34" s="256"/>
      <c r="VN34" s="256"/>
      <c r="VO34" s="256"/>
      <c r="VP34" s="256"/>
      <c r="VQ34" s="256"/>
      <c r="VR34" s="256"/>
      <c r="VS34" s="256"/>
      <c r="VT34" s="256"/>
      <c r="VU34" s="256"/>
      <c r="VV34" s="256"/>
      <c r="VW34" s="256"/>
      <c r="VX34" s="256"/>
      <c r="VY34" s="256"/>
      <c r="VZ34" s="256"/>
      <c r="WA34" s="256"/>
      <c r="WB34" s="256"/>
      <c r="WC34" s="256"/>
      <c r="WD34" s="256"/>
      <c r="WE34" s="256"/>
      <c r="WF34" s="256"/>
      <c r="WG34" s="256"/>
      <c r="WH34" s="256"/>
      <c r="WI34" s="256"/>
      <c r="WJ34" s="256"/>
      <c r="WK34" s="256"/>
      <c r="WL34" s="256"/>
      <c r="WM34" s="256"/>
      <c r="WN34" s="256"/>
      <c r="WO34" s="256"/>
      <c r="WP34" s="256"/>
      <c r="WQ34" s="256"/>
      <c r="WR34" s="256"/>
      <c r="WS34" s="256"/>
      <c r="WT34" s="256"/>
      <c r="WU34" s="256"/>
      <c r="WV34" s="256"/>
      <c r="WW34" s="256"/>
      <c r="WX34" s="256"/>
      <c r="WY34" s="256"/>
      <c r="WZ34" s="256"/>
      <c r="XA34" s="256"/>
      <c r="XB34" s="256"/>
      <c r="XC34" s="256"/>
      <c r="XD34" s="256"/>
      <c r="XE34" s="256"/>
      <c r="XF34" s="256"/>
      <c r="XG34" s="256"/>
      <c r="XH34" s="256"/>
      <c r="XI34" s="256"/>
      <c r="XJ34" s="256"/>
      <c r="XK34" s="256"/>
      <c r="XL34" s="256"/>
      <c r="XM34" s="256"/>
      <c r="XN34" s="256"/>
      <c r="XO34" s="256"/>
      <c r="XP34" s="256"/>
      <c r="XQ34" s="256"/>
      <c r="XR34" s="256"/>
      <c r="XS34" s="256"/>
      <c r="XT34" s="256"/>
      <c r="XU34" s="256"/>
      <c r="XV34" s="256"/>
      <c r="XW34" s="256"/>
      <c r="XX34" s="256"/>
      <c r="XY34" s="256"/>
      <c r="XZ34" s="256"/>
      <c r="YA34" s="256"/>
      <c r="YB34" s="256"/>
      <c r="YC34" s="256"/>
      <c r="YD34" s="256"/>
      <c r="YE34" s="256"/>
      <c r="YF34" s="256"/>
      <c r="YG34" s="256"/>
      <c r="YH34" s="256"/>
      <c r="YI34" s="256"/>
      <c r="YJ34" s="256"/>
      <c r="YK34" s="256"/>
      <c r="YL34" s="256"/>
      <c r="YM34" s="256"/>
      <c r="YN34" s="256"/>
      <c r="YO34" s="256"/>
      <c r="YP34" s="256"/>
      <c r="YQ34" s="256"/>
      <c r="YR34" s="256"/>
      <c r="YS34" s="256"/>
      <c r="YT34" s="256"/>
      <c r="YU34" s="256"/>
      <c r="YV34" s="256"/>
      <c r="YW34" s="256"/>
      <c r="YX34" s="256"/>
      <c r="YY34" s="256"/>
      <c r="YZ34" s="256"/>
      <c r="ZA34" s="256"/>
      <c r="ZB34" s="256"/>
      <c r="ZC34" s="256"/>
      <c r="ZD34" s="256"/>
      <c r="ZE34" s="256"/>
      <c r="ZF34" s="256"/>
      <c r="ZG34" s="256"/>
      <c r="ZH34" s="256"/>
      <c r="ZI34" s="256"/>
      <c r="ZJ34" s="256"/>
      <c r="ZK34" s="256"/>
      <c r="ZL34" s="256"/>
      <c r="ZM34" s="256"/>
      <c r="ZN34" s="256"/>
      <c r="ZO34" s="256"/>
      <c r="ZP34" s="256"/>
      <c r="ZQ34" s="256"/>
      <c r="ZR34" s="256"/>
      <c r="ZS34" s="256"/>
      <c r="ZT34" s="256"/>
      <c r="ZU34" s="256"/>
      <c r="ZV34" s="256"/>
      <c r="ZW34" s="256"/>
      <c r="ZX34" s="256"/>
      <c r="ZY34" s="256"/>
      <c r="ZZ34" s="256"/>
      <c r="AAA34" s="256"/>
      <c r="AAB34" s="256"/>
      <c r="AAC34" s="256"/>
      <c r="AAD34" s="256"/>
      <c r="AAE34" s="256"/>
      <c r="AAF34" s="256"/>
      <c r="AAG34" s="256"/>
      <c r="AAH34" s="256"/>
      <c r="AAI34" s="256"/>
      <c r="AAJ34" s="256"/>
      <c r="AAK34" s="256"/>
      <c r="AAL34" s="256"/>
      <c r="AAM34" s="256"/>
      <c r="AAN34" s="256"/>
      <c r="AAO34" s="256"/>
      <c r="AAP34" s="256"/>
      <c r="AAQ34" s="256"/>
      <c r="AAR34" s="256"/>
      <c r="AAS34" s="256"/>
      <c r="AAT34" s="256"/>
      <c r="AAU34" s="256"/>
      <c r="AAV34" s="256"/>
      <c r="AAW34" s="256"/>
      <c r="AAX34" s="256"/>
      <c r="AAY34" s="256"/>
      <c r="AAZ34" s="256"/>
      <c r="ABA34" s="256"/>
      <c r="ABB34" s="256"/>
      <c r="ABC34" s="256"/>
      <c r="ABD34" s="256"/>
      <c r="ABE34" s="256"/>
      <c r="ABF34" s="256"/>
      <c r="ABG34" s="256"/>
      <c r="ABH34" s="256"/>
      <c r="ABI34" s="256"/>
      <c r="ABJ34" s="256"/>
      <c r="ABK34" s="256"/>
      <c r="ABL34" s="256"/>
      <c r="ABM34" s="256"/>
      <c r="ABN34" s="256"/>
      <c r="ABO34" s="256"/>
      <c r="ABP34" s="256"/>
      <c r="ABQ34" s="256"/>
      <c r="ABR34" s="256"/>
      <c r="ABS34" s="256"/>
      <c r="ABT34" s="256"/>
      <c r="ABU34" s="256"/>
      <c r="ABV34" s="256"/>
      <c r="ABW34" s="256"/>
      <c r="ABX34" s="256"/>
      <c r="ABY34" s="256"/>
      <c r="ABZ34" s="256"/>
      <c r="ACA34" s="256"/>
      <c r="ACB34" s="256"/>
      <c r="ACC34" s="256"/>
      <c r="ACD34" s="256"/>
      <c r="ACE34" s="256"/>
      <c r="ACF34" s="256"/>
      <c r="ACG34" s="256"/>
      <c r="ACH34" s="256"/>
      <c r="ACI34" s="256"/>
      <c r="ACJ34" s="256"/>
      <c r="ACK34" s="256"/>
      <c r="ACL34" s="256"/>
      <c r="ACM34" s="256"/>
      <c r="ACN34" s="256"/>
      <c r="ACO34" s="256"/>
      <c r="ACP34" s="256"/>
      <c r="ACQ34" s="256"/>
      <c r="ACR34" s="256"/>
      <c r="ACS34" s="256"/>
      <c r="ACT34" s="256"/>
      <c r="ACU34" s="256"/>
      <c r="ACV34" s="256"/>
      <c r="ACW34" s="256"/>
      <c r="ACX34" s="256"/>
      <c r="ACY34" s="256"/>
      <c r="ACZ34" s="256"/>
      <c r="ADA34" s="256"/>
      <c r="ADB34" s="256"/>
      <c r="ADC34" s="256"/>
      <c r="ADD34" s="256"/>
      <c r="ADE34" s="256"/>
      <c r="ADF34" s="256"/>
      <c r="ADG34" s="256"/>
      <c r="ADH34" s="256"/>
      <c r="ADI34" s="256"/>
      <c r="ADJ34" s="256"/>
      <c r="ADK34" s="256"/>
      <c r="ADL34" s="256"/>
      <c r="ADM34" s="256"/>
      <c r="ADN34" s="256"/>
      <c r="ADO34" s="256"/>
      <c r="ADP34" s="256"/>
      <c r="ADQ34" s="256"/>
      <c r="ADR34" s="256"/>
      <c r="ADS34" s="256"/>
      <c r="ADT34" s="256"/>
      <c r="ADU34" s="256"/>
      <c r="ADV34" s="256"/>
      <c r="ADW34" s="256"/>
      <c r="ADX34" s="256"/>
      <c r="ADY34" s="256"/>
      <c r="ADZ34" s="256"/>
      <c r="AEA34" s="256"/>
      <c r="AEB34" s="256"/>
      <c r="AEC34" s="256"/>
      <c r="AED34" s="256"/>
      <c r="AEE34" s="256"/>
      <c r="AEF34" s="256"/>
      <c r="AEG34" s="256"/>
      <c r="AEH34" s="256"/>
      <c r="AEI34" s="256"/>
      <c r="AEJ34" s="256"/>
      <c r="AEK34" s="256"/>
      <c r="AEL34" s="256"/>
      <c r="AEM34" s="256"/>
      <c r="AEN34" s="256"/>
      <c r="AEO34" s="256"/>
      <c r="AEP34" s="256"/>
      <c r="AEQ34" s="256"/>
      <c r="AER34" s="256"/>
      <c r="AES34" s="256"/>
      <c r="AET34" s="256"/>
      <c r="AEU34" s="256"/>
      <c r="AEV34" s="256"/>
      <c r="AEW34" s="256"/>
      <c r="AEX34" s="256"/>
      <c r="AEY34" s="256"/>
      <c r="AEZ34" s="256"/>
      <c r="AFA34" s="256"/>
      <c r="AFB34" s="256"/>
      <c r="AFC34" s="256"/>
      <c r="AFD34" s="256"/>
      <c r="AFE34" s="256"/>
      <c r="AFF34" s="256"/>
      <c r="AFG34" s="256"/>
      <c r="AFH34" s="256"/>
      <c r="AFI34" s="256"/>
      <c r="AFJ34" s="256"/>
      <c r="AFK34" s="256"/>
      <c r="AFL34" s="256"/>
      <c r="AFM34" s="256"/>
      <c r="AFN34" s="256"/>
      <c r="AFO34" s="256"/>
      <c r="AFP34" s="256"/>
      <c r="AFQ34" s="256"/>
      <c r="AFR34" s="256"/>
      <c r="AFS34" s="256"/>
      <c r="AFT34" s="256"/>
      <c r="AFU34" s="256"/>
      <c r="AFV34" s="256"/>
      <c r="AFW34" s="256"/>
      <c r="AFX34" s="256"/>
      <c r="AFY34" s="256"/>
      <c r="AFZ34" s="256"/>
      <c r="AGA34" s="256"/>
      <c r="AGB34" s="256"/>
      <c r="AGC34" s="256"/>
      <c r="AGD34" s="256"/>
      <c r="AGE34" s="256"/>
      <c r="AGF34" s="256"/>
      <c r="AGG34" s="256"/>
      <c r="AGH34" s="256"/>
      <c r="AGI34" s="256"/>
      <c r="AGJ34" s="256"/>
      <c r="AGK34" s="256"/>
      <c r="AGL34" s="256"/>
      <c r="AGM34" s="256"/>
      <c r="AGN34" s="256"/>
      <c r="AGO34" s="256"/>
      <c r="AGP34" s="256"/>
      <c r="AGQ34" s="256"/>
      <c r="AGR34" s="256"/>
      <c r="AGS34" s="256"/>
      <c r="AGT34" s="256"/>
      <c r="AGU34" s="256"/>
      <c r="AGV34" s="256"/>
      <c r="AGW34" s="256"/>
      <c r="AGX34" s="256"/>
      <c r="AGY34" s="256"/>
      <c r="AGZ34" s="256"/>
      <c r="AHA34" s="256"/>
      <c r="AHB34" s="256"/>
      <c r="AHC34" s="256"/>
      <c r="AHD34" s="256"/>
      <c r="AHE34" s="256"/>
      <c r="AHF34" s="256"/>
      <c r="AHG34" s="256"/>
      <c r="AHH34" s="256"/>
      <c r="AHI34" s="256"/>
      <c r="AHJ34" s="256"/>
      <c r="AHK34" s="256"/>
      <c r="AHL34" s="256"/>
      <c r="AHM34" s="256"/>
      <c r="AHN34" s="256"/>
      <c r="AHO34" s="256"/>
      <c r="AHP34" s="256"/>
      <c r="AHQ34" s="256"/>
      <c r="AHR34" s="256"/>
      <c r="AHS34" s="256"/>
      <c r="AHT34" s="256"/>
      <c r="AHU34" s="256"/>
      <c r="AHV34" s="256"/>
      <c r="AHW34" s="256"/>
      <c r="AHX34" s="256"/>
      <c r="AHY34" s="256"/>
      <c r="AHZ34" s="256"/>
      <c r="AIA34" s="256"/>
      <c r="AIB34" s="256"/>
      <c r="AIC34" s="256"/>
      <c r="AID34" s="256"/>
      <c r="AIE34" s="256"/>
      <c r="AIF34" s="256"/>
      <c r="AIG34" s="256"/>
      <c r="AIH34" s="256"/>
      <c r="AII34" s="256"/>
      <c r="AIJ34" s="256"/>
      <c r="AIK34" s="256"/>
      <c r="AIL34" s="256"/>
      <c r="AIM34" s="256"/>
      <c r="AIN34" s="256"/>
      <c r="AIO34" s="256"/>
      <c r="AIP34" s="256"/>
      <c r="AIQ34" s="256"/>
      <c r="AIR34" s="256"/>
      <c r="AIS34" s="256"/>
      <c r="AIT34" s="256"/>
      <c r="AIU34" s="256"/>
      <c r="AIV34" s="256"/>
      <c r="AIW34" s="256"/>
      <c r="AIX34" s="256"/>
      <c r="AIY34" s="256"/>
      <c r="AIZ34" s="256"/>
      <c r="AJA34" s="256"/>
      <c r="AJB34" s="256"/>
      <c r="AJC34" s="256"/>
      <c r="AJD34" s="256"/>
      <c r="AJE34" s="256"/>
      <c r="AJF34" s="256"/>
      <c r="AJG34" s="256"/>
      <c r="AJH34" s="256"/>
      <c r="AJI34" s="256"/>
      <c r="AJJ34" s="256"/>
      <c r="AJK34" s="256"/>
      <c r="AJL34" s="256"/>
      <c r="AJM34" s="256"/>
      <c r="AJN34" s="256"/>
      <c r="AJO34" s="256"/>
      <c r="AJP34" s="256"/>
      <c r="AJQ34" s="256"/>
      <c r="AJR34" s="256"/>
      <c r="AJS34" s="256"/>
      <c r="AJT34" s="256"/>
      <c r="AJU34" s="256"/>
      <c r="AJV34" s="256"/>
      <c r="AJW34" s="256"/>
      <c r="AJX34" s="256"/>
      <c r="AJY34" s="256"/>
      <c r="AJZ34" s="256"/>
      <c r="AKA34" s="256"/>
      <c r="AKB34" s="256"/>
      <c r="AKC34" s="256"/>
      <c r="AKD34" s="256"/>
      <c r="AKE34" s="256"/>
      <c r="AKF34" s="256"/>
      <c r="AKG34" s="256"/>
      <c r="AKH34" s="256"/>
      <c r="AKI34" s="256"/>
      <c r="AKJ34" s="256"/>
      <c r="AKK34" s="256"/>
      <c r="AKL34" s="256"/>
      <c r="AKM34" s="256"/>
      <c r="AKN34" s="256"/>
      <c r="AKO34" s="256"/>
      <c r="AKP34" s="256"/>
      <c r="AKQ34" s="256"/>
      <c r="AKR34" s="256"/>
      <c r="AKS34" s="256"/>
      <c r="AKT34" s="256"/>
      <c r="AKU34" s="256"/>
      <c r="AKV34" s="256"/>
      <c r="AKW34" s="256"/>
      <c r="AKX34" s="256"/>
      <c r="AKY34" s="256"/>
      <c r="AKZ34" s="256"/>
      <c r="ALA34" s="256"/>
      <c r="ALB34" s="256"/>
      <c r="ALC34" s="256"/>
      <c r="ALD34" s="256"/>
      <c r="ALE34" s="256"/>
      <c r="ALF34" s="256"/>
      <c r="ALG34" s="256"/>
      <c r="ALH34" s="256"/>
      <c r="ALI34" s="256"/>
      <c r="ALJ34" s="256"/>
      <c r="ALK34" s="256"/>
      <c r="ALL34" s="256"/>
      <c r="ALM34" s="256"/>
      <c r="ALN34" s="256"/>
      <c r="ALO34" s="256"/>
      <c r="ALP34" s="256"/>
      <c r="ALQ34" s="256"/>
      <c r="ALR34" s="256"/>
      <c r="ALS34" s="256"/>
      <c r="ALT34" s="256"/>
      <c r="ALU34" s="258"/>
      <c r="ALV34" s="258"/>
      <c r="ALW34" s="258"/>
      <c r="ALX34" s="258"/>
      <c r="ALY34" s="258"/>
      <c r="ALZ34" s="258"/>
      <c r="AMA34" s="258"/>
      <c r="AMB34" s="258"/>
      <c r="AMC34" s="258"/>
      <c r="AMD34" s="258"/>
      <c r="AME34" s="258"/>
      <c r="AMF34" s="258"/>
      <c r="AMG34" s="258"/>
      <c r="AMH34" s="258"/>
      <c r="AMI34" s="256"/>
    </row>
    <row r="35" spans="1:1023" s="259" customFormat="1" x14ac:dyDescent="0.25">
      <c r="A35" s="256"/>
      <c r="B35" s="256"/>
      <c r="C35" s="256"/>
      <c r="D35" s="303"/>
      <c r="E35" s="306" t="s">
        <v>343</v>
      </c>
      <c r="F35" s="307">
        <f>E21*G21</f>
        <v>0</v>
      </c>
      <c r="G35" s="307">
        <f>G21*(1-E21)</f>
        <v>0</v>
      </c>
      <c r="H35" s="308">
        <f>1-G21</f>
        <v>1</v>
      </c>
      <c r="I35" s="303"/>
      <c r="J35" s="303"/>
      <c r="K35" s="303"/>
      <c r="L35" s="256"/>
      <c r="M35" s="256"/>
      <c r="N35" s="256"/>
      <c r="O35" s="256"/>
      <c r="P35" s="256"/>
      <c r="Q35" s="256"/>
      <c r="R35" s="256"/>
      <c r="S35" s="256"/>
      <c r="T35" s="256"/>
      <c r="U35" s="256"/>
      <c r="V35" s="256"/>
      <c r="W35" s="256"/>
      <c r="X35" s="256"/>
      <c r="Y35" s="256"/>
      <c r="Z35" s="256"/>
      <c r="AA35" s="256"/>
      <c r="AB35" s="256"/>
      <c r="AC35" s="256"/>
      <c r="AD35" s="256"/>
      <c r="AE35" s="256"/>
      <c r="AF35" s="256"/>
      <c r="AG35" s="256"/>
      <c r="AH35" s="256"/>
      <c r="AI35" s="256"/>
      <c r="AJ35" s="256"/>
      <c r="AK35" s="256"/>
      <c r="AL35" s="256"/>
      <c r="AM35" s="256"/>
      <c r="AN35" s="256"/>
      <c r="AO35" s="256"/>
      <c r="AP35" s="256"/>
      <c r="AQ35" s="256"/>
      <c r="AR35" s="256"/>
      <c r="AS35" s="256"/>
      <c r="AT35" s="256"/>
      <c r="AU35" s="256"/>
      <c r="AV35" s="256"/>
      <c r="AW35" s="256"/>
      <c r="AX35" s="256"/>
      <c r="AY35" s="256"/>
      <c r="AZ35" s="256"/>
      <c r="BA35" s="256"/>
      <c r="BB35" s="256"/>
      <c r="BC35" s="256"/>
      <c r="BD35" s="256"/>
      <c r="BE35" s="256"/>
      <c r="BF35" s="256"/>
      <c r="BG35" s="256"/>
      <c r="BH35" s="256"/>
      <c r="BI35" s="256"/>
      <c r="BJ35" s="256"/>
      <c r="BK35" s="256"/>
      <c r="BL35" s="256"/>
      <c r="BM35" s="256"/>
      <c r="BN35" s="256"/>
      <c r="BO35" s="256"/>
      <c r="BP35" s="256"/>
      <c r="BQ35" s="256"/>
      <c r="BR35" s="256"/>
      <c r="BS35" s="256"/>
      <c r="BT35" s="256"/>
      <c r="BU35" s="256"/>
      <c r="BV35" s="256"/>
      <c r="BW35" s="256"/>
      <c r="BX35" s="256"/>
      <c r="BY35" s="256"/>
      <c r="BZ35" s="256"/>
      <c r="CA35" s="256"/>
      <c r="CB35" s="256"/>
      <c r="CC35" s="256"/>
      <c r="CD35" s="256"/>
      <c r="CE35" s="256"/>
      <c r="CF35" s="256"/>
      <c r="CG35" s="256"/>
      <c r="CH35" s="256"/>
      <c r="CI35" s="256"/>
      <c r="CJ35" s="256"/>
      <c r="CK35" s="256"/>
      <c r="CL35" s="256"/>
      <c r="CM35" s="256"/>
      <c r="CN35" s="256"/>
      <c r="CO35" s="256"/>
      <c r="CP35" s="256"/>
      <c r="CQ35" s="256"/>
      <c r="CR35" s="256"/>
      <c r="CS35" s="256"/>
      <c r="CT35" s="256"/>
      <c r="CU35" s="256"/>
      <c r="CV35" s="256"/>
      <c r="CW35" s="256"/>
      <c r="CX35" s="256"/>
      <c r="CY35" s="256"/>
      <c r="CZ35" s="256"/>
      <c r="DA35" s="256"/>
      <c r="DB35" s="256"/>
      <c r="DC35" s="256"/>
      <c r="DD35" s="256"/>
      <c r="DE35" s="256"/>
      <c r="DF35" s="256"/>
      <c r="DG35" s="256"/>
      <c r="DH35" s="256"/>
      <c r="DI35" s="256"/>
      <c r="DJ35" s="256"/>
      <c r="DK35" s="256"/>
      <c r="DL35" s="256"/>
      <c r="DM35" s="256"/>
      <c r="DN35" s="256"/>
      <c r="DO35" s="256"/>
      <c r="DP35" s="256"/>
      <c r="DQ35" s="256"/>
      <c r="DR35" s="256"/>
      <c r="DS35" s="256"/>
      <c r="DT35" s="256"/>
      <c r="DU35" s="256"/>
      <c r="DV35" s="256"/>
      <c r="DW35" s="256"/>
      <c r="DX35" s="256"/>
      <c r="DY35" s="256"/>
      <c r="DZ35" s="256"/>
      <c r="EA35" s="256"/>
      <c r="EB35" s="256"/>
      <c r="EC35" s="256"/>
      <c r="ED35" s="256"/>
      <c r="EE35" s="256"/>
      <c r="EF35" s="256"/>
      <c r="EG35" s="256"/>
      <c r="EH35" s="256"/>
      <c r="EI35" s="256"/>
      <c r="EJ35" s="256"/>
      <c r="EK35" s="256"/>
      <c r="EL35" s="256"/>
      <c r="EM35" s="256"/>
      <c r="EN35" s="256"/>
      <c r="EO35" s="256"/>
      <c r="EP35" s="256"/>
      <c r="EQ35" s="256"/>
      <c r="ER35" s="256"/>
      <c r="ES35" s="256"/>
      <c r="ET35" s="256"/>
      <c r="EU35" s="256"/>
      <c r="EV35" s="256"/>
      <c r="EW35" s="256"/>
      <c r="EX35" s="256"/>
      <c r="EY35" s="256"/>
      <c r="EZ35" s="256"/>
      <c r="FA35" s="256"/>
      <c r="FB35" s="256"/>
      <c r="FC35" s="256"/>
      <c r="FD35" s="256"/>
      <c r="FE35" s="256"/>
      <c r="FF35" s="256"/>
      <c r="FG35" s="256"/>
      <c r="FH35" s="256"/>
      <c r="FI35" s="256"/>
      <c r="FJ35" s="256"/>
      <c r="FK35" s="256"/>
      <c r="FL35" s="256"/>
      <c r="FM35" s="256"/>
      <c r="FN35" s="256"/>
      <c r="FO35" s="256"/>
      <c r="FP35" s="256"/>
      <c r="FQ35" s="256"/>
      <c r="FR35" s="256"/>
      <c r="FS35" s="256"/>
      <c r="FT35" s="256"/>
      <c r="FU35" s="256"/>
      <c r="FV35" s="256"/>
      <c r="FW35" s="256"/>
      <c r="FX35" s="256"/>
      <c r="FY35" s="256"/>
      <c r="FZ35" s="256"/>
      <c r="GA35" s="256"/>
      <c r="GB35" s="256"/>
      <c r="GC35" s="256"/>
      <c r="GD35" s="256"/>
      <c r="GE35" s="256"/>
      <c r="GF35" s="256"/>
      <c r="GG35" s="256"/>
      <c r="GH35" s="256"/>
      <c r="GI35" s="256"/>
      <c r="GJ35" s="256"/>
      <c r="GK35" s="256"/>
      <c r="GL35" s="256"/>
      <c r="GM35" s="256"/>
      <c r="GN35" s="256"/>
      <c r="GO35" s="256"/>
      <c r="GP35" s="256"/>
      <c r="GQ35" s="256"/>
      <c r="GR35" s="256"/>
      <c r="GS35" s="256"/>
      <c r="GT35" s="256"/>
      <c r="GU35" s="256"/>
      <c r="GV35" s="256"/>
      <c r="GW35" s="256"/>
      <c r="GX35" s="256"/>
      <c r="GY35" s="256"/>
      <c r="GZ35" s="256"/>
      <c r="HA35" s="256"/>
      <c r="HB35" s="256"/>
      <c r="HC35" s="256"/>
      <c r="HD35" s="256"/>
      <c r="HE35" s="256"/>
      <c r="HF35" s="256"/>
      <c r="HG35" s="256"/>
      <c r="HH35" s="256"/>
      <c r="HI35" s="256"/>
      <c r="HJ35" s="256"/>
      <c r="HK35" s="256"/>
      <c r="HL35" s="256"/>
      <c r="HM35" s="256"/>
      <c r="HN35" s="256"/>
      <c r="HO35" s="256"/>
      <c r="HP35" s="256"/>
      <c r="HQ35" s="256"/>
      <c r="HR35" s="256"/>
      <c r="HS35" s="256"/>
      <c r="HT35" s="256"/>
      <c r="HU35" s="256"/>
      <c r="HV35" s="256"/>
      <c r="HW35" s="256"/>
      <c r="HX35" s="256"/>
      <c r="HY35" s="256"/>
      <c r="HZ35" s="256"/>
      <c r="IA35" s="256"/>
      <c r="IB35" s="256"/>
      <c r="IC35" s="256"/>
      <c r="ID35" s="256"/>
      <c r="IE35" s="256"/>
      <c r="IF35" s="256"/>
      <c r="IG35" s="256"/>
      <c r="IH35" s="256"/>
      <c r="II35" s="256"/>
      <c r="IJ35" s="256"/>
      <c r="IK35" s="256"/>
      <c r="IL35" s="256"/>
      <c r="IM35" s="256"/>
      <c r="IN35" s="256"/>
      <c r="IO35" s="256"/>
      <c r="IP35" s="256"/>
      <c r="IQ35" s="256"/>
      <c r="IR35" s="256"/>
      <c r="IS35" s="256"/>
      <c r="IT35" s="256"/>
      <c r="IU35" s="256"/>
      <c r="IV35" s="256"/>
      <c r="IW35" s="256"/>
      <c r="IX35" s="256"/>
      <c r="IY35" s="256"/>
      <c r="IZ35" s="256"/>
      <c r="JA35" s="256"/>
      <c r="JB35" s="256"/>
      <c r="JC35" s="256"/>
      <c r="JD35" s="256"/>
      <c r="JE35" s="256"/>
      <c r="JF35" s="256"/>
      <c r="JG35" s="256"/>
      <c r="JH35" s="256"/>
      <c r="JI35" s="256"/>
      <c r="JJ35" s="256"/>
      <c r="JK35" s="256"/>
      <c r="JL35" s="256"/>
      <c r="JM35" s="256"/>
      <c r="JN35" s="256"/>
      <c r="JO35" s="256"/>
      <c r="JP35" s="256"/>
      <c r="JQ35" s="256"/>
      <c r="JR35" s="256"/>
      <c r="JS35" s="256"/>
      <c r="JT35" s="256"/>
      <c r="JU35" s="256"/>
      <c r="JV35" s="256"/>
      <c r="JW35" s="256"/>
      <c r="JX35" s="256"/>
      <c r="JY35" s="256"/>
      <c r="JZ35" s="256"/>
      <c r="KA35" s="256"/>
      <c r="KB35" s="256"/>
      <c r="KC35" s="256"/>
      <c r="KD35" s="256"/>
      <c r="KE35" s="256"/>
      <c r="KF35" s="256"/>
      <c r="KG35" s="256"/>
      <c r="KH35" s="256"/>
      <c r="KI35" s="256"/>
      <c r="KJ35" s="256"/>
      <c r="KK35" s="256"/>
      <c r="KL35" s="256"/>
      <c r="KM35" s="256"/>
      <c r="KN35" s="256"/>
      <c r="KO35" s="256"/>
      <c r="KP35" s="256"/>
      <c r="KQ35" s="256"/>
      <c r="KR35" s="256"/>
      <c r="KS35" s="256"/>
      <c r="KT35" s="256"/>
      <c r="KU35" s="256"/>
      <c r="KV35" s="256"/>
      <c r="KW35" s="256"/>
      <c r="KX35" s="256"/>
      <c r="KY35" s="256"/>
      <c r="KZ35" s="256"/>
      <c r="LA35" s="256"/>
      <c r="LB35" s="256"/>
      <c r="LC35" s="256"/>
      <c r="LD35" s="256"/>
      <c r="LE35" s="256"/>
      <c r="LF35" s="256"/>
      <c r="LG35" s="256"/>
      <c r="LH35" s="256"/>
      <c r="LI35" s="256"/>
      <c r="LJ35" s="256"/>
      <c r="LK35" s="256"/>
      <c r="LL35" s="256"/>
      <c r="LM35" s="256"/>
      <c r="LN35" s="256"/>
      <c r="LO35" s="256"/>
      <c r="LP35" s="256"/>
      <c r="LQ35" s="256"/>
      <c r="LR35" s="256"/>
      <c r="LS35" s="256"/>
      <c r="LT35" s="256"/>
      <c r="LU35" s="256"/>
      <c r="LV35" s="256"/>
      <c r="LW35" s="256"/>
      <c r="LX35" s="256"/>
      <c r="LY35" s="256"/>
      <c r="LZ35" s="256"/>
      <c r="MA35" s="256"/>
      <c r="MB35" s="256"/>
      <c r="MC35" s="256"/>
      <c r="MD35" s="256"/>
      <c r="ME35" s="256"/>
      <c r="MF35" s="256"/>
      <c r="MG35" s="256"/>
      <c r="MH35" s="256"/>
      <c r="MI35" s="256"/>
      <c r="MJ35" s="256"/>
      <c r="MK35" s="256"/>
      <c r="ML35" s="256"/>
      <c r="MM35" s="256"/>
      <c r="MN35" s="256"/>
      <c r="MO35" s="256"/>
      <c r="MP35" s="256"/>
      <c r="MQ35" s="256"/>
      <c r="MR35" s="256"/>
      <c r="MS35" s="256"/>
      <c r="MT35" s="256"/>
      <c r="MU35" s="256"/>
      <c r="MV35" s="256"/>
      <c r="MW35" s="256"/>
      <c r="MX35" s="256"/>
      <c r="MY35" s="256"/>
      <c r="MZ35" s="256"/>
      <c r="NA35" s="256"/>
      <c r="NB35" s="256"/>
      <c r="NC35" s="256"/>
      <c r="ND35" s="256"/>
      <c r="NE35" s="256"/>
      <c r="NF35" s="256"/>
      <c r="NG35" s="256"/>
      <c r="NH35" s="256"/>
      <c r="NI35" s="256"/>
      <c r="NJ35" s="256"/>
      <c r="NK35" s="256"/>
      <c r="NL35" s="256"/>
      <c r="NM35" s="256"/>
      <c r="NN35" s="256"/>
      <c r="NO35" s="256"/>
      <c r="NP35" s="256"/>
      <c r="NQ35" s="256"/>
      <c r="NR35" s="256"/>
      <c r="NS35" s="256"/>
      <c r="NT35" s="256"/>
      <c r="NU35" s="256"/>
      <c r="NV35" s="256"/>
      <c r="NW35" s="256"/>
      <c r="NX35" s="256"/>
      <c r="NY35" s="256"/>
      <c r="NZ35" s="256"/>
      <c r="OA35" s="256"/>
      <c r="OB35" s="256"/>
      <c r="OC35" s="256"/>
      <c r="OD35" s="256"/>
      <c r="OE35" s="256"/>
      <c r="OF35" s="256"/>
      <c r="OG35" s="256"/>
      <c r="OH35" s="256"/>
      <c r="OI35" s="256"/>
      <c r="OJ35" s="256"/>
      <c r="OK35" s="256"/>
      <c r="OL35" s="256"/>
      <c r="OM35" s="256"/>
      <c r="ON35" s="256"/>
      <c r="OO35" s="256"/>
      <c r="OP35" s="256"/>
      <c r="OQ35" s="256"/>
      <c r="OR35" s="256"/>
      <c r="OS35" s="256"/>
      <c r="OT35" s="256"/>
      <c r="OU35" s="256"/>
      <c r="OV35" s="256"/>
      <c r="OW35" s="256"/>
      <c r="OX35" s="256"/>
      <c r="OY35" s="256"/>
      <c r="OZ35" s="256"/>
      <c r="PA35" s="256"/>
      <c r="PB35" s="256"/>
      <c r="PC35" s="256"/>
      <c r="PD35" s="256"/>
      <c r="PE35" s="256"/>
      <c r="PF35" s="256"/>
      <c r="PG35" s="256"/>
      <c r="PH35" s="256"/>
      <c r="PI35" s="256"/>
      <c r="PJ35" s="256"/>
      <c r="PK35" s="256"/>
      <c r="PL35" s="256"/>
      <c r="PM35" s="256"/>
      <c r="PN35" s="256"/>
      <c r="PO35" s="256"/>
      <c r="PP35" s="256"/>
      <c r="PQ35" s="256"/>
      <c r="PR35" s="256"/>
      <c r="PS35" s="256"/>
      <c r="PT35" s="256"/>
      <c r="PU35" s="256"/>
      <c r="PV35" s="256"/>
      <c r="PW35" s="256"/>
      <c r="PX35" s="256"/>
      <c r="PY35" s="256"/>
      <c r="PZ35" s="256"/>
      <c r="QA35" s="256"/>
      <c r="QB35" s="256"/>
      <c r="QC35" s="256"/>
      <c r="QD35" s="256"/>
      <c r="QE35" s="256"/>
      <c r="QF35" s="256"/>
      <c r="QG35" s="256"/>
      <c r="QH35" s="256"/>
      <c r="QI35" s="256"/>
      <c r="QJ35" s="256"/>
      <c r="QK35" s="256"/>
      <c r="QL35" s="256"/>
      <c r="QM35" s="256"/>
      <c r="QN35" s="256"/>
      <c r="QO35" s="256"/>
      <c r="QP35" s="256"/>
      <c r="QQ35" s="256"/>
      <c r="QR35" s="256"/>
      <c r="QS35" s="256"/>
      <c r="QT35" s="256"/>
      <c r="QU35" s="256"/>
      <c r="QV35" s="256"/>
      <c r="QW35" s="256"/>
      <c r="QX35" s="256"/>
      <c r="QY35" s="256"/>
      <c r="QZ35" s="256"/>
      <c r="RA35" s="256"/>
      <c r="RB35" s="256"/>
      <c r="RC35" s="256"/>
      <c r="RD35" s="256"/>
      <c r="RE35" s="256"/>
      <c r="RF35" s="256"/>
      <c r="RG35" s="256"/>
      <c r="RH35" s="256"/>
      <c r="RI35" s="256"/>
      <c r="RJ35" s="256"/>
      <c r="RK35" s="256"/>
      <c r="RL35" s="256"/>
      <c r="RM35" s="256"/>
      <c r="RN35" s="256"/>
      <c r="RO35" s="256"/>
      <c r="RP35" s="256"/>
      <c r="RQ35" s="256"/>
      <c r="RR35" s="256"/>
      <c r="RS35" s="256"/>
      <c r="RT35" s="256"/>
      <c r="RU35" s="256"/>
      <c r="RV35" s="256"/>
      <c r="RW35" s="256"/>
      <c r="RX35" s="256"/>
      <c r="RY35" s="256"/>
      <c r="RZ35" s="256"/>
      <c r="SA35" s="256"/>
      <c r="SB35" s="256"/>
      <c r="SC35" s="256"/>
      <c r="SD35" s="256"/>
      <c r="SE35" s="256"/>
      <c r="SF35" s="256"/>
      <c r="SG35" s="256"/>
      <c r="SH35" s="256"/>
      <c r="SI35" s="256"/>
      <c r="SJ35" s="256"/>
      <c r="SK35" s="256"/>
      <c r="SL35" s="256"/>
      <c r="SM35" s="256"/>
      <c r="SN35" s="256"/>
      <c r="SO35" s="256"/>
      <c r="SP35" s="256"/>
      <c r="SQ35" s="256"/>
      <c r="SR35" s="256"/>
      <c r="SS35" s="256"/>
      <c r="ST35" s="256"/>
      <c r="SU35" s="256"/>
      <c r="SV35" s="256"/>
      <c r="SW35" s="256"/>
      <c r="SX35" s="256"/>
      <c r="SY35" s="256"/>
      <c r="SZ35" s="256"/>
      <c r="TA35" s="256"/>
      <c r="TB35" s="256"/>
      <c r="TC35" s="256"/>
      <c r="TD35" s="256"/>
      <c r="TE35" s="256"/>
      <c r="TF35" s="256"/>
      <c r="TG35" s="256"/>
      <c r="TH35" s="256"/>
      <c r="TI35" s="256"/>
      <c r="TJ35" s="256"/>
      <c r="TK35" s="256"/>
      <c r="TL35" s="256"/>
      <c r="TM35" s="256"/>
      <c r="TN35" s="256"/>
      <c r="TO35" s="256"/>
      <c r="TP35" s="256"/>
      <c r="TQ35" s="256"/>
      <c r="TR35" s="256"/>
      <c r="TS35" s="256"/>
      <c r="TT35" s="256"/>
      <c r="TU35" s="256"/>
      <c r="TV35" s="256"/>
      <c r="TW35" s="256"/>
      <c r="TX35" s="256"/>
      <c r="TY35" s="256"/>
      <c r="TZ35" s="256"/>
      <c r="UA35" s="256"/>
      <c r="UB35" s="256"/>
      <c r="UC35" s="256"/>
      <c r="UD35" s="256"/>
      <c r="UE35" s="256"/>
      <c r="UF35" s="256"/>
      <c r="UG35" s="256"/>
      <c r="UH35" s="256"/>
      <c r="UI35" s="256"/>
      <c r="UJ35" s="256"/>
      <c r="UK35" s="256"/>
      <c r="UL35" s="256"/>
      <c r="UM35" s="256"/>
      <c r="UN35" s="256"/>
      <c r="UO35" s="256"/>
      <c r="UP35" s="256"/>
      <c r="UQ35" s="256"/>
      <c r="UR35" s="256"/>
      <c r="US35" s="256"/>
      <c r="UT35" s="256"/>
      <c r="UU35" s="256"/>
      <c r="UV35" s="256"/>
      <c r="UW35" s="256"/>
      <c r="UX35" s="256"/>
      <c r="UY35" s="256"/>
      <c r="UZ35" s="256"/>
      <c r="VA35" s="256"/>
      <c r="VB35" s="256"/>
      <c r="VC35" s="256"/>
      <c r="VD35" s="256"/>
      <c r="VE35" s="256"/>
      <c r="VF35" s="256"/>
      <c r="VG35" s="256"/>
      <c r="VH35" s="256"/>
      <c r="VI35" s="256"/>
      <c r="VJ35" s="256"/>
      <c r="VK35" s="256"/>
      <c r="VL35" s="256"/>
      <c r="VM35" s="256"/>
      <c r="VN35" s="256"/>
      <c r="VO35" s="256"/>
      <c r="VP35" s="256"/>
      <c r="VQ35" s="256"/>
      <c r="VR35" s="256"/>
      <c r="VS35" s="256"/>
      <c r="VT35" s="256"/>
      <c r="VU35" s="256"/>
      <c r="VV35" s="256"/>
      <c r="VW35" s="256"/>
      <c r="VX35" s="256"/>
      <c r="VY35" s="256"/>
      <c r="VZ35" s="256"/>
      <c r="WA35" s="256"/>
      <c r="WB35" s="256"/>
      <c r="WC35" s="256"/>
      <c r="WD35" s="256"/>
      <c r="WE35" s="256"/>
      <c r="WF35" s="256"/>
      <c r="WG35" s="256"/>
      <c r="WH35" s="256"/>
      <c r="WI35" s="256"/>
      <c r="WJ35" s="256"/>
      <c r="WK35" s="256"/>
      <c r="WL35" s="256"/>
      <c r="WM35" s="256"/>
      <c r="WN35" s="256"/>
      <c r="WO35" s="256"/>
      <c r="WP35" s="256"/>
      <c r="WQ35" s="256"/>
      <c r="WR35" s="256"/>
      <c r="WS35" s="256"/>
      <c r="WT35" s="256"/>
      <c r="WU35" s="256"/>
      <c r="WV35" s="256"/>
      <c r="WW35" s="256"/>
      <c r="WX35" s="256"/>
      <c r="WY35" s="256"/>
      <c r="WZ35" s="256"/>
      <c r="XA35" s="256"/>
      <c r="XB35" s="256"/>
      <c r="XC35" s="256"/>
      <c r="XD35" s="256"/>
      <c r="XE35" s="256"/>
      <c r="XF35" s="256"/>
      <c r="XG35" s="256"/>
      <c r="XH35" s="256"/>
      <c r="XI35" s="256"/>
      <c r="XJ35" s="256"/>
      <c r="XK35" s="256"/>
      <c r="XL35" s="256"/>
      <c r="XM35" s="256"/>
      <c r="XN35" s="256"/>
      <c r="XO35" s="256"/>
      <c r="XP35" s="256"/>
      <c r="XQ35" s="256"/>
      <c r="XR35" s="256"/>
      <c r="XS35" s="256"/>
      <c r="XT35" s="256"/>
      <c r="XU35" s="256"/>
      <c r="XV35" s="256"/>
      <c r="XW35" s="256"/>
      <c r="XX35" s="256"/>
      <c r="XY35" s="256"/>
      <c r="XZ35" s="256"/>
      <c r="YA35" s="256"/>
      <c r="YB35" s="256"/>
      <c r="YC35" s="256"/>
      <c r="YD35" s="256"/>
      <c r="YE35" s="256"/>
      <c r="YF35" s="256"/>
      <c r="YG35" s="256"/>
      <c r="YH35" s="256"/>
      <c r="YI35" s="256"/>
      <c r="YJ35" s="256"/>
      <c r="YK35" s="256"/>
      <c r="YL35" s="256"/>
      <c r="YM35" s="256"/>
      <c r="YN35" s="256"/>
      <c r="YO35" s="256"/>
      <c r="YP35" s="256"/>
      <c r="YQ35" s="256"/>
      <c r="YR35" s="256"/>
      <c r="YS35" s="256"/>
      <c r="YT35" s="256"/>
      <c r="YU35" s="256"/>
      <c r="YV35" s="256"/>
      <c r="YW35" s="256"/>
      <c r="YX35" s="256"/>
      <c r="YY35" s="256"/>
      <c r="YZ35" s="256"/>
      <c r="ZA35" s="256"/>
      <c r="ZB35" s="256"/>
      <c r="ZC35" s="256"/>
      <c r="ZD35" s="256"/>
      <c r="ZE35" s="256"/>
      <c r="ZF35" s="256"/>
      <c r="ZG35" s="256"/>
      <c r="ZH35" s="256"/>
      <c r="ZI35" s="256"/>
      <c r="ZJ35" s="256"/>
      <c r="ZK35" s="256"/>
      <c r="ZL35" s="256"/>
      <c r="ZM35" s="256"/>
      <c r="ZN35" s="256"/>
      <c r="ZO35" s="256"/>
      <c r="ZP35" s="256"/>
      <c r="ZQ35" s="256"/>
      <c r="ZR35" s="256"/>
      <c r="ZS35" s="256"/>
      <c r="ZT35" s="256"/>
      <c r="ZU35" s="256"/>
      <c r="ZV35" s="256"/>
      <c r="ZW35" s="256"/>
      <c r="ZX35" s="256"/>
      <c r="ZY35" s="256"/>
      <c r="ZZ35" s="256"/>
      <c r="AAA35" s="256"/>
      <c r="AAB35" s="256"/>
      <c r="AAC35" s="256"/>
      <c r="AAD35" s="256"/>
      <c r="AAE35" s="256"/>
      <c r="AAF35" s="256"/>
      <c r="AAG35" s="256"/>
      <c r="AAH35" s="256"/>
      <c r="AAI35" s="256"/>
      <c r="AAJ35" s="256"/>
      <c r="AAK35" s="256"/>
      <c r="AAL35" s="256"/>
      <c r="AAM35" s="256"/>
      <c r="AAN35" s="256"/>
      <c r="AAO35" s="256"/>
      <c r="AAP35" s="256"/>
      <c r="AAQ35" s="256"/>
      <c r="AAR35" s="256"/>
      <c r="AAS35" s="256"/>
      <c r="AAT35" s="256"/>
      <c r="AAU35" s="256"/>
      <c r="AAV35" s="256"/>
      <c r="AAW35" s="256"/>
      <c r="AAX35" s="256"/>
      <c r="AAY35" s="256"/>
      <c r="AAZ35" s="256"/>
      <c r="ABA35" s="256"/>
      <c r="ABB35" s="256"/>
      <c r="ABC35" s="256"/>
      <c r="ABD35" s="256"/>
      <c r="ABE35" s="256"/>
      <c r="ABF35" s="256"/>
      <c r="ABG35" s="256"/>
      <c r="ABH35" s="256"/>
      <c r="ABI35" s="256"/>
      <c r="ABJ35" s="256"/>
      <c r="ABK35" s="256"/>
      <c r="ABL35" s="256"/>
      <c r="ABM35" s="256"/>
      <c r="ABN35" s="256"/>
      <c r="ABO35" s="256"/>
      <c r="ABP35" s="256"/>
      <c r="ABQ35" s="256"/>
      <c r="ABR35" s="256"/>
      <c r="ABS35" s="256"/>
      <c r="ABT35" s="256"/>
      <c r="ABU35" s="256"/>
      <c r="ABV35" s="256"/>
      <c r="ABW35" s="256"/>
      <c r="ABX35" s="256"/>
      <c r="ABY35" s="256"/>
      <c r="ABZ35" s="256"/>
      <c r="ACA35" s="256"/>
      <c r="ACB35" s="256"/>
      <c r="ACC35" s="256"/>
      <c r="ACD35" s="256"/>
      <c r="ACE35" s="256"/>
      <c r="ACF35" s="256"/>
      <c r="ACG35" s="256"/>
      <c r="ACH35" s="256"/>
      <c r="ACI35" s="256"/>
      <c r="ACJ35" s="256"/>
      <c r="ACK35" s="256"/>
      <c r="ACL35" s="256"/>
      <c r="ACM35" s="256"/>
      <c r="ACN35" s="256"/>
      <c r="ACO35" s="256"/>
      <c r="ACP35" s="256"/>
      <c r="ACQ35" s="256"/>
      <c r="ACR35" s="256"/>
      <c r="ACS35" s="256"/>
      <c r="ACT35" s="256"/>
      <c r="ACU35" s="256"/>
      <c r="ACV35" s="256"/>
      <c r="ACW35" s="256"/>
      <c r="ACX35" s="256"/>
      <c r="ACY35" s="256"/>
      <c r="ACZ35" s="256"/>
      <c r="ADA35" s="256"/>
      <c r="ADB35" s="256"/>
      <c r="ADC35" s="256"/>
      <c r="ADD35" s="256"/>
      <c r="ADE35" s="256"/>
      <c r="ADF35" s="256"/>
      <c r="ADG35" s="256"/>
      <c r="ADH35" s="256"/>
      <c r="ADI35" s="256"/>
      <c r="ADJ35" s="256"/>
      <c r="ADK35" s="256"/>
      <c r="ADL35" s="256"/>
      <c r="ADM35" s="256"/>
      <c r="ADN35" s="256"/>
      <c r="ADO35" s="256"/>
      <c r="ADP35" s="256"/>
      <c r="ADQ35" s="256"/>
      <c r="ADR35" s="256"/>
      <c r="ADS35" s="256"/>
      <c r="ADT35" s="256"/>
      <c r="ADU35" s="256"/>
      <c r="ADV35" s="256"/>
      <c r="ADW35" s="256"/>
      <c r="ADX35" s="256"/>
      <c r="ADY35" s="256"/>
      <c r="ADZ35" s="256"/>
      <c r="AEA35" s="256"/>
      <c r="AEB35" s="256"/>
      <c r="AEC35" s="256"/>
      <c r="AED35" s="256"/>
      <c r="AEE35" s="256"/>
      <c r="AEF35" s="256"/>
      <c r="AEG35" s="256"/>
      <c r="AEH35" s="256"/>
      <c r="AEI35" s="256"/>
      <c r="AEJ35" s="256"/>
      <c r="AEK35" s="256"/>
      <c r="AEL35" s="256"/>
      <c r="AEM35" s="256"/>
      <c r="AEN35" s="256"/>
      <c r="AEO35" s="256"/>
      <c r="AEP35" s="256"/>
      <c r="AEQ35" s="256"/>
      <c r="AER35" s="256"/>
      <c r="AES35" s="256"/>
      <c r="AET35" s="256"/>
      <c r="AEU35" s="256"/>
      <c r="AEV35" s="256"/>
      <c r="AEW35" s="256"/>
      <c r="AEX35" s="256"/>
      <c r="AEY35" s="256"/>
      <c r="AEZ35" s="256"/>
      <c r="AFA35" s="256"/>
      <c r="AFB35" s="256"/>
      <c r="AFC35" s="256"/>
      <c r="AFD35" s="256"/>
      <c r="AFE35" s="256"/>
      <c r="AFF35" s="256"/>
      <c r="AFG35" s="256"/>
      <c r="AFH35" s="256"/>
      <c r="AFI35" s="256"/>
      <c r="AFJ35" s="256"/>
      <c r="AFK35" s="256"/>
      <c r="AFL35" s="256"/>
      <c r="AFM35" s="256"/>
      <c r="AFN35" s="256"/>
      <c r="AFO35" s="256"/>
      <c r="AFP35" s="256"/>
      <c r="AFQ35" s="256"/>
      <c r="AFR35" s="256"/>
      <c r="AFS35" s="256"/>
      <c r="AFT35" s="256"/>
      <c r="AFU35" s="256"/>
      <c r="AFV35" s="256"/>
      <c r="AFW35" s="256"/>
      <c r="AFX35" s="256"/>
      <c r="AFY35" s="256"/>
      <c r="AFZ35" s="256"/>
      <c r="AGA35" s="256"/>
      <c r="AGB35" s="256"/>
      <c r="AGC35" s="256"/>
      <c r="AGD35" s="256"/>
      <c r="AGE35" s="256"/>
      <c r="AGF35" s="256"/>
      <c r="AGG35" s="256"/>
      <c r="AGH35" s="256"/>
      <c r="AGI35" s="256"/>
      <c r="AGJ35" s="256"/>
      <c r="AGK35" s="256"/>
      <c r="AGL35" s="256"/>
      <c r="AGM35" s="256"/>
      <c r="AGN35" s="256"/>
      <c r="AGO35" s="256"/>
      <c r="AGP35" s="256"/>
      <c r="AGQ35" s="256"/>
      <c r="AGR35" s="256"/>
      <c r="AGS35" s="256"/>
      <c r="AGT35" s="256"/>
      <c r="AGU35" s="256"/>
      <c r="AGV35" s="256"/>
      <c r="AGW35" s="256"/>
      <c r="AGX35" s="256"/>
      <c r="AGY35" s="256"/>
      <c r="AGZ35" s="256"/>
      <c r="AHA35" s="256"/>
      <c r="AHB35" s="256"/>
      <c r="AHC35" s="256"/>
      <c r="AHD35" s="256"/>
      <c r="AHE35" s="256"/>
      <c r="AHF35" s="256"/>
      <c r="AHG35" s="256"/>
      <c r="AHH35" s="256"/>
      <c r="AHI35" s="256"/>
      <c r="AHJ35" s="256"/>
      <c r="AHK35" s="256"/>
      <c r="AHL35" s="256"/>
      <c r="AHM35" s="256"/>
      <c r="AHN35" s="256"/>
      <c r="AHO35" s="256"/>
      <c r="AHP35" s="256"/>
      <c r="AHQ35" s="256"/>
      <c r="AHR35" s="256"/>
      <c r="AHS35" s="256"/>
      <c r="AHT35" s="256"/>
      <c r="AHU35" s="256"/>
      <c r="AHV35" s="256"/>
      <c r="AHW35" s="256"/>
      <c r="AHX35" s="256"/>
      <c r="AHY35" s="256"/>
      <c r="AHZ35" s="256"/>
      <c r="AIA35" s="256"/>
      <c r="AIB35" s="256"/>
      <c r="AIC35" s="256"/>
      <c r="AID35" s="256"/>
      <c r="AIE35" s="256"/>
      <c r="AIF35" s="256"/>
      <c r="AIG35" s="256"/>
      <c r="AIH35" s="256"/>
      <c r="AII35" s="256"/>
      <c r="AIJ35" s="256"/>
      <c r="AIK35" s="256"/>
      <c r="AIL35" s="256"/>
      <c r="AIM35" s="256"/>
      <c r="AIN35" s="256"/>
      <c r="AIO35" s="256"/>
      <c r="AIP35" s="256"/>
      <c r="AIQ35" s="256"/>
      <c r="AIR35" s="256"/>
      <c r="AIS35" s="256"/>
      <c r="AIT35" s="256"/>
      <c r="AIU35" s="256"/>
      <c r="AIV35" s="256"/>
      <c r="AIW35" s="256"/>
      <c r="AIX35" s="256"/>
      <c r="AIY35" s="256"/>
      <c r="AIZ35" s="256"/>
      <c r="AJA35" s="256"/>
      <c r="AJB35" s="256"/>
      <c r="AJC35" s="256"/>
      <c r="AJD35" s="256"/>
      <c r="AJE35" s="256"/>
      <c r="AJF35" s="256"/>
      <c r="AJG35" s="256"/>
      <c r="AJH35" s="256"/>
      <c r="AJI35" s="256"/>
      <c r="AJJ35" s="256"/>
      <c r="AJK35" s="256"/>
      <c r="AJL35" s="256"/>
      <c r="AJM35" s="256"/>
      <c r="AJN35" s="256"/>
      <c r="AJO35" s="256"/>
      <c r="AJP35" s="256"/>
      <c r="AJQ35" s="256"/>
      <c r="AJR35" s="256"/>
      <c r="AJS35" s="256"/>
      <c r="AJT35" s="256"/>
      <c r="AJU35" s="256"/>
      <c r="AJV35" s="256"/>
      <c r="AJW35" s="256"/>
      <c r="AJX35" s="256"/>
      <c r="AJY35" s="256"/>
      <c r="AJZ35" s="256"/>
      <c r="AKA35" s="256"/>
      <c r="AKB35" s="256"/>
      <c r="AKC35" s="256"/>
      <c r="AKD35" s="256"/>
      <c r="AKE35" s="256"/>
      <c r="AKF35" s="256"/>
      <c r="AKG35" s="256"/>
      <c r="AKH35" s="256"/>
      <c r="AKI35" s="256"/>
      <c r="AKJ35" s="256"/>
      <c r="AKK35" s="256"/>
      <c r="AKL35" s="256"/>
      <c r="AKM35" s="256"/>
      <c r="AKN35" s="256"/>
      <c r="AKO35" s="256"/>
      <c r="AKP35" s="256"/>
      <c r="AKQ35" s="256"/>
      <c r="AKR35" s="256"/>
      <c r="AKS35" s="256"/>
      <c r="AKT35" s="256"/>
      <c r="AKU35" s="256"/>
      <c r="AKV35" s="256"/>
      <c r="AKW35" s="256"/>
      <c r="AKX35" s="256"/>
      <c r="AKY35" s="256"/>
      <c r="AKZ35" s="256"/>
      <c r="ALA35" s="256"/>
      <c r="ALB35" s="256"/>
      <c r="ALC35" s="256"/>
      <c r="ALD35" s="256"/>
      <c r="ALE35" s="256"/>
      <c r="ALF35" s="256"/>
      <c r="ALG35" s="256"/>
      <c r="ALH35" s="256"/>
      <c r="ALI35" s="256"/>
      <c r="ALJ35" s="256"/>
      <c r="ALK35" s="256"/>
      <c r="ALL35" s="256"/>
      <c r="ALM35" s="256"/>
      <c r="ALN35" s="256"/>
      <c r="ALO35" s="256"/>
      <c r="ALP35" s="256"/>
      <c r="ALQ35" s="256"/>
      <c r="ALR35" s="256"/>
      <c r="ALS35" s="256"/>
      <c r="ALT35" s="256"/>
      <c r="ALU35" s="258"/>
      <c r="ALV35" s="258"/>
      <c r="ALW35" s="258"/>
      <c r="ALX35" s="258"/>
      <c r="ALY35" s="258"/>
      <c r="ALZ35" s="258"/>
      <c r="AMA35" s="258"/>
      <c r="AMB35" s="258"/>
      <c r="AMC35" s="258"/>
      <c r="AMD35" s="258"/>
      <c r="AME35" s="258"/>
      <c r="AMF35" s="258"/>
      <c r="AMG35" s="258"/>
      <c r="AMH35" s="258"/>
      <c r="AMI35" s="256"/>
    </row>
    <row r="36" spans="1:1023" s="259" customFormat="1" x14ac:dyDescent="0.25">
      <c r="A36" s="256"/>
      <c r="B36" s="256"/>
      <c r="C36" s="256"/>
      <c r="D36" s="303"/>
      <c r="E36" s="303"/>
      <c r="F36" s="303"/>
      <c r="G36" s="303"/>
      <c r="H36" s="303"/>
      <c r="I36" s="303"/>
      <c r="J36" s="303"/>
      <c r="K36" s="303"/>
      <c r="L36" s="256"/>
      <c r="M36" s="256"/>
      <c r="N36" s="256"/>
      <c r="O36" s="256"/>
      <c r="P36" s="256"/>
      <c r="Q36" s="256"/>
      <c r="R36" s="256"/>
      <c r="S36" s="256"/>
      <c r="T36" s="256"/>
      <c r="U36" s="256"/>
      <c r="V36" s="256"/>
      <c r="W36" s="256"/>
      <c r="X36" s="256"/>
      <c r="Y36" s="256"/>
      <c r="Z36" s="256"/>
      <c r="AA36" s="256"/>
      <c r="AB36" s="256"/>
      <c r="AC36" s="256"/>
      <c r="AD36" s="256"/>
      <c r="AE36" s="256"/>
      <c r="AF36" s="256"/>
      <c r="AG36" s="256"/>
      <c r="AH36" s="256"/>
      <c r="AI36" s="256"/>
      <c r="AJ36" s="256"/>
      <c r="AK36" s="256"/>
      <c r="AL36" s="256"/>
      <c r="AM36" s="256"/>
      <c r="AN36" s="256"/>
      <c r="AO36" s="256"/>
      <c r="AP36" s="256"/>
      <c r="AQ36" s="256"/>
      <c r="AR36" s="256"/>
      <c r="AS36" s="256"/>
      <c r="AT36" s="256"/>
      <c r="AU36" s="256"/>
      <c r="AV36" s="256"/>
      <c r="AW36" s="256"/>
      <c r="AX36" s="256"/>
      <c r="AY36" s="256"/>
      <c r="AZ36" s="256"/>
      <c r="BA36" s="256"/>
      <c r="BB36" s="256"/>
      <c r="BC36" s="256"/>
      <c r="BD36" s="256"/>
      <c r="BE36" s="256"/>
      <c r="BF36" s="256"/>
      <c r="BG36" s="256"/>
      <c r="BH36" s="256"/>
      <c r="BI36" s="256"/>
      <c r="BJ36" s="256"/>
      <c r="BK36" s="256"/>
      <c r="BL36" s="256"/>
      <c r="BM36" s="256"/>
      <c r="BN36" s="256"/>
      <c r="BO36" s="256"/>
      <c r="BP36" s="256"/>
      <c r="BQ36" s="256"/>
      <c r="BR36" s="256"/>
      <c r="BS36" s="256"/>
      <c r="BT36" s="256"/>
      <c r="BU36" s="256"/>
      <c r="BV36" s="256"/>
      <c r="BW36" s="256"/>
      <c r="BX36" s="256"/>
      <c r="BY36" s="256"/>
      <c r="BZ36" s="256"/>
      <c r="CA36" s="256"/>
      <c r="CB36" s="256"/>
      <c r="CC36" s="256"/>
      <c r="CD36" s="256"/>
      <c r="CE36" s="256"/>
      <c r="CF36" s="256"/>
      <c r="CG36" s="256"/>
      <c r="CH36" s="256"/>
      <c r="CI36" s="256"/>
      <c r="CJ36" s="256"/>
      <c r="CK36" s="256"/>
      <c r="CL36" s="256"/>
      <c r="CM36" s="256"/>
      <c r="CN36" s="256"/>
      <c r="CO36" s="256"/>
      <c r="CP36" s="256"/>
      <c r="CQ36" s="256"/>
      <c r="CR36" s="256"/>
      <c r="CS36" s="256"/>
      <c r="CT36" s="256"/>
      <c r="CU36" s="256"/>
      <c r="CV36" s="256"/>
      <c r="CW36" s="256"/>
      <c r="CX36" s="256"/>
      <c r="CY36" s="256"/>
      <c r="CZ36" s="256"/>
      <c r="DA36" s="256"/>
      <c r="DB36" s="256"/>
      <c r="DC36" s="256"/>
      <c r="DD36" s="256"/>
      <c r="DE36" s="256"/>
      <c r="DF36" s="256"/>
      <c r="DG36" s="256"/>
      <c r="DH36" s="256"/>
      <c r="DI36" s="256"/>
      <c r="DJ36" s="256"/>
      <c r="DK36" s="256"/>
      <c r="DL36" s="256"/>
      <c r="DM36" s="256"/>
      <c r="DN36" s="256"/>
      <c r="DO36" s="256"/>
      <c r="DP36" s="256"/>
      <c r="DQ36" s="256"/>
      <c r="DR36" s="256"/>
      <c r="DS36" s="256"/>
      <c r="DT36" s="256"/>
      <c r="DU36" s="256"/>
      <c r="DV36" s="256"/>
      <c r="DW36" s="256"/>
      <c r="DX36" s="256"/>
      <c r="DY36" s="256"/>
      <c r="DZ36" s="256"/>
      <c r="EA36" s="256"/>
      <c r="EB36" s="256"/>
      <c r="EC36" s="256"/>
      <c r="ED36" s="256"/>
      <c r="EE36" s="256"/>
      <c r="EF36" s="256"/>
      <c r="EG36" s="256"/>
      <c r="EH36" s="256"/>
      <c r="EI36" s="256"/>
      <c r="EJ36" s="256"/>
      <c r="EK36" s="256"/>
      <c r="EL36" s="256"/>
      <c r="EM36" s="256"/>
      <c r="EN36" s="256"/>
      <c r="EO36" s="256"/>
      <c r="EP36" s="256"/>
      <c r="EQ36" s="256"/>
      <c r="ER36" s="256"/>
      <c r="ES36" s="256"/>
      <c r="ET36" s="256"/>
      <c r="EU36" s="256"/>
      <c r="EV36" s="256"/>
      <c r="EW36" s="256"/>
      <c r="EX36" s="256"/>
      <c r="EY36" s="256"/>
      <c r="EZ36" s="256"/>
      <c r="FA36" s="256"/>
      <c r="FB36" s="256"/>
      <c r="FC36" s="256"/>
      <c r="FD36" s="256"/>
      <c r="FE36" s="256"/>
      <c r="FF36" s="256"/>
      <c r="FG36" s="256"/>
      <c r="FH36" s="256"/>
      <c r="FI36" s="256"/>
      <c r="FJ36" s="256"/>
      <c r="FK36" s="256"/>
      <c r="FL36" s="256"/>
      <c r="FM36" s="256"/>
      <c r="FN36" s="256"/>
      <c r="FO36" s="256"/>
      <c r="FP36" s="256"/>
      <c r="FQ36" s="256"/>
      <c r="FR36" s="256"/>
      <c r="FS36" s="256"/>
      <c r="FT36" s="256"/>
      <c r="FU36" s="256"/>
      <c r="FV36" s="256"/>
      <c r="FW36" s="256"/>
      <c r="FX36" s="256"/>
      <c r="FY36" s="256"/>
      <c r="FZ36" s="256"/>
      <c r="GA36" s="256"/>
      <c r="GB36" s="256"/>
      <c r="GC36" s="256"/>
      <c r="GD36" s="256"/>
      <c r="GE36" s="256"/>
      <c r="GF36" s="256"/>
      <c r="GG36" s="256"/>
      <c r="GH36" s="256"/>
      <c r="GI36" s="256"/>
      <c r="GJ36" s="256"/>
      <c r="GK36" s="256"/>
      <c r="GL36" s="256"/>
      <c r="GM36" s="256"/>
      <c r="GN36" s="256"/>
      <c r="GO36" s="256"/>
      <c r="GP36" s="256"/>
      <c r="GQ36" s="256"/>
      <c r="GR36" s="256"/>
      <c r="GS36" s="256"/>
      <c r="GT36" s="256"/>
      <c r="GU36" s="256"/>
      <c r="GV36" s="256"/>
      <c r="GW36" s="256"/>
      <c r="GX36" s="256"/>
      <c r="GY36" s="256"/>
      <c r="GZ36" s="256"/>
      <c r="HA36" s="256"/>
      <c r="HB36" s="256"/>
      <c r="HC36" s="256"/>
      <c r="HD36" s="256"/>
      <c r="HE36" s="256"/>
      <c r="HF36" s="256"/>
      <c r="HG36" s="256"/>
      <c r="HH36" s="256"/>
      <c r="HI36" s="256"/>
      <c r="HJ36" s="256"/>
      <c r="HK36" s="256"/>
      <c r="HL36" s="256"/>
      <c r="HM36" s="256"/>
      <c r="HN36" s="256"/>
      <c r="HO36" s="256"/>
      <c r="HP36" s="256"/>
      <c r="HQ36" s="256"/>
      <c r="HR36" s="256"/>
      <c r="HS36" s="256"/>
      <c r="HT36" s="256"/>
      <c r="HU36" s="256"/>
      <c r="HV36" s="256"/>
      <c r="HW36" s="256"/>
      <c r="HX36" s="256"/>
      <c r="HY36" s="256"/>
      <c r="HZ36" s="256"/>
      <c r="IA36" s="256"/>
      <c r="IB36" s="256"/>
      <c r="IC36" s="256"/>
      <c r="ID36" s="256"/>
      <c r="IE36" s="256"/>
      <c r="IF36" s="256"/>
      <c r="IG36" s="256"/>
      <c r="IH36" s="256"/>
      <c r="II36" s="256"/>
      <c r="IJ36" s="256"/>
      <c r="IK36" s="256"/>
      <c r="IL36" s="256"/>
      <c r="IM36" s="256"/>
      <c r="IN36" s="256"/>
      <c r="IO36" s="256"/>
      <c r="IP36" s="256"/>
      <c r="IQ36" s="256"/>
      <c r="IR36" s="256"/>
      <c r="IS36" s="256"/>
      <c r="IT36" s="256"/>
      <c r="IU36" s="256"/>
      <c r="IV36" s="256"/>
      <c r="IW36" s="256"/>
      <c r="IX36" s="256"/>
      <c r="IY36" s="256"/>
      <c r="IZ36" s="256"/>
      <c r="JA36" s="256"/>
      <c r="JB36" s="256"/>
      <c r="JC36" s="256"/>
      <c r="JD36" s="256"/>
      <c r="JE36" s="256"/>
      <c r="JF36" s="256"/>
      <c r="JG36" s="256"/>
      <c r="JH36" s="256"/>
      <c r="JI36" s="256"/>
      <c r="JJ36" s="256"/>
      <c r="JK36" s="256"/>
      <c r="JL36" s="256"/>
      <c r="JM36" s="256"/>
      <c r="JN36" s="256"/>
      <c r="JO36" s="256"/>
      <c r="JP36" s="256"/>
      <c r="JQ36" s="256"/>
      <c r="JR36" s="256"/>
      <c r="JS36" s="256"/>
      <c r="JT36" s="256"/>
      <c r="JU36" s="256"/>
      <c r="JV36" s="256"/>
      <c r="JW36" s="256"/>
      <c r="JX36" s="256"/>
      <c r="JY36" s="256"/>
      <c r="JZ36" s="256"/>
      <c r="KA36" s="256"/>
      <c r="KB36" s="256"/>
      <c r="KC36" s="256"/>
      <c r="KD36" s="256"/>
      <c r="KE36" s="256"/>
      <c r="KF36" s="256"/>
      <c r="KG36" s="256"/>
      <c r="KH36" s="256"/>
      <c r="KI36" s="256"/>
      <c r="KJ36" s="256"/>
      <c r="KK36" s="256"/>
      <c r="KL36" s="256"/>
      <c r="KM36" s="256"/>
      <c r="KN36" s="256"/>
      <c r="KO36" s="256"/>
      <c r="KP36" s="256"/>
      <c r="KQ36" s="256"/>
      <c r="KR36" s="256"/>
      <c r="KS36" s="256"/>
      <c r="KT36" s="256"/>
      <c r="KU36" s="256"/>
      <c r="KV36" s="256"/>
      <c r="KW36" s="256"/>
      <c r="KX36" s="256"/>
      <c r="KY36" s="256"/>
      <c r="KZ36" s="256"/>
      <c r="LA36" s="256"/>
      <c r="LB36" s="256"/>
      <c r="LC36" s="256"/>
      <c r="LD36" s="256"/>
      <c r="LE36" s="256"/>
      <c r="LF36" s="256"/>
      <c r="LG36" s="256"/>
      <c r="LH36" s="256"/>
      <c r="LI36" s="256"/>
      <c r="LJ36" s="256"/>
      <c r="LK36" s="256"/>
      <c r="LL36" s="256"/>
      <c r="LM36" s="256"/>
      <c r="LN36" s="256"/>
      <c r="LO36" s="256"/>
      <c r="LP36" s="256"/>
      <c r="LQ36" s="256"/>
      <c r="LR36" s="256"/>
      <c r="LS36" s="256"/>
      <c r="LT36" s="256"/>
      <c r="LU36" s="256"/>
      <c r="LV36" s="256"/>
      <c r="LW36" s="256"/>
      <c r="LX36" s="256"/>
      <c r="LY36" s="256"/>
      <c r="LZ36" s="256"/>
      <c r="MA36" s="256"/>
      <c r="MB36" s="256"/>
      <c r="MC36" s="256"/>
      <c r="MD36" s="256"/>
      <c r="ME36" s="256"/>
      <c r="MF36" s="256"/>
      <c r="MG36" s="256"/>
      <c r="MH36" s="256"/>
      <c r="MI36" s="256"/>
      <c r="MJ36" s="256"/>
      <c r="MK36" s="256"/>
      <c r="ML36" s="256"/>
      <c r="MM36" s="256"/>
      <c r="MN36" s="256"/>
      <c r="MO36" s="256"/>
      <c r="MP36" s="256"/>
      <c r="MQ36" s="256"/>
      <c r="MR36" s="256"/>
      <c r="MS36" s="256"/>
      <c r="MT36" s="256"/>
      <c r="MU36" s="256"/>
      <c r="MV36" s="256"/>
      <c r="MW36" s="256"/>
      <c r="MX36" s="256"/>
      <c r="MY36" s="256"/>
      <c r="MZ36" s="256"/>
      <c r="NA36" s="256"/>
      <c r="NB36" s="256"/>
      <c r="NC36" s="256"/>
      <c r="ND36" s="256"/>
      <c r="NE36" s="256"/>
      <c r="NF36" s="256"/>
      <c r="NG36" s="256"/>
      <c r="NH36" s="256"/>
      <c r="NI36" s="256"/>
      <c r="NJ36" s="256"/>
      <c r="NK36" s="256"/>
      <c r="NL36" s="256"/>
      <c r="NM36" s="256"/>
      <c r="NN36" s="256"/>
      <c r="NO36" s="256"/>
      <c r="NP36" s="256"/>
      <c r="NQ36" s="256"/>
      <c r="NR36" s="256"/>
      <c r="NS36" s="256"/>
      <c r="NT36" s="256"/>
      <c r="NU36" s="256"/>
      <c r="NV36" s="256"/>
      <c r="NW36" s="256"/>
      <c r="NX36" s="256"/>
      <c r="NY36" s="256"/>
      <c r="NZ36" s="256"/>
      <c r="OA36" s="256"/>
      <c r="OB36" s="256"/>
      <c r="OC36" s="256"/>
      <c r="OD36" s="256"/>
      <c r="OE36" s="256"/>
      <c r="OF36" s="256"/>
      <c r="OG36" s="256"/>
      <c r="OH36" s="256"/>
      <c r="OI36" s="256"/>
      <c r="OJ36" s="256"/>
      <c r="OK36" s="256"/>
      <c r="OL36" s="256"/>
      <c r="OM36" s="256"/>
      <c r="ON36" s="256"/>
      <c r="OO36" s="256"/>
      <c r="OP36" s="256"/>
      <c r="OQ36" s="256"/>
      <c r="OR36" s="256"/>
      <c r="OS36" s="256"/>
      <c r="OT36" s="256"/>
      <c r="OU36" s="256"/>
      <c r="OV36" s="256"/>
      <c r="OW36" s="256"/>
      <c r="OX36" s="256"/>
      <c r="OY36" s="256"/>
      <c r="OZ36" s="256"/>
      <c r="PA36" s="256"/>
      <c r="PB36" s="256"/>
      <c r="PC36" s="256"/>
      <c r="PD36" s="256"/>
      <c r="PE36" s="256"/>
      <c r="PF36" s="256"/>
      <c r="PG36" s="256"/>
      <c r="PH36" s="256"/>
      <c r="PI36" s="256"/>
      <c r="PJ36" s="256"/>
      <c r="PK36" s="256"/>
      <c r="PL36" s="256"/>
      <c r="PM36" s="256"/>
      <c r="PN36" s="256"/>
      <c r="PO36" s="256"/>
      <c r="PP36" s="256"/>
      <c r="PQ36" s="256"/>
      <c r="PR36" s="256"/>
      <c r="PS36" s="256"/>
      <c r="PT36" s="256"/>
      <c r="PU36" s="256"/>
      <c r="PV36" s="256"/>
      <c r="PW36" s="256"/>
      <c r="PX36" s="256"/>
      <c r="PY36" s="256"/>
      <c r="PZ36" s="256"/>
      <c r="QA36" s="256"/>
      <c r="QB36" s="256"/>
      <c r="QC36" s="256"/>
      <c r="QD36" s="256"/>
      <c r="QE36" s="256"/>
      <c r="QF36" s="256"/>
      <c r="QG36" s="256"/>
      <c r="QH36" s="256"/>
      <c r="QI36" s="256"/>
      <c r="QJ36" s="256"/>
      <c r="QK36" s="256"/>
      <c r="QL36" s="256"/>
      <c r="QM36" s="256"/>
      <c r="QN36" s="256"/>
      <c r="QO36" s="256"/>
      <c r="QP36" s="256"/>
      <c r="QQ36" s="256"/>
      <c r="QR36" s="256"/>
      <c r="QS36" s="256"/>
      <c r="QT36" s="256"/>
      <c r="QU36" s="256"/>
      <c r="QV36" s="256"/>
      <c r="QW36" s="256"/>
      <c r="QX36" s="256"/>
      <c r="QY36" s="256"/>
      <c r="QZ36" s="256"/>
      <c r="RA36" s="256"/>
      <c r="RB36" s="256"/>
      <c r="RC36" s="256"/>
      <c r="RD36" s="256"/>
      <c r="RE36" s="256"/>
      <c r="RF36" s="256"/>
      <c r="RG36" s="256"/>
      <c r="RH36" s="256"/>
      <c r="RI36" s="256"/>
      <c r="RJ36" s="256"/>
      <c r="RK36" s="256"/>
      <c r="RL36" s="256"/>
      <c r="RM36" s="256"/>
      <c r="RN36" s="256"/>
      <c r="RO36" s="256"/>
      <c r="RP36" s="256"/>
      <c r="RQ36" s="256"/>
      <c r="RR36" s="256"/>
      <c r="RS36" s="256"/>
      <c r="RT36" s="256"/>
      <c r="RU36" s="256"/>
      <c r="RV36" s="256"/>
      <c r="RW36" s="256"/>
      <c r="RX36" s="256"/>
      <c r="RY36" s="256"/>
      <c r="RZ36" s="256"/>
      <c r="SA36" s="256"/>
      <c r="SB36" s="256"/>
      <c r="SC36" s="256"/>
      <c r="SD36" s="256"/>
      <c r="SE36" s="256"/>
      <c r="SF36" s="256"/>
      <c r="SG36" s="256"/>
      <c r="SH36" s="256"/>
      <c r="SI36" s="256"/>
      <c r="SJ36" s="256"/>
      <c r="SK36" s="256"/>
      <c r="SL36" s="256"/>
      <c r="SM36" s="256"/>
      <c r="SN36" s="256"/>
      <c r="SO36" s="256"/>
      <c r="SP36" s="256"/>
      <c r="SQ36" s="256"/>
      <c r="SR36" s="256"/>
      <c r="SS36" s="256"/>
      <c r="ST36" s="256"/>
      <c r="SU36" s="256"/>
      <c r="SV36" s="256"/>
      <c r="SW36" s="256"/>
      <c r="SX36" s="256"/>
      <c r="SY36" s="256"/>
      <c r="SZ36" s="256"/>
      <c r="TA36" s="256"/>
      <c r="TB36" s="256"/>
      <c r="TC36" s="256"/>
      <c r="TD36" s="256"/>
      <c r="TE36" s="256"/>
      <c r="TF36" s="256"/>
      <c r="TG36" s="256"/>
      <c r="TH36" s="256"/>
      <c r="TI36" s="256"/>
      <c r="TJ36" s="256"/>
      <c r="TK36" s="256"/>
      <c r="TL36" s="256"/>
      <c r="TM36" s="256"/>
      <c r="TN36" s="256"/>
      <c r="TO36" s="256"/>
      <c r="TP36" s="256"/>
      <c r="TQ36" s="256"/>
      <c r="TR36" s="256"/>
      <c r="TS36" s="256"/>
      <c r="TT36" s="256"/>
      <c r="TU36" s="256"/>
      <c r="TV36" s="256"/>
      <c r="TW36" s="256"/>
      <c r="TX36" s="256"/>
      <c r="TY36" s="256"/>
      <c r="TZ36" s="256"/>
      <c r="UA36" s="256"/>
      <c r="UB36" s="256"/>
      <c r="UC36" s="256"/>
      <c r="UD36" s="256"/>
      <c r="UE36" s="256"/>
      <c r="UF36" s="256"/>
      <c r="UG36" s="256"/>
      <c r="UH36" s="256"/>
      <c r="UI36" s="256"/>
      <c r="UJ36" s="256"/>
      <c r="UK36" s="256"/>
      <c r="UL36" s="256"/>
      <c r="UM36" s="256"/>
      <c r="UN36" s="256"/>
      <c r="UO36" s="256"/>
      <c r="UP36" s="256"/>
      <c r="UQ36" s="256"/>
      <c r="UR36" s="256"/>
      <c r="US36" s="256"/>
      <c r="UT36" s="256"/>
      <c r="UU36" s="256"/>
      <c r="UV36" s="256"/>
      <c r="UW36" s="256"/>
      <c r="UX36" s="256"/>
      <c r="UY36" s="256"/>
      <c r="UZ36" s="256"/>
      <c r="VA36" s="256"/>
      <c r="VB36" s="256"/>
      <c r="VC36" s="256"/>
      <c r="VD36" s="256"/>
      <c r="VE36" s="256"/>
      <c r="VF36" s="256"/>
      <c r="VG36" s="256"/>
      <c r="VH36" s="256"/>
      <c r="VI36" s="256"/>
      <c r="VJ36" s="256"/>
      <c r="VK36" s="256"/>
      <c r="VL36" s="256"/>
      <c r="VM36" s="256"/>
      <c r="VN36" s="256"/>
      <c r="VO36" s="256"/>
      <c r="VP36" s="256"/>
      <c r="VQ36" s="256"/>
      <c r="VR36" s="256"/>
      <c r="VS36" s="256"/>
      <c r="VT36" s="256"/>
      <c r="VU36" s="256"/>
      <c r="VV36" s="256"/>
      <c r="VW36" s="256"/>
      <c r="VX36" s="256"/>
      <c r="VY36" s="256"/>
      <c r="VZ36" s="256"/>
      <c r="WA36" s="256"/>
      <c r="WB36" s="256"/>
      <c r="WC36" s="256"/>
      <c r="WD36" s="256"/>
      <c r="WE36" s="256"/>
      <c r="WF36" s="256"/>
      <c r="WG36" s="256"/>
      <c r="WH36" s="256"/>
      <c r="WI36" s="256"/>
      <c r="WJ36" s="256"/>
      <c r="WK36" s="256"/>
      <c r="WL36" s="256"/>
      <c r="WM36" s="256"/>
      <c r="WN36" s="256"/>
      <c r="WO36" s="256"/>
      <c r="WP36" s="256"/>
      <c r="WQ36" s="256"/>
      <c r="WR36" s="256"/>
      <c r="WS36" s="256"/>
      <c r="WT36" s="256"/>
      <c r="WU36" s="256"/>
      <c r="WV36" s="256"/>
      <c r="WW36" s="256"/>
      <c r="WX36" s="256"/>
      <c r="WY36" s="256"/>
      <c r="WZ36" s="256"/>
      <c r="XA36" s="256"/>
      <c r="XB36" s="256"/>
      <c r="XC36" s="256"/>
      <c r="XD36" s="256"/>
      <c r="XE36" s="256"/>
      <c r="XF36" s="256"/>
      <c r="XG36" s="256"/>
      <c r="XH36" s="256"/>
      <c r="XI36" s="256"/>
      <c r="XJ36" s="256"/>
      <c r="XK36" s="256"/>
      <c r="XL36" s="256"/>
      <c r="XM36" s="256"/>
      <c r="XN36" s="256"/>
      <c r="XO36" s="256"/>
      <c r="XP36" s="256"/>
      <c r="XQ36" s="256"/>
      <c r="XR36" s="256"/>
      <c r="XS36" s="256"/>
      <c r="XT36" s="256"/>
      <c r="XU36" s="256"/>
      <c r="XV36" s="256"/>
      <c r="XW36" s="256"/>
      <c r="XX36" s="256"/>
      <c r="XY36" s="256"/>
      <c r="XZ36" s="256"/>
      <c r="YA36" s="256"/>
      <c r="YB36" s="256"/>
      <c r="YC36" s="256"/>
      <c r="YD36" s="256"/>
      <c r="YE36" s="256"/>
      <c r="YF36" s="256"/>
      <c r="YG36" s="256"/>
      <c r="YH36" s="256"/>
      <c r="YI36" s="256"/>
      <c r="YJ36" s="256"/>
      <c r="YK36" s="256"/>
      <c r="YL36" s="256"/>
      <c r="YM36" s="256"/>
      <c r="YN36" s="256"/>
      <c r="YO36" s="256"/>
      <c r="YP36" s="256"/>
      <c r="YQ36" s="256"/>
      <c r="YR36" s="256"/>
      <c r="YS36" s="256"/>
      <c r="YT36" s="256"/>
      <c r="YU36" s="256"/>
      <c r="YV36" s="256"/>
      <c r="YW36" s="256"/>
      <c r="YX36" s="256"/>
      <c r="YY36" s="256"/>
      <c r="YZ36" s="256"/>
      <c r="ZA36" s="256"/>
      <c r="ZB36" s="256"/>
      <c r="ZC36" s="256"/>
      <c r="ZD36" s="256"/>
      <c r="ZE36" s="256"/>
      <c r="ZF36" s="256"/>
      <c r="ZG36" s="256"/>
      <c r="ZH36" s="256"/>
      <c r="ZI36" s="256"/>
      <c r="ZJ36" s="256"/>
      <c r="ZK36" s="256"/>
      <c r="ZL36" s="256"/>
      <c r="ZM36" s="256"/>
      <c r="ZN36" s="256"/>
      <c r="ZO36" s="256"/>
      <c r="ZP36" s="256"/>
      <c r="ZQ36" s="256"/>
      <c r="ZR36" s="256"/>
      <c r="ZS36" s="256"/>
      <c r="ZT36" s="256"/>
      <c r="ZU36" s="256"/>
      <c r="ZV36" s="256"/>
      <c r="ZW36" s="256"/>
      <c r="ZX36" s="256"/>
      <c r="ZY36" s="256"/>
      <c r="ZZ36" s="256"/>
      <c r="AAA36" s="256"/>
      <c r="AAB36" s="256"/>
      <c r="AAC36" s="256"/>
      <c r="AAD36" s="256"/>
      <c r="AAE36" s="256"/>
      <c r="AAF36" s="256"/>
      <c r="AAG36" s="256"/>
      <c r="AAH36" s="256"/>
      <c r="AAI36" s="256"/>
      <c r="AAJ36" s="256"/>
      <c r="AAK36" s="256"/>
      <c r="AAL36" s="256"/>
      <c r="AAM36" s="256"/>
      <c r="AAN36" s="256"/>
      <c r="AAO36" s="256"/>
      <c r="AAP36" s="256"/>
      <c r="AAQ36" s="256"/>
      <c r="AAR36" s="256"/>
      <c r="AAS36" s="256"/>
      <c r="AAT36" s="256"/>
      <c r="AAU36" s="256"/>
      <c r="AAV36" s="256"/>
      <c r="AAW36" s="256"/>
      <c r="AAX36" s="256"/>
      <c r="AAY36" s="256"/>
      <c r="AAZ36" s="256"/>
      <c r="ABA36" s="256"/>
      <c r="ABB36" s="256"/>
      <c r="ABC36" s="256"/>
      <c r="ABD36" s="256"/>
      <c r="ABE36" s="256"/>
      <c r="ABF36" s="256"/>
      <c r="ABG36" s="256"/>
      <c r="ABH36" s="256"/>
      <c r="ABI36" s="256"/>
      <c r="ABJ36" s="256"/>
      <c r="ABK36" s="256"/>
      <c r="ABL36" s="256"/>
      <c r="ABM36" s="256"/>
      <c r="ABN36" s="256"/>
      <c r="ABO36" s="256"/>
      <c r="ABP36" s="256"/>
      <c r="ABQ36" s="256"/>
      <c r="ABR36" s="256"/>
      <c r="ABS36" s="256"/>
      <c r="ABT36" s="256"/>
      <c r="ABU36" s="256"/>
      <c r="ABV36" s="256"/>
      <c r="ABW36" s="256"/>
      <c r="ABX36" s="256"/>
      <c r="ABY36" s="256"/>
      <c r="ABZ36" s="256"/>
      <c r="ACA36" s="256"/>
      <c r="ACB36" s="256"/>
      <c r="ACC36" s="256"/>
      <c r="ACD36" s="256"/>
      <c r="ACE36" s="256"/>
      <c r="ACF36" s="256"/>
      <c r="ACG36" s="256"/>
      <c r="ACH36" s="256"/>
      <c r="ACI36" s="256"/>
      <c r="ACJ36" s="256"/>
      <c r="ACK36" s="256"/>
      <c r="ACL36" s="256"/>
      <c r="ACM36" s="256"/>
      <c r="ACN36" s="256"/>
      <c r="ACO36" s="256"/>
      <c r="ACP36" s="256"/>
      <c r="ACQ36" s="256"/>
      <c r="ACR36" s="256"/>
      <c r="ACS36" s="256"/>
      <c r="ACT36" s="256"/>
      <c r="ACU36" s="256"/>
      <c r="ACV36" s="256"/>
      <c r="ACW36" s="256"/>
      <c r="ACX36" s="256"/>
      <c r="ACY36" s="256"/>
      <c r="ACZ36" s="256"/>
      <c r="ADA36" s="256"/>
      <c r="ADB36" s="256"/>
      <c r="ADC36" s="256"/>
      <c r="ADD36" s="256"/>
      <c r="ADE36" s="256"/>
      <c r="ADF36" s="256"/>
      <c r="ADG36" s="256"/>
      <c r="ADH36" s="256"/>
      <c r="ADI36" s="256"/>
      <c r="ADJ36" s="256"/>
      <c r="ADK36" s="256"/>
      <c r="ADL36" s="256"/>
      <c r="ADM36" s="256"/>
      <c r="ADN36" s="256"/>
      <c r="ADO36" s="256"/>
      <c r="ADP36" s="256"/>
      <c r="ADQ36" s="256"/>
      <c r="ADR36" s="256"/>
      <c r="ADS36" s="256"/>
      <c r="ADT36" s="256"/>
      <c r="ADU36" s="256"/>
      <c r="ADV36" s="256"/>
      <c r="ADW36" s="256"/>
      <c r="ADX36" s="256"/>
      <c r="ADY36" s="256"/>
      <c r="ADZ36" s="256"/>
      <c r="AEA36" s="256"/>
      <c r="AEB36" s="256"/>
      <c r="AEC36" s="256"/>
      <c r="AED36" s="256"/>
      <c r="AEE36" s="256"/>
      <c r="AEF36" s="256"/>
      <c r="AEG36" s="256"/>
      <c r="AEH36" s="256"/>
      <c r="AEI36" s="256"/>
      <c r="AEJ36" s="256"/>
      <c r="AEK36" s="256"/>
      <c r="AEL36" s="256"/>
      <c r="AEM36" s="256"/>
      <c r="AEN36" s="256"/>
      <c r="AEO36" s="256"/>
      <c r="AEP36" s="256"/>
      <c r="AEQ36" s="256"/>
      <c r="AER36" s="256"/>
      <c r="AES36" s="256"/>
      <c r="AET36" s="256"/>
      <c r="AEU36" s="256"/>
      <c r="AEV36" s="256"/>
      <c r="AEW36" s="256"/>
      <c r="AEX36" s="256"/>
      <c r="AEY36" s="256"/>
      <c r="AEZ36" s="256"/>
      <c r="AFA36" s="256"/>
      <c r="AFB36" s="256"/>
      <c r="AFC36" s="256"/>
      <c r="AFD36" s="256"/>
      <c r="AFE36" s="256"/>
      <c r="AFF36" s="256"/>
      <c r="AFG36" s="256"/>
      <c r="AFH36" s="256"/>
      <c r="AFI36" s="256"/>
      <c r="AFJ36" s="256"/>
      <c r="AFK36" s="256"/>
      <c r="AFL36" s="256"/>
      <c r="AFM36" s="256"/>
      <c r="AFN36" s="256"/>
      <c r="AFO36" s="256"/>
      <c r="AFP36" s="256"/>
      <c r="AFQ36" s="256"/>
      <c r="AFR36" s="256"/>
      <c r="AFS36" s="256"/>
      <c r="AFT36" s="256"/>
      <c r="AFU36" s="256"/>
      <c r="AFV36" s="256"/>
      <c r="AFW36" s="256"/>
      <c r="AFX36" s="256"/>
      <c r="AFY36" s="256"/>
      <c r="AFZ36" s="256"/>
      <c r="AGA36" s="256"/>
      <c r="AGB36" s="256"/>
      <c r="AGC36" s="256"/>
      <c r="AGD36" s="256"/>
      <c r="AGE36" s="256"/>
      <c r="AGF36" s="256"/>
      <c r="AGG36" s="256"/>
      <c r="AGH36" s="256"/>
      <c r="AGI36" s="256"/>
      <c r="AGJ36" s="256"/>
      <c r="AGK36" s="256"/>
      <c r="AGL36" s="256"/>
      <c r="AGM36" s="256"/>
      <c r="AGN36" s="256"/>
      <c r="AGO36" s="256"/>
      <c r="AGP36" s="256"/>
      <c r="AGQ36" s="256"/>
      <c r="AGR36" s="256"/>
      <c r="AGS36" s="256"/>
      <c r="AGT36" s="256"/>
      <c r="AGU36" s="256"/>
      <c r="AGV36" s="256"/>
      <c r="AGW36" s="256"/>
      <c r="AGX36" s="256"/>
      <c r="AGY36" s="256"/>
      <c r="AGZ36" s="256"/>
      <c r="AHA36" s="256"/>
      <c r="AHB36" s="256"/>
      <c r="AHC36" s="256"/>
      <c r="AHD36" s="256"/>
      <c r="AHE36" s="256"/>
      <c r="AHF36" s="256"/>
      <c r="AHG36" s="256"/>
      <c r="AHH36" s="256"/>
      <c r="AHI36" s="256"/>
      <c r="AHJ36" s="256"/>
      <c r="AHK36" s="256"/>
      <c r="AHL36" s="256"/>
      <c r="AHM36" s="256"/>
      <c r="AHN36" s="256"/>
      <c r="AHO36" s="256"/>
      <c r="AHP36" s="256"/>
      <c r="AHQ36" s="256"/>
      <c r="AHR36" s="256"/>
      <c r="AHS36" s="256"/>
      <c r="AHT36" s="256"/>
      <c r="AHU36" s="256"/>
      <c r="AHV36" s="256"/>
      <c r="AHW36" s="256"/>
      <c r="AHX36" s="256"/>
      <c r="AHY36" s="256"/>
      <c r="AHZ36" s="256"/>
      <c r="AIA36" s="256"/>
      <c r="AIB36" s="256"/>
      <c r="AIC36" s="256"/>
      <c r="AID36" s="256"/>
      <c r="AIE36" s="256"/>
      <c r="AIF36" s="256"/>
      <c r="AIG36" s="256"/>
      <c r="AIH36" s="256"/>
      <c r="AII36" s="256"/>
      <c r="AIJ36" s="256"/>
      <c r="AIK36" s="256"/>
      <c r="AIL36" s="256"/>
      <c r="AIM36" s="256"/>
      <c r="AIN36" s="256"/>
      <c r="AIO36" s="256"/>
      <c r="AIP36" s="256"/>
      <c r="AIQ36" s="256"/>
      <c r="AIR36" s="256"/>
      <c r="AIS36" s="256"/>
      <c r="AIT36" s="256"/>
      <c r="AIU36" s="256"/>
      <c r="AIV36" s="256"/>
      <c r="AIW36" s="256"/>
      <c r="AIX36" s="256"/>
      <c r="AIY36" s="256"/>
      <c r="AIZ36" s="256"/>
      <c r="AJA36" s="256"/>
      <c r="AJB36" s="256"/>
      <c r="AJC36" s="256"/>
      <c r="AJD36" s="256"/>
      <c r="AJE36" s="256"/>
      <c r="AJF36" s="256"/>
      <c r="AJG36" s="256"/>
      <c r="AJH36" s="256"/>
      <c r="AJI36" s="256"/>
      <c r="AJJ36" s="256"/>
      <c r="AJK36" s="256"/>
      <c r="AJL36" s="256"/>
      <c r="AJM36" s="256"/>
      <c r="AJN36" s="256"/>
      <c r="AJO36" s="256"/>
      <c r="AJP36" s="256"/>
      <c r="AJQ36" s="256"/>
      <c r="AJR36" s="256"/>
      <c r="AJS36" s="256"/>
      <c r="AJT36" s="256"/>
      <c r="AJU36" s="256"/>
      <c r="AJV36" s="256"/>
      <c r="AJW36" s="256"/>
      <c r="AJX36" s="256"/>
      <c r="AJY36" s="256"/>
      <c r="AJZ36" s="256"/>
      <c r="AKA36" s="256"/>
      <c r="AKB36" s="256"/>
      <c r="AKC36" s="256"/>
      <c r="AKD36" s="256"/>
      <c r="AKE36" s="256"/>
      <c r="AKF36" s="256"/>
      <c r="AKG36" s="256"/>
      <c r="AKH36" s="256"/>
      <c r="AKI36" s="256"/>
      <c r="AKJ36" s="256"/>
      <c r="AKK36" s="256"/>
      <c r="AKL36" s="256"/>
      <c r="AKM36" s="256"/>
      <c r="AKN36" s="256"/>
      <c r="AKO36" s="256"/>
      <c r="AKP36" s="256"/>
      <c r="AKQ36" s="256"/>
      <c r="AKR36" s="256"/>
      <c r="AKS36" s="256"/>
      <c r="AKT36" s="256"/>
      <c r="AKU36" s="256"/>
      <c r="AKV36" s="256"/>
      <c r="AKW36" s="256"/>
      <c r="AKX36" s="256"/>
      <c r="AKY36" s="256"/>
      <c r="AKZ36" s="256"/>
      <c r="ALA36" s="256"/>
      <c r="ALB36" s="256"/>
      <c r="ALC36" s="256"/>
      <c r="ALD36" s="256"/>
      <c r="ALE36" s="256"/>
      <c r="ALF36" s="256"/>
      <c r="ALG36" s="256"/>
      <c r="ALH36" s="256"/>
      <c r="ALI36" s="256"/>
      <c r="ALJ36" s="256"/>
      <c r="ALK36" s="256"/>
      <c r="ALL36" s="256"/>
      <c r="ALM36" s="256"/>
      <c r="ALN36" s="256"/>
      <c r="ALO36" s="256"/>
      <c r="ALP36" s="256"/>
      <c r="ALQ36" s="256"/>
      <c r="ALR36" s="256"/>
      <c r="ALS36" s="256"/>
      <c r="ALT36" s="256"/>
      <c r="ALU36" s="258"/>
      <c r="ALV36" s="258"/>
      <c r="ALW36" s="258"/>
      <c r="ALX36" s="258"/>
      <c r="ALY36" s="258"/>
      <c r="ALZ36" s="258"/>
      <c r="AMA36" s="258"/>
      <c r="AMB36" s="258"/>
      <c r="AMC36" s="258"/>
      <c r="AMD36" s="258"/>
      <c r="AME36" s="258"/>
      <c r="AMF36" s="258"/>
      <c r="AMG36" s="258"/>
      <c r="AMH36" s="258"/>
      <c r="AMI36" s="256"/>
    </row>
    <row r="37" spans="1:1023" s="259" customFormat="1" x14ac:dyDescent="0.25">
      <c r="A37" s="256"/>
      <c r="B37" s="256"/>
      <c r="C37" s="256"/>
      <c r="D37" s="256"/>
      <c r="E37" s="256"/>
      <c r="F37" s="256"/>
      <c r="G37" s="256"/>
      <c r="H37" s="256"/>
      <c r="I37" s="256"/>
      <c r="J37" s="256"/>
      <c r="K37" s="256"/>
      <c r="L37" s="256"/>
      <c r="M37" s="256"/>
      <c r="N37" s="256"/>
      <c r="O37" s="256"/>
      <c r="P37" s="256"/>
      <c r="Q37" s="256"/>
      <c r="R37" s="256"/>
      <c r="S37" s="256"/>
      <c r="T37" s="256"/>
      <c r="U37" s="256"/>
      <c r="V37" s="256"/>
      <c r="W37" s="256"/>
      <c r="X37" s="256"/>
      <c r="Y37" s="256"/>
      <c r="Z37" s="256"/>
      <c r="AA37" s="256"/>
      <c r="AB37" s="256"/>
      <c r="AC37" s="256"/>
      <c r="AD37" s="256"/>
      <c r="AE37" s="256"/>
      <c r="AF37" s="256"/>
      <c r="AG37" s="256"/>
      <c r="AH37" s="256"/>
      <c r="AI37" s="256"/>
      <c r="AJ37" s="256"/>
      <c r="AK37" s="256"/>
      <c r="AL37" s="256"/>
      <c r="AM37" s="256"/>
      <c r="AN37" s="256"/>
      <c r="AO37" s="256"/>
      <c r="AP37" s="256"/>
      <c r="AQ37" s="256"/>
      <c r="AR37" s="256"/>
      <c r="AS37" s="256"/>
      <c r="AT37" s="256"/>
      <c r="AU37" s="256"/>
      <c r="AV37" s="256"/>
      <c r="AW37" s="256"/>
      <c r="AX37" s="256"/>
      <c r="AY37" s="256"/>
      <c r="AZ37" s="256"/>
      <c r="BA37" s="256"/>
      <c r="BB37" s="256"/>
      <c r="BC37" s="256"/>
      <c r="BD37" s="256"/>
      <c r="BE37" s="256"/>
      <c r="BF37" s="256"/>
      <c r="BG37" s="256"/>
      <c r="BH37" s="256"/>
      <c r="BI37" s="256"/>
      <c r="BJ37" s="256"/>
      <c r="BK37" s="256"/>
      <c r="BL37" s="256"/>
      <c r="BM37" s="256"/>
      <c r="BN37" s="256"/>
      <c r="BO37" s="256"/>
      <c r="BP37" s="256"/>
      <c r="BQ37" s="256"/>
      <c r="BR37" s="256"/>
      <c r="BS37" s="256"/>
      <c r="BT37" s="256"/>
      <c r="BU37" s="256"/>
      <c r="BV37" s="256"/>
      <c r="BW37" s="256"/>
      <c r="BX37" s="256"/>
      <c r="BY37" s="256"/>
      <c r="BZ37" s="256"/>
      <c r="CA37" s="256"/>
      <c r="CB37" s="256"/>
      <c r="CC37" s="256"/>
      <c r="CD37" s="256"/>
      <c r="CE37" s="256"/>
      <c r="CF37" s="256"/>
      <c r="CG37" s="256"/>
      <c r="CH37" s="256"/>
      <c r="CI37" s="256"/>
      <c r="CJ37" s="256"/>
      <c r="CK37" s="256"/>
      <c r="CL37" s="256"/>
      <c r="CM37" s="256"/>
      <c r="CN37" s="256"/>
      <c r="CO37" s="256"/>
      <c r="CP37" s="256"/>
      <c r="CQ37" s="256"/>
      <c r="CR37" s="256"/>
      <c r="CS37" s="256"/>
      <c r="CT37" s="256"/>
      <c r="CU37" s="256"/>
      <c r="CV37" s="256"/>
      <c r="CW37" s="256"/>
      <c r="CX37" s="256"/>
      <c r="CY37" s="256"/>
      <c r="CZ37" s="256"/>
      <c r="DA37" s="256"/>
      <c r="DB37" s="256"/>
      <c r="DC37" s="256"/>
      <c r="DD37" s="256"/>
      <c r="DE37" s="256"/>
      <c r="DF37" s="256"/>
      <c r="DG37" s="256"/>
      <c r="DH37" s="256"/>
      <c r="DI37" s="256"/>
      <c r="DJ37" s="256"/>
      <c r="DK37" s="256"/>
      <c r="DL37" s="256"/>
      <c r="DM37" s="256"/>
      <c r="DN37" s="256"/>
      <c r="DO37" s="256"/>
      <c r="DP37" s="256"/>
      <c r="DQ37" s="256"/>
      <c r="DR37" s="256"/>
      <c r="DS37" s="256"/>
      <c r="DT37" s="256"/>
      <c r="DU37" s="256"/>
      <c r="DV37" s="256"/>
      <c r="DW37" s="256"/>
      <c r="DX37" s="256"/>
      <c r="DY37" s="256"/>
      <c r="DZ37" s="256"/>
      <c r="EA37" s="256"/>
      <c r="EB37" s="256"/>
      <c r="EC37" s="256"/>
      <c r="ED37" s="256"/>
      <c r="EE37" s="256"/>
      <c r="EF37" s="256"/>
      <c r="EG37" s="256"/>
      <c r="EH37" s="256"/>
      <c r="EI37" s="256"/>
      <c r="EJ37" s="256"/>
      <c r="EK37" s="256"/>
      <c r="EL37" s="256"/>
      <c r="EM37" s="256"/>
      <c r="EN37" s="256"/>
      <c r="EO37" s="256"/>
      <c r="EP37" s="256"/>
      <c r="EQ37" s="256"/>
      <c r="ER37" s="256"/>
      <c r="ES37" s="256"/>
      <c r="ET37" s="256"/>
      <c r="EU37" s="256"/>
      <c r="EV37" s="256"/>
      <c r="EW37" s="256"/>
      <c r="EX37" s="256"/>
      <c r="EY37" s="256"/>
      <c r="EZ37" s="256"/>
      <c r="FA37" s="256"/>
      <c r="FB37" s="256"/>
      <c r="FC37" s="256"/>
      <c r="FD37" s="256"/>
      <c r="FE37" s="256"/>
      <c r="FF37" s="256"/>
      <c r="FG37" s="256"/>
      <c r="FH37" s="256"/>
      <c r="FI37" s="256"/>
      <c r="FJ37" s="256"/>
      <c r="FK37" s="256"/>
      <c r="FL37" s="256"/>
      <c r="FM37" s="256"/>
      <c r="FN37" s="256"/>
      <c r="FO37" s="256"/>
      <c r="FP37" s="256"/>
      <c r="FQ37" s="256"/>
      <c r="FR37" s="256"/>
      <c r="FS37" s="256"/>
      <c r="FT37" s="256"/>
      <c r="FU37" s="256"/>
      <c r="FV37" s="256"/>
      <c r="FW37" s="256"/>
      <c r="FX37" s="256"/>
      <c r="FY37" s="256"/>
      <c r="FZ37" s="256"/>
      <c r="GA37" s="256"/>
      <c r="GB37" s="256"/>
      <c r="GC37" s="256"/>
      <c r="GD37" s="256"/>
      <c r="GE37" s="256"/>
      <c r="GF37" s="256"/>
      <c r="GG37" s="256"/>
      <c r="GH37" s="256"/>
      <c r="GI37" s="256"/>
      <c r="GJ37" s="256"/>
      <c r="GK37" s="256"/>
      <c r="GL37" s="256"/>
      <c r="GM37" s="256"/>
      <c r="GN37" s="256"/>
      <c r="GO37" s="256"/>
      <c r="GP37" s="256"/>
      <c r="GQ37" s="256"/>
      <c r="GR37" s="256"/>
      <c r="GS37" s="256"/>
      <c r="GT37" s="256"/>
      <c r="GU37" s="256"/>
      <c r="GV37" s="256"/>
      <c r="GW37" s="256"/>
      <c r="GX37" s="256"/>
      <c r="GY37" s="256"/>
      <c r="GZ37" s="256"/>
      <c r="HA37" s="256"/>
      <c r="HB37" s="256"/>
      <c r="HC37" s="256"/>
      <c r="HD37" s="256"/>
      <c r="HE37" s="256"/>
      <c r="HF37" s="256"/>
      <c r="HG37" s="256"/>
      <c r="HH37" s="256"/>
      <c r="HI37" s="256"/>
      <c r="HJ37" s="256"/>
      <c r="HK37" s="256"/>
      <c r="HL37" s="256"/>
      <c r="HM37" s="256"/>
      <c r="HN37" s="256"/>
      <c r="HO37" s="256"/>
      <c r="HP37" s="256"/>
      <c r="HQ37" s="256"/>
      <c r="HR37" s="256"/>
      <c r="HS37" s="256"/>
      <c r="HT37" s="256"/>
      <c r="HU37" s="256"/>
      <c r="HV37" s="256"/>
      <c r="HW37" s="256"/>
      <c r="HX37" s="256"/>
      <c r="HY37" s="256"/>
      <c r="HZ37" s="256"/>
      <c r="IA37" s="256"/>
      <c r="IB37" s="256"/>
      <c r="IC37" s="256"/>
      <c r="ID37" s="256"/>
      <c r="IE37" s="256"/>
      <c r="IF37" s="256"/>
      <c r="IG37" s="256"/>
      <c r="IH37" s="256"/>
      <c r="II37" s="256"/>
      <c r="IJ37" s="256"/>
      <c r="IK37" s="256"/>
      <c r="IL37" s="256"/>
      <c r="IM37" s="256"/>
      <c r="IN37" s="256"/>
      <c r="IO37" s="256"/>
      <c r="IP37" s="256"/>
      <c r="IQ37" s="256"/>
      <c r="IR37" s="256"/>
      <c r="IS37" s="256"/>
      <c r="IT37" s="256"/>
      <c r="IU37" s="256"/>
      <c r="IV37" s="256"/>
      <c r="IW37" s="256"/>
      <c r="IX37" s="256"/>
      <c r="IY37" s="256"/>
      <c r="IZ37" s="256"/>
      <c r="JA37" s="256"/>
      <c r="JB37" s="256"/>
      <c r="JC37" s="256"/>
      <c r="JD37" s="256"/>
      <c r="JE37" s="256"/>
      <c r="JF37" s="256"/>
      <c r="JG37" s="256"/>
      <c r="JH37" s="256"/>
      <c r="JI37" s="256"/>
      <c r="JJ37" s="256"/>
      <c r="JK37" s="256"/>
      <c r="JL37" s="256"/>
      <c r="JM37" s="256"/>
      <c r="JN37" s="256"/>
      <c r="JO37" s="256"/>
      <c r="JP37" s="256"/>
      <c r="JQ37" s="256"/>
      <c r="JR37" s="256"/>
      <c r="JS37" s="256"/>
      <c r="JT37" s="256"/>
      <c r="JU37" s="256"/>
      <c r="JV37" s="256"/>
      <c r="JW37" s="256"/>
      <c r="JX37" s="256"/>
      <c r="JY37" s="256"/>
      <c r="JZ37" s="256"/>
      <c r="KA37" s="256"/>
      <c r="KB37" s="256"/>
      <c r="KC37" s="256"/>
      <c r="KD37" s="256"/>
      <c r="KE37" s="256"/>
      <c r="KF37" s="256"/>
      <c r="KG37" s="256"/>
      <c r="KH37" s="256"/>
      <c r="KI37" s="256"/>
      <c r="KJ37" s="256"/>
      <c r="KK37" s="256"/>
      <c r="KL37" s="256"/>
      <c r="KM37" s="256"/>
      <c r="KN37" s="256"/>
      <c r="KO37" s="256"/>
      <c r="KP37" s="256"/>
      <c r="KQ37" s="256"/>
      <c r="KR37" s="256"/>
      <c r="KS37" s="256"/>
      <c r="KT37" s="256"/>
      <c r="KU37" s="256"/>
      <c r="KV37" s="256"/>
      <c r="KW37" s="256"/>
      <c r="KX37" s="256"/>
      <c r="KY37" s="256"/>
      <c r="KZ37" s="256"/>
      <c r="LA37" s="256"/>
      <c r="LB37" s="256"/>
      <c r="LC37" s="256"/>
      <c r="LD37" s="256"/>
      <c r="LE37" s="256"/>
      <c r="LF37" s="256"/>
      <c r="LG37" s="256"/>
      <c r="LH37" s="256"/>
      <c r="LI37" s="256"/>
      <c r="LJ37" s="256"/>
      <c r="LK37" s="256"/>
      <c r="LL37" s="256"/>
      <c r="LM37" s="256"/>
      <c r="LN37" s="256"/>
      <c r="LO37" s="256"/>
      <c r="LP37" s="256"/>
      <c r="LQ37" s="256"/>
      <c r="LR37" s="256"/>
      <c r="LS37" s="256"/>
      <c r="LT37" s="256"/>
      <c r="LU37" s="256"/>
      <c r="LV37" s="256"/>
      <c r="LW37" s="256"/>
      <c r="LX37" s="256"/>
      <c r="LY37" s="256"/>
      <c r="LZ37" s="256"/>
      <c r="MA37" s="256"/>
      <c r="MB37" s="256"/>
      <c r="MC37" s="256"/>
      <c r="MD37" s="256"/>
      <c r="ME37" s="256"/>
      <c r="MF37" s="256"/>
      <c r="MG37" s="256"/>
      <c r="MH37" s="256"/>
      <c r="MI37" s="256"/>
      <c r="MJ37" s="256"/>
      <c r="MK37" s="256"/>
      <c r="ML37" s="256"/>
      <c r="MM37" s="256"/>
      <c r="MN37" s="256"/>
      <c r="MO37" s="256"/>
      <c r="MP37" s="256"/>
      <c r="MQ37" s="256"/>
      <c r="MR37" s="256"/>
      <c r="MS37" s="256"/>
      <c r="MT37" s="256"/>
      <c r="MU37" s="256"/>
      <c r="MV37" s="256"/>
      <c r="MW37" s="256"/>
      <c r="MX37" s="256"/>
      <c r="MY37" s="256"/>
      <c r="MZ37" s="256"/>
      <c r="NA37" s="256"/>
      <c r="NB37" s="256"/>
      <c r="NC37" s="256"/>
      <c r="ND37" s="256"/>
      <c r="NE37" s="256"/>
      <c r="NF37" s="256"/>
      <c r="NG37" s="256"/>
      <c r="NH37" s="256"/>
      <c r="NI37" s="256"/>
      <c r="NJ37" s="256"/>
      <c r="NK37" s="256"/>
      <c r="NL37" s="256"/>
      <c r="NM37" s="256"/>
      <c r="NN37" s="256"/>
      <c r="NO37" s="256"/>
      <c r="NP37" s="256"/>
      <c r="NQ37" s="256"/>
      <c r="NR37" s="256"/>
      <c r="NS37" s="256"/>
      <c r="NT37" s="256"/>
      <c r="NU37" s="256"/>
      <c r="NV37" s="256"/>
      <c r="NW37" s="256"/>
      <c r="NX37" s="256"/>
      <c r="NY37" s="256"/>
      <c r="NZ37" s="256"/>
      <c r="OA37" s="256"/>
      <c r="OB37" s="256"/>
      <c r="OC37" s="256"/>
      <c r="OD37" s="256"/>
      <c r="OE37" s="256"/>
      <c r="OF37" s="256"/>
      <c r="OG37" s="256"/>
      <c r="OH37" s="256"/>
      <c r="OI37" s="256"/>
      <c r="OJ37" s="256"/>
      <c r="OK37" s="256"/>
      <c r="OL37" s="256"/>
      <c r="OM37" s="256"/>
      <c r="ON37" s="256"/>
      <c r="OO37" s="256"/>
      <c r="OP37" s="256"/>
      <c r="OQ37" s="256"/>
      <c r="OR37" s="256"/>
      <c r="OS37" s="256"/>
      <c r="OT37" s="256"/>
      <c r="OU37" s="256"/>
      <c r="OV37" s="256"/>
      <c r="OW37" s="256"/>
      <c r="OX37" s="256"/>
      <c r="OY37" s="256"/>
      <c r="OZ37" s="256"/>
      <c r="PA37" s="256"/>
      <c r="PB37" s="256"/>
      <c r="PC37" s="256"/>
      <c r="PD37" s="256"/>
      <c r="PE37" s="256"/>
      <c r="PF37" s="256"/>
      <c r="PG37" s="256"/>
      <c r="PH37" s="256"/>
      <c r="PI37" s="256"/>
      <c r="PJ37" s="256"/>
      <c r="PK37" s="256"/>
      <c r="PL37" s="256"/>
      <c r="PM37" s="256"/>
      <c r="PN37" s="256"/>
      <c r="PO37" s="256"/>
      <c r="PP37" s="256"/>
      <c r="PQ37" s="256"/>
      <c r="PR37" s="256"/>
      <c r="PS37" s="256"/>
      <c r="PT37" s="256"/>
      <c r="PU37" s="256"/>
      <c r="PV37" s="256"/>
      <c r="PW37" s="256"/>
      <c r="PX37" s="256"/>
      <c r="PY37" s="256"/>
      <c r="PZ37" s="256"/>
      <c r="QA37" s="256"/>
      <c r="QB37" s="256"/>
      <c r="QC37" s="256"/>
      <c r="QD37" s="256"/>
      <c r="QE37" s="256"/>
      <c r="QF37" s="256"/>
      <c r="QG37" s="256"/>
      <c r="QH37" s="256"/>
      <c r="QI37" s="256"/>
      <c r="QJ37" s="256"/>
      <c r="QK37" s="256"/>
      <c r="QL37" s="256"/>
      <c r="QM37" s="256"/>
      <c r="QN37" s="256"/>
      <c r="QO37" s="256"/>
      <c r="QP37" s="256"/>
      <c r="QQ37" s="256"/>
      <c r="QR37" s="256"/>
      <c r="QS37" s="256"/>
      <c r="QT37" s="256"/>
      <c r="QU37" s="256"/>
      <c r="QV37" s="256"/>
      <c r="QW37" s="256"/>
      <c r="QX37" s="256"/>
      <c r="QY37" s="256"/>
      <c r="QZ37" s="256"/>
      <c r="RA37" s="256"/>
      <c r="RB37" s="256"/>
      <c r="RC37" s="256"/>
      <c r="RD37" s="256"/>
      <c r="RE37" s="256"/>
      <c r="RF37" s="256"/>
      <c r="RG37" s="256"/>
      <c r="RH37" s="256"/>
      <c r="RI37" s="256"/>
      <c r="RJ37" s="256"/>
      <c r="RK37" s="256"/>
      <c r="RL37" s="256"/>
      <c r="RM37" s="256"/>
      <c r="RN37" s="256"/>
      <c r="RO37" s="256"/>
      <c r="RP37" s="256"/>
      <c r="RQ37" s="256"/>
      <c r="RR37" s="256"/>
      <c r="RS37" s="256"/>
      <c r="RT37" s="256"/>
      <c r="RU37" s="256"/>
      <c r="RV37" s="256"/>
      <c r="RW37" s="256"/>
      <c r="RX37" s="256"/>
      <c r="RY37" s="256"/>
      <c r="RZ37" s="256"/>
      <c r="SA37" s="256"/>
      <c r="SB37" s="256"/>
      <c r="SC37" s="256"/>
      <c r="SD37" s="256"/>
      <c r="SE37" s="256"/>
      <c r="SF37" s="256"/>
      <c r="SG37" s="256"/>
      <c r="SH37" s="256"/>
      <c r="SI37" s="256"/>
      <c r="SJ37" s="256"/>
      <c r="SK37" s="256"/>
      <c r="SL37" s="256"/>
      <c r="SM37" s="256"/>
      <c r="SN37" s="256"/>
      <c r="SO37" s="256"/>
      <c r="SP37" s="256"/>
      <c r="SQ37" s="256"/>
      <c r="SR37" s="256"/>
      <c r="SS37" s="256"/>
      <c r="ST37" s="256"/>
      <c r="SU37" s="256"/>
      <c r="SV37" s="256"/>
      <c r="SW37" s="256"/>
      <c r="SX37" s="256"/>
      <c r="SY37" s="256"/>
      <c r="SZ37" s="256"/>
      <c r="TA37" s="256"/>
      <c r="TB37" s="256"/>
      <c r="TC37" s="256"/>
      <c r="TD37" s="256"/>
      <c r="TE37" s="256"/>
      <c r="TF37" s="256"/>
      <c r="TG37" s="256"/>
      <c r="TH37" s="256"/>
      <c r="TI37" s="256"/>
      <c r="TJ37" s="256"/>
      <c r="TK37" s="256"/>
      <c r="TL37" s="256"/>
      <c r="TM37" s="256"/>
      <c r="TN37" s="256"/>
      <c r="TO37" s="256"/>
      <c r="TP37" s="256"/>
      <c r="TQ37" s="256"/>
      <c r="TR37" s="256"/>
      <c r="TS37" s="256"/>
      <c r="TT37" s="256"/>
      <c r="TU37" s="256"/>
      <c r="TV37" s="256"/>
      <c r="TW37" s="256"/>
      <c r="TX37" s="256"/>
      <c r="TY37" s="256"/>
      <c r="TZ37" s="256"/>
      <c r="UA37" s="256"/>
      <c r="UB37" s="256"/>
      <c r="UC37" s="256"/>
      <c r="UD37" s="256"/>
      <c r="UE37" s="256"/>
      <c r="UF37" s="256"/>
      <c r="UG37" s="256"/>
      <c r="UH37" s="256"/>
      <c r="UI37" s="256"/>
      <c r="UJ37" s="256"/>
      <c r="UK37" s="256"/>
      <c r="UL37" s="256"/>
      <c r="UM37" s="256"/>
      <c r="UN37" s="256"/>
      <c r="UO37" s="256"/>
      <c r="UP37" s="256"/>
      <c r="UQ37" s="256"/>
      <c r="UR37" s="256"/>
      <c r="US37" s="256"/>
      <c r="UT37" s="256"/>
      <c r="UU37" s="256"/>
      <c r="UV37" s="256"/>
      <c r="UW37" s="256"/>
      <c r="UX37" s="256"/>
      <c r="UY37" s="256"/>
      <c r="UZ37" s="256"/>
      <c r="VA37" s="256"/>
      <c r="VB37" s="256"/>
      <c r="VC37" s="256"/>
      <c r="VD37" s="256"/>
      <c r="VE37" s="256"/>
      <c r="VF37" s="256"/>
      <c r="VG37" s="256"/>
      <c r="VH37" s="256"/>
      <c r="VI37" s="256"/>
      <c r="VJ37" s="256"/>
      <c r="VK37" s="256"/>
      <c r="VL37" s="256"/>
      <c r="VM37" s="256"/>
      <c r="VN37" s="256"/>
      <c r="VO37" s="256"/>
      <c r="VP37" s="256"/>
      <c r="VQ37" s="256"/>
      <c r="VR37" s="256"/>
      <c r="VS37" s="256"/>
      <c r="VT37" s="256"/>
      <c r="VU37" s="256"/>
      <c r="VV37" s="256"/>
      <c r="VW37" s="256"/>
      <c r="VX37" s="256"/>
      <c r="VY37" s="256"/>
      <c r="VZ37" s="256"/>
      <c r="WA37" s="256"/>
      <c r="WB37" s="256"/>
      <c r="WC37" s="256"/>
      <c r="WD37" s="256"/>
      <c r="WE37" s="256"/>
      <c r="WF37" s="256"/>
      <c r="WG37" s="256"/>
      <c r="WH37" s="256"/>
      <c r="WI37" s="256"/>
      <c r="WJ37" s="256"/>
      <c r="WK37" s="256"/>
      <c r="WL37" s="256"/>
      <c r="WM37" s="256"/>
      <c r="WN37" s="256"/>
      <c r="WO37" s="256"/>
      <c r="WP37" s="256"/>
      <c r="WQ37" s="256"/>
      <c r="WR37" s="256"/>
      <c r="WS37" s="256"/>
      <c r="WT37" s="256"/>
      <c r="WU37" s="256"/>
      <c r="WV37" s="256"/>
      <c r="WW37" s="256"/>
      <c r="WX37" s="256"/>
      <c r="WY37" s="256"/>
      <c r="WZ37" s="256"/>
      <c r="XA37" s="256"/>
      <c r="XB37" s="256"/>
      <c r="XC37" s="256"/>
      <c r="XD37" s="256"/>
      <c r="XE37" s="256"/>
      <c r="XF37" s="256"/>
      <c r="XG37" s="256"/>
      <c r="XH37" s="256"/>
      <c r="XI37" s="256"/>
      <c r="XJ37" s="256"/>
      <c r="XK37" s="256"/>
      <c r="XL37" s="256"/>
      <c r="XM37" s="256"/>
      <c r="XN37" s="256"/>
      <c r="XO37" s="256"/>
      <c r="XP37" s="256"/>
      <c r="XQ37" s="256"/>
      <c r="XR37" s="256"/>
      <c r="XS37" s="256"/>
      <c r="XT37" s="256"/>
      <c r="XU37" s="256"/>
      <c r="XV37" s="256"/>
      <c r="XW37" s="256"/>
      <c r="XX37" s="256"/>
      <c r="XY37" s="256"/>
      <c r="XZ37" s="256"/>
      <c r="YA37" s="256"/>
      <c r="YB37" s="256"/>
      <c r="YC37" s="256"/>
      <c r="YD37" s="256"/>
      <c r="YE37" s="256"/>
      <c r="YF37" s="256"/>
      <c r="YG37" s="256"/>
      <c r="YH37" s="256"/>
      <c r="YI37" s="256"/>
      <c r="YJ37" s="256"/>
      <c r="YK37" s="256"/>
      <c r="YL37" s="256"/>
      <c r="YM37" s="256"/>
      <c r="YN37" s="256"/>
      <c r="YO37" s="256"/>
      <c r="YP37" s="256"/>
      <c r="YQ37" s="256"/>
      <c r="YR37" s="256"/>
      <c r="YS37" s="256"/>
      <c r="YT37" s="256"/>
      <c r="YU37" s="256"/>
      <c r="YV37" s="256"/>
      <c r="YW37" s="256"/>
      <c r="YX37" s="256"/>
      <c r="YY37" s="256"/>
      <c r="YZ37" s="256"/>
      <c r="ZA37" s="256"/>
      <c r="ZB37" s="256"/>
      <c r="ZC37" s="256"/>
      <c r="ZD37" s="256"/>
      <c r="ZE37" s="256"/>
      <c r="ZF37" s="256"/>
      <c r="ZG37" s="256"/>
      <c r="ZH37" s="256"/>
      <c r="ZI37" s="256"/>
      <c r="ZJ37" s="256"/>
      <c r="ZK37" s="256"/>
      <c r="ZL37" s="256"/>
      <c r="ZM37" s="256"/>
      <c r="ZN37" s="256"/>
      <c r="ZO37" s="256"/>
      <c r="ZP37" s="256"/>
      <c r="ZQ37" s="256"/>
      <c r="ZR37" s="256"/>
      <c r="ZS37" s="256"/>
      <c r="ZT37" s="256"/>
      <c r="ZU37" s="256"/>
      <c r="ZV37" s="256"/>
      <c r="ZW37" s="256"/>
      <c r="ZX37" s="256"/>
      <c r="ZY37" s="256"/>
      <c r="ZZ37" s="256"/>
      <c r="AAA37" s="256"/>
      <c r="AAB37" s="256"/>
      <c r="AAC37" s="256"/>
      <c r="AAD37" s="256"/>
      <c r="AAE37" s="256"/>
      <c r="AAF37" s="256"/>
      <c r="AAG37" s="256"/>
      <c r="AAH37" s="256"/>
      <c r="AAI37" s="256"/>
      <c r="AAJ37" s="256"/>
      <c r="AAK37" s="256"/>
      <c r="AAL37" s="256"/>
      <c r="AAM37" s="256"/>
      <c r="AAN37" s="256"/>
      <c r="AAO37" s="256"/>
      <c r="AAP37" s="256"/>
      <c r="AAQ37" s="256"/>
      <c r="AAR37" s="256"/>
      <c r="AAS37" s="256"/>
      <c r="AAT37" s="256"/>
      <c r="AAU37" s="256"/>
      <c r="AAV37" s="256"/>
      <c r="AAW37" s="256"/>
      <c r="AAX37" s="256"/>
      <c r="AAY37" s="256"/>
      <c r="AAZ37" s="256"/>
      <c r="ABA37" s="256"/>
      <c r="ABB37" s="256"/>
      <c r="ABC37" s="256"/>
      <c r="ABD37" s="256"/>
      <c r="ABE37" s="256"/>
      <c r="ABF37" s="256"/>
      <c r="ABG37" s="256"/>
      <c r="ABH37" s="256"/>
      <c r="ABI37" s="256"/>
      <c r="ABJ37" s="256"/>
      <c r="ABK37" s="256"/>
      <c r="ABL37" s="256"/>
      <c r="ABM37" s="256"/>
      <c r="ABN37" s="256"/>
      <c r="ABO37" s="256"/>
      <c r="ABP37" s="256"/>
      <c r="ABQ37" s="256"/>
      <c r="ABR37" s="256"/>
      <c r="ABS37" s="256"/>
      <c r="ABT37" s="256"/>
      <c r="ABU37" s="256"/>
      <c r="ABV37" s="256"/>
      <c r="ABW37" s="256"/>
      <c r="ABX37" s="256"/>
      <c r="ABY37" s="256"/>
      <c r="ABZ37" s="256"/>
      <c r="ACA37" s="256"/>
      <c r="ACB37" s="256"/>
      <c r="ACC37" s="256"/>
      <c r="ACD37" s="256"/>
      <c r="ACE37" s="256"/>
      <c r="ACF37" s="256"/>
      <c r="ACG37" s="256"/>
      <c r="ACH37" s="256"/>
      <c r="ACI37" s="256"/>
      <c r="ACJ37" s="256"/>
      <c r="ACK37" s="256"/>
      <c r="ACL37" s="256"/>
      <c r="ACM37" s="256"/>
      <c r="ACN37" s="256"/>
      <c r="ACO37" s="256"/>
      <c r="ACP37" s="256"/>
      <c r="ACQ37" s="256"/>
      <c r="ACR37" s="256"/>
      <c r="ACS37" s="256"/>
      <c r="ACT37" s="256"/>
      <c r="ACU37" s="256"/>
      <c r="ACV37" s="256"/>
      <c r="ACW37" s="256"/>
      <c r="ACX37" s="256"/>
      <c r="ACY37" s="256"/>
      <c r="ACZ37" s="256"/>
      <c r="ADA37" s="256"/>
      <c r="ADB37" s="256"/>
      <c r="ADC37" s="256"/>
      <c r="ADD37" s="256"/>
      <c r="ADE37" s="256"/>
      <c r="ADF37" s="256"/>
      <c r="ADG37" s="256"/>
      <c r="ADH37" s="256"/>
      <c r="ADI37" s="256"/>
      <c r="ADJ37" s="256"/>
      <c r="ADK37" s="256"/>
      <c r="ADL37" s="256"/>
      <c r="ADM37" s="256"/>
      <c r="ADN37" s="256"/>
      <c r="ADO37" s="256"/>
      <c r="ADP37" s="256"/>
      <c r="ADQ37" s="256"/>
      <c r="ADR37" s="256"/>
      <c r="ADS37" s="256"/>
      <c r="ADT37" s="256"/>
      <c r="ADU37" s="256"/>
      <c r="ADV37" s="256"/>
      <c r="ADW37" s="256"/>
      <c r="ADX37" s="256"/>
      <c r="ADY37" s="256"/>
      <c r="ADZ37" s="256"/>
      <c r="AEA37" s="256"/>
      <c r="AEB37" s="256"/>
      <c r="AEC37" s="256"/>
      <c r="AED37" s="256"/>
      <c r="AEE37" s="256"/>
      <c r="AEF37" s="256"/>
      <c r="AEG37" s="256"/>
      <c r="AEH37" s="256"/>
      <c r="AEI37" s="256"/>
      <c r="AEJ37" s="256"/>
      <c r="AEK37" s="256"/>
      <c r="AEL37" s="256"/>
      <c r="AEM37" s="256"/>
      <c r="AEN37" s="256"/>
      <c r="AEO37" s="256"/>
      <c r="AEP37" s="256"/>
      <c r="AEQ37" s="256"/>
      <c r="AER37" s="256"/>
      <c r="AES37" s="256"/>
      <c r="AET37" s="256"/>
      <c r="AEU37" s="256"/>
      <c r="AEV37" s="256"/>
      <c r="AEW37" s="256"/>
      <c r="AEX37" s="256"/>
      <c r="AEY37" s="256"/>
      <c r="AEZ37" s="256"/>
      <c r="AFA37" s="256"/>
      <c r="AFB37" s="256"/>
      <c r="AFC37" s="256"/>
      <c r="AFD37" s="256"/>
      <c r="AFE37" s="256"/>
      <c r="AFF37" s="256"/>
      <c r="AFG37" s="256"/>
      <c r="AFH37" s="256"/>
      <c r="AFI37" s="256"/>
      <c r="AFJ37" s="256"/>
      <c r="AFK37" s="256"/>
      <c r="AFL37" s="256"/>
      <c r="AFM37" s="256"/>
      <c r="AFN37" s="256"/>
      <c r="AFO37" s="256"/>
      <c r="AFP37" s="256"/>
      <c r="AFQ37" s="256"/>
      <c r="AFR37" s="256"/>
      <c r="AFS37" s="256"/>
      <c r="AFT37" s="256"/>
      <c r="AFU37" s="256"/>
      <c r="AFV37" s="256"/>
      <c r="AFW37" s="256"/>
      <c r="AFX37" s="256"/>
      <c r="AFY37" s="256"/>
      <c r="AFZ37" s="256"/>
      <c r="AGA37" s="256"/>
      <c r="AGB37" s="256"/>
      <c r="AGC37" s="256"/>
      <c r="AGD37" s="256"/>
      <c r="AGE37" s="256"/>
      <c r="AGF37" s="256"/>
      <c r="AGG37" s="256"/>
      <c r="AGH37" s="256"/>
      <c r="AGI37" s="256"/>
      <c r="AGJ37" s="256"/>
      <c r="AGK37" s="256"/>
      <c r="AGL37" s="256"/>
      <c r="AGM37" s="256"/>
      <c r="AGN37" s="256"/>
      <c r="AGO37" s="256"/>
      <c r="AGP37" s="256"/>
      <c r="AGQ37" s="256"/>
      <c r="AGR37" s="256"/>
      <c r="AGS37" s="256"/>
      <c r="AGT37" s="256"/>
      <c r="AGU37" s="256"/>
      <c r="AGV37" s="256"/>
      <c r="AGW37" s="256"/>
      <c r="AGX37" s="256"/>
      <c r="AGY37" s="256"/>
      <c r="AGZ37" s="256"/>
      <c r="AHA37" s="256"/>
      <c r="AHB37" s="256"/>
      <c r="AHC37" s="256"/>
      <c r="AHD37" s="256"/>
      <c r="AHE37" s="256"/>
      <c r="AHF37" s="256"/>
      <c r="AHG37" s="256"/>
      <c r="AHH37" s="256"/>
      <c r="AHI37" s="256"/>
      <c r="AHJ37" s="256"/>
      <c r="AHK37" s="256"/>
      <c r="AHL37" s="256"/>
      <c r="AHM37" s="256"/>
      <c r="AHN37" s="256"/>
      <c r="AHO37" s="256"/>
      <c r="AHP37" s="256"/>
      <c r="AHQ37" s="256"/>
      <c r="AHR37" s="256"/>
      <c r="AHS37" s="256"/>
      <c r="AHT37" s="256"/>
      <c r="AHU37" s="256"/>
      <c r="AHV37" s="256"/>
      <c r="AHW37" s="256"/>
      <c r="AHX37" s="256"/>
      <c r="AHY37" s="256"/>
      <c r="AHZ37" s="256"/>
      <c r="AIA37" s="256"/>
      <c r="AIB37" s="256"/>
      <c r="AIC37" s="256"/>
      <c r="AID37" s="256"/>
      <c r="AIE37" s="256"/>
      <c r="AIF37" s="256"/>
      <c r="AIG37" s="256"/>
      <c r="AIH37" s="256"/>
      <c r="AII37" s="256"/>
      <c r="AIJ37" s="256"/>
      <c r="AIK37" s="256"/>
      <c r="AIL37" s="256"/>
      <c r="AIM37" s="256"/>
      <c r="AIN37" s="256"/>
      <c r="AIO37" s="256"/>
      <c r="AIP37" s="256"/>
      <c r="AIQ37" s="256"/>
      <c r="AIR37" s="256"/>
      <c r="AIS37" s="256"/>
      <c r="AIT37" s="256"/>
      <c r="AIU37" s="256"/>
      <c r="AIV37" s="256"/>
      <c r="AIW37" s="256"/>
      <c r="AIX37" s="256"/>
      <c r="AIY37" s="256"/>
      <c r="AIZ37" s="256"/>
      <c r="AJA37" s="256"/>
      <c r="AJB37" s="256"/>
      <c r="AJC37" s="256"/>
      <c r="AJD37" s="256"/>
      <c r="AJE37" s="256"/>
      <c r="AJF37" s="256"/>
      <c r="AJG37" s="256"/>
      <c r="AJH37" s="256"/>
      <c r="AJI37" s="256"/>
      <c r="AJJ37" s="256"/>
      <c r="AJK37" s="256"/>
      <c r="AJL37" s="256"/>
      <c r="AJM37" s="256"/>
      <c r="AJN37" s="256"/>
      <c r="AJO37" s="256"/>
      <c r="AJP37" s="256"/>
      <c r="AJQ37" s="256"/>
      <c r="AJR37" s="256"/>
      <c r="AJS37" s="256"/>
      <c r="AJT37" s="256"/>
      <c r="AJU37" s="256"/>
      <c r="AJV37" s="256"/>
      <c r="AJW37" s="256"/>
      <c r="AJX37" s="256"/>
      <c r="AJY37" s="256"/>
      <c r="AJZ37" s="256"/>
      <c r="AKA37" s="256"/>
      <c r="AKB37" s="256"/>
      <c r="AKC37" s="256"/>
      <c r="AKD37" s="256"/>
      <c r="AKE37" s="256"/>
      <c r="AKF37" s="256"/>
      <c r="AKG37" s="256"/>
      <c r="AKH37" s="256"/>
      <c r="AKI37" s="256"/>
      <c r="AKJ37" s="256"/>
      <c r="AKK37" s="256"/>
      <c r="AKL37" s="256"/>
      <c r="AKM37" s="256"/>
      <c r="AKN37" s="256"/>
      <c r="AKO37" s="256"/>
      <c r="AKP37" s="256"/>
      <c r="AKQ37" s="256"/>
      <c r="AKR37" s="256"/>
      <c r="AKS37" s="256"/>
      <c r="AKT37" s="256"/>
      <c r="AKU37" s="256"/>
      <c r="AKV37" s="256"/>
      <c r="AKW37" s="256"/>
      <c r="AKX37" s="256"/>
      <c r="AKY37" s="256"/>
      <c r="AKZ37" s="256"/>
      <c r="ALA37" s="256"/>
      <c r="ALB37" s="256"/>
      <c r="ALC37" s="256"/>
      <c r="ALD37" s="256"/>
      <c r="ALE37" s="256"/>
      <c r="ALF37" s="256"/>
      <c r="ALG37" s="256"/>
      <c r="ALH37" s="256"/>
      <c r="ALI37" s="256"/>
      <c r="ALJ37" s="256"/>
      <c r="ALK37" s="256"/>
      <c r="ALL37" s="256"/>
      <c r="ALM37" s="256"/>
      <c r="ALN37" s="256"/>
      <c r="ALO37" s="256"/>
      <c r="ALP37" s="256"/>
      <c r="ALQ37" s="256"/>
      <c r="ALR37" s="256"/>
      <c r="ALS37" s="256"/>
      <c r="ALT37" s="256"/>
      <c r="ALU37" s="258"/>
      <c r="ALV37" s="258"/>
      <c r="ALW37" s="258"/>
      <c r="ALX37" s="258"/>
      <c r="ALY37" s="258"/>
      <c r="ALZ37" s="258"/>
      <c r="AMA37" s="258"/>
      <c r="AMB37" s="258"/>
      <c r="AMC37" s="258"/>
      <c r="AMD37" s="258"/>
      <c r="AME37" s="258"/>
      <c r="AMF37" s="258"/>
      <c r="AMG37" s="258"/>
      <c r="AMH37" s="258"/>
      <c r="AMI37" s="256"/>
    </row>
    <row r="38" spans="1:1023" s="259" customFormat="1" x14ac:dyDescent="0.25">
      <c r="A38" s="256"/>
      <c r="B38" s="256"/>
      <c r="C38" s="256"/>
      <c r="D38" s="256"/>
      <c r="E38" s="256"/>
      <c r="F38" s="256"/>
      <c r="G38" s="256"/>
      <c r="H38" s="256"/>
      <c r="I38" s="256"/>
      <c r="J38" s="256"/>
      <c r="K38" s="256"/>
      <c r="L38" s="256"/>
      <c r="M38" s="256"/>
      <c r="N38" s="256"/>
      <c r="O38" s="256"/>
      <c r="P38" s="256"/>
      <c r="Q38" s="256"/>
      <c r="R38" s="256"/>
      <c r="S38" s="256"/>
      <c r="T38" s="256"/>
      <c r="U38" s="256"/>
      <c r="V38" s="256"/>
      <c r="W38" s="256"/>
      <c r="X38" s="256"/>
      <c r="Y38" s="256"/>
      <c r="Z38" s="256"/>
      <c r="AA38" s="256"/>
      <c r="AB38" s="256"/>
      <c r="AC38" s="256"/>
      <c r="AD38" s="256"/>
      <c r="AE38" s="256"/>
      <c r="AF38" s="256"/>
      <c r="AG38" s="256"/>
      <c r="AH38" s="256"/>
      <c r="AI38" s="256"/>
      <c r="AJ38" s="256"/>
      <c r="AK38" s="256"/>
      <c r="AL38" s="256"/>
      <c r="AM38" s="256"/>
      <c r="AN38" s="256"/>
      <c r="AO38" s="256"/>
      <c r="AP38" s="256"/>
      <c r="AQ38" s="256"/>
      <c r="AR38" s="256"/>
      <c r="AS38" s="256"/>
      <c r="AT38" s="256"/>
      <c r="AU38" s="256"/>
      <c r="AV38" s="256"/>
      <c r="AW38" s="256"/>
      <c r="AX38" s="256"/>
      <c r="AY38" s="256"/>
      <c r="AZ38" s="256"/>
      <c r="BA38" s="256"/>
      <c r="BB38" s="256"/>
      <c r="BC38" s="256"/>
      <c r="BD38" s="256"/>
      <c r="BE38" s="256"/>
      <c r="BF38" s="256"/>
      <c r="BG38" s="256"/>
      <c r="BH38" s="256"/>
      <c r="BI38" s="256"/>
      <c r="BJ38" s="256"/>
      <c r="BK38" s="256"/>
      <c r="BL38" s="256"/>
      <c r="BM38" s="256"/>
      <c r="BN38" s="256"/>
      <c r="BO38" s="256"/>
      <c r="BP38" s="256"/>
      <c r="BQ38" s="256"/>
      <c r="BR38" s="256"/>
      <c r="BS38" s="256"/>
      <c r="BT38" s="256"/>
      <c r="BU38" s="256"/>
      <c r="BV38" s="256"/>
      <c r="BW38" s="256"/>
      <c r="BX38" s="256"/>
      <c r="BY38" s="256"/>
      <c r="BZ38" s="256"/>
      <c r="CA38" s="256"/>
      <c r="CB38" s="256"/>
      <c r="CC38" s="256"/>
      <c r="CD38" s="256"/>
      <c r="CE38" s="256"/>
      <c r="CF38" s="256"/>
      <c r="CG38" s="256"/>
      <c r="CH38" s="256"/>
      <c r="CI38" s="256"/>
      <c r="CJ38" s="256"/>
      <c r="CK38" s="256"/>
      <c r="CL38" s="256"/>
      <c r="CM38" s="256"/>
      <c r="CN38" s="256"/>
      <c r="CO38" s="256"/>
      <c r="CP38" s="256"/>
      <c r="CQ38" s="256"/>
      <c r="CR38" s="256"/>
      <c r="CS38" s="256"/>
      <c r="CT38" s="256"/>
      <c r="CU38" s="256"/>
      <c r="CV38" s="256"/>
      <c r="CW38" s="256"/>
      <c r="CX38" s="256"/>
      <c r="CY38" s="256"/>
      <c r="CZ38" s="256"/>
      <c r="DA38" s="256"/>
      <c r="DB38" s="256"/>
      <c r="DC38" s="256"/>
      <c r="DD38" s="256"/>
      <c r="DE38" s="256"/>
      <c r="DF38" s="256"/>
      <c r="DG38" s="256"/>
      <c r="DH38" s="256"/>
      <c r="DI38" s="256"/>
      <c r="DJ38" s="256"/>
      <c r="DK38" s="256"/>
      <c r="DL38" s="256"/>
      <c r="DM38" s="256"/>
      <c r="DN38" s="256"/>
      <c r="DO38" s="256"/>
      <c r="DP38" s="256"/>
      <c r="DQ38" s="256"/>
      <c r="DR38" s="256"/>
      <c r="DS38" s="256"/>
      <c r="DT38" s="256"/>
      <c r="DU38" s="256"/>
      <c r="DV38" s="256"/>
      <c r="DW38" s="256"/>
      <c r="DX38" s="256"/>
      <c r="DY38" s="256"/>
      <c r="DZ38" s="256"/>
      <c r="EA38" s="256"/>
      <c r="EB38" s="256"/>
      <c r="EC38" s="256"/>
      <c r="ED38" s="256"/>
      <c r="EE38" s="256"/>
      <c r="EF38" s="256"/>
      <c r="EG38" s="256"/>
      <c r="EH38" s="256"/>
      <c r="EI38" s="256"/>
      <c r="EJ38" s="256"/>
      <c r="EK38" s="256"/>
      <c r="EL38" s="256"/>
      <c r="EM38" s="256"/>
      <c r="EN38" s="256"/>
      <c r="EO38" s="256"/>
      <c r="EP38" s="256"/>
      <c r="EQ38" s="256"/>
      <c r="ER38" s="256"/>
      <c r="ES38" s="256"/>
      <c r="ET38" s="256"/>
      <c r="EU38" s="256"/>
      <c r="EV38" s="256"/>
      <c r="EW38" s="256"/>
      <c r="EX38" s="256"/>
      <c r="EY38" s="256"/>
      <c r="EZ38" s="256"/>
      <c r="FA38" s="256"/>
      <c r="FB38" s="256"/>
      <c r="FC38" s="256"/>
      <c r="FD38" s="256"/>
      <c r="FE38" s="256"/>
      <c r="FF38" s="256"/>
      <c r="FG38" s="256"/>
      <c r="FH38" s="256"/>
      <c r="FI38" s="256"/>
      <c r="FJ38" s="256"/>
      <c r="FK38" s="256"/>
      <c r="FL38" s="256"/>
      <c r="FM38" s="256"/>
      <c r="FN38" s="256"/>
      <c r="FO38" s="256"/>
      <c r="FP38" s="256"/>
      <c r="FQ38" s="256"/>
      <c r="FR38" s="256"/>
      <c r="FS38" s="256"/>
      <c r="FT38" s="256"/>
      <c r="FU38" s="256"/>
      <c r="FV38" s="256"/>
      <c r="FW38" s="256"/>
      <c r="FX38" s="256"/>
      <c r="FY38" s="256"/>
      <c r="FZ38" s="256"/>
      <c r="GA38" s="256"/>
      <c r="GB38" s="256"/>
      <c r="GC38" s="256"/>
      <c r="GD38" s="256"/>
      <c r="GE38" s="256"/>
      <c r="GF38" s="256"/>
      <c r="GG38" s="256"/>
      <c r="GH38" s="256"/>
      <c r="GI38" s="256"/>
      <c r="GJ38" s="256"/>
      <c r="GK38" s="256"/>
      <c r="GL38" s="256"/>
      <c r="GM38" s="256"/>
      <c r="GN38" s="256"/>
      <c r="GO38" s="256"/>
      <c r="GP38" s="256"/>
      <c r="GQ38" s="256"/>
      <c r="GR38" s="256"/>
      <c r="GS38" s="256"/>
      <c r="GT38" s="256"/>
      <c r="GU38" s="256"/>
      <c r="GV38" s="256"/>
      <c r="GW38" s="256"/>
      <c r="GX38" s="256"/>
      <c r="GY38" s="256"/>
      <c r="GZ38" s="256"/>
      <c r="HA38" s="256"/>
      <c r="HB38" s="256"/>
      <c r="HC38" s="256"/>
      <c r="HD38" s="256"/>
      <c r="HE38" s="256"/>
      <c r="HF38" s="256"/>
      <c r="HG38" s="256"/>
      <c r="HH38" s="256"/>
      <c r="HI38" s="256"/>
      <c r="HJ38" s="256"/>
      <c r="HK38" s="256"/>
      <c r="HL38" s="256"/>
      <c r="HM38" s="256"/>
      <c r="HN38" s="256"/>
      <c r="HO38" s="256"/>
      <c r="HP38" s="256"/>
      <c r="HQ38" s="256"/>
      <c r="HR38" s="256"/>
      <c r="HS38" s="256"/>
      <c r="HT38" s="256"/>
      <c r="HU38" s="256"/>
      <c r="HV38" s="256"/>
      <c r="HW38" s="256"/>
      <c r="HX38" s="256"/>
      <c r="HY38" s="256"/>
      <c r="HZ38" s="256"/>
      <c r="IA38" s="256"/>
      <c r="IB38" s="256"/>
      <c r="IC38" s="256"/>
      <c r="ID38" s="256"/>
      <c r="IE38" s="256"/>
      <c r="IF38" s="256"/>
      <c r="IG38" s="256"/>
      <c r="IH38" s="256"/>
      <c r="II38" s="256"/>
      <c r="IJ38" s="256"/>
      <c r="IK38" s="256"/>
      <c r="IL38" s="256"/>
      <c r="IM38" s="256"/>
      <c r="IN38" s="256"/>
      <c r="IO38" s="256"/>
      <c r="IP38" s="256"/>
      <c r="IQ38" s="256"/>
      <c r="IR38" s="256"/>
      <c r="IS38" s="256"/>
      <c r="IT38" s="256"/>
      <c r="IU38" s="256"/>
      <c r="IV38" s="256"/>
      <c r="IW38" s="256"/>
      <c r="IX38" s="256"/>
      <c r="IY38" s="256"/>
      <c r="IZ38" s="256"/>
      <c r="JA38" s="256"/>
      <c r="JB38" s="256"/>
      <c r="JC38" s="256"/>
      <c r="JD38" s="256"/>
      <c r="JE38" s="256"/>
      <c r="JF38" s="256"/>
      <c r="JG38" s="256"/>
      <c r="JH38" s="256"/>
      <c r="JI38" s="256"/>
      <c r="JJ38" s="256"/>
      <c r="JK38" s="256"/>
      <c r="JL38" s="256"/>
      <c r="JM38" s="256"/>
      <c r="JN38" s="256"/>
      <c r="JO38" s="256"/>
      <c r="JP38" s="256"/>
      <c r="JQ38" s="256"/>
      <c r="JR38" s="256"/>
      <c r="JS38" s="256"/>
      <c r="JT38" s="256"/>
      <c r="JU38" s="256"/>
      <c r="JV38" s="256"/>
      <c r="JW38" s="256"/>
      <c r="JX38" s="256"/>
      <c r="JY38" s="256"/>
      <c r="JZ38" s="256"/>
      <c r="KA38" s="256"/>
      <c r="KB38" s="256"/>
      <c r="KC38" s="256"/>
      <c r="KD38" s="256"/>
      <c r="KE38" s="256"/>
      <c r="KF38" s="256"/>
      <c r="KG38" s="256"/>
      <c r="KH38" s="256"/>
      <c r="KI38" s="256"/>
      <c r="KJ38" s="256"/>
      <c r="KK38" s="256"/>
      <c r="KL38" s="256"/>
      <c r="KM38" s="256"/>
      <c r="KN38" s="256"/>
      <c r="KO38" s="256"/>
      <c r="KP38" s="256"/>
      <c r="KQ38" s="256"/>
      <c r="KR38" s="256"/>
      <c r="KS38" s="256"/>
      <c r="KT38" s="256"/>
      <c r="KU38" s="256"/>
      <c r="KV38" s="256"/>
      <c r="KW38" s="256"/>
      <c r="KX38" s="256"/>
      <c r="KY38" s="256"/>
      <c r="KZ38" s="256"/>
      <c r="LA38" s="256"/>
      <c r="LB38" s="256"/>
      <c r="LC38" s="256"/>
      <c r="LD38" s="256"/>
      <c r="LE38" s="256"/>
      <c r="LF38" s="256"/>
      <c r="LG38" s="256"/>
      <c r="LH38" s="256"/>
      <c r="LI38" s="256"/>
      <c r="LJ38" s="256"/>
      <c r="LK38" s="256"/>
      <c r="LL38" s="256"/>
      <c r="LM38" s="256"/>
      <c r="LN38" s="256"/>
      <c r="LO38" s="256"/>
      <c r="LP38" s="256"/>
      <c r="LQ38" s="256"/>
      <c r="LR38" s="256"/>
      <c r="LS38" s="256"/>
      <c r="LT38" s="256"/>
      <c r="LU38" s="256"/>
      <c r="LV38" s="256"/>
      <c r="LW38" s="256"/>
      <c r="LX38" s="256"/>
      <c r="LY38" s="256"/>
      <c r="LZ38" s="256"/>
      <c r="MA38" s="256"/>
      <c r="MB38" s="256"/>
      <c r="MC38" s="256"/>
      <c r="MD38" s="256"/>
      <c r="ME38" s="256"/>
      <c r="MF38" s="256"/>
      <c r="MG38" s="256"/>
      <c r="MH38" s="256"/>
      <c r="MI38" s="256"/>
      <c r="MJ38" s="256"/>
      <c r="MK38" s="256"/>
      <c r="ML38" s="256"/>
      <c r="MM38" s="256"/>
      <c r="MN38" s="256"/>
      <c r="MO38" s="256"/>
      <c r="MP38" s="256"/>
      <c r="MQ38" s="256"/>
      <c r="MR38" s="256"/>
      <c r="MS38" s="256"/>
      <c r="MT38" s="256"/>
      <c r="MU38" s="256"/>
      <c r="MV38" s="256"/>
      <c r="MW38" s="256"/>
      <c r="MX38" s="256"/>
      <c r="MY38" s="256"/>
      <c r="MZ38" s="256"/>
      <c r="NA38" s="256"/>
      <c r="NB38" s="256"/>
      <c r="NC38" s="256"/>
      <c r="ND38" s="256"/>
      <c r="NE38" s="256"/>
      <c r="NF38" s="256"/>
      <c r="NG38" s="256"/>
      <c r="NH38" s="256"/>
      <c r="NI38" s="256"/>
      <c r="NJ38" s="256"/>
      <c r="NK38" s="256"/>
      <c r="NL38" s="256"/>
      <c r="NM38" s="256"/>
      <c r="NN38" s="256"/>
      <c r="NO38" s="256"/>
      <c r="NP38" s="256"/>
      <c r="NQ38" s="256"/>
      <c r="NR38" s="256"/>
      <c r="NS38" s="256"/>
      <c r="NT38" s="256"/>
      <c r="NU38" s="256"/>
      <c r="NV38" s="256"/>
      <c r="NW38" s="256"/>
      <c r="NX38" s="256"/>
      <c r="NY38" s="256"/>
      <c r="NZ38" s="256"/>
      <c r="OA38" s="256"/>
      <c r="OB38" s="256"/>
      <c r="OC38" s="256"/>
      <c r="OD38" s="256"/>
      <c r="OE38" s="256"/>
      <c r="OF38" s="256"/>
      <c r="OG38" s="256"/>
      <c r="OH38" s="256"/>
      <c r="OI38" s="256"/>
      <c r="OJ38" s="256"/>
      <c r="OK38" s="256"/>
      <c r="OL38" s="256"/>
      <c r="OM38" s="256"/>
      <c r="ON38" s="256"/>
      <c r="OO38" s="256"/>
      <c r="OP38" s="256"/>
      <c r="OQ38" s="256"/>
      <c r="OR38" s="256"/>
      <c r="OS38" s="256"/>
      <c r="OT38" s="256"/>
      <c r="OU38" s="256"/>
      <c r="OV38" s="256"/>
      <c r="OW38" s="256"/>
      <c r="OX38" s="256"/>
      <c r="OY38" s="256"/>
      <c r="OZ38" s="256"/>
      <c r="PA38" s="256"/>
      <c r="PB38" s="256"/>
      <c r="PC38" s="256"/>
      <c r="PD38" s="256"/>
      <c r="PE38" s="256"/>
      <c r="PF38" s="256"/>
      <c r="PG38" s="256"/>
      <c r="PH38" s="256"/>
      <c r="PI38" s="256"/>
      <c r="PJ38" s="256"/>
      <c r="PK38" s="256"/>
      <c r="PL38" s="256"/>
      <c r="PM38" s="256"/>
      <c r="PN38" s="256"/>
      <c r="PO38" s="256"/>
      <c r="PP38" s="256"/>
      <c r="PQ38" s="256"/>
      <c r="PR38" s="256"/>
      <c r="PS38" s="256"/>
      <c r="PT38" s="256"/>
      <c r="PU38" s="256"/>
      <c r="PV38" s="256"/>
      <c r="PW38" s="256"/>
      <c r="PX38" s="256"/>
      <c r="PY38" s="256"/>
      <c r="PZ38" s="256"/>
      <c r="QA38" s="256"/>
      <c r="QB38" s="256"/>
      <c r="QC38" s="256"/>
      <c r="QD38" s="256"/>
      <c r="QE38" s="256"/>
      <c r="QF38" s="256"/>
      <c r="QG38" s="256"/>
      <c r="QH38" s="256"/>
      <c r="QI38" s="256"/>
      <c r="QJ38" s="256"/>
      <c r="QK38" s="256"/>
      <c r="QL38" s="256"/>
      <c r="QM38" s="256"/>
      <c r="QN38" s="256"/>
      <c r="QO38" s="256"/>
      <c r="QP38" s="256"/>
      <c r="QQ38" s="256"/>
      <c r="QR38" s="256"/>
      <c r="QS38" s="256"/>
      <c r="QT38" s="256"/>
      <c r="QU38" s="256"/>
      <c r="QV38" s="256"/>
      <c r="QW38" s="256"/>
      <c r="QX38" s="256"/>
      <c r="QY38" s="256"/>
      <c r="QZ38" s="256"/>
      <c r="RA38" s="256"/>
      <c r="RB38" s="256"/>
      <c r="RC38" s="256"/>
      <c r="RD38" s="256"/>
      <c r="RE38" s="256"/>
      <c r="RF38" s="256"/>
      <c r="RG38" s="256"/>
      <c r="RH38" s="256"/>
      <c r="RI38" s="256"/>
      <c r="RJ38" s="256"/>
      <c r="RK38" s="256"/>
      <c r="RL38" s="256"/>
      <c r="RM38" s="256"/>
      <c r="RN38" s="256"/>
      <c r="RO38" s="256"/>
      <c r="RP38" s="256"/>
      <c r="RQ38" s="256"/>
      <c r="RR38" s="256"/>
      <c r="RS38" s="256"/>
      <c r="RT38" s="256"/>
      <c r="RU38" s="256"/>
      <c r="RV38" s="256"/>
      <c r="RW38" s="256"/>
      <c r="RX38" s="256"/>
      <c r="RY38" s="256"/>
      <c r="RZ38" s="256"/>
      <c r="SA38" s="256"/>
      <c r="SB38" s="256"/>
      <c r="SC38" s="256"/>
      <c r="SD38" s="256"/>
      <c r="SE38" s="256"/>
      <c r="SF38" s="256"/>
      <c r="SG38" s="256"/>
      <c r="SH38" s="256"/>
      <c r="SI38" s="256"/>
      <c r="SJ38" s="256"/>
      <c r="SK38" s="256"/>
      <c r="SL38" s="256"/>
      <c r="SM38" s="256"/>
      <c r="SN38" s="256"/>
      <c r="SO38" s="256"/>
      <c r="SP38" s="256"/>
      <c r="SQ38" s="256"/>
      <c r="SR38" s="256"/>
      <c r="SS38" s="256"/>
      <c r="ST38" s="256"/>
      <c r="SU38" s="256"/>
      <c r="SV38" s="256"/>
      <c r="SW38" s="256"/>
      <c r="SX38" s="256"/>
      <c r="SY38" s="256"/>
      <c r="SZ38" s="256"/>
      <c r="TA38" s="256"/>
      <c r="TB38" s="256"/>
      <c r="TC38" s="256"/>
      <c r="TD38" s="256"/>
      <c r="TE38" s="256"/>
      <c r="TF38" s="256"/>
      <c r="TG38" s="256"/>
      <c r="TH38" s="256"/>
      <c r="TI38" s="256"/>
      <c r="TJ38" s="256"/>
      <c r="TK38" s="256"/>
      <c r="TL38" s="256"/>
      <c r="TM38" s="256"/>
      <c r="TN38" s="256"/>
      <c r="TO38" s="256"/>
      <c r="TP38" s="256"/>
      <c r="TQ38" s="256"/>
      <c r="TR38" s="256"/>
      <c r="TS38" s="256"/>
      <c r="TT38" s="256"/>
      <c r="TU38" s="256"/>
      <c r="TV38" s="256"/>
      <c r="TW38" s="256"/>
      <c r="TX38" s="256"/>
      <c r="TY38" s="256"/>
      <c r="TZ38" s="256"/>
      <c r="UA38" s="256"/>
      <c r="UB38" s="256"/>
      <c r="UC38" s="256"/>
      <c r="UD38" s="256"/>
      <c r="UE38" s="256"/>
      <c r="UF38" s="256"/>
      <c r="UG38" s="256"/>
      <c r="UH38" s="256"/>
      <c r="UI38" s="256"/>
      <c r="UJ38" s="256"/>
      <c r="UK38" s="256"/>
      <c r="UL38" s="256"/>
      <c r="UM38" s="256"/>
      <c r="UN38" s="256"/>
      <c r="UO38" s="256"/>
      <c r="UP38" s="256"/>
      <c r="UQ38" s="256"/>
      <c r="UR38" s="256"/>
      <c r="US38" s="256"/>
      <c r="UT38" s="256"/>
      <c r="UU38" s="256"/>
      <c r="UV38" s="256"/>
      <c r="UW38" s="256"/>
      <c r="UX38" s="256"/>
      <c r="UY38" s="256"/>
      <c r="UZ38" s="256"/>
      <c r="VA38" s="256"/>
      <c r="VB38" s="256"/>
      <c r="VC38" s="256"/>
      <c r="VD38" s="256"/>
      <c r="VE38" s="256"/>
      <c r="VF38" s="256"/>
      <c r="VG38" s="256"/>
      <c r="VH38" s="256"/>
      <c r="VI38" s="256"/>
      <c r="VJ38" s="256"/>
      <c r="VK38" s="256"/>
      <c r="VL38" s="256"/>
      <c r="VM38" s="256"/>
      <c r="VN38" s="256"/>
      <c r="VO38" s="256"/>
      <c r="VP38" s="256"/>
      <c r="VQ38" s="256"/>
      <c r="VR38" s="256"/>
      <c r="VS38" s="256"/>
      <c r="VT38" s="256"/>
      <c r="VU38" s="256"/>
      <c r="VV38" s="256"/>
      <c r="VW38" s="256"/>
      <c r="VX38" s="256"/>
      <c r="VY38" s="256"/>
      <c r="VZ38" s="256"/>
      <c r="WA38" s="256"/>
      <c r="WB38" s="256"/>
      <c r="WC38" s="256"/>
      <c r="WD38" s="256"/>
      <c r="WE38" s="256"/>
      <c r="WF38" s="256"/>
      <c r="WG38" s="256"/>
      <c r="WH38" s="256"/>
      <c r="WI38" s="256"/>
      <c r="WJ38" s="256"/>
      <c r="WK38" s="256"/>
      <c r="WL38" s="256"/>
      <c r="WM38" s="256"/>
      <c r="WN38" s="256"/>
      <c r="WO38" s="256"/>
      <c r="WP38" s="256"/>
      <c r="WQ38" s="256"/>
      <c r="WR38" s="256"/>
      <c r="WS38" s="256"/>
      <c r="WT38" s="256"/>
      <c r="WU38" s="256"/>
      <c r="WV38" s="256"/>
      <c r="WW38" s="256"/>
      <c r="WX38" s="256"/>
      <c r="WY38" s="256"/>
      <c r="WZ38" s="256"/>
      <c r="XA38" s="256"/>
      <c r="XB38" s="256"/>
      <c r="XC38" s="256"/>
      <c r="XD38" s="256"/>
      <c r="XE38" s="256"/>
      <c r="XF38" s="256"/>
      <c r="XG38" s="256"/>
      <c r="XH38" s="256"/>
      <c r="XI38" s="256"/>
      <c r="XJ38" s="256"/>
      <c r="XK38" s="256"/>
      <c r="XL38" s="256"/>
      <c r="XM38" s="256"/>
      <c r="XN38" s="256"/>
      <c r="XO38" s="256"/>
      <c r="XP38" s="256"/>
      <c r="XQ38" s="256"/>
      <c r="XR38" s="256"/>
      <c r="XS38" s="256"/>
      <c r="XT38" s="256"/>
      <c r="XU38" s="256"/>
      <c r="XV38" s="256"/>
      <c r="XW38" s="256"/>
      <c r="XX38" s="256"/>
      <c r="XY38" s="256"/>
      <c r="XZ38" s="256"/>
      <c r="YA38" s="256"/>
      <c r="YB38" s="256"/>
      <c r="YC38" s="256"/>
      <c r="YD38" s="256"/>
      <c r="YE38" s="256"/>
      <c r="YF38" s="256"/>
      <c r="YG38" s="256"/>
      <c r="YH38" s="256"/>
      <c r="YI38" s="256"/>
      <c r="YJ38" s="256"/>
      <c r="YK38" s="256"/>
      <c r="YL38" s="256"/>
      <c r="YM38" s="256"/>
      <c r="YN38" s="256"/>
      <c r="YO38" s="256"/>
      <c r="YP38" s="256"/>
      <c r="YQ38" s="256"/>
      <c r="YR38" s="256"/>
      <c r="YS38" s="256"/>
      <c r="YT38" s="256"/>
      <c r="YU38" s="256"/>
      <c r="YV38" s="256"/>
      <c r="YW38" s="256"/>
      <c r="YX38" s="256"/>
      <c r="YY38" s="256"/>
      <c r="YZ38" s="256"/>
      <c r="ZA38" s="256"/>
      <c r="ZB38" s="256"/>
      <c r="ZC38" s="256"/>
      <c r="ZD38" s="256"/>
      <c r="ZE38" s="256"/>
      <c r="ZF38" s="256"/>
      <c r="ZG38" s="256"/>
      <c r="ZH38" s="256"/>
      <c r="ZI38" s="256"/>
      <c r="ZJ38" s="256"/>
      <c r="ZK38" s="256"/>
      <c r="ZL38" s="256"/>
      <c r="ZM38" s="256"/>
      <c r="ZN38" s="256"/>
      <c r="ZO38" s="256"/>
      <c r="ZP38" s="256"/>
      <c r="ZQ38" s="256"/>
      <c r="ZR38" s="256"/>
      <c r="ZS38" s="256"/>
      <c r="ZT38" s="256"/>
      <c r="ZU38" s="256"/>
      <c r="ZV38" s="256"/>
      <c r="ZW38" s="256"/>
      <c r="ZX38" s="256"/>
      <c r="ZY38" s="256"/>
      <c r="ZZ38" s="256"/>
      <c r="AAA38" s="256"/>
      <c r="AAB38" s="256"/>
      <c r="AAC38" s="256"/>
      <c r="AAD38" s="256"/>
      <c r="AAE38" s="256"/>
      <c r="AAF38" s="256"/>
      <c r="AAG38" s="256"/>
      <c r="AAH38" s="256"/>
      <c r="AAI38" s="256"/>
      <c r="AAJ38" s="256"/>
      <c r="AAK38" s="256"/>
      <c r="AAL38" s="256"/>
      <c r="AAM38" s="256"/>
      <c r="AAN38" s="256"/>
      <c r="AAO38" s="256"/>
      <c r="AAP38" s="256"/>
      <c r="AAQ38" s="256"/>
      <c r="AAR38" s="256"/>
      <c r="AAS38" s="256"/>
      <c r="AAT38" s="256"/>
      <c r="AAU38" s="256"/>
      <c r="AAV38" s="256"/>
      <c r="AAW38" s="256"/>
      <c r="AAX38" s="256"/>
      <c r="AAY38" s="256"/>
      <c r="AAZ38" s="256"/>
      <c r="ABA38" s="256"/>
      <c r="ABB38" s="256"/>
      <c r="ABC38" s="256"/>
      <c r="ABD38" s="256"/>
      <c r="ABE38" s="256"/>
      <c r="ABF38" s="256"/>
      <c r="ABG38" s="256"/>
      <c r="ABH38" s="256"/>
      <c r="ABI38" s="256"/>
      <c r="ABJ38" s="256"/>
      <c r="ABK38" s="256"/>
      <c r="ABL38" s="256"/>
      <c r="ABM38" s="256"/>
      <c r="ABN38" s="256"/>
      <c r="ABO38" s="256"/>
      <c r="ABP38" s="256"/>
      <c r="ABQ38" s="256"/>
      <c r="ABR38" s="256"/>
      <c r="ABS38" s="256"/>
      <c r="ABT38" s="256"/>
      <c r="ABU38" s="256"/>
      <c r="ABV38" s="256"/>
      <c r="ABW38" s="256"/>
      <c r="ABX38" s="256"/>
      <c r="ABY38" s="256"/>
      <c r="ABZ38" s="256"/>
      <c r="ACA38" s="256"/>
      <c r="ACB38" s="256"/>
      <c r="ACC38" s="256"/>
      <c r="ACD38" s="256"/>
      <c r="ACE38" s="256"/>
      <c r="ACF38" s="256"/>
      <c r="ACG38" s="256"/>
      <c r="ACH38" s="256"/>
      <c r="ACI38" s="256"/>
      <c r="ACJ38" s="256"/>
      <c r="ACK38" s="256"/>
      <c r="ACL38" s="256"/>
      <c r="ACM38" s="256"/>
      <c r="ACN38" s="256"/>
      <c r="ACO38" s="256"/>
      <c r="ACP38" s="256"/>
      <c r="ACQ38" s="256"/>
      <c r="ACR38" s="256"/>
      <c r="ACS38" s="256"/>
      <c r="ACT38" s="256"/>
      <c r="ACU38" s="256"/>
      <c r="ACV38" s="256"/>
      <c r="ACW38" s="256"/>
      <c r="ACX38" s="256"/>
      <c r="ACY38" s="256"/>
      <c r="ACZ38" s="256"/>
      <c r="ADA38" s="256"/>
      <c r="ADB38" s="256"/>
      <c r="ADC38" s="256"/>
      <c r="ADD38" s="256"/>
      <c r="ADE38" s="256"/>
      <c r="ADF38" s="256"/>
      <c r="ADG38" s="256"/>
      <c r="ADH38" s="256"/>
      <c r="ADI38" s="256"/>
      <c r="ADJ38" s="256"/>
      <c r="ADK38" s="256"/>
      <c r="ADL38" s="256"/>
      <c r="ADM38" s="256"/>
      <c r="ADN38" s="256"/>
      <c r="ADO38" s="256"/>
      <c r="ADP38" s="256"/>
      <c r="ADQ38" s="256"/>
      <c r="ADR38" s="256"/>
      <c r="ADS38" s="256"/>
      <c r="ADT38" s="256"/>
      <c r="ADU38" s="256"/>
      <c r="ADV38" s="256"/>
      <c r="ADW38" s="256"/>
      <c r="ADX38" s="256"/>
      <c r="ADY38" s="256"/>
      <c r="ADZ38" s="256"/>
      <c r="AEA38" s="256"/>
      <c r="AEB38" s="256"/>
      <c r="AEC38" s="256"/>
      <c r="AED38" s="256"/>
      <c r="AEE38" s="256"/>
      <c r="AEF38" s="256"/>
      <c r="AEG38" s="256"/>
      <c r="AEH38" s="256"/>
      <c r="AEI38" s="256"/>
      <c r="AEJ38" s="256"/>
      <c r="AEK38" s="256"/>
      <c r="AEL38" s="256"/>
      <c r="AEM38" s="256"/>
      <c r="AEN38" s="256"/>
      <c r="AEO38" s="256"/>
      <c r="AEP38" s="256"/>
      <c r="AEQ38" s="256"/>
      <c r="AER38" s="256"/>
      <c r="AES38" s="256"/>
      <c r="AET38" s="256"/>
      <c r="AEU38" s="256"/>
      <c r="AEV38" s="256"/>
      <c r="AEW38" s="256"/>
      <c r="AEX38" s="256"/>
      <c r="AEY38" s="256"/>
      <c r="AEZ38" s="256"/>
      <c r="AFA38" s="256"/>
      <c r="AFB38" s="256"/>
      <c r="AFC38" s="256"/>
      <c r="AFD38" s="256"/>
      <c r="AFE38" s="256"/>
      <c r="AFF38" s="256"/>
      <c r="AFG38" s="256"/>
      <c r="AFH38" s="256"/>
      <c r="AFI38" s="256"/>
      <c r="AFJ38" s="256"/>
      <c r="AFK38" s="256"/>
      <c r="AFL38" s="256"/>
      <c r="AFM38" s="256"/>
      <c r="AFN38" s="256"/>
      <c r="AFO38" s="256"/>
      <c r="AFP38" s="256"/>
      <c r="AFQ38" s="256"/>
      <c r="AFR38" s="256"/>
      <c r="AFS38" s="256"/>
      <c r="AFT38" s="256"/>
      <c r="AFU38" s="256"/>
      <c r="AFV38" s="256"/>
      <c r="AFW38" s="256"/>
      <c r="AFX38" s="256"/>
      <c r="AFY38" s="256"/>
      <c r="AFZ38" s="256"/>
      <c r="AGA38" s="256"/>
      <c r="AGB38" s="256"/>
      <c r="AGC38" s="256"/>
      <c r="AGD38" s="256"/>
      <c r="AGE38" s="256"/>
      <c r="AGF38" s="256"/>
      <c r="AGG38" s="256"/>
      <c r="AGH38" s="256"/>
      <c r="AGI38" s="256"/>
      <c r="AGJ38" s="256"/>
      <c r="AGK38" s="256"/>
      <c r="AGL38" s="256"/>
      <c r="AGM38" s="256"/>
      <c r="AGN38" s="256"/>
      <c r="AGO38" s="256"/>
      <c r="AGP38" s="256"/>
      <c r="AGQ38" s="256"/>
      <c r="AGR38" s="256"/>
      <c r="AGS38" s="256"/>
      <c r="AGT38" s="256"/>
      <c r="AGU38" s="256"/>
      <c r="AGV38" s="256"/>
      <c r="AGW38" s="256"/>
      <c r="AGX38" s="256"/>
      <c r="AGY38" s="256"/>
      <c r="AGZ38" s="256"/>
      <c r="AHA38" s="256"/>
      <c r="AHB38" s="256"/>
      <c r="AHC38" s="256"/>
      <c r="AHD38" s="256"/>
      <c r="AHE38" s="256"/>
      <c r="AHF38" s="256"/>
      <c r="AHG38" s="256"/>
      <c r="AHH38" s="256"/>
      <c r="AHI38" s="256"/>
      <c r="AHJ38" s="256"/>
      <c r="AHK38" s="256"/>
      <c r="AHL38" s="256"/>
      <c r="AHM38" s="256"/>
      <c r="AHN38" s="256"/>
      <c r="AHO38" s="256"/>
      <c r="AHP38" s="256"/>
      <c r="AHQ38" s="256"/>
      <c r="AHR38" s="256"/>
      <c r="AHS38" s="256"/>
      <c r="AHT38" s="256"/>
      <c r="AHU38" s="256"/>
      <c r="AHV38" s="256"/>
      <c r="AHW38" s="256"/>
      <c r="AHX38" s="256"/>
      <c r="AHY38" s="256"/>
      <c r="AHZ38" s="256"/>
      <c r="AIA38" s="256"/>
      <c r="AIB38" s="256"/>
      <c r="AIC38" s="256"/>
      <c r="AID38" s="256"/>
      <c r="AIE38" s="256"/>
      <c r="AIF38" s="256"/>
      <c r="AIG38" s="256"/>
      <c r="AIH38" s="256"/>
      <c r="AII38" s="256"/>
      <c r="AIJ38" s="256"/>
      <c r="AIK38" s="256"/>
      <c r="AIL38" s="256"/>
      <c r="AIM38" s="256"/>
      <c r="AIN38" s="256"/>
      <c r="AIO38" s="256"/>
      <c r="AIP38" s="256"/>
      <c r="AIQ38" s="256"/>
      <c r="AIR38" s="256"/>
      <c r="AIS38" s="256"/>
      <c r="AIT38" s="256"/>
      <c r="AIU38" s="256"/>
      <c r="AIV38" s="256"/>
      <c r="AIW38" s="256"/>
      <c r="AIX38" s="256"/>
      <c r="AIY38" s="256"/>
      <c r="AIZ38" s="256"/>
      <c r="AJA38" s="256"/>
      <c r="AJB38" s="256"/>
      <c r="AJC38" s="256"/>
      <c r="AJD38" s="256"/>
      <c r="AJE38" s="256"/>
      <c r="AJF38" s="256"/>
      <c r="AJG38" s="256"/>
      <c r="AJH38" s="256"/>
      <c r="AJI38" s="256"/>
      <c r="AJJ38" s="256"/>
      <c r="AJK38" s="256"/>
      <c r="AJL38" s="256"/>
      <c r="AJM38" s="256"/>
      <c r="AJN38" s="256"/>
      <c r="AJO38" s="256"/>
      <c r="AJP38" s="256"/>
      <c r="AJQ38" s="256"/>
      <c r="AJR38" s="256"/>
      <c r="AJS38" s="256"/>
      <c r="AJT38" s="256"/>
      <c r="AJU38" s="256"/>
      <c r="AJV38" s="256"/>
      <c r="AJW38" s="256"/>
      <c r="AJX38" s="256"/>
      <c r="AJY38" s="256"/>
      <c r="AJZ38" s="256"/>
      <c r="AKA38" s="256"/>
      <c r="AKB38" s="256"/>
      <c r="AKC38" s="256"/>
      <c r="AKD38" s="256"/>
      <c r="AKE38" s="256"/>
      <c r="AKF38" s="256"/>
      <c r="AKG38" s="256"/>
      <c r="AKH38" s="256"/>
      <c r="AKI38" s="256"/>
      <c r="AKJ38" s="256"/>
      <c r="AKK38" s="256"/>
      <c r="AKL38" s="256"/>
      <c r="AKM38" s="256"/>
      <c r="AKN38" s="256"/>
      <c r="AKO38" s="256"/>
      <c r="AKP38" s="256"/>
      <c r="AKQ38" s="256"/>
      <c r="AKR38" s="256"/>
      <c r="AKS38" s="256"/>
      <c r="AKT38" s="256"/>
      <c r="AKU38" s="256"/>
      <c r="AKV38" s="256"/>
      <c r="AKW38" s="256"/>
      <c r="AKX38" s="256"/>
      <c r="AKY38" s="256"/>
      <c r="AKZ38" s="256"/>
      <c r="ALA38" s="256"/>
      <c r="ALB38" s="256"/>
      <c r="ALC38" s="256"/>
      <c r="ALD38" s="256"/>
      <c r="ALE38" s="256"/>
      <c r="ALF38" s="256"/>
      <c r="ALG38" s="256"/>
      <c r="ALH38" s="256"/>
      <c r="ALI38" s="256"/>
      <c r="ALJ38" s="256"/>
      <c r="ALK38" s="256"/>
      <c r="ALL38" s="256"/>
      <c r="ALM38" s="256"/>
      <c r="ALN38" s="256"/>
      <c r="ALO38" s="256"/>
      <c r="ALP38" s="256"/>
      <c r="ALQ38" s="256"/>
      <c r="ALR38" s="256"/>
      <c r="ALS38" s="256"/>
      <c r="ALT38" s="256"/>
      <c r="ALU38" s="258"/>
      <c r="ALV38" s="258"/>
      <c r="ALW38" s="258"/>
      <c r="ALX38" s="258"/>
      <c r="ALY38" s="258"/>
      <c r="ALZ38" s="258"/>
      <c r="AMA38" s="258"/>
      <c r="AMB38" s="258"/>
      <c r="AMC38" s="258"/>
      <c r="AMD38" s="258"/>
      <c r="AME38" s="258"/>
      <c r="AMF38" s="258"/>
      <c r="AMG38" s="258"/>
      <c r="AMH38" s="258"/>
      <c r="AMI38" s="256"/>
    </row>
    <row r="39" spans="1:1023" s="259" customFormat="1" x14ac:dyDescent="0.25">
      <c r="A39" s="256"/>
      <c r="B39" s="256"/>
      <c r="C39" s="256"/>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256"/>
      <c r="BJ39" s="256"/>
      <c r="BK39" s="256"/>
      <c r="BL39" s="256"/>
      <c r="BM39" s="256"/>
      <c r="BN39" s="256"/>
      <c r="BO39" s="256"/>
      <c r="BP39" s="256"/>
      <c r="BQ39" s="256"/>
      <c r="BR39" s="256"/>
      <c r="BS39" s="256"/>
      <c r="BT39" s="256"/>
      <c r="BU39" s="256"/>
      <c r="BV39" s="256"/>
      <c r="BW39" s="256"/>
      <c r="BX39" s="256"/>
      <c r="BY39" s="256"/>
      <c r="BZ39" s="256"/>
      <c r="CA39" s="256"/>
      <c r="CB39" s="256"/>
      <c r="CC39" s="256"/>
      <c r="CD39" s="256"/>
      <c r="CE39" s="256"/>
      <c r="CF39" s="256"/>
      <c r="CG39" s="256"/>
      <c r="CH39" s="256"/>
      <c r="CI39" s="256"/>
      <c r="CJ39" s="256"/>
      <c r="CK39" s="256"/>
      <c r="CL39" s="256"/>
      <c r="CM39" s="256"/>
      <c r="CN39" s="256"/>
      <c r="CO39" s="256"/>
      <c r="CP39" s="256"/>
      <c r="CQ39" s="256"/>
      <c r="CR39" s="256"/>
      <c r="CS39" s="256"/>
      <c r="CT39" s="256"/>
      <c r="CU39" s="256"/>
      <c r="CV39" s="256"/>
      <c r="CW39" s="256"/>
      <c r="CX39" s="256"/>
      <c r="CY39" s="256"/>
      <c r="CZ39" s="256"/>
      <c r="DA39" s="256"/>
      <c r="DB39" s="256"/>
      <c r="DC39" s="256"/>
      <c r="DD39" s="256"/>
      <c r="DE39" s="256"/>
      <c r="DF39" s="256"/>
      <c r="DG39" s="256"/>
      <c r="DH39" s="256"/>
      <c r="DI39" s="256"/>
      <c r="DJ39" s="256"/>
      <c r="DK39" s="256"/>
      <c r="DL39" s="256"/>
      <c r="DM39" s="256"/>
      <c r="DN39" s="256"/>
      <c r="DO39" s="256"/>
      <c r="DP39" s="256"/>
      <c r="DQ39" s="256"/>
      <c r="DR39" s="256"/>
      <c r="DS39" s="256"/>
      <c r="DT39" s="256"/>
      <c r="DU39" s="256"/>
      <c r="DV39" s="256"/>
      <c r="DW39" s="256"/>
      <c r="DX39" s="256"/>
      <c r="DY39" s="256"/>
      <c r="DZ39" s="256"/>
      <c r="EA39" s="256"/>
      <c r="EB39" s="256"/>
      <c r="EC39" s="256"/>
      <c r="ED39" s="256"/>
      <c r="EE39" s="256"/>
      <c r="EF39" s="256"/>
      <c r="EG39" s="256"/>
      <c r="EH39" s="256"/>
      <c r="EI39" s="256"/>
      <c r="EJ39" s="256"/>
      <c r="EK39" s="256"/>
      <c r="EL39" s="256"/>
      <c r="EM39" s="256"/>
      <c r="EN39" s="256"/>
      <c r="EO39" s="256"/>
      <c r="EP39" s="256"/>
      <c r="EQ39" s="256"/>
      <c r="ER39" s="256"/>
      <c r="ES39" s="256"/>
      <c r="ET39" s="256"/>
      <c r="EU39" s="256"/>
      <c r="EV39" s="256"/>
      <c r="EW39" s="256"/>
      <c r="EX39" s="256"/>
      <c r="EY39" s="256"/>
      <c r="EZ39" s="256"/>
      <c r="FA39" s="256"/>
      <c r="FB39" s="256"/>
      <c r="FC39" s="256"/>
      <c r="FD39" s="256"/>
      <c r="FE39" s="256"/>
      <c r="FF39" s="256"/>
      <c r="FG39" s="256"/>
      <c r="FH39" s="256"/>
      <c r="FI39" s="256"/>
      <c r="FJ39" s="256"/>
      <c r="FK39" s="256"/>
      <c r="FL39" s="256"/>
      <c r="FM39" s="256"/>
      <c r="FN39" s="256"/>
      <c r="FO39" s="256"/>
      <c r="FP39" s="256"/>
      <c r="FQ39" s="256"/>
      <c r="FR39" s="256"/>
      <c r="FS39" s="256"/>
      <c r="FT39" s="256"/>
      <c r="FU39" s="256"/>
      <c r="FV39" s="256"/>
      <c r="FW39" s="256"/>
      <c r="FX39" s="256"/>
      <c r="FY39" s="256"/>
      <c r="FZ39" s="256"/>
      <c r="GA39" s="256"/>
      <c r="GB39" s="256"/>
      <c r="GC39" s="256"/>
      <c r="GD39" s="256"/>
      <c r="GE39" s="256"/>
      <c r="GF39" s="256"/>
      <c r="GG39" s="256"/>
      <c r="GH39" s="256"/>
      <c r="GI39" s="256"/>
      <c r="GJ39" s="256"/>
      <c r="GK39" s="256"/>
      <c r="GL39" s="256"/>
      <c r="GM39" s="256"/>
      <c r="GN39" s="256"/>
      <c r="GO39" s="256"/>
      <c r="GP39" s="256"/>
      <c r="GQ39" s="256"/>
      <c r="GR39" s="256"/>
      <c r="GS39" s="256"/>
      <c r="GT39" s="256"/>
      <c r="GU39" s="256"/>
      <c r="GV39" s="256"/>
      <c r="GW39" s="256"/>
      <c r="GX39" s="256"/>
      <c r="GY39" s="256"/>
      <c r="GZ39" s="256"/>
      <c r="HA39" s="256"/>
      <c r="HB39" s="256"/>
      <c r="HC39" s="256"/>
      <c r="HD39" s="256"/>
      <c r="HE39" s="256"/>
      <c r="HF39" s="256"/>
      <c r="HG39" s="256"/>
      <c r="HH39" s="256"/>
      <c r="HI39" s="256"/>
      <c r="HJ39" s="256"/>
      <c r="HK39" s="256"/>
      <c r="HL39" s="256"/>
      <c r="HM39" s="256"/>
      <c r="HN39" s="256"/>
      <c r="HO39" s="256"/>
      <c r="HP39" s="256"/>
      <c r="HQ39" s="256"/>
      <c r="HR39" s="256"/>
      <c r="HS39" s="256"/>
      <c r="HT39" s="256"/>
      <c r="HU39" s="256"/>
      <c r="HV39" s="256"/>
      <c r="HW39" s="256"/>
      <c r="HX39" s="256"/>
      <c r="HY39" s="256"/>
      <c r="HZ39" s="256"/>
      <c r="IA39" s="256"/>
      <c r="IB39" s="256"/>
      <c r="IC39" s="256"/>
      <c r="ID39" s="256"/>
      <c r="IE39" s="256"/>
      <c r="IF39" s="256"/>
      <c r="IG39" s="256"/>
      <c r="IH39" s="256"/>
      <c r="II39" s="256"/>
      <c r="IJ39" s="256"/>
      <c r="IK39" s="256"/>
      <c r="IL39" s="256"/>
      <c r="IM39" s="256"/>
      <c r="IN39" s="256"/>
      <c r="IO39" s="256"/>
      <c r="IP39" s="256"/>
      <c r="IQ39" s="256"/>
      <c r="IR39" s="256"/>
      <c r="IS39" s="256"/>
      <c r="IT39" s="256"/>
      <c r="IU39" s="256"/>
      <c r="IV39" s="256"/>
      <c r="IW39" s="256"/>
      <c r="IX39" s="256"/>
      <c r="IY39" s="256"/>
      <c r="IZ39" s="256"/>
      <c r="JA39" s="256"/>
      <c r="JB39" s="256"/>
      <c r="JC39" s="256"/>
      <c r="JD39" s="256"/>
      <c r="JE39" s="256"/>
      <c r="JF39" s="256"/>
      <c r="JG39" s="256"/>
      <c r="JH39" s="256"/>
      <c r="JI39" s="256"/>
      <c r="JJ39" s="256"/>
      <c r="JK39" s="256"/>
      <c r="JL39" s="256"/>
      <c r="JM39" s="256"/>
      <c r="JN39" s="256"/>
      <c r="JO39" s="256"/>
      <c r="JP39" s="256"/>
      <c r="JQ39" s="256"/>
      <c r="JR39" s="256"/>
      <c r="JS39" s="256"/>
      <c r="JT39" s="256"/>
      <c r="JU39" s="256"/>
      <c r="JV39" s="256"/>
      <c r="JW39" s="256"/>
      <c r="JX39" s="256"/>
      <c r="JY39" s="256"/>
      <c r="JZ39" s="256"/>
      <c r="KA39" s="256"/>
      <c r="KB39" s="256"/>
      <c r="KC39" s="256"/>
      <c r="KD39" s="256"/>
      <c r="KE39" s="256"/>
      <c r="KF39" s="256"/>
      <c r="KG39" s="256"/>
      <c r="KH39" s="256"/>
      <c r="KI39" s="256"/>
      <c r="KJ39" s="256"/>
      <c r="KK39" s="256"/>
      <c r="KL39" s="256"/>
      <c r="KM39" s="256"/>
      <c r="KN39" s="256"/>
      <c r="KO39" s="256"/>
      <c r="KP39" s="256"/>
      <c r="KQ39" s="256"/>
      <c r="KR39" s="256"/>
      <c r="KS39" s="256"/>
      <c r="KT39" s="256"/>
      <c r="KU39" s="256"/>
      <c r="KV39" s="256"/>
      <c r="KW39" s="256"/>
      <c r="KX39" s="256"/>
      <c r="KY39" s="256"/>
      <c r="KZ39" s="256"/>
      <c r="LA39" s="256"/>
      <c r="LB39" s="256"/>
      <c r="LC39" s="256"/>
      <c r="LD39" s="256"/>
      <c r="LE39" s="256"/>
      <c r="LF39" s="256"/>
      <c r="LG39" s="256"/>
      <c r="LH39" s="256"/>
      <c r="LI39" s="256"/>
      <c r="LJ39" s="256"/>
      <c r="LK39" s="256"/>
      <c r="LL39" s="256"/>
      <c r="LM39" s="256"/>
      <c r="LN39" s="256"/>
      <c r="LO39" s="256"/>
      <c r="LP39" s="256"/>
      <c r="LQ39" s="256"/>
      <c r="LR39" s="256"/>
      <c r="LS39" s="256"/>
      <c r="LT39" s="256"/>
      <c r="LU39" s="256"/>
      <c r="LV39" s="256"/>
      <c r="LW39" s="256"/>
      <c r="LX39" s="256"/>
      <c r="LY39" s="256"/>
      <c r="LZ39" s="256"/>
      <c r="MA39" s="256"/>
      <c r="MB39" s="256"/>
      <c r="MC39" s="256"/>
      <c r="MD39" s="256"/>
      <c r="ME39" s="256"/>
      <c r="MF39" s="256"/>
      <c r="MG39" s="256"/>
      <c r="MH39" s="256"/>
      <c r="MI39" s="256"/>
      <c r="MJ39" s="256"/>
      <c r="MK39" s="256"/>
      <c r="ML39" s="256"/>
      <c r="MM39" s="256"/>
      <c r="MN39" s="256"/>
      <c r="MO39" s="256"/>
      <c r="MP39" s="256"/>
      <c r="MQ39" s="256"/>
      <c r="MR39" s="256"/>
      <c r="MS39" s="256"/>
      <c r="MT39" s="256"/>
      <c r="MU39" s="256"/>
      <c r="MV39" s="256"/>
      <c r="MW39" s="256"/>
      <c r="MX39" s="256"/>
      <c r="MY39" s="256"/>
      <c r="MZ39" s="256"/>
      <c r="NA39" s="256"/>
      <c r="NB39" s="256"/>
      <c r="NC39" s="256"/>
      <c r="ND39" s="256"/>
      <c r="NE39" s="256"/>
      <c r="NF39" s="256"/>
      <c r="NG39" s="256"/>
      <c r="NH39" s="256"/>
      <c r="NI39" s="256"/>
      <c r="NJ39" s="256"/>
      <c r="NK39" s="256"/>
      <c r="NL39" s="256"/>
      <c r="NM39" s="256"/>
      <c r="NN39" s="256"/>
      <c r="NO39" s="256"/>
      <c r="NP39" s="256"/>
      <c r="NQ39" s="256"/>
      <c r="NR39" s="256"/>
      <c r="NS39" s="256"/>
      <c r="NT39" s="256"/>
      <c r="NU39" s="256"/>
      <c r="NV39" s="256"/>
      <c r="NW39" s="256"/>
      <c r="NX39" s="256"/>
      <c r="NY39" s="256"/>
      <c r="NZ39" s="256"/>
      <c r="OA39" s="256"/>
      <c r="OB39" s="256"/>
      <c r="OC39" s="256"/>
      <c r="OD39" s="256"/>
      <c r="OE39" s="256"/>
      <c r="OF39" s="256"/>
      <c r="OG39" s="256"/>
      <c r="OH39" s="256"/>
      <c r="OI39" s="256"/>
      <c r="OJ39" s="256"/>
      <c r="OK39" s="256"/>
      <c r="OL39" s="256"/>
      <c r="OM39" s="256"/>
      <c r="ON39" s="256"/>
      <c r="OO39" s="256"/>
      <c r="OP39" s="256"/>
      <c r="OQ39" s="256"/>
      <c r="OR39" s="256"/>
      <c r="OS39" s="256"/>
      <c r="OT39" s="256"/>
      <c r="OU39" s="256"/>
      <c r="OV39" s="256"/>
      <c r="OW39" s="256"/>
      <c r="OX39" s="256"/>
      <c r="OY39" s="256"/>
      <c r="OZ39" s="256"/>
      <c r="PA39" s="256"/>
      <c r="PB39" s="256"/>
      <c r="PC39" s="256"/>
      <c r="PD39" s="256"/>
      <c r="PE39" s="256"/>
      <c r="PF39" s="256"/>
      <c r="PG39" s="256"/>
      <c r="PH39" s="256"/>
      <c r="PI39" s="256"/>
      <c r="PJ39" s="256"/>
      <c r="PK39" s="256"/>
      <c r="PL39" s="256"/>
      <c r="PM39" s="256"/>
      <c r="PN39" s="256"/>
      <c r="PO39" s="256"/>
      <c r="PP39" s="256"/>
      <c r="PQ39" s="256"/>
      <c r="PR39" s="256"/>
      <c r="PS39" s="256"/>
      <c r="PT39" s="256"/>
      <c r="PU39" s="256"/>
      <c r="PV39" s="256"/>
      <c r="PW39" s="256"/>
      <c r="PX39" s="256"/>
      <c r="PY39" s="256"/>
      <c r="PZ39" s="256"/>
      <c r="QA39" s="256"/>
      <c r="QB39" s="256"/>
      <c r="QC39" s="256"/>
      <c r="QD39" s="256"/>
      <c r="QE39" s="256"/>
      <c r="QF39" s="256"/>
      <c r="QG39" s="256"/>
      <c r="QH39" s="256"/>
      <c r="QI39" s="256"/>
      <c r="QJ39" s="256"/>
      <c r="QK39" s="256"/>
      <c r="QL39" s="256"/>
      <c r="QM39" s="256"/>
      <c r="QN39" s="256"/>
      <c r="QO39" s="256"/>
      <c r="QP39" s="256"/>
      <c r="QQ39" s="256"/>
      <c r="QR39" s="256"/>
      <c r="QS39" s="256"/>
      <c r="QT39" s="256"/>
      <c r="QU39" s="256"/>
      <c r="QV39" s="256"/>
      <c r="QW39" s="256"/>
      <c r="QX39" s="256"/>
      <c r="QY39" s="256"/>
      <c r="QZ39" s="256"/>
      <c r="RA39" s="256"/>
      <c r="RB39" s="256"/>
      <c r="RC39" s="256"/>
      <c r="RD39" s="256"/>
      <c r="RE39" s="256"/>
      <c r="RF39" s="256"/>
      <c r="RG39" s="256"/>
      <c r="RH39" s="256"/>
      <c r="RI39" s="256"/>
      <c r="RJ39" s="256"/>
      <c r="RK39" s="256"/>
      <c r="RL39" s="256"/>
      <c r="RM39" s="256"/>
      <c r="RN39" s="256"/>
      <c r="RO39" s="256"/>
      <c r="RP39" s="256"/>
      <c r="RQ39" s="256"/>
      <c r="RR39" s="256"/>
      <c r="RS39" s="256"/>
      <c r="RT39" s="256"/>
      <c r="RU39" s="256"/>
      <c r="RV39" s="256"/>
      <c r="RW39" s="256"/>
      <c r="RX39" s="256"/>
      <c r="RY39" s="256"/>
      <c r="RZ39" s="256"/>
      <c r="SA39" s="256"/>
      <c r="SB39" s="256"/>
      <c r="SC39" s="256"/>
      <c r="SD39" s="256"/>
      <c r="SE39" s="256"/>
      <c r="SF39" s="256"/>
      <c r="SG39" s="256"/>
      <c r="SH39" s="256"/>
      <c r="SI39" s="256"/>
      <c r="SJ39" s="256"/>
      <c r="SK39" s="256"/>
      <c r="SL39" s="256"/>
      <c r="SM39" s="256"/>
      <c r="SN39" s="256"/>
      <c r="SO39" s="256"/>
      <c r="SP39" s="256"/>
      <c r="SQ39" s="256"/>
      <c r="SR39" s="256"/>
      <c r="SS39" s="256"/>
      <c r="ST39" s="256"/>
      <c r="SU39" s="256"/>
      <c r="SV39" s="256"/>
      <c r="SW39" s="256"/>
      <c r="SX39" s="256"/>
      <c r="SY39" s="256"/>
      <c r="SZ39" s="256"/>
      <c r="TA39" s="256"/>
      <c r="TB39" s="256"/>
      <c r="TC39" s="256"/>
      <c r="TD39" s="256"/>
      <c r="TE39" s="256"/>
      <c r="TF39" s="256"/>
      <c r="TG39" s="256"/>
      <c r="TH39" s="256"/>
      <c r="TI39" s="256"/>
      <c r="TJ39" s="256"/>
      <c r="TK39" s="256"/>
      <c r="TL39" s="256"/>
      <c r="TM39" s="256"/>
      <c r="TN39" s="256"/>
      <c r="TO39" s="256"/>
      <c r="TP39" s="256"/>
      <c r="TQ39" s="256"/>
      <c r="TR39" s="256"/>
      <c r="TS39" s="256"/>
      <c r="TT39" s="256"/>
      <c r="TU39" s="256"/>
      <c r="TV39" s="256"/>
      <c r="TW39" s="256"/>
      <c r="TX39" s="256"/>
      <c r="TY39" s="256"/>
      <c r="TZ39" s="256"/>
      <c r="UA39" s="256"/>
      <c r="UB39" s="256"/>
      <c r="UC39" s="256"/>
      <c r="UD39" s="256"/>
      <c r="UE39" s="256"/>
      <c r="UF39" s="256"/>
      <c r="UG39" s="256"/>
      <c r="UH39" s="256"/>
      <c r="UI39" s="256"/>
      <c r="UJ39" s="256"/>
      <c r="UK39" s="256"/>
      <c r="UL39" s="256"/>
      <c r="UM39" s="256"/>
      <c r="UN39" s="256"/>
      <c r="UO39" s="256"/>
      <c r="UP39" s="256"/>
      <c r="UQ39" s="256"/>
      <c r="UR39" s="256"/>
      <c r="US39" s="256"/>
      <c r="UT39" s="256"/>
      <c r="UU39" s="256"/>
      <c r="UV39" s="256"/>
      <c r="UW39" s="256"/>
      <c r="UX39" s="256"/>
      <c r="UY39" s="256"/>
      <c r="UZ39" s="256"/>
      <c r="VA39" s="256"/>
      <c r="VB39" s="256"/>
      <c r="VC39" s="256"/>
      <c r="VD39" s="256"/>
      <c r="VE39" s="256"/>
      <c r="VF39" s="256"/>
      <c r="VG39" s="256"/>
      <c r="VH39" s="256"/>
      <c r="VI39" s="256"/>
      <c r="VJ39" s="256"/>
      <c r="VK39" s="256"/>
      <c r="VL39" s="256"/>
      <c r="VM39" s="256"/>
      <c r="VN39" s="256"/>
      <c r="VO39" s="256"/>
      <c r="VP39" s="256"/>
      <c r="VQ39" s="256"/>
      <c r="VR39" s="256"/>
      <c r="VS39" s="256"/>
      <c r="VT39" s="256"/>
      <c r="VU39" s="256"/>
      <c r="VV39" s="256"/>
      <c r="VW39" s="256"/>
      <c r="VX39" s="256"/>
      <c r="VY39" s="256"/>
      <c r="VZ39" s="256"/>
      <c r="WA39" s="256"/>
      <c r="WB39" s="256"/>
      <c r="WC39" s="256"/>
      <c r="WD39" s="256"/>
      <c r="WE39" s="256"/>
      <c r="WF39" s="256"/>
      <c r="WG39" s="256"/>
      <c r="WH39" s="256"/>
      <c r="WI39" s="256"/>
      <c r="WJ39" s="256"/>
      <c r="WK39" s="256"/>
      <c r="WL39" s="256"/>
      <c r="WM39" s="256"/>
      <c r="WN39" s="256"/>
      <c r="WO39" s="256"/>
      <c r="WP39" s="256"/>
      <c r="WQ39" s="256"/>
      <c r="WR39" s="256"/>
      <c r="WS39" s="256"/>
      <c r="WT39" s="256"/>
      <c r="WU39" s="256"/>
      <c r="WV39" s="256"/>
      <c r="WW39" s="256"/>
      <c r="WX39" s="256"/>
      <c r="WY39" s="256"/>
      <c r="WZ39" s="256"/>
      <c r="XA39" s="256"/>
      <c r="XB39" s="256"/>
      <c r="XC39" s="256"/>
      <c r="XD39" s="256"/>
      <c r="XE39" s="256"/>
      <c r="XF39" s="256"/>
      <c r="XG39" s="256"/>
      <c r="XH39" s="256"/>
      <c r="XI39" s="256"/>
      <c r="XJ39" s="256"/>
      <c r="XK39" s="256"/>
      <c r="XL39" s="256"/>
      <c r="XM39" s="256"/>
      <c r="XN39" s="256"/>
      <c r="XO39" s="256"/>
      <c r="XP39" s="256"/>
      <c r="XQ39" s="256"/>
      <c r="XR39" s="256"/>
      <c r="XS39" s="256"/>
      <c r="XT39" s="256"/>
      <c r="XU39" s="256"/>
      <c r="XV39" s="256"/>
      <c r="XW39" s="256"/>
      <c r="XX39" s="256"/>
      <c r="XY39" s="256"/>
      <c r="XZ39" s="256"/>
      <c r="YA39" s="256"/>
      <c r="YB39" s="256"/>
      <c r="YC39" s="256"/>
      <c r="YD39" s="256"/>
      <c r="YE39" s="256"/>
      <c r="YF39" s="256"/>
      <c r="YG39" s="256"/>
      <c r="YH39" s="256"/>
      <c r="YI39" s="256"/>
      <c r="YJ39" s="256"/>
      <c r="YK39" s="256"/>
      <c r="YL39" s="256"/>
      <c r="YM39" s="256"/>
      <c r="YN39" s="256"/>
      <c r="YO39" s="256"/>
      <c r="YP39" s="256"/>
      <c r="YQ39" s="256"/>
      <c r="YR39" s="256"/>
      <c r="YS39" s="256"/>
      <c r="YT39" s="256"/>
      <c r="YU39" s="256"/>
      <c r="YV39" s="256"/>
      <c r="YW39" s="256"/>
      <c r="YX39" s="256"/>
      <c r="YY39" s="256"/>
      <c r="YZ39" s="256"/>
      <c r="ZA39" s="256"/>
      <c r="ZB39" s="256"/>
      <c r="ZC39" s="256"/>
      <c r="ZD39" s="256"/>
      <c r="ZE39" s="256"/>
      <c r="ZF39" s="256"/>
      <c r="ZG39" s="256"/>
      <c r="ZH39" s="256"/>
      <c r="ZI39" s="256"/>
      <c r="ZJ39" s="256"/>
      <c r="ZK39" s="256"/>
      <c r="ZL39" s="256"/>
      <c r="ZM39" s="256"/>
      <c r="ZN39" s="256"/>
      <c r="ZO39" s="256"/>
      <c r="ZP39" s="256"/>
      <c r="ZQ39" s="256"/>
      <c r="ZR39" s="256"/>
      <c r="ZS39" s="256"/>
      <c r="ZT39" s="256"/>
      <c r="ZU39" s="256"/>
      <c r="ZV39" s="256"/>
      <c r="ZW39" s="256"/>
      <c r="ZX39" s="256"/>
      <c r="ZY39" s="256"/>
      <c r="ZZ39" s="256"/>
      <c r="AAA39" s="256"/>
      <c r="AAB39" s="256"/>
      <c r="AAC39" s="256"/>
      <c r="AAD39" s="256"/>
      <c r="AAE39" s="256"/>
      <c r="AAF39" s="256"/>
      <c r="AAG39" s="256"/>
      <c r="AAH39" s="256"/>
      <c r="AAI39" s="256"/>
      <c r="AAJ39" s="256"/>
      <c r="AAK39" s="256"/>
      <c r="AAL39" s="256"/>
      <c r="AAM39" s="256"/>
      <c r="AAN39" s="256"/>
      <c r="AAO39" s="256"/>
      <c r="AAP39" s="256"/>
      <c r="AAQ39" s="256"/>
      <c r="AAR39" s="256"/>
      <c r="AAS39" s="256"/>
      <c r="AAT39" s="256"/>
      <c r="AAU39" s="256"/>
      <c r="AAV39" s="256"/>
      <c r="AAW39" s="256"/>
      <c r="AAX39" s="256"/>
      <c r="AAY39" s="256"/>
      <c r="AAZ39" s="256"/>
      <c r="ABA39" s="256"/>
      <c r="ABB39" s="256"/>
      <c r="ABC39" s="256"/>
      <c r="ABD39" s="256"/>
      <c r="ABE39" s="256"/>
      <c r="ABF39" s="256"/>
      <c r="ABG39" s="256"/>
      <c r="ABH39" s="256"/>
      <c r="ABI39" s="256"/>
      <c r="ABJ39" s="256"/>
      <c r="ABK39" s="256"/>
      <c r="ABL39" s="256"/>
      <c r="ABM39" s="256"/>
      <c r="ABN39" s="256"/>
      <c r="ABO39" s="256"/>
      <c r="ABP39" s="256"/>
      <c r="ABQ39" s="256"/>
      <c r="ABR39" s="256"/>
      <c r="ABS39" s="256"/>
      <c r="ABT39" s="256"/>
      <c r="ABU39" s="256"/>
      <c r="ABV39" s="256"/>
      <c r="ABW39" s="256"/>
      <c r="ABX39" s="256"/>
      <c r="ABY39" s="256"/>
      <c r="ABZ39" s="256"/>
      <c r="ACA39" s="256"/>
      <c r="ACB39" s="256"/>
      <c r="ACC39" s="256"/>
      <c r="ACD39" s="256"/>
      <c r="ACE39" s="256"/>
      <c r="ACF39" s="256"/>
      <c r="ACG39" s="256"/>
      <c r="ACH39" s="256"/>
      <c r="ACI39" s="256"/>
      <c r="ACJ39" s="256"/>
      <c r="ACK39" s="256"/>
      <c r="ACL39" s="256"/>
      <c r="ACM39" s="256"/>
      <c r="ACN39" s="256"/>
      <c r="ACO39" s="256"/>
      <c r="ACP39" s="256"/>
      <c r="ACQ39" s="256"/>
      <c r="ACR39" s="256"/>
      <c r="ACS39" s="256"/>
      <c r="ACT39" s="256"/>
      <c r="ACU39" s="256"/>
      <c r="ACV39" s="256"/>
      <c r="ACW39" s="256"/>
      <c r="ACX39" s="256"/>
      <c r="ACY39" s="256"/>
      <c r="ACZ39" s="256"/>
      <c r="ADA39" s="256"/>
      <c r="ADB39" s="256"/>
      <c r="ADC39" s="256"/>
      <c r="ADD39" s="256"/>
      <c r="ADE39" s="256"/>
      <c r="ADF39" s="256"/>
      <c r="ADG39" s="256"/>
      <c r="ADH39" s="256"/>
      <c r="ADI39" s="256"/>
      <c r="ADJ39" s="256"/>
      <c r="ADK39" s="256"/>
      <c r="ADL39" s="256"/>
      <c r="ADM39" s="256"/>
      <c r="ADN39" s="256"/>
      <c r="ADO39" s="256"/>
      <c r="ADP39" s="256"/>
      <c r="ADQ39" s="256"/>
      <c r="ADR39" s="256"/>
      <c r="ADS39" s="256"/>
      <c r="ADT39" s="256"/>
      <c r="ADU39" s="256"/>
      <c r="ADV39" s="256"/>
      <c r="ADW39" s="256"/>
      <c r="ADX39" s="256"/>
      <c r="ADY39" s="256"/>
      <c r="ADZ39" s="256"/>
      <c r="AEA39" s="256"/>
      <c r="AEB39" s="256"/>
      <c r="AEC39" s="256"/>
      <c r="AED39" s="256"/>
      <c r="AEE39" s="256"/>
      <c r="AEF39" s="256"/>
      <c r="AEG39" s="256"/>
      <c r="AEH39" s="256"/>
      <c r="AEI39" s="256"/>
      <c r="AEJ39" s="256"/>
      <c r="AEK39" s="256"/>
      <c r="AEL39" s="256"/>
      <c r="AEM39" s="256"/>
      <c r="AEN39" s="256"/>
      <c r="AEO39" s="256"/>
      <c r="AEP39" s="256"/>
      <c r="AEQ39" s="256"/>
      <c r="AER39" s="256"/>
      <c r="AES39" s="256"/>
      <c r="AET39" s="256"/>
      <c r="AEU39" s="256"/>
      <c r="AEV39" s="256"/>
      <c r="AEW39" s="256"/>
      <c r="AEX39" s="256"/>
      <c r="AEY39" s="256"/>
      <c r="AEZ39" s="256"/>
      <c r="AFA39" s="256"/>
      <c r="AFB39" s="256"/>
      <c r="AFC39" s="256"/>
      <c r="AFD39" s="256"/>
      <c r="AFE39" s="256"/>
      <c r="AFF39" s="256"/>
      <c r="AFG39" s="256"/>
      <c r="AFH39" s="256"/>
      <c r="AFI39" s="256"/>
      <c r="AFJ39" s="256"/>
      <c r="AFK39" s="256"/>
      <c r="AFL39" s="256"/>
      <c r="AFM39" s="256"/>
      <c r="AFN39" s="256"/>
      <c r="AFO39" s="256"/>
      <c r="AFP39" s="256"/>
      <c r="AFQ39" s="256"/>
      <c r="AFR39" s="256"/>
      <c r="AFS39" s="256"/>
      <c r="AFT39" s="256"/>
      <c r="AFU39" s="256"/>
      <c r="AFV39" s="256"/>
      <c r="AFW39" s="256"/>
      <c r="AFX39" s="256"/>
      <c r="AFY39" s="256"/>
      <c r="AFZ39" s="256"/>
      <c r="AGA39" s="256"/>
      <c r="AGB39" s="256"/>
      <c r="AGC39" s="256"/>
      <c r="AGD39" s="256"/>
      <c r="AGE39" s="256"/>
      <c r="AGF39" s="256"/>
      <c r="AGG39" s="256"/>
      <c r="AGH39" s="256"/>
      <c r="AGI39" s="256"/>
      <c r="AGJ39" s="256"/>
      <c r="AGK39" s="256"/>
      <c r="AGL39" s="256"/>
      <c r="AGM39" s="256"/>
      <c r="AGN39" s="256"/>
      <c r="AGO39" s="256"/>
      <c r="AGP39" s="256"/>
      <c r="AGQ39" s="256"/>
      <c r="AGR39" s="256"/>
      <c r="AGS39" s="256"/>
      <c r="AGT39" s="256"/>
      <c r="AGU39" s="256"/>
      <c r="AGV39" s="256"/>
      <c r="AGW39" s="256"/>
      <c r="AGX39" s="256"/>
      <c r="AGY39" s="256"/>
      <c r="AGZ39" s="256"/>
      <c r="AHA39" s="256"/>
      <c r="AHB39" s="256"/>
      <c r="AHC39" s="256"/>
      <c r="AHD39" s="256"/>
      <c r="AHE39" s="256"/>
      <c r="AHF39" s="256"/>
      <c r="AHG39" s="256"/>
      <c r="AHH39" s="256"/>
      <c r="AHI39" s="256"/>
      <c r="AHJ39" s="256"/>
      <c r="AHK39" s="256"/>
      <c r="AHL39" s="256"/>
      <c r="AHM39" s="256"/>
      <c r="AHN39" s="256"/>
      <c r="AHO39" s="256"/>
      <c r="AHP39" s="256"/>
      <c r="AHQ39" s="256"/>
      <c r="AHR39" s="256"/>
      <c r="AHS39" s="256"/>
      <c r="AHT39" s="256"/>
      <c r="AHU39" s="256"/>
      <c r="AHV39" s="256"/>
      <c r="AHW39" s="256"/>
      <c r="AHX39" s="256"/>
      <c r="AHY39" s="256"/>
      <c r="AHZ39" s="256"/>
      <c r="AIA39" s="256"/>
      <c r="AIB39" s="256"/>
      <c r="AIC39" s="256"/>
      <c r="AID39" s="256"/>
      <c r="AIE39" s="256"/>
      <c r="AIF39" s="256"/>
      <c r="AIG39" s="256"/>
      <c r="AIH39" s="256"/>
      <c r="AII39" s="256"/>
      <c r="AIJ39" s="256"/>
      <c r="AIK39" s="256"/>
      <c r="AIL39" s="256"/>
      <c r="AIM39" s="256"/>
      <c r="AIN39" s="256"/>
      <c r="AIO39" s="256"/>
      <c r="AIP39" s="256"/>
      <c r="AIQ39" s="256"/>
      <c r="AIR39" s="256"/>
      <c r="AIS39" s="256"/>
      <c r="AIT39" s="256"/>
      <c r="AIU39" s="256"/>
      <c r="AIV39" s="256"/>
      <c r="AIW39" s="256"/>
      <c r="AIX39" s="256"/>
      <c r="AIY39" s="256"/>
      <c r="AIZ39" s="256"/>
      <c r="AJA39" s="256"/>
      <c r="AJB39" s="256"/>
      <c r="AJC39" s="256"/>
      <c r="AJD39" s="256"/>
      <c r="AJE39" s="256"/>
      <c r="AJF39" s="256"/>
      <c r="AJG39" s="256"/>
      <c r="AJH39" s="256"/>
      <c r="AJI39" s="256"/>
      <c r="AJJ39" s="256"/>
      <c r="AJK39" s="256"/>
      <c r="AJL39" s="256"/>
      <c r="AJM39" s="256"/>
      <c r="AJN39" s="256"/>
      <c r="AJO39" s="256"/>
      <c r="AJP39" s="256"/>
      <c r="AJQ39" s="256"/>
      <c r="AJR39" s="256"/>
      <c r="AJS39" s="256"/>
      <c r="AJT39" s="256"/>
      <c r="AJU39" s="256"/>
      <c r="AJV39" s="256"/>
      <c r="AJW39" s="256"/>
      <c r="AJX39" s="256"/>
      <c r="AJY39" s="256"/>
      <c r="AJZ39" s="256"/>
      <c r="AKA39" s="256"/>
      <c r="AKB39" s="256"/>
      <c r="AKC39" s="256"/>
      <c r="AKD39" s="256"/>
      <c r="AKE39" s="256"/>
      <c r="AKF39" s="256"/>
      <c r="AKG39" s="256"/>
      <c r="AKH39" s="256"/>
      <c r="AKI39" s="256"/>
      <c r="AKJ39" s="256"/>
      <c r="AKK39" s="256"/>
      <c r="AKL39" s="256"/>
      <c r="AKM39" s="256"/>
      <c r="AKN39" s="256"/>
      <c r="AKO39" s="256"/>
      <c r="AKP39" s="256"/>
      <c r="AKQ39" s="256"/>
      <c r="AKR39" s="256"/>
      <c r="AKS39" s="256"/>
      <c r="AKT39" s="256"/>
      <c r="AKU39" s="256"/>
      <c r="AKV39" s="256"/>
      <c r="AKW39" s="256"/>
      <c r="AKX39" s="256"/>
      <c r="AKY39" s="256"/>
      <c r="AKZ39" s="256"/>
      <c r="ALA39" s="256"/>
      <c r="ALB39" s="256"/>
      <c r="ALC39" s="256"/>
      <c r="ALD39" s="256"/>
      <c r="ALE39" s="256"/>
      <c r="ALF39" s="256"/>
      <c r="ALG39" s="256"/>
      <c r="ALH39" s="256"/>
      <c r="ALI39" s="256"/>
      <c r="ALJ39" s="256"/>
      <c r="ALK39" s="256"/>
      <c r="ALL39" s="256"/>
      <c r="ALM39" s="256"/>
      <c r="ALN39" s="256"/>
      <c r="ALO39" s="256"/>
      <c r="ALP39" s="256"/>
      <c r="ALQ39" s="256"/>
      <c r="ALR39" s="256"/>
      <c r="ALS39" s="256"/>
      <c r="ALT39" s="256"/>
      <c r="ALU39" s="258"/>
      <c r="ALV39" s="258"/>
      <c r="ALW39" s="258"/>
      <c r="ALX39" s="258"/>
      <c r="ALY39" s="258"/>
      <c r="ALZ39" s="258"/>
      <c r="AMA39" s="258"/>
      <c r="AMB39" s="258"/>
      <c r="AMC39" s="258"/>
      <c r="AMD39" s="258"/>
      <c r="AME39" s="258"/>
      <c r="AMF39" s="258"/>
      <c r="AMG39" s="258"/>
      <c r="AMH39" s="258"/>
      <c r="AMI39" s="256"/>
    </row>
    <row r="40" spans="1:1023" s="259" customFormat="1" x14ac:dyDescent="0.25">
      <c r="A40" s="256"/>
      <c r="B40" s="256"/>
      <c r="C40" s="256"/>
      <c r="D40" s="256"/>
      <c r="E40" s="256"/>
      <c r="F40" s="256"/>
      <c r="G40" s="256"/>
      <c r="H40" s="256"/>
      <c r="I40" s="256"/>
      <c r="J40" s="256"/>
      <c r="K40" s="256"/>
      <c r="L40" s="256"/>
      <c r="M40" s="256"/>
      <c r="N40" s="256"/>
      <c r="O40" s="256"/>
      <c r="P40" s="256"/>
      <c r="Q40" s="256"/>
      <c r="R40" s="256"/>
      <c r="S40" s="256"/>
      <c r="T40" s="256"/>
      <c r="U40" s="256"/>
      <c r="V40" s="256"/>
      <c r="W40" s="256"/>
      <c r="X40" s="256"/>
      <c r="Y40" s="256"/>
      <c r="Z40" s="256"/>
      <c r="AA40" s="256"/>
      <c r="AB40" s="256"/>
      <c r="AC40" s="256"/>
      <c r="AD40" s="256"/>
      <c r="AE40" s="256"/>
      <c r="AF40" s="256"/>
      <c r="AG40" s="256"/>
      <c r="AH40" s="256"/>
      <c r="AI40" s="256"/>
      <c r="AJ40" s="256"/>
      <c r="AK40" s="256"/>
      <c r="AL40" s="256"/>
      <c r="AM40" s="256"/>
      <c r="AN40" s="256"/>
      <c r="AO40" s="256"/>
      <c r="AP40" s="256"/>
      <c r="AQ40" s="256"/>
      <c r="AR40" s="256"/>
      <c r="AS40" s="256"/>
      <c r="AT40" s="256"/>
      <c r="AU40" s="256"/>
      <c r="AV40" s="256"/>
      <c r="AW40" s="256"/>
      <c r="AX40" s="256"/>
      <c r="AY40" s="256"/>
      <c r="AZ40" s="256"/>
      <c r="BA40" s="256"/>
      <c r="BB40" s="256"/>
      <c r="BC40" s="256"/>
      <c r="BD40" s="256"/>
      <c r="BE40" s="256"/>
      <c r="BF40" s="256"/>
      <c r="BG40" s="256"/>
      <c r="BH40" s="256"/>
      <c r="BI40" s="256"/>
      <c r="BJ40" s="256"/>
      <c r="BK40" s="256"/>
      <c r="BL40" s="256"/>
      <c r="BM40" s="256"/>
      <c r="BN40" s="256"/>
      <c r="BO40" s="256"/>
      <c r="BP40" s="256"/>
      <c r="BQ40" s="256"/>
      <c r="BR40" s="256"/>
      <c r="BS40" s="256"/>
      <c r="BT40" s="256"/>
      <c r="BU40" s="256"/>
      <c r="BV40" s="256"/>
      <c r="BW40" s="256"/>
      <c r="BX40" s="256"/>
      <c r="BY40" s="256"/>
      <c r="BZ40" s="256"/>
      <c r="CA40" s="256"/>
      <c r="CB40" s="256"/>
      <c r="CC40" s="256"/>
      <c r="CD40" s="256"/>
      <c r="CE40" s="256"/>
      <c r="CF40" s="256"/>
      <c r="CG40" s="256"/>
      <c r="CH40" s="256"/>
      <c r="CI40" s="256"/>
      <c r="CJ40" s="256"/>
      <c r="CK40" s="256"/>
      <c r="CL40" s="256"/>
      <c r="CM40" s="256"/>
      <c r="CN40" s="256"/>
      <c r="CO40" s="256"/>
      <c r="CP40" s="256"/>
      <c r="CQ40" s="256"/>
      <c r="CR40" s="256"/>
      <c r="CS40" s="256"/>
      <c r="CT40" s="256"/>
      <c r="CU40" s="256"/>
      <c r="CV40" s="256"/>
      <c r="CW40" s="256"/>
      <c r="CX40" s="256"/>
      <c r="CY40" s="256"/>
      <c r="CZ40" s="256"/>
      <c r="DA40" s="256"/>
      <c r="DB40" s="256"/>
      <c r="DC40" s="256"/>
      <c r="DD40" s="256"/>
      <c r="DE40" s="256"/>
      <c r="DF40" s="256"/>
      <c r="DG40" s="256"/>
      <c r="DH40" s="256"/>
      <c r="DI40" s="256"/>
      <c r="DJ40" s="256"/>
      <c r="DK40" s="256"/>
      <c r="DL40" s="256"/>
      <c r="DM40" s="256"/>
      <c r="DN40" s="256"/>
      <c r="DO40" s="256"/>
      <c r="DP40" s="256"/>
      <c r="DQ40" s="256"/>
      <c r="DR40" s="256"/>
      <c r="DS40" s="256"/>
      <c r="DT40" s="256"/>
      <c r="DU40" s="256"/>
      <c r="DV40" s="256"/>
      <c r="DW40" s="256"/>
      <c r="DX40" s="256"/>
      <c r="DY40" s="256"/>
      <c r="DZ40" s="256"/>
      <c r="EA40" s="256"/>
      <c r="EB40" s="256"/>
      <c r="EC40" s="256"/>
      <c r="ED40" s="256"/>
      <c r="EE40" s="256"/>
      <c r="EF40" s="256"/>
      <c r="EG40" s="256"/>
      <c r="EH40" s="256"/>
      <c r="EI40" s="256"/>
      <c r="EJ40" s="256"/>
      <c r="EK40" s="256"/>
      <c r="EL40" s="256"/>
      <c r="EM40" s="256"/>
      <c r="EN40" s="256"/>
      <c r="EO40" s="256"/>
      <c r="EP40" s="256"/>
      <c r="EQ40" s="256"/>
      <c r="ER40" s="256"/>
      <c r="ES40" s="256"/>
      <c r="ET40" s="256"/>
      <c r="EU40" s="256"/>
      <c r="EV40" s="256"/>
      <c r="EW40" s="256"/>
      <c r="EX40" s="256"/>
      <c r="EY40" s="256"/>
      <c r="EZ40" s="256"/>
      <c r="FA40" s="256"/>
      <c r="FB40" s="256"/>
      <c r="FC40" s="256"/>
      <c r="FD40" s="256"/>
      <c r="FE40" s="256"/>
      <c r="FF40" s="256"/>
      <c r="FG40" s="256"/>
      <c r="FH40" s="256"/>
      <c r="FI40" s="256"/>
      <c r="FJ40" s="256"/>
      <c r="FK40" s="256"/>
      <c r="FL40" s="256"/>
      <c r="FM40" s="256"/>
      <c r="FN40" s="256"/>
      <c r="FO40" s="256"/>
      <c r="FP40" s="256"/>
      <c r="FQ40" s="256"/>
      <c r="FR40" s="256"/>
      <c r="FS40" s="256"/>
      <c r="FT40" s="256"/>
      <c r="FU40" s="256"/>
      <c r="FV40" s="256"/>
      <c r="FW40" s="256"/>
      <c r="FX40" s="256"/>
      <c r="FY40" s="256"/>
      <c r="FZ40" s="256"/>
      <c r="GA40" s="256"/>
      <c r="GB40" s="256"/>
      <c r="GC40" s="256"/>
      <c r="GD40" s="256"/>
      <c r="GE40" s="256"/>
      <c r="GF40" s="256"/>
      <c r="GG40" s="256"/>
      <c r="GH40" s="256"/>
      <c r="GI40" s="256"/>
      <c r="GJ40" s="256"/>
      <c r="GK40" s="256"/>
      <c r="GL40" s="256"/>
      <c r="GM40" s="256"/>
      <c r="GN40" s="256"/>
      <c r="GO40" s="256"/>
      <c r="GP40" s="256"/>
      <c r="GQ40" s="256"/>
      <c r="GR40" s="256"/>
      <c r="GS40" s="256"/>
      <c r="GT40" s="256"/>
      <c r="GU40" s="256"/>
      <c r="GV40" s="256"/>
      <c r="GW40" s="256"/>
      <c r="GX40" s="256"/>
      <c r="GY40" s="256"/>
      <c r="GZ40" s="256"/>
      <c r="HA40" s="256"/>
      <c r="HB40" s="256"/>
      <c r="HC40" s="256"/>
      <c r="HD40" s="256"/>
      <c r="HE40" s="256"/>
      <c r="HF40" s="256"/>
      <c r="HG40" s="256"/>
      <c r="HH40" s="256"/>
      <c r="HI40" s="256"/>
      <c r="HJ40" s="256"/>
      <c r="HK40" s="256"/>
      <c r="HL40" s="256"/>
      <c r="HM40" s="256"/>
      <c r="HN40" s="256"/>
      <c r="HO40" s="256"/>
      <c r="HP40" s="256"/>
      <c r="HQ40" s="256"/>
      <c r="HR40" s="256"/>
      <c r="HS40" s="256"/>
      <c r="HT40" s="256"/>
      <c r="HU40" s="256"/>
      <c r="HV40" s="256"/>
      <c r="HW40" s="256"/>
      <c r="HX40" s="256"/>
      <c r="HY40" s="256"/>
      <c r="HZ40" s="256"/>
      <c r="IA40" s="256"/>
      <c r="IB40" s="256"/>
      <c r="IC40" s="256"/>
      <c r="ID40" s="256"/>
      <c r="IE40" s="256"/>
      <c r="IF40" s="256"/>
      <c r="IG40" s="256"/>
      <c r="IH40" s="256"/>
      <c r="II40" s="256"/>
      <c r="IJ40" s="256"/>
      <c r="IK40" s="256"/>
      <c r="IL40" s="256"/>
      <c r="IM40" s="256"/>
      <c r="IN40" s="256"/>
      <c r="IO40" s="256"/>
      <c r="IP40" s="256"/>
      <c r="IQ40" s="256"/>
      <c r="IR40" s="256"/>
      <c r="IS40" s="256"/>
      <c r="IT40" s="256"/>
      <c r="IU40" s="256"/>
      <c r="IV40" s="256"/>
      <c r="IW40" s="256"/>
      <c r="IX40" s="256"/>
      <c r="IY40" s="256"/>
      <c r="IZ40" s="256"/>
      <c r="JA40" s="256"/>
      <c r="JB40" s="256"/>
      <c r="JC40" s="256"/>
      <c r="JD40" s="256"/>
      <c r="JE40" s="256"/>
      <c r="JF40" s="256"/>
      <c r="JG40" s="256"/>
      <c r="JH40" s="256"/>
      <c r="JI40" s="256"/>
      <c r="JJ40" s="256"/>
      <c r="JK40" s="256"/>
      <c r="JL40" s="256"/>
      <c r="JM40" s="256"/>
      <c r="JN40" s="256"/>
      <c r="JO40" s="256"/>
      <c r="JP40" s="256"/>
      <c r="JQ40" s="256"/>
      <c r="JR40" s="256"/>
      <c r="JS40" s="256"/>
      <c r="JT40" s="256"/>
      <c r="JU40" s="256"/>
      <c r="JV40" s="256"/>
      <c r="JW40" s="256"/>
      <c r="JX40" s="256"/>
      <c r="JY40" s="256"/>
      <c r="JZ40" s="256"/>
      <c r="KA40" s="256"/>
      <c r="KB40" s="256"/>
      <c r="KC40" s="256"/>
      <c r="KD40" s="256"/>
      <c r="KE40" s="256"/>
      <c r="KF40" s="256"/>
      <c r="KG40" s="256"/>
      <c r="KH40" s="256"/>
      <c r="KI40" s="256"/>
      <c r="KJ40" s="256"/>
      <c r="KK40" s="256"/>
      <c r="KL40" s="256"/>
      <c r="KM40" s="256"/>
      <c r="KN40" s="256"/>
      <c r="KO40" s="256"/>
      <c r="KP40" s="256"/>
      <c r="KQ40" s="256"/>
      <c r="KR40" s="256"/>
      <c r="KS40" s="256"/>
      <c r="KT40" s="256"/>
      <c r="KU40" s="256"/>
      <c r="KV40" s="256"/>
      <c r="KW40" s="256"/>
      <c r="KX40" s="256"/>
      <c r="KY40" s="256"/>
      <c r="KZ40" s="256"/>
      <c r="LA40" s="256"/>
      <c r="LB40" s="256"/>
      <c r="LC40" s="256"/>
      <c r="LD40" s="256"/>
      <c r="LE40" s="256"/>
      <c r="LF40" s="256"/>
      <c r="LG40" s="256"/>
      <c r="LH40" s="256"/>
      <c r="LI40" s="256"/>
      <c r="LJ40" s="256"/>
      <c r="LK40" s="256"/>
      <c r="LL40" s="256"/>
      <c r="LM40" s="256"/>
      <c r="LN40" s="256"/>
      <c r="LO40" s="256"/>
      <c r="LP40" s="256"/>
      <c r="LQ40" s="256"/>
      <c r="LR40" s="256"/>
      <c r="LS40" s="256"/>
      <c r="LT40" s="256"/>
      <c r="LU40" s="256"/>
      <c r="LV40" s="256"/>
      <c r="LW40" s="256"/>
      <c r="LX40" s="256"/>
      <c r="LY40" s="256"/>
      <c r="LZ40" s="256"/>
      <c r="MA40" s="256"/>
      <c r="MB40" s="256"/>
      <c r="MC40" s="256"/>
      <c r="MD40" s="256"/>
      <c r="ME40" s="256"/>
      <c r="MF40" s="256"/>
      <c r="MG40" s="256"/>
      <c r="MH40" s="256"/>
      <c r="MI40" s="256"/>
      <c r="MJ40" s="256"/>
      <c r="MK40" s="256"/>
      <c r="ML40" s="256"/>
      <c r="MM40" s="256"/>
      <c r="MN40" s="256"/>
      <c r="MO40" s="256"/>
      <c r="MP40" s="256"/>
      <c r="MQ40" s="256"/>
      <c r="MR40" s="256"/>
      <c r="MS40" s="256"/>
      <c r="MT40" s="256"/>
      <c r="MU40" s="256"/>
      <c r="MV40" s="256"/>
      <c r="MW40" s="256"/>
      <c r="MX40" s="256"/>
      <c r="MY40" s="256"/>
      <c r="MZ40" s="256"/>
      <c r="NA40" s="256"/>
      <c r="NB40" s="256"/>
      <c r="NC40" s="256"/>
      <c r="ND40" s="256"/>
      <c r="NE40" s="256"/>
      <c r="NF40" s="256"/>
      <c r="NG40" s="256"/>
      <c r="NH40" s="256"/>
      <c r="NI40" s="256"/>
      <c r="NJ40" s="256"/>
      <c r="NK40" s="256"/>
      <c r="NL40" s="256"/>
      <c r="NM40" s="256"/>
      <c r="NN40" s="256"/>
      <c r="NO40" s="256"/>
      <c r="NP40" s="256"/>
      <c r="NQ40" s="256"/>
      <c r="NR40" s="256"/>
      <c r="NS40" s="256"/>
      <c r="NT40" s="256"/>
      <c r="NU40" s="256"/>
      <c r="NV40" s="256"/>
      <c r="NW40" s="256"/>
      <c r="NX40" s="256"/>
      <c r="NY40" s="256"/>
      <c r="NZ40" s="256"/>
      <c r="OA40" s="256"/>
      <c r="OB40" s="256"/>
      <c r="OC40" s="256"/>
      <c r="OD40" s="256"/>
      <c r="OE40" s="256"/>
      <c r="OF40" s="256"/>
      <c r="OG40" s="256"/>
      <c r="OH40" s="256"/>
      <c r="OI40" s="256"/>
      <c r="OJ40" s="256"/>
      <c r="OK40" s="256"/>
      <c r="OL40" s="256"/>
      <c r="OM40" s="256"/>
      <c r="ON40" s="256"/>
      <c r="OO40" s="256"/>
      <c r="OP40" s="256"/>
      <c r="OQ40" s="256"/>
      <c r="OR40" s="256"/>
      <c r="OS40" s="256"/>
      <c r="OT40" s="256"/>
      <c r="OU40" s="256"/>
      <c r="OV40" s="256"/>
      <c r="OW40" s="256"/>
      <c r="OX40" s="256"/>
      <c r="OY40" s="256"/>
      <c r="OZ40" s="256"/>
      <c r="PA40" s="256"/>
      <c r="PB40" s="256"/>
      <c r="PC40" s="256"/>
      <c r="PD40" s="256"/>
      <c r="PE40" s="256"/>
      <c r="PF40" s="256"/>
      <c r="PG40" s="256"/>
      <c r="PH40" s="256"/>
      <c r="PI40" s="256"/>
      <c r="PJ40" s="256"/>
      <c r="PK40" s="256"/>
      <c r="PL40" s="256"/>
      <c r="PM40" s="256"/>
      <c r="PN40" s="256"/>
      <c r="PO40" s="256"/>
      <c r="PP40" s="256"/>
      <c r="PQ40" s="256"/>
      <c r="PR40" s="256"/>
      <c r="PS40" s="256"/>
      <c r="PT40" s="256"/>
      <c r="PU40" s="256"/>
      <c r="PV40" s="256"/>
      <c r="PW40" s="256"/>
      <c r="PX40" s="256"/>
      <c r="PY40" s="256"/>
      <c r="PZ40" s="256"/>
      <c r="QA40" s="256"/>
      <c r="QB40" s="256"/>
      <c r="QC40" s="256"/>
      <c r="QD40" s="256"/>
      <c r="QE40" s="256"/>
      <c r="QF40" s="256"/>
      <c r="QG40" s="256"/>
      <c r="QH40" s="256"/>
      <c r="QI40" s="256"/>
      <c r="QJ40" s="256"/>
      <c r="QK40" s="256"/>
      <c r="QL40" s="256"/>
      <c r="QM40" s="256"/>
      <c r="QN40" s="256"/>
      <c r="QO40" s="256"/>
      <c r="QP40" s="256"/>
      <c r="QQ40" s="256"/>
      <c r="QR40" s="256"/>
      <c r="QS40" s="256"/>
      <c r="QT40" s="256"/>
      <c r="QU40" s="256"/>
      <c r="QV40" s="256"/>
      <c r="QW40" s="256"/>
      <c r="QX40" s="256"/>
      <c r="QY40" s="256"/>
      <c r="QZ40" s="256"/>
      <c r="RA40" s="256"/>
      <c r="RB40" s="256"/>
      <c r="RC40" s="256"/>
      <c r="RD40" s="256"/>
      <c r="RE40" s="256"/>
      <c r="RF40" s="256"/>
      <c r="RG40" s="256"/>
      <c r="RH40" s="256"/>
      <c r="RI40" s="256"/>
      <c r="RJ40" s="256"/>
      <c r="RK40" s="256"/>
      <c r="RL40" s="256"/>
      <c r="RM40" s="256"/>
      <c r="RN40" s="256"/>
      <c r="RO40" s="256"/>
      <c r="RP40" s="256"/>
      <c r="RQ40" s="256"/>
      <c r="RR40" s="256"/>
      <c r="RS40" s="256"/>
      <c r="RT40" s="256"/>
      <c r="RU40" s="256"/>
      <c r="RV40" s="256"/>
      <c r="RW40" s="256"/>
      <c r="RX40" s="256"/>
      <c r="RY40" s="256"/>
      <c r="RZ40" s="256"/>
      <c r="SA40" s="256"/>
      <c r="SB40" s="256"/>
      <c r="SC40" s="256"/>
      <c r="SD40" s="256"/>
      <c r="SE40" s="256"/>
      <c r="SF40" s="256"/>
      <c r="SG40" s="256"/>
      <c r="SH40" s="256"/>
      <c r="SI40" s="256"/>
      <c r="SJ40" s="256"/>
      <c r="SK40" s="256"/>
      <c r="SL40" s="256"/>
      <c r="SM40" s="256"/>
      <c r="SN40" s="256"/>
      <c r="SO40" s="256"/>
      <c r="SP40" s="256"/>
      <c r="SQ40" s="256"/>
      <c r="SR40" s="256"/>
      <c r="SS40" s="256"/>
      <c r="ST40" s="256"/>
      <c r="SU40" s="256"/>
      <c r="SV40" s="256"/>
      <c r="SW40" s="256"/>
      <c r="SX40" s="256"/>
      <c r="SY40" s="256"/>
      <c r="SZ40" s="256"/>
      <c r="TA40" s="256"/>
      <c r="TB40" s="256"/>
      <c r="TC40" s="256"/>
      <c r="TD40" s="256"/>
      <c r="TE40" s="256"/>
      <c r="TF40" s="256"/>
      <c r="TG40" s="256"/>
      <c r="TH40" s="256"/>
      <c r="TI40" s="256"/>
      <c r="TJ40" s="256"/>
      <c r="TK40" s="256"/>
      <c r="TL40" s="256"/>
      <c r="TM40" s="256"/>
      <c r="TN40" s="256"/>
      <c r="TO40" s="256"/>
      <c r="TP40" s="256"/>
      <c r="TQ40" s="256"/>
      <c r="TR40" s="256"/>
      <c r="TS40" s="256"/>
      <c r="TT40" s="256"/>
      <c r="TU40" s="256"/>
      <c r="TV40" s="256"/>
      <c r="TW40" s="256"/>
      <c r="TX40" s="256"/>
      <c r="TY40" s="256"/>
      <c r="TZ40" s="256"/>
      <c r="UA40" s="256"/>
      <c r="UB40" s="256"/>
      <c r="UC40" s="256"/>
      <c r="UD40" s="256"/>
      <c r="UE40" s="256"/>
      <c r="UF40" s="256"/>
      <c r="UG40" s="256"/>
      <c r="UH40" s="256"/>
      <c r="UI40" s="256"/>
      <c r="UJ40" s="256"/>
      <c r="UK40" s="256"/>
      <c r="UL40" s="256"/>
      <c r="UM40" s="256"/>
      <c r="UN40" s="256"/>
      <c r="UO40" s="256"/>
      <c r="UP40" s="256"/>
      <c r="UQ40" s="256"/>
      <c r="UR40" s="256"/>
      <c r="US40" s="256"/>
      <c r="UT40" s="256"/>
      <c r="UU40" s="256"/>
      <c r="UV40" s="256"/>
      <c r="UW40" s="256"/>
      <c r="UX40" s="256"/>
      <c r="UY40" s="256"/>
      <c r="UZ40" s="256"/>
      <c r="VA40" s="256"/>
      <c r="VB40" s="256"/>
      <c r="VC40" s="256"/>
      <c r="VD40" s="256"/>
      <c r="VE40" s="256"/>
      <c r="VF40" s="256"/>
      <c r="VG40" s="256"/>
      <c r="VH40" s="256"/>
      <c r="VI40" s="256"/>
      <c r="VJ40" s="256"/>
      <c r="VK40" s="256"/>
      <c r="VL40" s="256"/>
      <c r="VM40" s="256"/>
      <c r="VN40" s="256"/>
      <c r="VO40" s="256"/>
      <c r="VP40" s="256"/>
      <c r="VQ40" s="256"/>
      <c r="VR40" s="256"/>
      <c r="VS40" s="256"/>
      <c r="VT40" s="256"/>
      <c r="VU40" s="256"/>
      <c r="VV40" s="256"/>
      <c r="VW40" s="256"/>
      <c r="VX40" s="256"/>
      <c r="VY40" s="256"/>
      <c r="VZ40" s="256"/>
      <c r="WA40" s="256"/>
      <c r="WB40" s="256"/>
      <c r="WC40" s="256"/>
      <c r="WD40" s="256"/>
      <c r="WE40" s="256"/>
      <c r="WF40" s="256"/>
      <c r="WG40" s="256"/>
      <c r="WH40" s="256"/>
      <c r="WI40" s="256"/>
      <c r="WJ40" s="256"/>
      <c r="WK40" s="256"/>
      <c r="WL40" s="256"/>
      <c r="WM40" s="256"/>
      <c r="WN40" s="256"/>
      <c r="WO40" s="256"/>
      <c r="WP40" s="256"/>
      <c r="WQ40" s="256"/>
      <c r="WR40" s="256"/>
      <c r="WS40" s="256"/>
      <c r="WT40" s="256"/>
      <c r="WU40" s="256"/>
      <c r="WV40" s="256"/>
      <c r="WW40" s="256"/>
      <c r="WX40" s="256"/>
      <c r="WY40" s="256"/>
      <c r="WZ40" s="256"/>
      <c r="XA40" s="256"/>
      <c r="XB40" s="256"/>
      <c r="XC40" s="256"/>
      <c r="XD40" s="256"/>
      <c r="XE40" s="256"/>
      <c r="XF40" s="256"/>
      <c r="XG40" s="256"/>
      <c r="XH40" s="256"/>
      <c r="XI40" s="256"/>
      <c r="XJ40" s="256"/>
      <c r="XK40" s="256"/>
      <c r="XL40" s="256"/>
      <c r="XM40" s="256"/>
      <c r="XN40" s="256"/>
      <c r="XO40" s="256"/>
      <c r="XP40" s="256"/>
      <c r="XQ40" s="256"/>
      <c r="XR40" s="256"/>
      <c r="XS40" s="256"/>
      <c r="XT40" s="256"/>
      <c r="XU40" s="256"/>
      <c r="XV40" s="256"/>
      <c r="XW40" s="256"/>
      <c r="XX40" s="256"/>
      <c r="XY40" s="256"/>
      <c r="XZ40" s="256"/>
      <c r="YA40" s="256"/>
      <c r="YB40" s="256"/>
      <c r="YC40" s="256"/>
      <c r="YD40" s="256"/>
      <c r="YE40" s="256"/>
      <c r="YF40" s="256"/>
      <c r="YG40" s="256"/>
      <c r="YH40" s="256"/>
      <c r="YI40" s="256"/>
      <c r="YJ40" s="256"/>
      <c r="YK40" s="256"/>
      <c r="YL40" s="256"/>
      <c r="YM40" s="256"/>
      <c r="YN40" s="256"/>
      <c r="YO40" s="256"/>
      <c r="YP40" s="256"/>
      <c r="YQ40" s="256"/>
      <c r="YR40" s="256"/>
      <c r="YS40" s="256"/>
      <c r="YT40" s="256"/>
      <c r="YU40" s="256"/>
      <c r="YV40" s="256"/>
      <c r="YW40" s="256"/>
      <c r="YX40" s="256"/>
      <c r="YY40" s="256"/>
      <c r="YZ40" s="256"/>
      <c r="ZA40" s="256"/>
      <c r="ZB40" s="256"/>
      <c r="ZC40" s="256"/>
      <c r="ZD40" s="256"/>
      <c r="ZE40" s="256"/>
      <c r="ZF40" s="256"/>
      <c r="ZG40" s="256"/>
      <c r="ZH40" s="256"/>
      <c r="ZI40" s="256"/>
      <c r="ZJ40" s="256"/>
      <c r="ZK40" s="256"/>
      <c r="ZL40" s="256"/>
      <c r="ZM40" s="256"/>
      <c r="ZN40" s="256"/>
      <c r="ZO40" s="256"/>
      <c r="ZP40" s="256"/>
      <c r="ZQ40" s="256"/>
      <c r="ZR40" s="256"/>
      <c r="ZS40" s="256"/>
      <c r="ZT40" s="256"/>
      <c r="ZU40" s="256"/>
      <c r="ZV40" s="256"/>
      <c r="ZW40" s="256"/>
      <c r="ZX40" s="256"/>
      <c r="ZY40" s="256"/>
      <c r="ZZ40" s="256"/>
      <c r="AAA40" s="256"/>
      <c r="AAB40" s="256"/>
      <c r="AAC40" s="256"/>
      <c r="AAD40" s="256"/>
      <c r="AAE40" s="256"/>
      <c r="AAF40" s="256"/>
      <c r="AAG40" s="256"/>
      <c r="AAH40" s="256"/>
      <c r="AAI40" s="256"/>
      <c r="AAJ40" s="256"/>
      <c r="AAK40" s="256"/>
      <c r="AAL40" s="256"/>
      <c r="AAM40" s="256"/>
      <c r="AAN40" s="256"/>
      <c r="AAO40" s="256"/>
      <c r="AAP40" s="256"/>
      <c r="AAQ40" s="256"/>
      <c r="AAR40" s="256"/>
      <c r="AAS40" s="256"/>
      <c r="AAT40" s="256"/>
      <c r="AAU40" s="256"/>
      <c r="AAV40" s="256"/>
      <c r="AAW40" s="256"/>
      <c r="AAX40" s="256"/>
      <c r="AAY40" s="256"/>
      <c r="AAZ40" s="256"/>
      <c r="ABA40" s="256"/>
      <c r="ABB40" s="256"/>
      <c r="ABC40" s="256"/>
      <c r="ABD40" s="256"/>
      <c r="ABE40" s="256"/>
      <c r="ABF40" s="256"/>
      <c r="ABG40" s="256"/>
      <c r="ABH40" s="256"/>
      <c r="ABI40" s="256"/>
      <c r="ABJ40" s="256"/>
      <c r="ABK40" s="256"/>
      <c r="ABL40" s="256"/>
      <c r="ABM40" s="256"/>
      <c r="ABN40" s="256"/>
      <c r="ABO40" s="256"/>
      <c r="ABP40" s="256"/>
      <c r="ABQ40" s="256"/>
      <c r="ABR40" s="256"/>
      <c r="ABS40" s="256"/>
      <c r="ABT40" s="256"/>
      <c r="ABU40" s="256"/>
      <c r="ABV40" s="256"/>
      <c r="ABW40" s="256"/>
      <c r="ABX40" s="256"/>
      <c r="ABY40" s="256"/>
      <c r="ABZ40" s="256"/>
      <c r="ACA40" s="256"/>
      <c r="ACB40" s="256"/>
      <c r="ACC40" s="256"/>
      <c r="ACD40" s="256"/>
      <c r="ACE40" s="256"/>
      <c r="ACF40" s="256"/>
      <c r="ACG40" s="256"/>
      <c r="ACH40" s="256"/>
      <c r="ACI40" s="256"/>
      <c r="ACJ40" s="256"/>
      <c r="ACK40" s="256"/>
      <c r="ACL40" s="256"/>
      <c r="ACM40" s="256"/>
      <c r="ACN40" s="256"/>
      <c r="ACO40" s="256"/>
      <c r="ACP40" s="256"/>
      <c r="ACQ40" s="256"/>
      <c r="ACR40" s="256"/>
      <c r="ACS40" s="256"/>
      <c r="ACT40" s="256"/>
      <c r="ACU40" s="256"/>
      <c r="ACV40" s="256"/>
      <c r="ACW40" s="256"/>
      <c r="ACX40" s="256"/>
      <c r="ACY40" s="256"/>
      <c r="ACZ40" s="256"/>
      <c r="ADA40" s="256"/>
      <c r="ADB40" s="256"/>
      <c r="ADC40" s="256"/>
      <c r="ADD40" s="256"/>
      <c r="ADE40" s="256"/>
      <c r="ADF40" s="256"/>
      <c r="ADG40" s="256"/>
      <c r="ADH40" s="256"/>
      <c r="ADI40" s="256"/>
      <c r="ADJ40" s="256"/>
      <c r="ADK40" s="256"/>
      <c r="ADL40" s="256"/>
      <c r="ADM40" s="256"/>
      <c r="ADN40" s="256"/>
      <c r="ADO40" s="256"/>
      <c r="ADP40" s="256"/>
      <c r="ADQ40" s="256"/>
      <c r="ADR40" s="256"/>
      <c r="ADS40" s="256"/>
      <c r="ADT40" s="256"/>
      <c r="ADU40" s="256"/>
      <c r="ADV40" s="256"/>
      <c r="ADW40" s="256"/>
      <c r="ADX40" s="256"/>
      <c r="ADY40" s="256"/>
      <c r="ADZ40" s="256"/>
      <c r="AEA40" s="256"/>
      <c r="AEB40" s="256"/>
      <c r="AEC40" s="256"/>
      <c r="AED40" s="256"/>
      <c r="AEE40" s="256"/>
      <c r="AEF40" s="256"/>
      <c r="AEG40" s="256"/>
      <c r="AEH40" s="256"/>
      <c r="AEI40" s="256"/>
      <c r="AEJ40" s="256"/>
      <c r="AEK40" s="256"/>
      <c r="AEL40" s="256"/>
      <c r="AEM40" s="256"/>
      <c r="AEN40" s="256"/>
      <c r="AEO40" s="256"/>
      <c r="AEP40" s="256"/>
      <c r="AEQ40" s="256"/>
      <c r="AER40" s="256"/>
      <c r="AES40" s="256"/>
      <c r="AET40" s="256"/>
      <c r="AEU40" s="256"/>
      <c r="AEV40" s="256"/>
      <c r="AEW40" s="256"/>
      <c r="AEX40" s="256"/>
      <c r="AEY40" s="256"/>
      <c r="AEZ40" s="256"/>
      <c r="AFA40" s="256"/>
      <c r="AFB40" s="256"/>
      <c r="AFC40" s="256"/>
      <c r="AFD40" s="256"/>
      <c r="AFE40" s="256"/>
      <c r="AFF40" s="256"/>
      <c r="AFG40" s="256"/>
      <c r="AFH40" s="256"/>
      <c r="AFI40" s="256"/>
      <c r="AFJ40" s="256"/>
      <c r="AFK40" s="256"/>
      <c r="AFL40" s="256"/>
      <c r="AFM40" s="256"/>
      <c r="AFN40" s="256"/>
      <c r="AFO40" s="256"/>
      <c r="AFP40" s="256"/>
      <c r="AFQ40" s="256"/>
      <c r="AFR40" s="256"/>
      <c r="AFS40" s="256"/>
      <c r="AFT40" s="256"/>
      <c r="AFU40" s="256"/>
      <c r="AFV40" s="256"/>
      <c r="AFW40" s="256"/>
      <c r="AFX40" s="256"/>
      <c r="AFY40" s="256"/>
      <c r="AFZ40" s="256"/>
      <c r="AGA40" s="256"/>
      <c r="AGB40" s="256"/>
      <c r="AGC40" s="256"/>
      <c r="AGD40" s="256"/>
      <c r="AGE40" s="256"/>
      <c r="AGF40" s="256"/>
      <c r="AGG40" s="256"/>
      <c r="AGH40" s="256"/>
      <c r="AGI40" s="256"/>
      <c r="AGJ40" s="256"/>
      <c r="AGK40" s="256"/>
      <c r="AGL40" s="256"/>
      <c r="AGM40" s="256"/>
      <c r="AGN40" s="256"/>
      <c r="AGO40" s="256"/>
      <c r="AGP40" s="256"/>
      <c r="AGQ40" s="256"/>
      <c r="AGR40" s="256"/>
      <c r="AGS40" s="256"/>
      <c r="AGT40" s="256"/>
      <c r="AGU40" s="256"/>
      <c r="AGV40" s="256"/>
      <c r="AGW40" s="256"/>
      <c r="AGX40" s="256"/>
      <c r="AGY40" s="256"/>
      <c r="AGZ40" s="256"/>
      <c r="AHA40" s="256"/>
      <c r="AHB40" s="256"/>
      <c r="AHC40" s="256"/>
      <c r="AHD40" s="256"/>
      <c r="AHE40" s="256"/>
      <c r="AHF40" s="256"/>
      <c r="AHG40" s="256"/>
      <c r="AHH40" s="256"/>
      <c r="AHI40" s="256"/>
      <c r="AHJ40" s="256"/>
      <c r="AHK40" s="256"/>
      <c r="AHL40" s="256"/>
      <c r="AHM40" s="256"/>
      <c r="AHN40" s="256"/>
      <c r="AHO40" s="256"/>
      <c r="AHP40" s="256"/>
      <c r="AHQ40" s="256"/>
      <c r="AHR40" s="256"/>
      <c r="AHS40" s="256"/>
      <c r="AHT40" s="256"/>
      <c r="AHU40" s="256"/>
      <c r="AHV40" s="256"/>
      <c r="AHW40" s="256"/>
      <c r="AHX40" s="256"/>
      <c r="AHY40" s="256"/>
      <c r="AHZ40" s="256"/>
      <c r="AIA40" s="256"/>
      <c r="AIB40" s="256"/>
      <c r="AIC40" s="256"/>
      <c r="AID40" s="256"/>
      <c r="AIE40" s="256"/>
      <c r="AIF40" s="256"/>
      <c r="AIG40" s="256"/>
      <c r="AIH40" s="256"/>
      <c r="AII40" s="256"/>
      <c r="AIJ40" s="256"/>
      <c r="AIK40" s="256"/>
      <c r="AIL40" s="256"/>
      <c r="AIM40" s="256"/>
      <c r="AIN40" s="256"/>
      <c r="AIO40" s="256"/>
      <c r="AIP40" s="256"/>
      <c r="AIQ40" s="256"/>
      <c r="AIR40" s="256"/>
      <c r="AIS40" s="256"/>
      <c r="AIT40" s="256"/>
      <c r="AIU40" s="256"/>
      <c r="AIV40" s="256"/>
      <c r="AIW40" s="256"/>
      <c r="AIX40" s="256"/>
      <c r="AIY40" s="256"/>
      <c r="AIZ40" s="256"/>
      <c r="AJA40" s="256"/>
      <c r="AJB40" s="256"/>
      <c r="AJC40" s="256"/>
      <c r="AJD40" s="256"/>
      <c r="AJE40" s="256"/>
      <c r="AJF40" s="256"/>
      <c r="AJG40" s="256"/>
      <c r="AJH40" s="256"/>
      <c r="AJI40" s="256"/>
      <c r="AJJ40" s="256"/>
      <c r="AJK40" s="256"/>
      <c r="AJL40" s="256"/>
      <c r="AJM40" s="256"/>
      <c r="AJN40" s="256"/>
      <c r="AJO40" s="256"/>
      <c r="AJP40" s="256"/>
      <c r="AJQ40" s="256"/>
      <c r="AJR40" s="256"/>
      <c r="AJS40" s="256"/>
      <c r="AJT40" s="256"/>
      <c r="AJU40" s="256"/>
      <c r="AJV40" s="256"/>
      <c r="AJW40" s="256"/>
      <c r="AJX40" s="256"/>
      <c r="AJY40" s="256"/>
      <c r="AJZ40" s="256"/>
      <c r="AKA40" s="256"/>
      <c r="AKB40" s="256"/>
      <c r="AKC40" s="256"/>
      <c r="AKD40" s="256"/>
      <c r="AKE40" s="256"/>
      <c r="AKF40" s="256"/>
      <c r="AKG40" s="256"/>
      <c r="AKH40" s="256"/>
      <c r="AKI40" s="256"/>
      <c r="AKJ40" s="256"/>
      <c r="AKK40" s="256"/>
      <c r="AKL40" s="256"/>
      <c r="AKM40" s="256"/>
      <c r="AKN40" s="256"/>
      <c r="AKO40" s="256"/>
      <c r="AKP40" s="256"/>
      <c r="AKQ40" s="256"/>
      <c r="AKR40" s="256"/>
      <c r="AKS40" s="256"/>
      <c r="AKT40" s="256"/>
      <c r="AKU40" s="256"/>
      <c r="AKV40" s="256"/>
      <c r="AKW40" s="256"/>
      <c r="AKX40" s="256"/>
      <c r="AKY40" s="256"/>
      <c r="AKZ40" s="256"/>
      <c r="ALA40" s="256"/>
      <c r="ALB40" s="256"/>
      <c r="ALC40" s="256"/>
      <c r="ALD40" s="256"/>
      <c r="ALE40" s="256"/>
      <c r="ALF40" s="256"/>
      <c r="ALG40" s="256"/>
      <c r="ALH40" s="256"/>
      <c r="ALI40" s="256"/>
      <c r="ALJ40" s="256"/>
      <c r="ALK40" s="256"/>
      <c r="ALL40" s="256"/>
      <c r="ALM40" s="256"/>
      <c r="ALN40" s="256"/>
      <c r="ALO40" s="256"/>
      <c r="ALP40" s="256"/>
      <c r="ALQ40" s="256"/>
      <c r="ALR40" s="256"/>
      <c r="ALS40" s="256"/>
      <c r="ALT40" s="256"/>
      <c r="ALU40" s="258"/>
      <c r="ALV40" s="258"/>
      <c r="ALW40" s="258"/>
      <c r="ALX40" s="258"/>
      <c r="ALY40" s="258"/>
      <c r="ALZ40" s="258"/>
      <c r="AMA40" s="258"/>
      <c r="AMB40" s="258"/>
      <c r="AMC40" s="258"/>
      <c r="AMD40" s="258"/>
      <c r="AME40" s="258"/>
      <c r="AMF40" s="258"/>
      <c r="AMG40" s="258"/>
      <c r="AMH40" s="258"/>
      <c r="AMI40" s="256"/>
    </row>
    <row r="41" spans="1:1023" s="259" customFormat="1" x14ac:dyDescent="0.25">
      <c r="A41" s="256"/>
      <c r="B41" s="256"/>
      <c r="C41" s="256"/>
      <c r="D41" s="256"/>
      <c r="E41" s="256"/>
      <c r="F41" s="256"/>
      <c r="G41" s="256"/>
      <c r="H41" s="256"/>
      <c r="I41" s="256"/>
      <c r="J41" s="256"/>
      <c r="K41" s="256"/>
      <c r="L41" s="256"/>
      <c r="M41" s="256"/>
      <c r="N41" s="256"/>
      <c r="O41" s="256"/>
      <c r="P41" s="256"/>
      <c r="Q41" s="256"/>
      <c r="R41" s="256"/>
      <c r="S41" s="256"/>
      <c r="T41" s="256"/>
      <c r="U41" s="256"/>
      <c r="V41" s="256"/>
      <c r="W41" s="256"/>
      <c r="X41" s="256"/>
      <c r="Y41" s="256"/>
      <c r="Z41" s="256"/>
      <c r="AA41" s="256"/>
      <c r="AB41" s="256"/>
      <c r="AC41" s="256"/>
      <c r="AD41" s="256"/>
      <c r="AE41" s="256"/>
      <c r="AF41" s="256"/>
      <c r="AG41" s="256"/>
      <c r="AH41" s="256"/>
      <c r="AI41" s="256"/>
      <c r="AJ41" s="256"/>
      <c r="AK41" s="256"/>
      <c r="AL41" s="256"/>
      <c r="AM41" s="256"/>
      <c r="AN41" s="256"/>
      <c r="AO41" s="256"/>
      <c r="AP41" s="256"/>
      <c r="AQ41" s="256"/>
      <c r="AR41" s="256"/>
      <c r="AS41" s="256"/>
      <c r="AT41" s="256"/>
      <c r="AU41" s="256"/>
      <c r="AV41" s="256"/>
      <c r="AW41" s="256"/>
      <c r="AX41" s="256"/>
      <c r="AY41" s="256"/>
      <c r="AZ41" s="256"/>
      <c r="BA41" s="256"/>
      <c r="BB41" s="256"/>
      <c r="BC41" s="256"/>
      <c r="BD41" s="256"/>
      <c r="BE41" s="256"/>
      <c r="BF41" s="256"/>
      <c r="BG41" s="256"/>
      <c r="BH41" s="256"/>
      <c r="BI41" s="256"/>
      <c r="BJ41" s="256"/>
      <c r="BK41" s="256"/>
      <c r="BL41" s="256"/>
      <c r="BM41" s="256"/>
      <c r="BN41" s="256"/>
      <c r="BO41" s="256"/>
      <c r="BP41" s="256"/>
      <c r="BQ41" s="256"/>
      <c r="BR41" s="256"/>
      <c r="BS41" s="256"/>
      <c r="BT41" s="256"/>
      <c r="BU41" s="256"/>
      <c r="BV41" s="256"/>
      <c r="BW41" s="256"/>
      <c r="BX41" s="256"/>
      <c r="BY41" s="256"/>
      <c r="BZ41" s="256"/>
      <c r="CA41" s="256"/>
      <c r="CB41" s="256"/>
      <c r="CC41" s="256"/>
      <c r="CD41" s="256"/>
      <c r="CE41" s="256"/>
      <c r="CF41" s="256"/>
      <c r="CG41" s="256"/>
      <c r="CH41" s="256"/>
      <c r="CI41" s="256"/>
      <c r="CJ41" s="256"/>
      <c r="CK41" s="256"/>
      <c r="CL41" s="256"/>
      <c r="CM41" s="256"/>
      <c r="CN41" s="256"/>
      <c r="CO41" s="256"/>
      <c r="CP41" s="256"/>
      <c r="CQ41" s="256"/>
      <c r="CR41" s="256"/>
      <c r="CS41" s="256"/>
      <c r="CT41" s="256"/>
      <c r="CU41" s="256"/>
      <c r="CV41" s="256"/>
      <c r="CW41" s="256"/>
      <c r="CX41" s="256"/>
      <c r="CY41" s="256"/>
      <c r="CZ41" s="256"/>
      <c r="DA41" s="256"/>
      <c r="DB41" s="256"/>
      <c r="DC41" s="256"/>
      <c r="DD41" s="256"/>
      <c r="DE41" s="256"/>
      <c r="DF41" s="256"/>
      <c r="DG41" s="256"/>
      <c r="DH41" s="256"/>
      <c r="DI41" s="256"/>
      <c r="DJ41" s="256"/>
      <c r="DK41" s="256"/>
      <c r="DL41" s="256"/>
      <c r="DM41" s="256"/>
      <c r="DN41" s="256"/>
      <c r="DO41" s="256"/>
      <c r="DP41" s="256"/>
      <c r="DQ41" s="256"/>
      <c r="DR41" s="256"/>
      <c r="DS41" s="256"/>
      <c r="DT41" s="256"/>
      <c r="DU41" s="256"/>
      <c r="DV41" s="256"/>
      <c r="DW41" s="256"/>
      <c r="DX41" s="256"/>
      <c r="DY41" s="256"/>
      <c r="DZ41" s="256"/>
      <c r="EA41" s="256"/>
      <c r="EB41" s="256"/>
      <c r="EC41" s="256"/>
      <c r="ED41" s="256"/>
      <c r="EE41" s="256"/>
      <c r="EF41" s="256"/>
      <c r="EG41" s="256"/>
      <c r="EH41" s="256"/>
      <c r="EI41" s="256"/>
      <c r="EJ41" s="256"/>
      <c r="EK41" s="256"/>
      <c r="EL41" s="256"/>
      <c r="EM41" s="256"/>
      <c r="EN41" s="256"/>
      <c r="EO41" s="256"/>
      <c r="EP41" s="256"/>
      <c r="EQ41" s="256"/>
      <c r="ER41" s="256"/>
      <c r="ES41" s="256"/>
      <c r="ET41" s="256"/>
      <c r="EU41" s="256"/>
      <c r="EV41" s="256"/>
      <c r="EW41" s="256"/>
      <c r="EX41" s="256"/>
      <c r="EY41" s="256"/>
      <c r="EZ41" s="256"/>
      <c r="FA41" s="256"/>
      <c r="FB41" s="256"/>
      <c r="FC41" s="256"/>
      <c r="FD41" s="256"/>
      <c r="FE41" s="256"/>
      <c r="FF41" s="256"/>
      <c r="FG41" s="256"/>
      <c r="FH41" s="256"/>
      <c r="FI41" s="256"/>
      <c r="FJ41" s="256"/>
      <c r="FK41" s="256"/>
      <c r="FL41" s="256"/>
      <c r="FM41" s="256"/>
      <c r="FN41" s="256"/>
      <c r="FO41" s="256"/>
      <c r="FP41" s="256"/>
      <c r="FQ41" s="256"/>
      <c r="FR41" s="256"/>
      <c r="FS41" s="256"/>
      <c r="FT41" s="256"/>
      <c r="FU41" s="256"/>
      <c r="FV41" s="256"/>
      <c r="FW41" s="256"/>
      <c r="FX41" s="256"/>
      <c r="FY41" s="256"/>
      <c r="FZ41" s="256"/>
      <c r="GA41" s="256"/>
      <c r="GB41" s="256"/>
      <c r="GC41" s="256"/>
      <c r="GD41" s="256"/>
      <c r="GE41" s="256"/>
      <c r="GF41" s="256"/>
      <c r="GG41" s="256"/>
      <c r="GH41" s="256"/>
      <c r="GI41" s="256"/>
      <c r="GJ41" s="256"/>
      <c r="GK41" s="256"/>
      <c r="GL41" s="256"/>
      <c r="GM41" s="256"/>
      <c r="GN41" s="256"/>
      <c r="GO41" s="256"/>
      <c r="GP41" s="256"/>
      <c r="GQ41" s="256"/>
      <c r="GR41" s="256"/>
      <c r="GS41" s="256"/>
      <c r="GT41" s="256"/>
      <c r="GU41" s="256"/>
      <c r="GV41" s="256"/>
      <c r="GW41" s="256"/>
      <c r="GX41" s="256"/>
      <c r="GY41" s="256"/>
      <c r="GZ41" s="256"/>
      <c r="HA41" s="256"/>
      <c r="HB41" s="256"/>
      <c r="HC41" s="256"/>
      <c r="HD41" s="256"/>
      <c r="HE41" s="256"/>
      <c r="HF41" s="256"/>
      <c r="HG41" s="256"/>
      <c r="HH41" s="256"/>
      <c r="HI41" s="256"/>
      <c r="HJ41" s="256"/>
      <c r="HK41" s="256"/>
      <c r="HL41" s="256"/>
      <c r="HM41" s="256"/>
      <c r="HN41" s="256"/>
      <c r="HO41" s="256"/>
      <c r="HP41" s="256"/>
      <c r="HQ41" s="256"/>
      <c r="HR41" s="256"/>
      <c r="HS41" s="256"/>
      <c r="HT41" s="256"/>
      <c r="HU41" s="256"/>
      <c r="HV41" s="256"/>
      <c r="HW41" s="256"/>
      <c r="HX41" s="256"/>
      <c r="HY41" s="256"/>
      <c r="HZ41" s="256"/>
      <c r="IA41" s="256"/>
      <c r="IB41" s="256"/>
      <c r="IC41" s="256"/>
      <c r="ID41" s="256"/>
      <c r="IE41" s="256"/>
      <c r="IF41" s="256"/>
      <c r="IG41" s="256"/>
      <c r="IH41" s="256"/>
      <c r="II41" s="256"/>
      <c r="IJ41" s="256"/>
      <c r="IK41" s="256"/>
      <c r="IL41" s="256"/>
      <c r="IM41" s="256"/>
      <c r="IN41" s="256"/>
      <c r="IO41" s="256"/>
      <c r="IP41" s="256"/>
      <c r="IQ41" s="256"/>
      <c r="IR41" s="256"/>
      <c r="IS41" s="256"/>
      <c r="IT41" s="256"/>
      <c r="IU41" s="256"/>
      <c r="IV41" s="256"/>
      <c r="IW41" s="256"/>
      <c r="IX41" s="256"/>
      <c r="IY41" s="256"/>
      <c r="IZ41" s="256"/>
      <c r="JA41" s="256"/>
      <c r="JB41" s="256"/>
      <c r="JC41" s="256"/>
      <c r="JD41" s="256"/>
      <c r="JE41" s="256"/>
      <c r="JF41" s="256"/>
      <c r="JG41" s="256"/>
      <c r="JH41" s="256"/>
      <c r="JI41" s="256"/>
      <c r="JJ41" s="256"/>
      <c r="JK41" s="256"/>
      <c r="JL41" s="256"/>
      <c r="JM41" s="256"/>
      <c r="JN41" s="256"/>
      <c r="JO41" s="256"/>
      <c r="JP41" s="256"/>
      <c r="JQ41" s="256"/>
      <c r="JR41" s="256"/>
      <c r="JS41" s="256"/>
      <c r="JT41" s="256"/>
      <c r="JU41" s="256"/>
      <c r="JV41" s="256"/>
      <c r="JW41" s="256"/>
      <c r="JX41" s="256"/>
      <c r="JY41" s="256"/>
      <c r="JZ41" s="256"/>
      <c r="KA41" s="256"/>
      <c r="KB41" s="256"/>
      <c r="KC41" s="256"/>
      <c r="KD41" s="256"/>
      <c r="KE41" s="256"/>
      <c r="KF41" s="256"/>
      <c r="KG41" s="256"/>
      <c r="KH41" s="256"/>
      <c r="KI41" s="256"/>
      <c r="KJ41" s="256"/>
      <c r="KK41" s="256"/>
      <c r="KL41" s="256"/>
      <c r="KM41" s="256"/>
      <c r="KN41" s="256"/>
      <c r="KO41" s="256"/>
      <c r="KP41" s="256"/>
      <c r="KQ41" s="256"/>
      <c r="KR41" s="256"/>
      <c r="KS41" s="256"/>
      <c r="KT41" s="256"/>
      <c r="KU41" s="256"/>
      <c r="KV41" s="256"/>
      <c r="KW41" s="256"/>
      <c r="KX41" s="256"/>
      <c r="KY41" s="256"/>
      <c r="KZ41" s="256"/>
      <c r="LA41" s="256"/>
      <c r="LB41" s="256"/>
      <c r="LC41" s="256"/>
      <c r="LD41" s="256"/>
      <c r="LE41" s="256"/>
      <c r="LF41" s="256"/>
      <c r="LG41" s="256"/>
      <c r="LH41" s="256"/>
      <c r="LI41" s="256"/>
      <c r="LJ41" s="256"/>
      <c r="LK41" s="256"/>
      <c r="LL41" s="256"/>
      <c r="LM41" s="256"/>
      <c r="LN41" s="256"/>
      <c r="LO41" s="256"/>
      <c r="LP41" s="256"/>
      <c r="LQ41" s="256"/>
      <c r="LR41" s="256"/>
      <c r="LS41" s="256"/>
      <c r="LT41" s="256"/>
      <c r="LU41" s="256"/>
      <c r="LV41" s="256"/>
      <c r="LW41" s="256"/>
      <c r="LX41" s="256"/>
      <c r="LY41" s="256"/>
      <c r="LZ41" s="256"/>
      <c r="MA41" s="256"/>
      <c r="MB41" s="256"/>
      <c r="MC41" s="256"/>
      <c r="MD41" s="256"/>
      <c r="ME41" s="256"/>
      <c r="MF41" s="256"/>
      <c r="MG41" s="256"/>
      <c r="MH41" s="256"/>
      <c r="MI41" s="256"/>
      <c r="MJ41" s="256"/>
      <c r="MK41" s="256"/>
      <c r="ML41" s="256"/>
      <c r="MM41" s="256"/>
      <c r="MN41" s="256"/>
      <c r="MO41" s="256"/>
      <c r="MP41" s="256"/>
      <c r="MQ41" s="256"/>
      <c r="MR41" s="256"/>
      <c r="MS41" s="256"/>
      <c r="MT41" s="256"/>
      <c r="MU41" s="256"/>
      <c r="MV41" s="256"/>
      <c r="MW41" s="256"/>
      <c r="MX41" s="256"/>
      <c r="MY41" s="256"/>
      <c r="MZ41" s="256"/>
      <c r="NA41" s="256"/>
      <c r="NB41" s="256"/>
      <c r="NC41" s="256"/>
      <c r="ND41" s="256"/>
      <c r="NE41" s="256"/>
      <c r="NF41" s="256"/>
      <c r="NG41" s="256"/>
      <c r="NH41" s="256"/>
      <c r="NI41" s="256"/>
      <c r="NJ41" s="256"/>
      <c r="NK41" s="256"/>
      <c r="NL41" s="256"/>
      <c r="NM41" s="256"/>
      <c r="NN41" s="256"/>
      <c r="NO41" s="256"/>
      <c r="NP41" s="256"/>
      <c r="NQ41" s="256"/>
      <c r="NR41" s="256"/>
      <c r="NS41" s="256"/>
      <c r="NT41" s="256"/>
      <c r="NU41" s="256"/>
      <c r="NV41" s="256"/>
      <c r="NW41" s="256"/>
      <c r="NX41" s="256"/>
      <c r="NY41" s="256"/>
      <c r="NZ41" s="256"/>
      <c r="OA41" s="256"/>
      <c r="OB41" s="256"/>
      <c r="OC41" s="256"/>
      <c r="OD41" s="256"/>
      <c r="OE41" s="256"/>
      <c r="OF41" s="256"/>
      <c r="OG41" s="256"/>
      <c r="OH41" s="256"/>
      <c r="OI41" s="256"/>
      <c r="OJ41" s="256"/>
      <c r="OK41" s="256"/>
      <c r="OL41" s="256"/>
      <c r="OM41" s="256"/>
      <c r="ON41" s="256"/>
      <c r="OO41" s="256"/>
      <c r="OP41" s="256"/>
      <c r="OQ41" s="256"/>
      <c r="OR41" s="256"/>
      <c r="OS41" s="256"/>
      <c r="OT41" s="256"/>
      <c r="OU41" s="256"/>
      <c r="OV41" s="256"/>
      <c r="OW41" s="256"/>
      <c r="OX41" s="256"/>
      <c r="OY41" s="256"/>
      <c r="OZ41" s="256"/>
      <c r="PA41" s="256"/>
      <c r="PB41" s="256"/>
      <c r="PC41" s="256"/>
      <c r="PD41" s="256"/>
      <c r="PE41" s="256"/>
      <c r="PF41" s="256"/>
      <c r="PG41" s="256"/>
      <c r="PH41" s="256"/>
      <c r="PI41" s="256"/>
      <c r="PJ41" s="256"/>
      <c r="PK41" s="256"/>
      <c r="PL41" s="256"/>
      <c r="PM41" s="256"/>
      <c r="PN41" s="256"/>
      <c r="PO41" s="256"/>
      <c r="PP41" s="256"/>
      <c r="PQ41" s="256"/>
      <c r="PR41" s="256"/>
      <c r="PS41" s="256"/>
      <c r="PT41" s="256"/>
      <c r="PU41" s="256"/>
      <c r="PV41" s="256"/>
      <c r="PW41" s="256"/>
      <c r="PX41" s="256"/>
      <c r="PY41" s="256"/>
      <c r="PZ41" s="256"/>
      <c r="QA41" s="256"/>
      <c r="QB41" s="256"/>
      <c r="QC41" s="256"/>
      <c r="QD41" s="256"/>
      <c r="QE41" s="256"/>
      <c r="QF41" s="256"/>
      <c r="QG41" s="256"/>
      <c r="QH41" s="256"/>
      <c r="QI41" s="256"/>
      <c r="QJ41" s="256"/>
      <c r="QK41" s="256"/>
      <c r="QL41" s="256"/>
      <c r="QM41" s="256"/>
      <c r="QN41" s="256"/>
      <c r="QO41" s="256"/>
      <c r="QP41" s="256"/>
      <c r="QQ41" s="256"/>
      <c r="QR41" s="256"/>
      <c r="QS41" s="256"/>
      <c r="QT41" s="256"/>
      <c r="QU41" s="256"/>
      <c r="QV41" s="256"/>
      <c r="QW41" s="256"/>
      <c r="QX41" s="256"/>
      <c r="QY41" s="256"/>
      <c r="QZ41" s="256"/>
      <c r="RA41" s="256"/>
      <c r="RB41" s="256"/>
      <c r="RC41" s="256"/>
      <c r="RD41" s="256"/>
      <c r="RE41" s="256"/>
      <c r="RF41" s="256"/>
      <c r="RG41" s="256"/>
      <c r="RH41" s="256"/>
      <c r="RI41" s="256"/>
      <c r="RJ41" s="256"/>
      <c r="RK41" s="256"/>
      <c r="RL41" s="256"/>
      <c r="RM41" s="256"/>
      <c r="RN41" s="256"/>
      <c r="RO41" s="256"/>
      <c r="RP41" s="256"/>
      <c r="RQ41" s="256"/>
      <c r="RR41" s="256"/>
      <c r="RS41" s="256"/>
      <c r="RT41" s="256"/>
      <c r="RU41" s="256"/>
      <c r="RV41" s="256"/>
      <c r="RW41" s="256"/>
      <c r="RX41" s="256"/>
      <c r="RY41" s="256"/>
      <c r="RZ41" s="256"/>
      <c r="SA41" s="256"/>
      <c r="SB41" s="256"/>
      <c r="SC41" s="256"/>
      <c r="SD41" s="256"/>
      <c r="SE41" s="256"/>
      <c r="SF41" s="256"/>
      <c r="SG41" s="256"/>
      <c r="SH41" s="256"/>
      <c r="SI41" s="256"/>
      <c r="SJ41" s="256"/>
      <c r="SK41" s="256"/>
      <c r="SL41" s="256"/>
      <c r="SM41" s="256"/>
      <c r="SN41" s="256"/>
      <c r="SO41" s="256"/>
      <c r="SP41" s="256"/>
      <c r="SQ41" s="256"/>
      <c r="SR41" s="256"/>
      <c r="SS41" s="256"/>
      <c r="ST41" s="256"/>
      <c r="SU41" s="256"/>
      <c r="SV41" s="256"/>
      <c r="SW41" s="256"/>
      <c r="SX41" s="256"/>
      <c r="SY41" s="256"/>
      <c r="SZ41" s="256"/>
      <c r="TA41" s="256"/>
      <c r="TB41" s="256"/>
      <c r="TC41" s="256"/>
      <c r="TD41" s="256"/>
      <c r="TE41" s="256"/>
      <c r="TF41" s="256"/>
      <c r="TG41" s="256"/>
      <c r="TH41" s="256"/>
      <c r="TI41" s="256"/>
      <c r="TJ41" s="256"/>
      <c r="TK41" s="256"/>
      <c r="TL41" s="256"/>
      <c r="TM41" s="256"/>
      <c r="TN41" s="256"/>
      <c r="TO41" s="256"/>
      <c r="TP41" s="256"/>
      <c r="TQ41" s="256"/>
      <c r="TR41" s="256"/>
      <c r="TS41" s="256"/>
      <c r="TT41" s="256"/>
      <c r="TU41" s="256"/>
      <c r="TV41" s="256"/>
      <c r="TW41" s="256"/>
      <c r="TX41" s="256"/>
      <c r="TY41" s="256"/>
      <c r="TZ41" s="256"/>
      <c r="UA41" s="256"/>
      <c r="UB41" s="256"/>
      <c r="UC41" s="256"/>
      <c r="UD41" s="256"/>
      <c r="UE41" s="256"/>
      <c r="UF41" s="256"/>
      <c r="UG41" s="256"/>
      <c r="UH41" s="256"/>
      <c r="UI41" s="256"/>
      <c r="UJ41" s="256"/>
      <c r="UK41" s="256"/>
      <c r="UL41" s="256"/>
      <c r="UM41" s="256"/>
      <c r="UN41" s="256"/>
      <c r="UO41" s="256"/>
      <c r="UP41" s="256"/>
      <c r="UQ41" s="256"/>
      <c r="UR41" s="256"/>
      <c r="US41" s="256"/>
      <c r="UT41" s="256"/>
      <c r="UU41" s="256"/>
      <c r="UV41" s="256"/>
      <c r="UW41" s="256"/>
      <c r="UX41" s="256"/>
      <c r="UY41" s="256"/>
      <c r="UZ41" s="256"/>
      <c r="VA41" s="256"/>
      <c r="VB41" s="256"/>
      <c r="VC41" s="256"/>
      <c r="VD41" s="256"/>
      <c r="VE41" s="256"/>
      <c r="VF41" s="256"/>
      <c r="VG41" s="256"/>
      <c r="VH41" s="256"/>
      <c r="VI41" s="256"/>
      <c r="VJ41" s="256"/>
      <c r="VK41" s="256"/>
      <c r="VL41" s="256"/>
      <c r="VM41" s="256"/>
      <c r="VN41" s="256"/>
      <c r="VO41" s="256"/>
      <c r="VP41" s="256"/>
      <c r="VQ41" s="256"/>
      <c r="VR41" s="256"/>
      <c r="VS41" s="256"/>
      <c r="VT41" s="256"/>
      <c r="VU41" s="256"/>
      <c r="VV41" s="256"/>
      <c r="VW41" s="256"/>
      <c r="VX41" s="256"/>
      <c r="VY41" s="256"/>
      <c r="VZ41" s="256"/>
      <c r="WA41" s="256"/>
      <c r="WB41" s="256"/>
      <c r="WC41" s="256"/>
      <c r="WD41" s="256"/>
      <c r="WE41" s="256"/>
      <c r="WF41" s="256"/>
      <c r="WG41" s="256"/>
      <c r="WH41" s="256"/>
      <c r="WI41" s="256"/>
      <c r="WJ41" s="256"/>
      <c r="WK41" s="256"/>
      <c r="WL41" s="256"/>
      <c r="WM41" s="256"/>
      <c r="WN41" s="256"/>
      <c r="WO41" s="256"/>
      <c r="WP41" s="256"/>
      <c r="WQ41" s="256"/>
      <c r="WR41" s="256"/>
      <c r="WS41" s="256"/>
      <c r="WT41" s="256"/>
      <c r="WU41" s="256"/>
      <c r="WV41" s="256"/>
      <c r="WW41" s="256"/>
      <c r="WX41" s="256"/>
      <c r="WY41" s="256"/>
      <c r="WZ41" s="256"/>
      <c r="XA41" s="256"/>
      <c r="XB41" s="256"/>
      <c r="XC41" s="256"/>
      <c r="XD41" s="256"/>
      <c r="XE41" s="256"/>
      <c r="XF41" s="256"/>
      <c r="XG41" s="256"/>
      <c r="XH41" s="256"/>
      <c r="XI41" s="256"/>
      <c r="XJ41" s="256"/>
      <c r="XK41" s="256"/>
      <c r="XL41" s="256"/>
      <c r="XM41" s="256"/>
      <c r="XN41" s="256"/>
      <c r="XO41" s="256"/>
      <c r="XP41" s="256"/>
      <c r="XQ41" s="256"/>
      <c r="XR41" s="256"/>
      <c r="XS41" s="256"/>
      <c r="XT41" s="256"/>
      <c r="XU41" s="256"/>
      <c r="XV41" s="256"/>
      <c r="XW41" s="256"/>
      <c r="XX41" s="256"/>
      <c r="XY41" s="256"/>
      <c r="XZ41" s="256"/>
      <c r="YA41" s="256"/>
      <c r="YB41" s="256"/>
      <c r="YC41" s="256"/>
      <c r="YD41" s="256"/>
      <c r="YE41" s="256"/>
      <c r="YF41" s="256"/>
      <c r="YG41" s="256"/>
      <c r="YH41" s="256"/>
      <c r="YI41" s="256"/>
      <c r="YJ41" s="256"/>
      <c r="YK41" s="256"/>
      <c r="YL41" s="256"/>
      <c r="YM41" s="256"/>
      <c r="YN41" s="256"/>
      <c r="YO41" s="256"/>
      <c r="YP41" s="256"/>
      <c r="YQ41" s="256"/>
      <c r="YR41" s="256"/>
      <c r="YS41" s="256"/>
      <c r="YT41" s="256"/>
      <c r="YU41" s="256"/>
      <c r="YV41" s="256"/>
      <c r="YW41" s="256"/>
      <c r="YX41" s="256"/>
      <c r="YY41" s="256"/>
      <c r="YZ41" s="256"/>
      <c r="ZA41" s="256"/>
      <c r="ZB41" s="256"/>
      <c r="ZC41" s="256"/>
      <c r="ZD41" s="256"/>
      <c r="ZE41" s="256"/>
      <c r="ZF41" s="256"/>
      <c r="ZG41" s="256"/>
      <c r="ZH41" s="256"/>
      <c r="ZI41" s="256"/>
      <c r="ZJ41" s="256"/>
      <c r="ZK41" s="256"/>
      <c r="ZL41" s="256"/>
      <c r="ZM41" s="256"/>
      <c r="ZN41" s="256"/>
      <c r="ZO41" s="256"/>
      <c r="ZP41" s="256"/>
      <c r="ZQ41" s="256"/>
      <c r="ZR41" s="256"/>
      <c r="ZS41" s="256"/>
      <c r="ZT41" s="256"/>
      <c r="ZU41" s="256"/>
      <c r="ZV41" s="256"/>
      <c r="ZW41" s="256"/>
      <c r="ZX41" s="256"/>
      <c r="ZY41" s="256"/>
      <c r="ZZ41" s="256"/>
      <c r="AAA41" s="256"/>
      <c r="AAB41" s="256"/>
      <c r="AAC41" s="256"/>
      <c r="AAD41" s="256"/>
      <c r="AAE41" s="256"/>
      <c r="AAF41" s="256"/>
      <c r="AAG41" s="256"/>
      <c r="AAH41" s="256"/>
      <c r="AAI41" s="256"/>
      <c r="AAJ41" s="256"/>
      <c r="AAK41" s="256"/>
      <c r="AAL41" s="256"/>
      <c r="AAM41" s="256"/>
      <c r="AAN41" s="256"/>
      <c r="AAO41" s="256"/>
      <c r="AAP41" s="256"/>
      <c r="AAQ41" s="256"/>
      <c r="AAR41" s="256"/>
      <c r="AAS41" s="256"/>
      <c r="AAT41" s="256"/>
      <c r="AAU41" s="256"/>
      <c r="AAV41" s="256"/>
      <c r="AAW41" s="256"/>
      <c r="AAX41" s="256"/>
      <c r="AAY41" s="256"/>
      <c r="AAZ41" s="256"/>
      <c r="ABA41" s="256"/>
      <c r="ABB41" s="256"/>
      <c r="ABC41" s="256"/>
      <c r="ABD41" s="256"/>
      <c r="ABE41" s="256"/>
      <c r="ABF41" s="256"/>
      <c r="ABG41" s="256"/>
      <c r="ABH41" s="256"/>
      <c r="ABI41" s="256"/>
      <c r="ABJ41" s="256"/>
      <c r="ABK41" s="256"/>
      <c r="ABL41" s="256"/>
      <c r="ABM41" s="256"/>
      <c r="ABN41" s="256"/>
      <c r="ABO41" s="256"/>
      <c r="ABP41" s="256"/>
      <c r="ABQ41" s="256"/>
      <c r="ABR41" s="256"/>
      <c r="ABS41" s="256"/>
      <c r="ABT41" s="256"/>
      <c r="ABU41" s="256"/>
      <c r="ABV41" s="256"/>
      <c r="ABW41" s="256"/>
      <c r="ABX41" s="256"/>
      <c r="ABY41" s="256"/>
      <c r="ABZ41" s="256"/>
      <c r="ACA41" s="256"/>
      <c r="ACB41" s="256"/>
      <c r="ACC41" s="256"/>
      <c r="ACD41" s="256"/>
      <c r="ACE41" s="256"/>
      <c r="ACF41" s="256"/>
      <c r="ACG41" s="256"/>
      <c r="ACH41" s="256"/>
      <c r="ACI41" s="256"/>
      <c r="ACJ41" s="256"/>
      <c r="ACK41" s="256"/>
      <c r="ACL41" s="256"/>
      <c r="ACM41" s="256"/>
      <c r="ACN41" s="256"/>
      <c r="ACO41" s="256"/>
      <c r="ACP41" s="256"/>
      <c r="ACQ41" s="256"/>
      <c r="ACR41" s="256"/>
      <c r="ACS41" s="256"/>
      <c r="ACT41" s="256"/>
      <c r="ACU41" s="256"/>
      <c r="ACV41" s="256"/>
      <c r="ACW41" s="256"/>
      <c r="ACX41" s="256"/>
      <c r="ACY41" s="256"/>
      <c r="ACZ41" s="256"/>
      <c r="ADA41" s="256"/>
      <c r="ADB41" s="256"/>
      <c r="ADC41" s="256"/>
      <c r="ADD41" s="256"/>
      <c r="ADE41" s="256"/>
      <c r="ADF41" s="256"/>
      <c r="ADG41" s="256"/>
      <c r="ADH41" s="256"/>
      <c r="ADI41" s="256"/>
      <c r="ADJ41" s="256"/>
      <c r="ADK41" s="256"/>
      <c r="ADL41" s="256"/>
      <c r="ADM41" s="256"/>
      <c r="ADN41" s="256"/>
      <c r="ADO41" s="256"/>
      <c r="ADP41" s="256"/>
      <c r="ADQ41" s="256"/>
      <c r="ADR41" s="256"/>
      <c r="ADS41" s="256"/>
      <c r="ADT41" s="256"/>
      <c r="ADU41" s="256"/>
      <c r="ADV41" s="256"/>
      <c r="ADW41" s="256"/>
      <c r="ADX41" s="256"/>
      <c r="ADY41" s="256"/>
      <c r="ADZ41" s="256"/>
      <c r="AEA41" s="256"/>
      <c r="AEB41" s="256"/>
      <c r="AEC41" s="256"/>
      <c r="AED41" s="256"/>
      <c r="AEE41" s="256"/>
      <c r="AEF41" s="256"/>
      <c r="AEG41" s="256"/>
      <c r="AEH41" s="256"/>
      <c r="AEI41" s="256"/>
      <c r="AEJ41" s="256"/>
      <c r="AEK41" s="256"/>
      <c r="AEL41" s="256"/>
      <c r="AEM41" s="256"/>
      <c r="AEN41" s="256"/>
      <c r="AEO41" s="256"/>
      <c r="AEP41" s="256"/>
      <c r="AEQ41" s="256"/>
      <c r="AER41" s="256"/>
      <c r="AES41" s="256"/>
      <c r="AET41" s="256"/>
      <c r="AEU41" s="256"/>
      <c r="AEV41" s="256"/>
      <c r="AEW41" s="256"/>
      <c r="AEX41" s="256"/>
      <c r="AEY41" s="256"/>
      <c r="AEZ41" s="256"/>
      <c r="AFA41" s="256"/>
      <c r="AFB41" s="256"/>
      <c r="AFC41" s="256"/>
      <c r="AFD41" s="256"/>
      <c r="AFE41" s="256"/>
      <c r="AFF41" s="256"/>
      <c r="AFG41" s="256"/>
      <c r="AFH41" s="256"/>
      <c r="AFI41" s="256"/>
      <c r="AFJ41" s="256"/>
      <c r="AFK41" s="256"/>
      <c r="AFL41" s="256"/>
      <c r="AFM41" s="256"/>
      <c r="AFN41" s="256"/>
      <c r="AFO41" s="256"/>
      <c r="AFP41" s="256"/>
      <c r="AFQ41" s="256"/>
      <c r="AFR41" s="256"/>
      <c r="AFS41" s="256"/>
      <c r="AFT41" s="256"/>
      <c r="AFU41" s="256"/>
      <c r="AFV41" s="256"/>
      <c r="AFW41" s="256"/>
      <c r="AFX41" s="256"/>
      <c r="AFY41" s="256"/>
      <c r="AFZ41" s="256"/>
      <c r="AGA41" s="256"/>
      <c r="AGB41" s="256"/>
      <c r="AGC41" s="256"/>
      <c r="AGD41" s="256"/>
      <c r="AGE41" s="256"/>
      <c r="AGF41" s="256"/>
      <c r="AGG41" s="256"/>
      <c r="AGH41" s="256"/>
      <c r="AGI41" s="256"/>
      <c r="AGJ41" s="256"/>
      <c r="AGK41" s="256"/>
      <c r="AGL41" s="256"/>
      <c r="AGM41" s="256"/>
      <c r="AGN41" s="256"/>
      <c r="AGO41" s="256"/>
      <c r="AGP41" s="256"/>
      <c r="AGQ41" s="256"/>
      <c r="AGR41" s="256"/>
      <c r="AGS41" s="256"/>
      <c r="AGT41" s="256"/>
      <c r="AGU41" s="256"/>
      <c r="AGV41" s="256"/>
      <c r="AGW41" s="256"/>
      <c r="AGX41" s="256"/>
      <c r="AGY41" s="256"/>
      <c r="AGZ41" s="256"/>
      <c r="AHA41" s="256"/>
      <c r="AHB41" s="256"/>
      <c r="AHC41" s="256"/>
      <c r="AHD41" s="256"/>
      <c r="AHE41" s="256"/>
      <c r="AHF41" s="256"/>
      <c r="AHG41" s="256"/>
      <c r="AHH41" s="256"/>
      <c r="AHI41" s="256"/>
      <c r="AHJ41" s="256"/>
      <c r="AHK41" s="256"/>
      <c r="AHL41" s="256"/>
      <c r="AHM41" s="256"/>
      <c r="AHN41" s="256"/>
      <c r="AHO41" s="256"/>
      <c r="AHP41" s="256"/>
      <c r="AHQ41" s="256"/>
      <c r="AHR41" s="256"/>
      <c r="AHS41" s="256"/>
      <c r="AHT41" s="256"/>
      <c r="AHU41" s="256"/>
      <c r="AHV41" s="256"/>
      <c r="AHW41" s="256"/>
      <c r="AHX41" s="256"/>
      <c r="AHY41" s="256"/>
      <c r="AHZ41" s="256"/>
      <c r="AIA41" s="256"/>
      <c r="AIB41" s="256"/>
      <c r="AIC41" s="256"/>
      <c r="AID41" s="256"/>
      <c r="AIE41" s="256"/>
      <c r="AIF41" s="256"/>
      <c r="AIG41" s="256"/>
      <c r="AIH41" s="256"/>
      <c r="AII41" s="256"/>
      <c r="AIJ41" s="256"/>
      <c r="AIK41" s="256"/>
      <c r="AIL41" s="256"/>
      <c r="AIM41" s="256"/>
      <c r="AIN41" s="256"/>
      <c r="AIO41" s="256"/>
      <c r="AIP41" s="256"/>
      <c r="AIQ41" s="256"/>
      <c r="AIR41" s="256"/>
      <c r="AIS41" s="256"/>
      <c r="AIT41" s="256"/>
      <c r="AIU41" s="256"/>
      <c r="AIV41" s="256"/>
      <c r="AIW41" s="256"/>
      <c r="AIX41" s="256"/>
      <c r="AIY41" s="256"/>
      <c r="AIZ41" s="256"/>
      <c r="AJA41" s="256"/>
      <c r="AJB41" s="256"/>
      <c r="AJC41" s="256"/>
      <c r="AJD41" s="256"/>
      <c r="AJE41" s="256"/>
      <c r="AJF41" s="256"/>
      <c r="AJG41" s="256"/>
      <c r="AJH41" s="256"/>
      <c r="AJI41" s="256"/>
      <c r="AJJ41" s="256"/>
      <c r="AJK41" s="256"/>
      <c r="AJL41" s="256"/>
      <c r="AJM41" s="256"/>
      <c r="AJN41" s="256"/>
      <c r="AJO41" s="256"/>
      <c r="AJP41" s="256"/>
      <c r="AJQ41" s="256"/>
      <c r="AJR41" s="256"/>
      <c r="AJS41" s="256"/>
      <c r="AJT41" s="256"/>
      <c r="AJU41" s="256"/>
      <c r="AJV41" s="256"/>
      <c r="AJW41" s="256"/>
      <c r="AJX41" s="256"/>
      <c r="AJY41" s="256"/>
      <c r="AJZ41" s="256"/>
      <c r="AKA41" s="256"/>
      <c r="AKB41" s="256"/>
      <c r="AKC41" s="256"/>
      <c r="AKD41" s="256"/>
      <c r="AKE41" s="256"/>
      <c r="AKF41" s="256"/>
      <c r="AKG41" s="256"/>
      <c r="AKH41" s="256"/>
      <c r="AKI41" s="256"/>
      <c r="AKJ41" s="256"/>
      <c r="AKK41" s="256"/>
      <c r="AKL41" s="256"/>
      <c r="AKM41" s="256"/>
      <c r="AKN41" s="256"/>
      <c r="AKO41" s="256"/>
      <c r="AKP41" s="256"/>
      <c r="AKQ41" s="256"/>
      <c r="AKR41" s="256"/>
      <c r="AKS41" s="256"/>
      <c r="AKT41" s="256"/>
      <c r="AKU41" s="256"/>
      <c r="AKV41" s="256"/>
      <c r="AKW41" s="256"/>
      <c r="AKX41" s="256"/>
      <c r="AKY41" s="256"/>
      <c r="AKZ41" s="256"/>
      <c r="ALA41" s="256"/>
      <c r="ALB41" s="256"/>
      <c r="ALC41" s="256"/>
      <c r="ALD41" s="256"/>
      <c r="ALE41" s="256"/>
      <c r="ALF41" s="256"/>
      <c r="ALG41" s="256"/>
      <c r="ALH41" s="256"/>
      <c r="ALI41" s="256"/>
      <c r="ALJ41" s="256"/>
      <c r="ALK41" s="256"/>
      <c r="ALL41" s="256"/>
      <c r="ALM41" s="256"/>
      <c r="ALN41" s="256"/>
      <c r="ALO41" s="256"/>
      <c r="ALP41" s="256"/>
      <c r="ALQ41" s="256"/>
      <c r="ALR41" s="256"/>
      <c r="ALS41" s="256"/>
      <c r="ALT41" s="256"/>
      <c r="ALU41" s="258"/>
      <c r="ALV41" s="258"/>
      <c r="ALW41" s="258"/>
      <c r="ALX41" s="258"/>
      <c r="ALY41" s="258"/>
      <c r="ALZ41" s="258"/>
      <c r="AMA41" s="258"/>
      <c r="AMB41" s="258"/>
      <c r="AMC41" s="258"/>
      <c r="AMD41" s="258"/>
      <c r="AME41" s="258"/>
      <c r="AMF41" s="258"/>
      <c r="AMG41" s="258"/>
      <c r="AMH41" s="258"/>
      <c r="AMI41" s="256"/>
    </row>
    <row r="42" spans="1:1023" s="259" customFormat="1" x14ac:dyDescent="0.25">
      <c r="A42" s="256"/>
      <c r="B42" s="256"/>
      <c r="C42" s="256"/>
      <c r="D42" s="256"/>
      <c r="E42" s="256"/>
      <c r="F42" s="256"/>
      <c r="G42" s="256"/>
      <c r="H42" s="256"/>
      <c r="I42" s="256"/>
      <c r="J42" s="256"/>
      <c r="K42" s="256"/>
      <c r="L42" s="256"/>
      <c r="M42" s="256"/>
      <c r="N42" s="256"/>
      <c r="O42" s="256"/>
      <c r="P42" s="256"/>
      <c r="Q42" s="256"/>
      <c r="R42" s="256"/>
      <c r="S42" s="256"/>
      <c r="T42" s="256"/>
      <c r="U42" s="256"/>
      <c r="V42" s="256"/>
      <c r="W42" s="256"/>
      <c r="X42" s="256"/>
      <c r="Y42" s="256"/>
      <c r="Z42" s="256"/>
      <c r="AA42" s="256"/>
      <c r="AB42" s="256"/>
      <c r="AC42" s="256"/>
      <c r="AD42" s="256"/>
      <c r="AE42" s="256"/>
      <c r="AF42" s="256"/>
      <c r="AG42" s="256"/>
      <c r="AH42" s="256"/>
      <c r="AI42" s="256"/>
      <c r="AJ42" s="256"/>
      <c r="AK42" s="256"/>
      <c r="AL42" s="256"/>
      <c r="AM42" s="256"/>
      <c r="AN42" s="256"/>
      <c r="AO42" s="256"/>
      <c r="AP42" s="256"/>
      <c r="AQ42" s="256"/>
      <c r="AR42" s="256"/>
      <c r="AS42" s="256"/>
      <c r="AT42" s="256"/>
      <c r="AU42" s="256"/>
      <c r="AV42" s="256"/>
      <c r="AW42" s="256"/>
      <c r="AX42" s="256"/>
      <c r="AY42" s="256"/>
      <c r="AZ42" s="256"/>
      <c r="BA42" s="256"/>
      <c r="BB42" s="256"/>
      <c r="BC42" s="256"/>
      <c r="BD42" s="256"/>
      <c r="BE42" s="256"/>
      <c r="BF42" s="256"/>
      <c r="BG42" s="256"/>
      <c r="BH42" s="256"/>
      <c r="BI42" s="256"/>
      <c r="BJ42" s="256"/>
      <c r="BK42" s="256"/>
      <c r="BL42" s="256"/>
      <c r="BM42" s="256"/>
      <c r="BN42" s="256"/>
      <c r="BO42" s="256"/>
      <c r="BP42" s="256"/>
      <c r="BQ42" s="256"/>
      <c r="BR42" s="256"/>
      <c r="BS42" s="256"/>
      <c r="BT42" s="256"/>
      <c r="BU42" s="256"/>
      <c r="BV42" s="256"/>
      <c r="BW42" s="256"/>
      <c r="BX42" s="256"/>
      <c r="BY42" s="256"/>
      <c r="BZ42" s="256"/>
      <c r="CA42" s="256"/>
      <c r="CB42" s="256"/>
      <c r="CC42" s="256"/>
      <c r="CD42" s="256"/>
      <c r="CE42" s="256"/>
      <c r="CF42" s="256"/>
      <c r="CG42" s="256"/>
      <c r="CH42" s="256"/>
      <c r="CI42" s="256"/>
      <c r="CJ42" s="256"/>
      <c r="CK42" s="256"/>
      <c r="CL42" s="256"/>
      <c r="CM42" s="256"/>
      <c r="CN42" s="256"/>
      <c r="CO42" s="256"/>
      <c r="CP42" s="256"/>
      <c r="CQ42" s="256"/>
      <c r="CR42" s="256"/>
      <c r="CS42" s="256"/>
      <c r="CT42" s="256"/>
      <c r="CU42" s="256"/>
      <c r="CV42" s="256"/>
      <c r="CW42" s="256"/>
      <c r="CX42" s="256"/>
      <c r="CY42" s="256"/>
      <c r="CZ42" s="256"/>
      <c r="DA42" s="256"/>
      <c r="DB42" s="256"/>
      <c r="DC42" s="256"/>
      <c r="DD42" s="256"/>
      <c r="DE42" s="256"/>
      <c r="DF42" s="256"/>
      <c r="DG42" s="256"/>
      <c r="DH42" s="256"/>
      <c r="DI42" s="256"/>
      <c r="DJ42" s="256"/>
      <c r="DK42" s="256"/>
      <c r="DL42" s="256"/>
      <c r="DM42" s="256"/>
      <c r="DN42" s="256"/>
      <c r="DO42" s="256"/>
      <c r="DP42" s="256"/>
      <c r="DQ42" s="256"/>
      <c r="DR42" s="256"/>
      <c r="DS42" s="256"/>
      <c r="DT42" s="256"/>
      <c r="DU42" s="256"/>
      <c r="DV42" s="256"/>
      <c r="DW42" s="256"/>
      <c r="DX42" s="256"/>
      <c r="DY42" s="256"/>
      <c r="DZ42" s="256"/>
      <c r="EA42" s="256"/>
      <c r="EB42" s="256"/>
      <c r="EC42" s="256"/>
      <c r="ED42" s="256"/>
      <c r="EE42" s="256"/>
      <c r="EF42" s="256"/>
      <c r="EG42" s="256"/>
      <c r="EH42" s="256"/>
      <c r="EI42" s="256"/>
      <c r="EJ42" s="256"/>
      <c r="EK42" s="256"/>
      <c r="EL42" s="256"/>
      <c r="EM42" s="256"/>
      <c r="EN42" s="256"/>
      <c r="EO42" s="256"/>
      <c r="EP42" s="256"/>
      <c r="EQ42" s="256"/>
      <c r="ER42" s="256"/>
      <c r="ES42" s="256"/>
      <c r="ET42" s="256"/>
      <c r="EU42" s="256"/>
      <c r="EV42" s="256"/>
      <c r="EW42" s="256"/>
      <c r="EX42" s="256"/>
      <c r="EY42" s="256"/>
      <c r="EZ42" s="256"/>
      <c r="FA42" s="256"/>
      <c r="FB42" s="256"/>
      <c r="FC42" s="256"/>
      <c r="FD42" s="256"/>
      <c r="FE42" s="256"/>
      <c r="FF42" s="256"/>
      <c r="FG42" s="256"/>
      <c r="FH42" s="256"/>
      <c r="FI42" s="256"/>
      <c r="FJ42" s="256"/>
      <c r="FK42" s="256"/>
      <c r="FL42" s="256"/>
      <c r="FM42" s="256"/>
      <c r="FN42" s="256"/>
      <c r="FO42" s="256"/>
      <c r="FP42" s="256"/>
      <c r="FQ42" s="256"/>
      <c r="FR42" s="256"/>
      <c r="FS42" s="256"/>
      <c r="FT42" s="256"/>
      <c r="FU42" s="256"/>
      <c r="FV42" s="256"/>
      <c r="FW42" s="256"/>
      <c r="FX42" s="256"/>
      <c r="FY42" s="256"/>
      <c r="FZ42" s="256"/>
      <c r="GA42" s="256"/>
      <c r="GB42" s="256"/>
      <c r="GC42" s="256"/>
      <c r="GD42" s="256"/>
      <c r="GE42" s="256"/>
      <c r="GF42" s="256"/>
      <c r="GG42" s="256"/>
      <c r="GH42" s="256"/>
      <c r="GI42" s="256"/>
      <c r="GJ42" s="256"/>
      <c r="GK42" s="256"/>
      <c r="GL42" s="256"/>
      <c r="GM42" s="256"/>
      <c r="GN42" s="256"/>
      <c r="GO42" s="256"/>
      <c r="GP42" s="256"/>
      <c r="GQ42" s="256"/>
      <c r="GR42" s="256"/>
      <c r="GS42" s="256"/>
      <c r="GT42" s="256"/>
      <c r="GU42" s="256"/>
      <c r="GV42" s="256"/>
      <c r="GW42" s="256"/>
      <c r="GX42" s="256"/>
      <c r="GY42" s="256"/>
      <c r="GZ42" s="256"/>
      <c r="HA42" s="256"/>
      <c r="HB42" s="256"/>
      <c r="HC42" s="256"/>
      <c r="HD42" s="256"/>
      <c r="HE42" s="256"/>
      <c r="HF42" s="256"/>
      <c r="HG42" s="256"/>
      <c r="HH42" s="256"/>
      <c r="HI42" s="256"/>
      <c r="HJ42" s="256"/>
      <c r="HK42" s="256"/>
      <c r="HL42" s="256"/>
      <c r="HM42" s="256"/>
      <c r="HN42" s="256"/>
      <c r="HO42" s="256"/>
      <c r="HP42" s="256"/>
      <c r="HQ42" s="256"/>
      <c r="HR42" s="256"/>
      <c r="HS42" s="256"/>
      <c r="HT42" s="256"/>
      <c r="HU42" s="256"/>
      <c r="HV42" s="256"/>
      <c r="HW42" s="256"/>
      <c r="HX42" s="256"/>
      <c r="HY42" s="256"/>
      <c r="HZ42" s="256"/>
      <c r="IA42" s="256"/>
      <c r="IB42" s="256"/>
      <c r="IC42" s="256"/>
      <c r="ID42" s="256"/>
      <c r="IE42" s="256"/>
      <c r="IF42" s="256"/>
      <c r="IG42" s="256"/>
      <c r="IH42" s="256"/>
      <c r="II42" s="256"/>
      <c r="IJ42" s="256"/>
      <c r="IK42" s="256"/>
      <c r="IL42" s="256"/>
      <c r="IM42" s="256"/>
      <c r="IN42" s="256"/>
      <c r="IO42" s="256"/>
      <c r="IP42" s="256"/>
      <c r="IQ42" s="256"/>
      <c r="IR42" s="256"/>
      <c r="IS42" s="256"/>
      <c r="IT42" s="256"/>
      <c r="IU42" s="256"/>
      <c r="IV42" s="256"/>
      <c r="IW42" s="256"/>
      <c r="IX42" s="256"/>
      <c r="IY42" s="256"/>
      <c r="IZ42" s="256"/>
      <c r="JA42" s="256"/>
      <c r="JB42" s="256"/>
      <c r="JC42" s="256"/>
      <c r="JD42" s="256"/>
      <c r="JE42" s="256"/>
      <c r="JF42" s="256"/>
      <c r="JG42" s="256"/>
      <c r="JH42" s="256"/>
      <c r="JI42" s="256"/>
      <c r="JJ42" s="256"/>
      <c r="JK42" s="256"/>
      <c r="JL42" s="256"/>
      <c r="JM42" s="256"/>
      <c r="JN42" s="256"/>
      <c r="JO42" s="256"/>
      <c r="JP42" s="256"/>
      <c r="JQ42" s="256"/>
      <c r="JR42" s="256"/>
      <c r="JS42" s="256"/>
      <c r="JT42" s="256"/>
      <c r="JU42" s="256"/>
      <c r="JV42" s="256"/>
      <c r="JW42" s="256"/>
      <c r="JX42" s="256"/>
      <c r="JY42" s="256"/>
      <c r="JZ42" s="256"/>
      <c r="KA42" s="256"/>
      <c r="KB42" s="256"/>
      <c r="KC42" s="256"/>
      <c r="KD42" s="256"/>
      <c r="KE42" s="256"/>
      <c r="KF42" s="256"/>
      <c r="KG42" s="256"/>
      <c r="KH42" s="256"/>
      <c r="KI42" s="256"/>
      <c r="KJ42" s="256"/>
      <c r="KK42" s="256"/>
      <c r="KL42" s="256"/>
      <c r="KM42" s="256"/>
      <c r="KN42" s="256"/>
      <c r="KO42" s="256"/>
      <c r="KP42" s="256"/>
      <c r="KQ42" s="256"/>
      <c r="KR42" s="256"/>
      <c r="KS42" s="256"/>
      <c r="KT42" s="256"/>
      <c r="KU42" s="256"/>
      <c r="KV42" s="256"/>
      <c r="KW42" s="256"/>
      <c r="KX42" s="256"/>
      <c r="KY42" s="256"/>
      <c r="KZ42" s="256"/>
      <c r="LA42" s="256"/>
      <c r="LB42" s="256"/>
      <c r="LC42" s="256"/>
      <c r="LD42" s="256"/>
      <c r="LE42" s="256"/>
      <c r="LF42" s="256"/>
      <c r="LG42" s="256"/>
      <c r="LH42" s="256"/>
      <c r="LI42" s="256"/>
      <c r="LJ42" s="256"/>
      <c r="LK42" s="256"/>
      <c r="LL42" s="256"/>
      <c r="LM42" s="256"/>
      <c r="LN42" s="256"/>
      <c r="LO42" s="256"/>
      <c r="LP42" s="256"/>
      <c r="LQ42" s="256"/>
      <c r="LR42" s="256"/>
      <c r="LS42" s="256"/>
      <c r="LT42" s="256"/>
      <c r="LU42" s="256"/>
      <c r="LV42" s="256"/>
      <c r="LW42" s="256"/>
      <c r="LX42" s="256"/>
      <c r="LY42" s="256"/>
      <c r="LZ42" s="256"/>
      <c r="MA42" s="256"/>
      <c r="MB42" s="256"/>
      <c r="MC42" s="256"/>
      <c r="MD42" s="256"/>
      <c r="ME42" s="256"/>
      <c r="MF42" s="256"/>
      <c r="MG42" s="256"/>
      <c r="MH42" s="256"/>
      <c r="MI42" s="256"/>
      <c r="MJ42" s="256"/>
      <c r="MK42" s="256"/>
      <c r="ML42" s="256"/>
      <c r="MM42" s="256"/>
      <c r="MN42" s="256"/>
      <c r="MO42" s="256"/>
      <c r="MP42" s="256"/>
      <c r="MQ42" s="256"/>
      <c r="MR42" s="256"/>
      <c r="MS42" s="256"/>
      <c r="MT42" s="256"/>
      <c r="MU42" s="256"/>
      <c r="MV42" s="256"/>
      <c r="MW42" s="256"/>
      <c r="MX42" s="256"/>
      <c r="MY42" s="256"/>
      <c r="MZ42" s="256"/>
      <c r="NA42" s="256"/>
      <c r="NB42" s="256"/>
      <c r="NC42" s="256"/>
      <c r="ND42" s="256"/>
      <c r="NE42" s="256"/>
      <c r="NF42" s="256"/>
      <c r="NG42" s="256"/>
      <c r="NH42" s="256"/>
      <c r="NI42" s="256"/>
      <c r="NJ42" s="256"/>
      <c r="NK42" s="256"/>
      <c r="NL42" s="256"/>
      <c r="NM42" s="256"/>
      <c r="NN42" s="256"/>
      <c r="NO42" s="256"/>
      <c r="NP42" s="256"/>
      <c r="NQ42" s="256"/>
      <c r="NR42" s="256"/>
      <c r="NS42" s="256"/>
      <c r="NT42" s="256"/>
      <c r="NU42" s="256"/>
      <c r="NV42" s="256"/>
      <c r="NW42" s="256"/>
      <c r="NX42" s="256"/>
      <c r="NY42" s="256"/>
      <c r="NZ42" s="256"/>
      <c r="OA42" s="256"/>
      <c r="OB42" s="256"/>
      <c r="OC42" s="256"/>
      <c r="OD42" s="256"/>
      <c r="OE42" s="256"/>
      <c r="OF42" s="256"/>
      <c r="OG42" s="256"/>
      <c r="OH42" s="256"/>
      <c r="OI42" s="256"/>
      <c r="OJ42" s="256"/>
      <c r="OK42" s="256"/>
      <c r="OL42" s="256"/>
      <c r="OM42" s="256"/>
      <c r="ON42" s="256"/>
      <c r="OO42" s="256"/>
      <c r="OP42" s="256"/>
      <c r="OQ42" s="256"/>
      <c r="OR42" s="256"/>
      <c r="OS42" s="256"/>
      <c r="OT42" s="256"/>
      <c r="OU42" s="256"/>
      <c r="OV42" s="256"/>
      <c r="OW42" s="256"/>
      <c r="OX42" s="256"/>
      <c r="OY42" s="256"/>
      <c r="OZ42" s="256"/>
      <c r="PA42" s="256"/>
      <c r="PB42" s="256"/>
      <c r="PC42" s="256"/>
      <c r="PD42" s="256"/>
      <c r="PE42" s="256"/>
      <c r="PF42" s="256"/>
      <c r="PG42" s="256"/>
      <c r="PH42" s="256"/>
      <c r="PI42" s="256"/>
      <c r="PJ42" s="256"/>
      <c r="PK42" s="256"/>
      <c r="PL42" s="256"/>
      <c r="PM42" s="256"/>
      <c r="PN42" s="256"/>
      <c r="PO42" s="256"/>
      <c r="PP42" s="256"/>
      <c r="PQ42" s="256"/>
      <c r="PR42" s="256"/>
      <c r="PS42" s="256"/>
      <c r="PT42" s="256"/>
      <c r="PU42" s="256"/>
      <c r="PV42" s="256"/>
      <c r="PW42" s="256"/>
      <c r="PX42" s="256"/>
      <c r="PY42" s="256"/>
      <c r="PZ42" s="256"/>
      <c r="QA42" s="256"/>
      <c r="QB42" s="256"/>
      <c r="QC42" s="256"/>
      <c r="QD42" s="256"/>
      <c r="QE42" s="256"/>
      <c r="QF42" s="256"/>
      <c r="QG42" s="256"/>
      <c r="QH42" s="256"/>
      <c r="QI42" s="256"/>
      <c r="QJ42" s="256"/>
      <c r="QK42" s="256"/>
      <c r="QL42" s="256"/>
      <c r="QM42" s="256"/>
      <c r="QN42" s="256"/>
      <c r="QO42" s="256"/>
      <c r="QP42" s="256"/>
      <c r="QQ42" s="256"/>
      <c r="QR42" s="256"/>
      <c r="QS42" s="256"/>
      <c r="QT42" s="256"/>
      <c r="QU42" s="256"/>
      <c r="QV42" s="256"/>
      <c r="QW42" s="256"/>
      <c r="QX42" s="256"/>
      <c r="QY42" s="256"/>
      <c r="QZ42" s="256"/>
      <c r="RA42" s="256"/>
      <c r="RB42" s="256"/>
      <c r="RC42" s="256"/>
      <c r="RD42" s="256"/>
      <c r="RE42" s="256"/>
      <c r="RF42" s="256"/>
      <c r="RG42" s="256"/>
      <c r="RH42" s="256"/>
      <c r="RI42" s="256"/>
      <c r="RJ42" s="256"/>
      <c r="RK42" s="256"/>
      <c r="RL42" s="256"/>
      <c r="RM42" s="256"/>
      <c r="RN42" s="256"/>
      <c r="RO42" s="256"/>
      <c r="RP42" s="256"/>
      <c r="RQ42" s="256"/>
      <c r="RR42" s="256"/>
      <c r="RS42" s="256"/>
      <c r="RT42" s="256"/>
      <c r="RU42" s="256"/>
      <c r="RV42" s="256"/>
      <c r="RW42" s="256"/>
      <c r="RX42" s="256"/>
      <c r="RY42" s="256"/>
      <c r="RZ42" s="256"/>
      <c r="SA42" s="256"/>
      <c r="SB42" s="256"/>
      <c r="SC42" s="256"/>
      <c r="SD42" s="256"/>
      <c r="SE42" s="256"/>
      <c r="SF42" s="256"/>
      <c r="SG42" s="256"/>
      <c r="SH42" s="256"/>
      <c r="SI42" s="256"/>
      <c r="SJ42" s="256"/>
      <c r="SK42" s="256"/>
      <c r="SL42" s="256"/>
      <c r="SM42" s="256"/>
      <c r="SN42" s="256"/>
      <c r="SO42" s="256"/>
      <c r="SP42" s="256"/>
      <c r="SQ42" s="256"/>
      <c r="SR42" s="256"/>
      <c r="SS42" s="256"/>
      <c r="ST42" s="256"/>
      <c r="SU42" s="256"/>
      <c r="SV42" s="256"/>
      <c r="SW42" s="256"/>
      <c r="SX42" s="256"/>
      <c r="SY42" s="256"/>
      <c r="SZ42" s="256"/>
      <c r="TA42" s="256"/>
      <c r="TB42" s="256"/>
      <c r="TC42" s="256"/>
      <c r="TD42" s="256"/>
      <c r="TE42" s="256"/>
      <c r="TF42" s="256"/>
      <c r="TG42" s="256"/>
      <c r="TH42" s="256"/>
      <c r="TI42" s="256"/>
      <c r="TJ42" s="256"/>
      <c r="TK42" s="256"/>
      <c r="TL42" s="256"/>
      <c r="TM42" s="256"/>
      <c r="TN42" s="256"/>
      <c r="TO42" s="256"/>
      <c r="TP42" s="256"/>
      <c r="TQ42" s="256"/>
      <c r="TR42" s="256"/>
      <c r="TS42" s="256"/>
      <c r="TT42" s="256"/>
      <c r="TU42" s="256"/>
      <c r="TV42" s="256"/>
      <c r="TW42" s="256"/>
      <c r="TX42" s="256"/>
      <c r="TY42" s="256"/>
      <c r="TZ42" s="256"/>
      <c r="UA42" s="256"/>
      <c r="UB42" s="256"/>
      <c r="UC42" s="256"/>
      <c r="UD42" s="256"/>
      <c r="UE42" s="256"/>
      <c r="UF42" s="256"/>
      <c r="UG42" s="256"/>
      <c r="UH42" s="256"/>
      <c r="UI42" s="256"/>
      <c r="UJ42" s="256"/>
      <c r="UK42" s="256"/>
      <c r="UL42" s="256"/>
      <c r="UM42" s="256"/>
      <c r="UN42" s="256"/>
      <c r="UO42" s="256"/>
      <c r="UP42" s="256"/>
      <c r="UQ42" s="256"/>
      <c r="UR42" s="256"/>
      <c r="US42" s="256"/>
      <c r="UT42" s="256"/>
      <c r="UU42" s="256"/>
      <c r="UV42" s="256"/>
      <c r="UW42" s="256"/>
      <c r="UX42" s="256"/>
      <c r="UY42" s="256"/>
      <c r="UZ42" s="256"/>
      <c r="VA42" s="256"/>
      <c r="VB42" s="256"/>
      <c r="VC42" s="256"/>
      <c r="VD42" s="256"/>
      <c r="VE42" s="256"/>
      <c r="VF42" s="256"/>
      <c r="VG42" s="256"/>
      <c r="VH42" s="256"/>
      <c r="VI42" s="256"/>
      <c r="VJ42" s="256"/>
      <c r="VK42" s="256"/>
      <c r="VL42" s="256"/>
      <c r="VM42" s="256"/>
      <c r="VN42" s="256"/>
      <c r="VO42" s="256"/>
      <c r="VP42" s="256"/>
      <c r="VQ42" s="256"/>
      <c r="VR42" s="256"/>
      <c r="VS42" s="256"/>
      <c r="VT42" s="256"/>
      <c r="VU42" s="256"/>
      <c r="VV42" s="256"/>
      <c r="VW42" s="256"/>
      <c r="VX42" s="256"/>
      <c r="VY42" s="256"/>
      <c r="VZ42" s="256"/>
      <c r="WA42" s="256"/>
      <c r="WB42" s="256"/>
      <c r="WC42" s="256"/>
      <c r="WD42" s="256"/>
      <c r="WE42" s="256"/>
      <c r="WF42" s="256"/>
      <c r="WG42" s="256"/>
      <c r="WH42" s="256"/>
      <c r="WI42" s="256"/>
      <c r="WJ42" s="256"/>
      <c r="WK42" s="256"/>
      <c r="WL42" s="256"/>
      <c r="WM42" s="256"/>
      <c r="WN42" s="256"/>
      <c r="WO42" s="256"/>
      <c r="WP42" s="256"/>
      <c r="WQ42" s="256"/>
      <c r="WR42" s="256"/>
      <c r="WS42" s="256"/>
      <c r="WT42" s="256"/>
      <c r="WU42" s="256"/>
      <c r="WV42" s="256"/>
      <c r="WW42" s="256"/>
      <c r="WX42" s="256"/>
      <c r="WY42" s="256"/>
      <c r="WZ42" s="256"/>
      <c r="XA42" s="256"/>
      <c r="XB42" s="256"/>
      <c r="XC42" s="256"/>
      <c r="XD42" s="256"/>
      <c r="XE42" s="256"/>
      <c r="XF42" s="256"/>
      <c r="XG42" s="256"/>
      <c r="XH42" s="256"/>
      <c r="XI42" s="256"/>
      <c r="XJ42" s="256"/>
      <c r="XK42" s="256"/>
      <c r="XL42" s="256"/>
      <c r="XM42" s="256"/>
      <c r="XN42" s="256"/>
      <c r="XO42" s="256"/>
      <c r="XP42" s="256"/>
      <c r="XQ42" s="256"/>
      <c r="XR42" s="256"/>
      <c r="XS42" s="256"/>
      <c r="XT42" s="256"/>
      <c r="XU42" s="256"/>
      <c r="XV42" s="256"/>
      <c r="XW42" s="256"/>
      <c r="XX42" s="256"/>
      <c r="XY42" s="256"/>
      <c r="XZ42" s="256"/>
      <c r="YA42" s="256"/>
      <c r="YB42" s="256"/>
      <c r="YC42" s="256"/>
      <c r="YD42" s="256"/>
      <c r="YE42" s="256"/>
      <c r="YF42" s="256"/>
      <c r="YG42" s="256"/>
      <c r="YH42" s="256"/>
      <c r="YI42" s="256"/>
      <c r="YJ42" s="256"/>
      <c r="YK42" s="256"/>
      <c r="YL42" s="256"/>
      <c r="YM42" s="256"/>
      <c r="YN42" s="256"/>
      <c r="YO42" s="256"/>
      <c r="YP42" s="256"/>
      <c r="YQ42" s="256"/>
      <c r="YR42" s="256"/>
      <c r="YS42" s="256"/>
      <c r="YT42" s="256"/>
      <c r="YU42" s="256"/>
      <c r="YV42" s="256"/>
      <c r="YW42" s="256"/>
      <c r="YX42" s="256"/>
      <c r="YY42" s="256"/>
      <c r="YZ42" s="256"/>
      <c r="ZA42" s="256"/>
      <c r="ZB42" s="256"/>
      <c r="ZC42" s="256"/>
      <c r="ZD42" s="256"/>
      <c r="ZE42" s="256"/>
      <c r="ZF42" s="256"/>
      <c r="ZG42" s="256"/>
      <c r="ZH42" s="256"/>
      <c r="ZI42" s="256"/>
      <c r="ZJ42" s="256"/>
      <c r="ZK42" s="256"/>
      <c r="ZL42" s="256"/>
      <c r="ZM42" s="256"/>
      <c r="ZN42" s="256"/>
      <c r="ZO42" s="256"/>
      <c r="ZP42" s="256"/>
      <c r="ZQ42" s="256"/>
      <c r="ZR42" s="256"/>
      <c r="ZS42" s="256"/>
      <c r="ZT42" s="256"/>
      <c r="ZU42" s="256"/>
      <c r="ZV42" s="256"/>
      <c r="ZW42" s="256"/>
      <c r="ZX42" s="256"/>
      <c r="ZY42" s="256"/>
      <c r="ZZ42" s="256"/>
      <c r="AAA42" s="256"/>
      <c r="AAB42" s="256"/>
      <c r="AAC42" s="256"/>
      <c r="AAD42" s="256"/>
      <c r="AAE42" s="256"/>
      <c r="AAF42" s="256"/>
      <c r="AAG42" s="256"/>
      <c r="AAH42" s="256"/>
      <c r="AAI42" s="256"/>
      <c r="AAJ42" s="256"/>
      <c r="AAK42" s="256"/>
      <c r="AAL42" s="256"/>
      <c r="AAM42" s="256"/>
      <c r="AAN42" s="256"/>
      <c r="AAO42" s="256"/>
      <c r="AAP42" s="256"/>
      <c r="AAQ42" s="256"/>
      <c r="AAR42" s="256"/>
      <c r="AAS42" s="256"/>
      <c r="AAT42" s="256"/>
      <c r="AAU42" s="256"/>
      <c r="AAV42" s="256"/>
      <c r="AAW42" s="256"/>
      <c r="AAX42" s="256"/>
      <c r="AAY42" s="256"/>
      <c r="AAZ42" s="256"/>
      <c r="ABA42" s="256"/>
      <c r="ABB42" s="256"/>
      <c r="ABC42" s="256"/>
      <c r="ABD42" s="256"/>
      <c r="ABE42" s="256"/>
      <c r="ABF42" s="256"/>
      <c r="ABG42" s="256"/>
      <c r="ABH42" s="256"/>
      <c r="ABI42" s="256"/>
      <c r="ABJ42" s="256"/>
      <c r="ABK42" s="256"/>
      <c r="ABL42" s="256"/>
      <c r="ABM42" s="256"/>
      <c r="ABN42" s="256"/>
      <c r="ABO42" s="256"/>
      <c r="ABP42" s="256"/>
      <c r="ABQ42" s="256"/>
      <c r="ABR42" s="256"/>
      <c r="ABS42" s="256"/>
      <c r="ABT42" s="256"/>
      <c r="ABU42" s="256"/>
      <c r="ABV42" s="256"/>
      <c r="ABW42" s="256"/>
      <c r="ABX42" s="256"/>
      <c r="ABY42" s="256"/>
      <c r="ABZ42" s="256"/>
      <c r="ACA42" s="256"/>
      <c r="ACB42" s="256"/>
      <c r="ACC42" s="256"/>
      <c r="ACD42" s="256"/>
      <c r="ACE42" s="256"/>
      <c r="ACF42" s="256"/>
      <c r="ACG42" s="256"/>
      <c r="ACH42" s="256"/>
      <c r="ACI42" s="256"/>
      <c r="ACJ42" s="256"/>
      <c r="ACK42" s="256"/>
      <c r="ACL42" s="256"/>
      <c r="ACM42" s="256"/>
      <c r="ACN42" s="256"/>
      <c r="ACO42" s="256"/>
      <c r="ACP42" s="256"/>
      <c r="ACQ42" s="256"/>
      <c r="ACR42" s="256"/>
      <c r="ACS42" s="256"/>
      <c r="ACT42" s="256"/>
      <c r="ACU42" s="256"/>
      <c r="ACV42" s="256"/>
      <c r="ACW42" s="256"/>
      <c r="ACX42" s="256"/>
      <c r="ACY42" s="256"/>
      <c r="ACZ42" s="256"/>
      <c r="ADA42" s="256"/>
      <c r="ADB42" s="256"/>
      <c r="ADC42" s="256"/>
      <c r="ADD42" s="256"/>
      <c r="ADE42" s="256"/>
      <c r="ADF42" s="256"/>
      <c r="ADG42" s="256"/>
      <c r="ADH42" s="256"/>
      <c r="ADI42" s="256"/>
      <c r="ADJ42" s="256"/>
      <c r="ADK42" s="256"/>
      <c r="ADL42" s="256"/>
      <c r="ADM42" s="256"/>
      <c r="ADN42" s="256"/>
      <c r="ADO42" s="256"/>
      <c r="ADP42" s="256"/>
      <c r="ADQ42" s="256"/>
      <c r="ADR42" s="256"/>
      <c r="ADS42" s="256"/>
      <c r="ADT42" s="256"/>
      <c r="ADU42" s="256"/>
      <c r="ADV42" s="256"/>
      <c r="ADW42" s="256"/>
      <c r="ADX42" s="256"/>
      <c r="ADY42" s="256"/>
      <c r="ADZ42" s="256"/>
      <c r="AEA42" s="256"/>
      <c r="AEB42" s="256"/>
      <c r="AEC42" s="256"/>
      <c r="AED42" s="256"/>
      <c r="AEE42" s="256"/>
      <c r="AEF42" s="256"/>
      <c r="AEG42" s="256"/>
      <c r="AEH42" s="256"/>
      <c r="AEI42" s="256"/>
      <c r="AEJ42" s="256"/>
      <c r="AEK42" s="256"/>
      <c r="AEL42" s="256"/>
      <c r="AEM42" s="256"/>
      <c r="AEN42" s="256"/>
      <c r="AEO42" s="256"/>
      <c r="AEP42" s="256"/>
      <c r="AEQ42" s="256"/>
      <c r="AER42" s="256"/>
      <c r="AES42" s="256"/>
      <c r="AET42" s="256"/>
      <c r="AEU42" s="256"/>
      <c r="AEV42" s="256"/>
      <c r="AEW42" s="256"/>
      <c r="AEX42" s="256"/>
      <c r="AEY42" s="256"/>
      <c r="AEZ42" s="256"/>
      <c r="AFA42" s="256"/>
      <c r="AFB42" s="256"/>
      <c r="AFC42" s="256"/>
      <c r="AFD42" s="256"/>
      <c r="AFE42" s="256"/>
      <c r="AFF42" s="256"/>
      <c r="AFG42" s="256"/>
      <c r="AFH42" s="256"/>
      <c r="AFI42" s="256"/>
      <c r="AFJ42" s="256"/>
      <c r="AFK42" s="256"/>
      <c r="AFL42" s="256"/>
      <c r="AFM42" s="256"/>
      <c r="AFN42" s="256"/>
      <c r="AFO42" s="256"/>
      <c r="AFP42" s="256"/>
      <c r="AFQ42" s="256"/>
      <c r="AFR42" s="256"/>
      <c r="AFS42" s="256"/>
      <c r="AFT42" s="256"/>
      <c r="AFU42" s="256"/>
      <c r="AFV42" s="256"/>
      <c r="AFW42" s="256"/>
      <c r="AFX42" s="256"/>
      <c r="AFY42" s="256"/>
      <c r="AFZ42" s="256"/>
      <c r="AGA42" s="256"/>
      <c r="AGB42" s="256"/>
      <c r="AGC42" s="256"/>
      <c r="AGD42" s="256"/>
      <c r="AGE42" s="256"/>
      <c r="AGF42" s="256"/>
      <c r="AGG42" s="256"/>
      <c r="AGH42" s="256"/>
      <c r="AGI42" s="256"/>
      <c r="AGJ42" s="256"/>
      <c r="AGK42" s="256"/>
      <c r="AGL42" s="256"/>
      <c r="AGM42" s="256"/>
      <c r="AGN42" s="256"/>
      <c r="AGO42" s="256"/>
      <c r="AGP42" s="256"/>
      <c r="AGQ42" s="256"/>
      <c r="AGR42" s="256"/>
      <c r="AGS42" s="256"/>
      <c r="AGT42" s="256"/>
      <c r="AGU42" s="256"/>
      <c r="AGV42" s="256"/>
      <c r="AGW42" s="256"/>
      <c r="AGX42" s="256"/>
      <c r="AGY42" s="256"/>
      <c r="AGZ42" s="256"/>
      <c r="AHA42" s="256"/>
      <c r="AHB42" s="256"/>
      <c r="AHC42" s="256"/>
      <c r="AHD42" s="256"/>
      <c r="AHE42" s="256"/>
      <c r="AHF42" s="256"/>
      <c r="AHG42" s="256"/>
      <c r="AHH42" s="256"/>
      <c r="AHI42" s="256"/>
      <c r="AHJ42" s="256"/>
      <c r="AHK42" s="256"/>
      <c r="AHL42" s="256"/>
      <c r="AHM42" s="256"/>
      <c r="AHN42" s="256"/>
      <c r="AHO42" s="256"/>
      <c r="AHP42" s="256"/>
      <c r="AHQ42" s="256"/>
      <c r="AHR42" s="256"/>
      <c r="AHS42" s="256"/>
      <c r="AHT42" s="256"/>
      <c r="AHU42" s="256"/>
      <c r="AHV42" s="256"/>
      <c r="AHW42" s="256"/>
      <c r="AHX42" s="256"/>
      <c r="AHY42" s="256"/>
      <c r="AHZ42" s="256"/>
      <c r="AIA42" s="256"/>
      <c r="AIB42" s="256"/>
      <c r="AIC42" s="256"/>
      <c r="AID42" s="256"/>
      <c r="AIE42" s="256"/>
      <c r="AIF42" s="256"/>
      <c r="AIG42" s="256"/>
      <c r="AIH42" s="256"/>
      <c r="AII42" s="256"/>
      <c r="AIJ42" s="256"/>
      <c r="AIK42" s="256"/>
      <c r="AIL42" s="256"/>
      <c r="AIM42" s="256"/>
      <c r="AIN42" s="256"/>
      <c r="AIO42" s="256"/>
      <c r="AIP42" s="256"/>
      <c r="AIQ42" s="256"/>
      <c r="AIR42" s="256"/>
      <c r="AIS42" s="256"/>
      <c r="AIT42" s="256"/>
      <c r="AIU42" s="256"/>
      <c r="AIV42" s="256"/>
      <c r="AIW42" s="256"/>
      <c r="AIX42" s="256"/>
      <c r="AIY42" s="256"/>
      <c r="AIZ42" s="256"/>
      <c r="AJA42" s="256"/>
      <c r="AJB42" s="256"/>
      <c r="AJC42" s="256"/>
      <c r="AJD42" s="256"/>
      <c r="AJE42" s="256"/>
      <c r="AJF42" s="256"/>
      <c r="AJG42" s="256"/>
      <c r="AJH42" s="256"/>
      <c r="AJI42" s="256"/>
      <c r="AJJ42" s="256"/>
      <c r="AJK42" s="256"/>
      <c r="AJL42" s="256"/>
      <c r="AJM42" s="256"/>
      <c r="AJN42" s="256"/>
      <c r="AJO42" s="256"/>
      <c r="AJP42" s="256"/>
      <c r="AJQ42" s="256"/>
      <c r="AJR42" s="256"/>
      <c r="AJS42" s="256"/>
      <c r="AJT42" s="256"/>
      <c r="AJU42" s="256"/>
      <c r="AJV42" s="256"/>
      <c r="AJW42" s="256"/>
      <c r="AJX42" s="256"/>
      <c r="AJY42" s="256"/>
      <c r="AJZ42" s="256"/>
      <c r="AKA42" s="256"/>
      <c r="AKB42" s="256"/>
      <c r="AKC42" s="256"/>
      <c r="AKD42" s="256"/>
      <c r="AKE42" s="256"/>
      <c r="AKF42" s="256"/>
      <c r="AKG42" s="256"/>
      <c r="AKH42" s="256"/>
      <c r="AKI42" s="256"/>
      <c r="AKJ42" s="256"/>
      <c r="AKK42" s="256"/>
      <c r="AKL42" s="256"/>
      <c r="AKM42" s="256"/>
      <c r="AKN42" s="256"/>
      <c r="AKO42" s="256"/>
      <c r="AKP42" s="256"/>
      <c r="AKQ42" s="256"/>
      <c r="AKR42" s="256"/>
      <c r="AKS42" s="256"/>
      <c r="AKT42" s="256"/>
      <c r="AKU42" s="256"/>
      <c r="AKV42" s="256"/>
      <c r="AKW42" s="256"/>
      <c r="AKX42" s="256"/>
      <c r="AKY42" s="256"/>
      <c r="AKZ42" s="256"/>
      <c r="ALA42" s="256"/>
      <c r="ALB42" s="256"/>
      <c r="ALC42" s="256"/>
      <c r="ALD42" s="256"/>
      <c r="ALE42" s="256"/>
      <c r="ALF42" s="256"/>
      <c r="ALG42" s="256"/>
      <c r="ALH42" s="256"/>
      <c r="ALI42" s="256"/>
      <c r="ALJ42" s="256"/>
      <c r="ALK42" s="256"/>
      <c r="ALL42" s="256"/>
      <c r="ALM42" s="256"/>
      <c r="ALN42" s="256"/>
      <c r="ALO42" s="256"/>
      <c r="ALP42" s="256"/>
      <c r="ALQ42" s="256"/>
      <c r="ALR42" s="256"/>
      <c r="ALS42" s="256"/>
      <c r="ALT42" s="256"/>
      <c r="ALU42" s="258"/>
      <c r="ALV42" s="258"/>
      <c r="ALW42" s="258"/>
      <c r="ALX42" s="258"/>
      <c r="ALY42" s="258"/>
      <c r="ALZ42" s="258"/>
      <c r="AMA42" s="258"/>
      <c r="AMB42" s="258"/>
      <c r="AMC42" s="258"/>
      <c r="AMD42" s="258"/>
      <c r="AME42" s="258"/>
      <c r="AMF42" s="258"/>
      <c r="AMG42" s="258"/>
      <c r="AMH42" s="258"/>
      <c r="AMI42" s="256"/>
    </row>
    <row r="43" spans="1:1023" s="259" customFormat="1" x14ac:dyDescent="0.25">
      <c r="A43" s="256"/>
      <c r="B43" s="256"/>
      <c r="C43" s="256"/>
      <c r="D43" s="256"/>
      <c r="E43" s="256"/>
      <c r="F43" s="256"/>
      <c r="G43" s="256"/>
      <c r="H43" s="256"/>
      <c r="I43" s="256"/>
      <c r="J43" s="256"/>
      <c r="K43" s="256"/>
      <c r="L43" s="256"/>
      <c r="M43" s="256"/>
      <c r="N43" s="256"/>
      <c r="O43" s="256"/>
      <c r="P43" s="256"/>
      <c r="Q43" s="256"/>
      <c r="R43" s="256"/>
      <c r="S43" s="256"/>
      <c r="T43" s="256"/>
      <c r="U43" s="256"/>
      <c r="V43" s="256"/>
      <c r="W43" s="256"/>
      <c r="X43" s="256"/>
      <c r="Y43" s="256"/>
      <c r="Z43" s="256"/>
      <c r="AA43" s="256"/>
      <c r="AB43" s="256"/>
      <c r="AC43" s="256"/>
      <c r="AD43" s="256"/>
      <c r="AE43" s="256"/>
      <c r="AF43" s="256"/>
      <c r="AG43" s="256"/>
      <c r="AH43" s="256"/>
      <c r="AI43" s="256"/>
      <c r="AJ43" s="256"/>
      <c r="AK43" s="256"/>
      <c r="AL43" s="256"/>
      <c r="AM43" s="256"/>
      <c r="AN43" s="256"/>
      <c r="AO43" s="256"/>
      <c r="AP43" s="256"/>
      <c r="AQ43" s="256"/>
      <c r="AR43" s="256"/>
      <c r="AS43" s="256"/>
      <c r="AT43" s="256"/>
      <c r="AU43" s="256"/>
      <c r="AV43" s="256"/>
      <c r="AW43" s="256"/>
      <c r="AX43" s="256"/>
      <c r="AY43" s="256"/>
      <c r="AZ43" s="256"/>
      <c r="BA43" s="256"/>
      <c r="BB43" s="256"/>
      <c r="BC43" s="256"/>
      <c r="BD43" s="256"/>
      <c r="BE43" s="256"/>
      <c r="BF43" s="256"/>
      <c r="BG43" s="256"/>
      <c r="BH43" s="256"/>
      <c r="BI43" s="256"/>
      <c r="BJ43" s="256"/>
      <c r="BK43" s="256"/>
      <c r="BL43" s="256"/>
      <c r="BM43" s="256"/>
      <c r="BN43" s="256"/>
      <c r="BO43" s="256"/>
      <c r="BP43" s="256"/>
      <c r="BQ43" s="256"/>
      <c r="BR43" s="256"/>
      <c r="BS43" s="256"/>
      <c r="BT43" s="256"/>
      <c r="BU43" s="256"/>
      <c r="BV43" s="256"/>
      <c r="BW43" s="256"/>
      <c r="BX43" s="256"/>
      <c r="BY43" s="256"/>
      <c r="BZ43" s="256"/>
      <c r="CA43" s="256"/>
      <c r="CB43" s="256"/>
      <c r="CC43" s="256"/>
      <c r="CD43" s="256"/>
      <c r="CE43" s="256"/>
      <c r="CF43" s="256"/>
      <c r="CG43" s="256"/>
      <c r="CH43" s="256"/>
      <c r="CI43" s="256"/>
      <c r="CJ43" s="256"/>
      <c r="CK43" s="256"/>
      <c r="CL43" s="256"/>
      <c r="CM43" s="256"/>
      <c r="CN43" s="256"/>
      <c r="CO43" s="256"/>
      <c r="CP43" s="256"/>
      <c r="CQ43" s="256"/>
      <c r="CR43" s="256"/>
      <c r="CS43" s="256"/>
      <c r="CT43" s="256"/>
      <c r="CU43" s="256"/>
      <c r="CV43" s="256"/>
      <c r="CW43" s="256"/>
      <c r="CX43" s="256"/>
      <c r="CY43" s="256"/>
      <c r="CZ43" s="256"/>
      <c r="DA43" s="256"/>
      <c r="DB43" s="256"/>
      <c r="DC43" s="256"/>
      <c r="DD43" s="256"/>
      <c r="DE43" s="256"/>
      <c r="DF43" s="256"/>
      <c r="DG43" s="256"/>
      <c r="DH43" s="256"/>
      <c r="DI43" s="256"/>
      <c r="DJ43" s="256"/>
      <c r="DK43" s="256"/>
      <c r="DL43" s="256"/>
      <c r="DM43" s="256"/>
      <c r="DN43" s="256"/>
      <c r="DO43" s="256"/>
      <c r="DP43" s="256"/>
      <c r="DQ43" s="256"/>
      <c r="DR43" s="256"/>
      <c r="DS43" s="256"/>
      <c r="DT43" s="256"/>
      <c r="DU43" s="256"/>
      <c r="DV43" s="256"/>
      <c r="DW43" s="256"/>
      <c r="DX43" s="256"/>
      <c r="DY43" s="256"/>
      <c r="DZ43" s="256"/>
      <c r="EA43" s="256"/>
      <c r="EB43" s="256"/>
      <c r="EC43" s="256"/>
      <c r="ED43" s="256"/>
      <c r="EE43" s="256"/>
      <c r="EF43" s="256"/>
      <c r="EG43" s="256"/>
      <c r="EH43" s="256"/>
      <c r="EI43" s="256"/>
      <c r="EJ43" s="256"/>
      <c r="EK43" s="256"/>
      <c r="EL43" s="256"/>
      <c r="EM43" s="256"/>
      <c r="EN43" s="256"/>
      <c r="EO43" s="256"/>
      <c r="EP43" s="256"/>
      <c r="EQ43" s="256"/>
      <c r="ER43" s="256"/>
      <c r="ES43" s="256"/>
      <c r="ET43" s="256"/>
      <c r="EU43" s="256"/>
      <c r="EV43" s="256"/>
      <c r="EW43" s="256"/>
      <c r="EX43" s="256"/>
      <c r="EY43" s="256"/>
      <c r="EZ43" s="256"/>
      <c r="FA43" s="256"/>
      <c r="FB43" s="256"/>
      <c r="FC43" s="256"/>
      <c r="FD43" s="256"/>
      <c r="FE43" s="256"/>
      <c r="FF43" s="256"/>
      <c r="FG43" s="256"/>
      <c r="FH43" s="256"/>
      <c r="FI43" s="256"/>
      <c r="FJ43" s="256"/>
      <c r="FK43" s="256"/>
      <c r="FL43" s="256"/>
      <c r="FM43" s="256"/>
      <c r="FN43" s="256"/>
      <c r="FO43" s="256"/>
      <c r="FP43" s="256"/>
      <c r="FQ43" s="256"/>
      <c r="FR43" s="256"/>
      <c r="FS43" s="256"/>
      <c r="FT43" s="256"/>
      <c r="FU43" s="256"/>
      <c r="FV43" s="256"/>
      <c r="FW43" s="256"/>
      <c r="FX43" s="256"/>
      <c r="FY43" s="256"/>
      <c r="FZ43" s="256"/>
      <c r="GA43" s="256"/>
      <c r="GB43" s="256"/>
      <c r="GC43" s="256"/>
      <c r="GD43" s="256"/>
      <c r="GE43" s="256"/>
      <c r="GF43" s="256"/>
      <c r="GG43" s="256"/>
      <c r="GH43" s="256"/>
      <c r="GI43" s="256"/>
      <c r="GJ43" s="256"/>
      <c r="GK43" s="256"/>
      <c r="GL43" s="256"/>
      <c r="GM43" s="256"/>
      <c r="GN43" s="256"/>
      <c r="GO43" s="256"/>
      <c r="GP43" s="256"/>
      <c r="GQ43" s="256"/>
      <c r="GR43" s="256"/>
      <c r="GS43" s="256"/>
      <c r="GT43" s="256"/>
      <c r="GU43" s="256"/>
      <c r="GV43" s="256"/>
      <c r="GW43" s="256"/>
      <c r="GX43" s="256"/>
      <c r="GY43" s="256"/>
      <c r="GZ43" s="256"/>
      <c r="HA43" s="256"/>
      <c r="HB43" s="256"/>
      <c r="HC43" s="256"/>
      <c r="HD43" s="256"/>
      <c r="HE43" s="256"/>
      <c r="HF43" s="256"/>
      <c r="HG43" s="256"/>
      <c r="HH43" s="256"/>
      <c r="HI43" s="256"/>
      <c r="HJ43" s="256"/>
      <c r="HK43" s="256"/>
      <c r="HL43" s="256"/>
      <c r="HM43" s="256"/>
      <c r="HN43" s="256"/>
      <c r="HO43" s="256"/>
      <c r="HP43" s="256"/>
      <c r="HQ43" s="256"/>
      <c r="HR43" s="256"/>
      <c r="HS43" s="256"/>
      <c r="HT43" s="256"/>
      <c r="HU43" s="256"/>
      <c r="HV43" s="256"/>
      <c r="HW43" s="256"/>
      <c r="HX43" s="256"/>
      <c r="HY43" s="256"/>
      <c r="HZ43" s="256"/>
      <c r="IA43" s="256"/>
      <c r="IB43" s="256"/>
      <c r="IC43" s="256"/>
      <c r="ID43" s="256"/>
      <c r="IE43" s="256"/>
      <c r="IF43" s="256"/>
      <c r="IG43" s="256"/>
      <c r="IH43" s="256"/>
      <c r="II43" s="256"/>
      <c r="IJ43" s="256"/>
      <c r="IK43" s="256"/>
      <c r="IL43" s="256"/>
      <c r="IM43" s="256"/>
      <c r="IN43" s="256"/>
      <c r="IO43" s="256"/>
      <c r="IP43" s="256"/>
      <c r="IQ43" s="256"/>
      <c r="IR43" s="256"/>
      <c r="IS43" s="256"/>
      <c r="IT43" s="256"/>
      <c r="IU43" s="256"/>
      <c r="IV43" s="256"/>
      <c r="IW43" s="256"/>
      <c r="IX43" s="256"/>
      <c r="IY43" s="256"/>
      <c r="IZ43" s="256"/>
      <c r="JA43" s="256"/>
      <c r="JB43" s="256"/>
      <c r="JC43" s="256"/>
      <c r="JD43" s="256"/>
      <c r="JE43" s="256"/>
      <c r="JF43" s="256"/>
      <c r="JG43" s="256"/>
      <c r="JH43" s="256"/>
      <c r="JI43" s="256"/>
      <c r="JJ43" s="256"/>
      <c r="JK43" s="256"/>
      <c r="JL43" s="256"/>
      <c r="JM43" s="256"/>
      <c r="JN43" s="256"/>
      <c r="JO43" s="256"/>
      <c r="JP43" s="256"/>
      <c r="JQ43" s="256"/>
      <c r="JR43" s="256"/>
      <c r="JS43" s="256"/>
      <c r="JT43" s="256"/>
      <c r="JU43" s="256"/>
      <c r="JV43" s="256"/>
      <c r="JW43" s="256"/>
      <c r="JX43" s="256"/>
      <c r="JY43" s="256"/>
      <c r="JZ43" s="256"/>
      <c r="KA43" s="256"/>
      <c r="KB43" s="256"/>
      <c r="KC43" s="256"/>
      <c r="KD43" s="256"/>
      <c r="KE43" s="256"/>
      <c r="KF43" s="256"/>
      <c r="KG43" s="256"/>
      <c r="KH43" s="256"/>
      <c r="KI43" s="256"/>
      <c r="KJ43" s="256"/>
      <c r="KK43" s="256"/>
      <c r="KL43" s="256"/>
      <c r="KM43" s="256"/>
      <c r="KN43" s="256"/>
      <c r="KO43" s="256"/>
      <c r="KP43" s="256"/>
      <c r="KQ43" s="256"/>
      <c r="KR43" s="256"/>
      <c r="KS43" s="256"/>
      <c r="KT43" s="256"/>
      <c r="KU43" s="256"/>
      <c r="KV43" s="256"/>
      <c r="KW43" s="256"/>
      <c r="KX43" s="256"/>
      <c r="KY43" s="256"/>
      <c r="KZ43" s="256"/>
      <c r="LA43" s="256"/>
      <c r="LB43" s="256"/>
      <c r="LC43" s="256"/>
      <c r="LD43" s="256"/>
      <c r="LE43" s="256"/>
      <c r="LF43" s="256"/>
      <c r="LG43" s="256"/>
      <c r="LH43" s="256"/>
      <c r="LI43" s="256"/>
      <c r="LJ43" s="256"/>
      <c r="LK43" s="256"/>
      <c r="LL43" s="256"/>
      <c r="LM43" s="256"/>
      <c r="LN43" s="256"/>
      <c r="LO43" s="256"/>
      <c r="LP43" s="256"/>
      <c r="LQ43" s="256"/>
      <c r="LR43" s="256"/>
      <c r="LS43" s="256"/>
      <c r="LT43" s="256"/>
      <c r="LU43" s="256"/>
      <c r="LV43" s="256"/>
      <c r="LW43" s="256"/>
      <c r="LX43" s="256"/>
      <c r="LY43" s="256"/>
      <c r="LZ43" s="256"/>
      <c r="MA43" s="256"/>
      <c r="MB43" s="256"/>
      <c r="MC43" s="256"/>
      <c r="MD43" s="256"/>
      <c r="ME43" s="256"/>
      <c r="MF43" s="256"/>
      <c r="MG43" s="256"/>
      <c r="MH43" s="256"/>
      <c r="MI43" s="256"/>
      <c r="MJ43" s="256"/>
      <c r="MK43" s="256"/>
      <c r="ML43" s="256"/>
      <c r="MM43" s="256"/>
      <c r="MN43" s="256"/>
      <c r="MO43" s="256"/>
      <c r="MP43" s="256"/>
      <c r="MQ43" s="256"/>
      <c r="MR43" s="256"/>
      <c r="MS43" s="256"/>
      <c r="MT43" s="256"/>
      <c r="MU43" s="256"/>
      <c r="MV43" s="256"/>
      <c r="MW43" s="256"/>
      <c r="MX43" s="256"/>
      <c r="MY43" s="256"/>
      <c r="MZ43" s="256"/>
      <c r="NA43" s="256"/>
      <c r="NB43" s="256"/>
      <c r="NC43" s="256"/>
      <c r="ND43" s="256"/>
      <c r="NE43" s="256"/>
      <c r="NF43" s="256"/>
      <c r="NG43" s="256"/>
      <c r="NH43" s="256"/>
      <c r="NI43" s="256"/>
      <c r="NJ43" s="256"/>
      <c r="NK43" s="256"/>
      <c r="NL43" s="256"/>
      <c r="NM43" s="256"/>
      <c r="NN43" s="256"/>
      <c r="NO43" s="256"/>
      <c r="NP43" s="256"/>
      <c r="NQ43" s="256"/>
      <c r="NR43" s="256"/>
      <c r="NS43" s="256"/>
      <c r="NT43" s="256"/>
      <c r="NU43" s="256"/>
      <c r="NV43" s="256"/>
      <c r="NW43" s="256"/>
      <c r="NX43" s="256"/>
      <c r="NY43" s="256"/>
      <c r="NZ43" s="256"/>
      <c r="OA43" s="256"/>
      <c r="OB43" s="256"/>
      <c r="OC43" s="256"/>
      <c r="OD43" s="256"/>
      <c r="OE43" s="256"/>
      <c r="OF43" s="256"/>
      <c r="OG43" s="256"/>
      <c r="OH43" s="256"/>
      <c r="OI43" s="256"/>
      <c r="OJ43" s="256"/>
      <c r="OK43" s="256"/>
      <c r="OL43" s="256"/>
      <c r="OM43" s="256"/>
      <c r="ON43" s="256"/>
      <c r="OO43" s="256"/>
      <c r="OP43" s="256"/>
      <c r="OQ43" s="256"/>
      <c r="OR43" s="256"/>
      <c r="OS43" s="256"/>
      <c r="OT43" s="256"/>
      <c r="OU43" s="256"/>
      <c r="OV43" s="256"/>
      <c r="OW43" s="256"/>
      <c r="OX43" s="256"/>
      <c r="OY43" s="256"/>
      <c r="OZ43" s="256"/>
      <c r="PA43" s="256"/>
      <c r="PB43" s="256"/>
      <c r="PC43" s="256"/>
      <c r="PD43" s="256"/>
      <c r="PE43" s="256"/>
      <c r="PF43" s="256"/>
      <c r="PG43" s="256"/>
      <c r="PH43" s="256"/>
      <c r="PI43" s="256"/>
      <c r="PJ43" s="256"/>
      <c r="PK43" s="256"/>
      <c r="PL43" s="256"/>
      <c r="PM43" s="256"/>
      <c r="PN43" s="256"/>
      <c r="PO43" s="256"/>
      <c r="PP43" s="256"/>
      <c r="PQ43" s="256"/>
      <c r="PR43" s="256"/>
      <c r="PS43" s="256"/>
      <c r="PT43" s="256"/>
      <c r="PU43" s="256"/>
      <c r="PV43" s="256"/>
      <c r="PW43" s="256"/>
      <c r="PX43" s="256"/>
      <c r="PY43" s="256"/>
      <c r="PZ43" s="256"/>
      <c r="QA43" s="256"/>
      <c r="QB43" s="256"/>
      <c r="QC43" s="256"/>
      <c r="QD43" s="256"/>
      <c r="QE43" s="256"/>
      <c r="QF43" s="256"/>
      <c r="QG43" s="256"/>
      <c r="QH43" s="256"/>
      <c r="QI43" s="256"/>
      <c r="QJ43" s="256"/>
      <c r="QK43" s="256"/>
      <c r="QL43" s="256"/>
      <c r="QM43" s="256"/>
      <c r="QN43" s="256"/>
      <c r="QO43" s="256"/>
      <c r="QP43" s="256"/>
      <c r="QQ43" s="256"/>
      <c r="QR43" s="256"/>
      <c r="QS43" s="256"/>
      <c r="QT43" s="256"/>
      <c r="QU43" s="256"/>
      <c r="QV43" s="256"/>
      <c r="QW43" s="256"/>
      <c r="QX43" s="256"/>
      <c r="QY43" s="256"/>
      <c r="QZ43" s="256"/>
      <c r="RA43" s="256"/>
      <c r="RB43" s="256"/>
      <c r="RC43" s="256"/>
      <c r="RD43" s="256"/>
      <c r="RE43" s="256"/>
      <c r="RF43" s="256"/>
      <c r="RG43" s="256"/>
      <c r="RH43" s="256"/>
      <c r="RI43" s="256"/>
      <c r="RJ43" s="256"/>
      <c r="RK43" s="256"/>
      <c r="RL43" s="256"/>
      <c r="RM43" s="256"/>
      <c r="RN43" s="256"/>
      <c r="RO43" s="256"/>
      <c r="RP43" s="256"/>
      <c r="RQ43" s="256"/>
      <c r="RR43" s="256"/>
      <c r="RS43" s="256"/>
      <c r="RT43" s="256"/>
      <c r="RU43" s="256"/>
      <c r="RV43" s="256"/>
      <c r="RW43" s="256"/>
      <c r="RX43" s="256"/>
      <c r="RY43" s="256"/>
      <c r="RZ43" s="256"/>
      <c r="SA43" s="256"/>
      <c r="SB43" s="256"/>
      <c r="SC43" s="256"/>
      <c r="SD43" s="256"/>
      <c r="SE43" s="256"/>
      <c r="SF43" s="256"/>
      <c r="SG43" s="256"/>
      <c r="SH43" s="256"/>
      <c r="SI43" s="256"/>
      <c r="SJ43" s="256"/>
      <c r="SK43" s="256"/>
      <c r="SL43" s="256"/>
      <c r="SM43" s="256"/>
      <c r="SN43" s="256"/>
      <c r="SO43" s="256"/>
      <c r="SP43" s="256"/>
      <c r="SQ43" s="256"/>
      <c r="SR43" s="256"/>
      <c r="SS43" s="256"/>
      <c r="ST43" s="256"/>
      <c r="SU43" s="256"/>
      <c r="SV43" s="256"/>
      <c r="SW43" s="256"/>
      <c r="SX43" s="256"/>
      <c r="SY43" s="256"/>
      <c r="SZ43" s="256"/>
      <c r="TA43" s="256"/>
      <c r="TB43" s="256"/>
      <c r="TC43" s="256"/>
      <c r="TD43" s="256"/>
      <c r="TE43" s="256"/>
      <c r="TF43" s="256"/>
      <c r="TG43" s="256"/>
      <c r="TH43" s="256"/>
      <c r="TI43" s="256"/>
      <c r="TJ43" s="256"/>
      <c r="TK43" s="256"/>
      <c r="TL43" s="256"/>
      <c r="TM43" s="256"/>
      <c r="TN43" s="256"/>
      <c r="TO43" s="256"/>
      <c r="TP43" s="256"/>
      <c r="TQ43" s="256"/>
      <c r="TR43" s="256"/>
      <c r="TS43" s="256"/>
      <c r="TT43" s="256"/>
      <c r="TU43" s="256"/>
      <c r="TV43" s="256"/>
      <c r="TW43" s="256"/>
      <c r="TX43" s="256"/>
      <c r="TY43" s="256"/>
      <c r="TZ43" s="256"/>
      <c r="UA43" s="256"/>
      <c r="UB43" s="256"/>
      <c r="UC43" s="256"/>
      <c r="UD43" s="256"/>
      <c r="UE43" s="256"/>
      <c r="UF43" s="256"/>
      <c r="UG43" s="256"/>
      <c r="UH43" s="256"/>
      <c r="UI43" s="256"/>
      <c r="UJ43" s="256"/>
      <c r="UK43" s="256"/>
      <c r="UL43" s="256"/>
      <c r="UM43" s="256"/>
      <c r="UN43" s="256"/>
      <c r="UO43" s="256"/>
      <c r="UP43" s="256"/>
      <c r="UQ43" s="256"/>
      <c r="UR43" s="256"/>
      <c r="US43" s="256"/>
      <c r="UT43" s="256"/>
      <c r="UU43" s="256"/>
      <c r="UV43" s="256"/>
      <c r="UW43" s="256"/>
      <c r="UX43" s="256"/>
      <c r="UY43" s="256"/>
      <c r="UZ43" s="256"/>
      <c r="VA43" s="256"/>
      <c r="VB43" s="256"/>
      <c r="VC43" s="256"/>
      <c r="VD43" s="256"/>
      <c r="VE43" s="256"/>
      <c r="VF43" s="256"/>
      <c r="VG43" s="256"/>
      <c r="VH43" s="256"/>
      <c r="VI43" s="256"/>
      <c r="VJ43" s="256"/>
      <c r="VK43" s="256"/>
      <c r="VL43" s="256"/>
      <c r="VM43" s="256"/>
      <c r="VN43" s="256"/>
      <c r="VO43" s="256"/>
      <c r="VP43" s="256"/>
      <c r="VQ43" s="256"/>
      <c r="VR43" s="256"/>
      <c r="VS43" s="256"/>
      <c r="VT43" s="256"/>
      <c r="VU43" s="256"/>
      <c r="VV43" s="256"/>
      <c r="VW43" s="256"/>
      <c r="VX43" s="256"/>
      <c r="VY43" s="256"/>
      <c r="VZ43" s="256"/>
      <c r="WA43" s="256"/>
      <c r="WB43" s="256"/>
      <c r="WC43" s="256"/>
      <c r="WD43" s="256"/>
      <c r="WE43" s="256"/>
      <c r="WF43" s="256"/>
      <c r="WG43" s="256"/>
      <c r="WH43" s="256"/>
      <c r="WI43" s="256"/>
      <c r="WJ43" s="256"/>
      <c r="WK43" s="256"/>
      <c r="WL43" s="256"/>
      <c r="WM43" s="256"/>
      <c r="WN43" s="256"/>
      <c r="WO43" s="256"/>
      <c r="WP43" s="256"/>
      <c r="WQ43" s="256"/>
      <c r="WR43" s="256"/>
      <c r="WS43" s="256"/>
      <c r="WT43" s="256"/>
      <c r="WU43" s="256"/>
      <c r="WV43" s="256"/>
      <c r="WW43" s="256"/>
      <c r="WX43" s="256"/>
      <c r="WY43" s="256"/>
      <c r="WZ43" s="256"/>
      <c r="XA43" s="256"/>
      <c r="XB43" s="256"/>
      <c r="XC43" s="256"/>
      <c r="XD43" s="256"/>
      <c r="XE43" s="256"/>
      <c r="XF43" s="256"/>
      <c r="XG43" s="256"/>
      <c r="XH43" s="256"/>
      <c r="XI43" s="256"/>
      <c r="XJ43" s="256"/>
      <c r="XK43" s="256"/>
      <c r="XL43" s="256"/>
      <c r="XM43" s="256"/>
      <c r="XN43" s="256"/>
      <c r="XO43" s="256"/>
      <c r="XP43" s="256"/>
      <c r="XQ43" s="256"/>
      <c r="XR43" s="256"/>
      <c r="XS43" s="256"/>
      <c r="XT43" s="256"/>
      <c r="XU43" s="256"/>
      <c r="XV43" s="256"/>
      <c r="XW43" s="256"/>
      <c r="XX43" s="256"/>
      <c r="XY43" s="256"/>
      <c r="XZ43" s="256"/>
      <c r="YA43" s="256"/>
      <c r="YB43" s="256"/>
      <c r="YC43" s="256"/>
      <c r="YD43" s="256"/>
      <c r="YE43" s="256"/>
      <c r="YF43" s="256"/>
      <c r="YG43" s="256"/>
      <c r="YH43" s="256"/>
      <c r="YI43" s="256"/>
      <c r="YJ43" s="256"/>
      <c r="YK43" s="256"/>
      <c r="YL43" s="256"/>
      <c r="YM43" s="256"/>
      <c r="YN43" s="256"/>
      <c r="YO43" s="256"/>
      <c r="YP43" s="256"/>
      <c r="YQ43" s="256"/>
      <c r="YR43" s="256"/>
      <c r="YS43" s="256"/>
      <c r="YT43" s="256"/>
      <c r="YU43" s="256"/>
      <c r="YV43" s="256"/>
      <c r="YW43" s="256"/>
      <c r="YX43" s="256"/>
      <c r="YY43" s="256"/>
      <c r="YZ43" s="256"/>
      <c r="ZA43" s="256"/>
      <c r="ZB43" s="256"/>
      <c r="ZC43" s="256"/>
      <c r="ZD43" s="256"/>
      <c r="ZE43" s="256"/>
      <c r="ZF43" s="256"/>
      <c r="ZG43" s="256"/>
      <c r="ZH43" s="256"/>
      <c r="ZI43" s="256"/>
      <c r="ZJ43" s="256"/>
      <c r="ZK43" s="256"/>
      <c r="ZL43" s="256"/>
      <c r="ZM43" s="256"/>
      <c r="ZN43" s="256"/>
      <c r="ZO43" s="256"/>
      <c r="ZP43" s="256"/>
      <c r="ZQ43" s="256"/>
      <c r="ZR43" s="256"/>
      <c r="ZS43" s="256"/>
      <c r="ZT43" s="256"/>
      <c r="ZU43" s="256"/>
      <c r="ZV43" s="256"/>
      <c r="ZW43" s="256"/>
      <c r="ZX43" s="256"/>
      <c r="ZY43" s="256"/>
      <c r="ZZ43" s="256"/>
      <c r="AAA43" s="256"/>
      <c r="AAB43" s="256"/>
      <c r="AAC43" s="256"/>
      <c r="AAD43" s="256"/>
      <c r="AAE43" s="256"/>
      <c r="AAF43" s="256"/>
      <c r="AAG43" s="256"/>
      <c r="AAH43" s="256"/>
      <c r="AAI43" s="256"/>
      <c r="AAJ43" s="256"/>
      <c r="AAK43" s="256"/>
      <c r="AAL43" s="256"/>
      <c r="AAM43" s="256"/>
      <c r="AAN43" s="256"/>
      <c r="AAO43" s="256"/>
      <c r="AAP43" s="256"/>
      <c r="AAQ43" s="256"/>
      <c r="AAR43" s="256"/>
      <c r="AAS43" s="256"/>
      <c r="AAT43" s="256"/>
      <c r="AAU43" s="256"/>
      <c r="AAV43" s="256"/>
      <c r="AAW43" s="256"/>
      <c r="AAX43" s="256"/>
      <c r="AAY43" s="256"/>
      <c r="AAZ43" s="256"/>
      <c r="ABA43" s="256"/>
      <c r="ABB43" s="256"/>
      <c r="ABC43" s="256"/>
      <c r="ABD43" s="256"/>
      <c r="ABE43" s="256"/>
      <c r="ABF43" s="256"/>
      <c r="ABG43" s="256"/>
      <c r="ABH43" s="256"/>
      <c r="ABI43" s="256"/>
      <c r="ABJ43" s="256"/>
      <c r="ABK43" s="256"/>
      <c r="ABL43" s="256"/>
      <c r="ABM43" s="256"/>
      <c r="ABN43" s="256"/>
      <c r="ABO43" s="256"/>
      <c r="ABP43" s="256"/>
      <c r="ABQ43" s="256"/>
      <c r="ABR43" s="256"/>
      <c r="ABS43" s="256"/>
      <c r="ABT43" s="256"/>
      <c r="ABU43" s="256"/>
      <c r="ABV43" s="256"/>
      <c r="ABW43" s="256"/>
      <c r="ABX43" s="256"/>
      <c r="ABY43" s="256"/>
      <c r="ABZ43" s="256"/>
      <c r="ACA43" s="256"/>
      <c r="ACB43" s="256"/>
      <c r="ACC43" s="256"/>
      <c r="ACD43" s="256"/>
      <c r="ACE43" s="256"/>
      <c r="ACF43" s="256"/>
      <c r="ACG43" s="256"/>
      <c r="ACH43" s="256"/>
      <c r="ACI43" s="256"/>
      <c r="ACJ43" s="256"/>
      <c r="ACK43" s="256"/>
      <c r="ACL43" s="256"/>
      <c r="ACM43" s="256"/>
      <c r="ACN43" s="256"/>
      <c r="ACO43" s="256"/>
      <c r="ACP43" s="256"/>
      <c r="ACQ43" s="256"/>
      <c r="ACR43" s="256"/>
      <c r="ACS43" s="256"/>
      <c r="ACT43" s="256"/>
      <c r="ACU43" s="256"/>
      <c r="ACV43" s="256"/>
      <c r="ACW43" s="256"/>
      <c r="ACX43" s="256"/>
      <c r="ACY43" s="256"/>
      <c r="ACZ43" s="256"/>
      <c r="ADA43" s="256"/>
      <c r="ADB43" s="256"/>
      <c r="ADC43" s="256"/>
      <c r="ADD43" s="256"/>
      <c r="ADE43" s="256"/>
      <c r="ADF43" s="256"/>
      <c r="ADG43" s="256"/>
      <c r="ADH43" s="256"/>
      <c r="ADI43" s="256"/>
      <c r="ADJ43" s="256"/>
      <c r="ADK43" s="256"/>
      <c r="ADL43" s="256"/>
      <c r="ADM43" s="256"/>
      <c r="ADN43" s="256"/>
      <c r="ADO43" s="256"/>
      <c r="ADP43" s="256"/>
      <c r="ADQ43" s="256"/>
      <c r="ADR43" s="256"/>
      <c r="ADS43" s="256"/>
      <c r="ADT43" s="256"/>
      <c r="ADU43" s="256"/>
      <c r="ADV43" s="256"/>
      <c r="ADW43" s="256"/>
      <c r="ADX43" s="256"/>
      <c r="ADY43" s="256"/>
      <c r="ADZ43" s="256"/>
      <c r="AEA43" s="256"/>
      <c r="AEB43" s="256"/>
      <c r="AEC43" s="256"/>
      <c r="AED43" s="256"/>
      <c r="AEE43" s="256"/>
      <c r="AEF43" s="256"/>
      <c r="AEG43" s="256"/>
      <c r="AEH43" s="256"/>
      <c r="AEI43" s="256"/>
      <c r="AEJ43" s="256"/>
      <c r="AEK43" s="256"/>
      <c r="AEL43" s="256"/>
      <c r="AEM43" s="256"/>
      <c r="AEN43" s="256"/>
      <c r="AEO43" s="256"/>
      <c r="AEP43" s="256"/>
      <c r="AEQ43" s="256"/>
      <c r="AER43" s="256"/>
      <c r="AES43" s="256"/>
      <c r="AET43" s="256"/>
      <c r="AEU43" s="256"/>
      <c r="AEV43" s="256"/>
      <c r="AEW43" s="256"/>
      <c r="AEX43" s="256"/>
      <c r="AEY43" s="256"/>
      <c r="AEZ43" s="256"/>
      <c r="AFA43" s="256"/>
      <c r="AFB43" s="256"/>
      <c r="AFC43" s="256"/>
      <c r="AFD43" s="256"/>
      <c r="AFE43" s="256"/>
      <c r="AFF43" s="256"/>
      <c r="AFG43" s="256"/>
      <c r="AFH43" s="256"/>
      <c r="AFI43" s="256"/>
      <c r="AFJ43" s="256"/>
      <c r="AFK43" s="256"/>
      <c r="AFL43" s="256"/>
      <c r="AFM43" s="256"/>
      <c r="AFN43" s="256"/>
      <c r="AFO43" s="256"/>
      <c r="AFP43" s="256"/>
      <c r="AFQ43" s="256"/>
      <c r="AFR43" s="256"/>
      <c r="AFS43" s="256"/>
      <c r="AFT43" s="256"/>
      <c r="AFU43" s="256"/>
      <c r="AFV43" s="256"/>
      <c r="AFW43" s="256"/>
      <c r="AFX43" s="256"/>
      <c r="AFY43" s="256"/>
      <c r="AFZ43" s="256"/>
      <c r="AGA43" s="256"/>
      <c r="AGB43" s="256"/>
      <c r="AGC43" s="256"/>
      <c r="AGD43" s="256"/>
      <c r="AGE43" s="256"/>
      <c r="AGF43" s="256"/>
      <c r="AGG43" s="256"/>
      <c r="AGH43" s="256"/>
      <c r="AGI43" s="256"/>
      <c r="AGJ43" s="256"/>
      <c r="AGK43" s="256"/>
      <c r="AGL43" s="256"/>
      <c r="AGM43" s="256"/>
      <c r="AGN43" s="256"/>
      <c r="AGO43" s="256"/>
      <c r="AGP43" s="256"/>
      <c r="AGQ43" s="256"/>
      <c r="AGR43" s="256"/>
      <c r="AGS43" s="256"/>
      <c r="AGT43" s="256"/>
      <c r="AGU43" s="256"/>
      <c r="AGV43" s="256"/>
      <c r="AGW43" s="256"/>
      <c r="AGX43" s="256"/>
      <c r="AGY43" s="256"/>
      <c r="AGZ43" s="256"/>
      <c r="AHA43" s="256"/>
      <c r="AHB43" s="256"/>
      <c r="AHC43" s="256"/>
      <c r="AHD43" s="256"/>
      <c r="AHE43" s="256"/>
      <c r="AHF43" s="256"/>
      <c r="AHG43" s="256"/>
      <c r="AHH43" s="256"/>
      <c r="AHI43" s="256"/>
      <c r="AHJ43" s="256"/>
      <c r="AHK43" s="256"/>
      <c r="AHL43" s="256"/>
      <c r="AHM43" s="256"/>
      <c r="AHN43" s="256"/>
      <c r="AHO43" s="256"/>
      <c r="AHP43" s="256"/>
      <c r="AHQ43" s="256"/>
      <c r="AHR43" s="256"/>
      <c r="AHS43" s="256"/>
      <c r="AHT43" s="256"/>
      <c r="AHU43" s="256"/>
      <c r="AHV43" s="256"/>
      <c r="AHW43" s="256"/>
      <c r="AHX43" s="256"/>
      <c r="AHY43" s="256"/>
      <c r="AHZ43" s="256"/>
      <c r="AIA43" s="256"/>
      <c r="AIB43" s="256"/>
      <c r="AIC43" s="256"/>
      <c r="AID43" s="256"/>
      <c r="AIE43" s="256"/>
      <c r="AIF43" s="256"/>
      <c r="AIG43" s="256"/>
      <c r="AIH43" s="256"/>
      <c r="AII43" s="256"/>
      <c r="AIJ43" s="256"/>
      <c r="AIK43" s="256"/>
      <c r="AIL43" s="256"/>
      <c r="AIM43" s="256"/>
      <c r="AIN43" s="256"/>
      <c r="AIO43" s="256"/>
      <c r="AIP43" s="256"/>
      <c r="AIQ43" s="256"/>
      <c r="AIR43" s="256"/>
      <c r="AIS43" s="256"/>
      <c r="AIT43" s="256"/>
      <c r="AIU43" s="256"/>
      <c r="AIV43" s="256"/>
      <c r="AIW43" s="256"/>
      <c r="AIX43" s="256"/>
      <c r="AIY43" s="256"/>
      <c r="AIZ43" s="256"/>
      <c r="AJA43" s="256"/>
      <c r="AJB43" s="256"/>
      <c r="AJC43" s="256"/>
      <c r="AJD43" s="256"/>
      <c r="AJE43" s="256"/>
      <c r="AJF43" s="256"/>
      <c r="AJG43" s="256"/>
      <c r="AJH43" s="256"/>
      <c r="AJI43" s="256"/>
      <c r="AJJ43" s="256"/>
      <c r="AJK43" s="256"/>
      <c r="AJL43" s="256"/>
      <c r="AJM43" s="256"/>
      <c r="AJN43" s="256"/>
      <c r="AJO43" s="256"/>
      <c r="AJP43" s="256"/>
      <c r="AJQ43" s="256"/>
      <c r="AJR43" s="256"/>
      <c r="AJS43" s="256"/>
      <c r="AJT43" s="256"/>
      <c r="AJU43" s="256"/>
      <c r="AJV43" s="256"/>
      <c r="AJW43" s="256"/>
      <c r="AJX43" s="256"/>
      <c r="AJY43" s="256"/>
      <c r="AJZ43" s="256"/>
      <c r="AKA43" s="256"/>
      <c r="AKB43" s="256"/>
      <c r="AKC43" s="256"/>
      <c r="AKD43" s="256"/>
      <c r="AKE43" s="256"/>
      <c r="AKF43" s="256"/>
      <c r="AKG43" s="256"/>
      <c r="AKH43" s="256"/>
      <c r="AKI43" s="256"/>
      <c r="AKJ43" s="256"/>
      <c r="AKK43" s="256"/>
      <c r="AKL43" s="256"/>
      <c r="AKM43" s="256"/>
      <c r="AKN43" s="256"/>
      <c r="AKO43" s="256"/>
      <c r="AKP43" s="256"/>
      <c r="AKQ43" s="256"/>
      <c r="AKR43" s="256"/>
      <c r="AKS43" s="256"/>
      <c r="AKT43" s="256"/>
      <c r="AKU43" s="256"/>
      <c r="AKV43" s="256"/>
      <c r="AKW43" s="256"/>
      <c r="AKX43" s="256"/>
      <c r="AKY43" s="256"/>
      <c r="AKZ43" s="256"/>
      <c r="ALA43" s="256"/>
      <c r="ALB43" s="256"/>
      <c r="ALC43" s="256"/>
      <c r="ALD43" s="256"/>
      <c r="ALE43" s="256"/>
      <c r="ALF43" s="256"/>
      <c r="ALG43" s="256"/>
      <c r="ALH43" s="256"/>
      <c r="ALI43" s="256"/>
      <c r="ALJ43" s="256"/>
      <c r="ALK43" s="256"/>
      <c r="ALL43" s="256"/>
      <c r="ALM43" s="256"/>
      <c r="ALN43" s="256"/>
      <c r="ALO43" s="256"/>
      <c r="ALP43" s="256"/>
      <c r="ALQ43" s="256"/>
      <c r="ALR43" s="256"/>
      <c r="ALS43" s="256"/>
      <c r="ALT43" s="256"/>
      <c r="ALU43" s="258"/>
      <c r="ALV43" s="258"/>
      <c r="ALW43" s="258"/>
      <c r="ALX43" s="258"/>
      <c r="ALY43" s="258"/>
      <c r="ALZ43" s="258"/>
      <c r="AMA43" s="258"/>
      <c r="AMB43" s="258"/>
      <c r="AMC43" s="258"/>
      <c r="AMD43" s="258"/>
      <c r="AME43" s="258"/>
      <c r="AMF43" s="258"/>
      <c r="AMG43" s="258"/>
      <c r="AMH43" s="258"/>
      <c r="AMI43" s="256"/>
    </row>
    <row r="44" spans="1:1023" s="259" customFormat="1" x14ac:dyDescent="0.25">
      <c r="A44" s="256"/>
      <c r="B44" s="256"/>
      <c r="C44" s="256"/>
      <c r="D44" s="256"/>
      <c r="E44" s="256"/>
      <c r="F44" s="256"/>
      <c r="G44" s="256"/>
      <c r="H44" s="256"/>
      <c r="I44" s="256"/>
      <c r="J44" s="256"/>
      <c r="K44" s="256"/>
      <c r="L44" s="256"/>
      <c r="M44" s="256"/>
      <c r="N44" s="256"/>
      <c r="O44" s="256"/>
      <c r="P44" s="256"/>
      <c r="Q44" s="256"/>
      <c r="R44" s="256"/>
      <c r="S44" s="256"/>
      <c r="T44" s="256"/>
      <c r="U44" s="256"/>
      <c r="V44" s="256"/>
      <c r="W44" s="256"/>
      <c r="X44" s="256"/>
      <c r="Y44" s="256"/>
      <c r="Z44" s="256"/>
      <c r="AA44" s="256"/>
      <c r="AB44" s="256"/>
      <c r="AC44" s="256"/>
      <c r="AD44" s="256"/>
      <c r="AE44" s="256"/>
      <c r="AF44" s="256"/>
      <c r="AG44" s="256"/>
      <c r="AH44" s="256"/>
      <c r="AI44" s="256"/>
      <c r="AJ44" s="256"/>
      <c r="AK44" s="256"/>
      <c r="AL44" s="256"/>
      <c r="AM44" s="256"/>
      <c r="AN44" s="256"/>
      <c r="AO44" s="256"/>
      <c r="AP44" s="256"/>
      <c r="AQ44" s="256"/>
      <c r="AR44" s="256"/>
      <c r="AS44" s="256"/>
      <c r="AT44" s="256"/>
      <c r="AU44" s="256"/>
      <c r="AV44" s="256"/>
      <c r="AW44" s="256"/>
      <c r="AX44" s="256"/>
      <c r="AY44" s="256"/>
      <c r="AZ44" s="256"/>
      <c r="BA44" s="256"/>
      <c r="BB44" s="256"/>
      <c r="BC44" s="256"/>
      <c r="BD44" s="256"/>
      <c r="BE44" s="256"/>
      <c r="BF44" s="256"/>
      <c r="BG44" s="256"/>
      <c r="BH44" s="256"/>
      <c r="BI44" s="256"/>
      <c r="BJ44" s="256"/>
      <c r="BK44" s="256"/>
      <c r="BL44" s="256"/>
      <c r="BM44" s="256"/>
      <c r="BN44" s="256"/>
      <c r="BO44" s="256"/>
      <c r="BP44" s="256"/>
      <c r="BQ44" s="256"/>
      <c r="BR44" s="256"/>
      <c r="BS44" s="256"/>
      <c r="BT44" s="256"/>
      <c r="BU44" s="256"/>
      <c r="BV44" s="256"/>
      <c r="BW44" s="256"/>
      <c r="BX44" s="256"/>
      <c r="BY44" s="256"/>
      <c r="BZ44" s="256"/>
      <c r="CA44" s="256"/>
      <c r="CB44" s="256"/>
      <c r="CC44" s="256"/>
      <c r="CD44" s="256"/>
      <c r="CE44" s="256"/>
      <c r="CF44" s="256"/>
      <c r="CG44" s="256"/>
      <c r="CH44" s="256"/>
      <c r="CI44" s="256"/>
      <c r="CJ44" s="256"/>
      <c r="CK44" s="256"/>
      <c r="CL44" s="256"/>
      <c r="CM44" s="256"/>
      <c r="CN44" s="256"/>
      <c r="CO44" s="256"/>
      <c r="CP44" s="256"/>
      <c r="CQ44" s="256"/>
      <c r="CR44" s="256"/>
      <c r="CS44" s="256"/>
      <c r="CT44" s="256"/>
      <c r="CU44" s="256"/>
      <c r="CV44" s="256"/>
      <c r="CW44" s="256"/>
      <c r="CX44" s="256"/>
      <c r="CY44" s="256"/>
      <c r="CZ44" s="256"/>
      <c r="DA44" s="256"/>
      <c r="DB44" s="256"/>
      <c r="DC44" s="256"/>
      <c r="DD44" s="256"/>
      <c r="DE44" s="256"/>
      <c r="DF44" s="256"/>
      <c r="DG44" s="256"/>
      <c r="DH44" s="256"/>
      <c r="DI44" s="256"/>
      <c r="DJ44" s="256"/>
      <c r="DK44" s="256"/>
      <c r="DL44" s="256"/>
      <c r="DM44" s="256"/>
      <c r="DN44" s="256"/>
      <c r="DO44" s="256"/>
      <c r="DP44" s="256"/>
      <c r="DQ44" s="256"/>
      <c r="DR44" s="256"/>
      <c r="DS44" s="256"/>
      <c r="DT44" s="256"/>
      <c r="DU44" s="256"/>
      <c r="DV44" s="256"/>
      <c r="DW44" s="256"/>
      <c r="DX44" s="256"/>
      <c r="DY44" s="256"/>
      <c r="DZ44" s="256"/>
      <c r="EA44" s="256"/>
      <c r="EB44" s="256"/>
      <c r="EC44" s="256"/>
      <c r="ED44" s="256"/>
      <c r="EE44" s="256"/>
      <c r="EF44" s="256"/>
      <c r="EG44" s="256"/>
      <c r="EH44" s="256"/>
      <c r="EI44" s="256"/>
      <c r="EJ44" s="256"/>
      <c r="EK44" s="256"/>
      <c r="EL44" s="256"/>
      <c r="EM44" s="256"/>
      <c r="EN44" s="256"/>
      <c r="EO44" s="256"/>
      <c r="EP44" s="256"/>
      <c r="EQ44" s="256"/>
      <c r="ER44" s="256"/>
      <c r="ES44" s="256"/>
      <c r="ET44" s="256"/>
      <c r="EU44" s="256"/>
      <c r="EV44" s="256"/>
      <c r="EW44" s="256"/>
      <c r="EX44" s="256"/>
      <c r="EY44" s="256"/>
      <c r="EZ44" s="256"/>
      <c r="FA44" s="256"/>
      <c r="FB44" s="256"/>
      <c r="FC44" s="256"/>
      <c r="FD44" s="256"/>
      <c r="FE44" s="256"/>
      <c r="FF44" s="256"/>
      <c r="FG44" s="256"/>
      <c r="FH44" s="256"/>
      <c r="FI44" s="256"/>
      <c r="FJ44" s="256"/>
      <c r="FK44" s="256"/>
      <c r="FL44" s="256"/>
      <c r="FM44" s="256"/>
      <c r="FN44" s="256"/>
      <c r="FO44" s="256"/>
      <c r="FP44" s="256"/>
      <c r="FQ44" s="256"/>
      <c r="FR44" s="256"/>
      <c r="FS44" s="256"/>
      <c r="FT44" s="256"/>
      <c r="FU44" s="256"/>
      <c r="FV44" s="256"/>
      <c r="FW44" s="256"/>
      <c r="FX44" s="256"/>
      <c r="FY44" s="256"/>
      <c r="FZ44" s="256"/>
      <c r="GA44" s="256"/>
      <c r="GB44" s="256"/>
      <c r="GC44" s="256"/>
      <c r="GD44" s="256"/>
      <c r="GE44" s="256"/>
      <c r="GF44" s="256"/>
      <c r="GG44" s="256"/>
      <c r="GH44" s="256"/>
      <c r="GI44" s="256"/>
      <c r="GJ44" s="256"/>
      <c r="GK44" s="256"/>
      <c r="GL44" s="256"/>
      <c r="GM44" s="256"/>
      <c r="GN44" s="256"/>
      <c r="GO44" s="256"/>
      <c r="GP44" s="256"/>
      <c r="GQ44" s="256"/>
      <c r="GR44" s="256"/>
      <c r="GS44" s="256"/>
      <c r="GT44" s="256"/>
      <c r="GU44" s="256"/>
      <c r="GV44" s="256"/>
      <c r="GW44" s="256"/>
      <c r="GX44" s="256"/>
      <c r="GY44" s="256"/>
      <c r="GZ44" s="256"/>
      <c r="HA44" s="256"/>
      <c r="HB44" s="256"/>
      <c r="HC44" s="256"/>
      <c r="HD44" s="256"/>
      <c r="HE44" s="256"/>
      <c r="HF44" s="256"/>
      <c r="HG44" s="256"/>
      <c r="HH44" s="256"/>
      <c r="HI44" s="256"/>
      <c r="HJ44" s="256"/>
      <c r="HK44" s="256"/>
      <c r="HL44" s="256"/>
      <c r="HM44" s="256"/>
      <c r="HN44" s="256"/>
      <c r="HO44" s="256"/>
      <c r="HP44" s="256"/>
      <c r="HQ44" s="256"/>
      <c r="HR44" s="256"/>
      <c r="HS44" s="256"/>
      <c r="HT44" s="256"/>
      <c r="HU44" s="256"/>
      <c r="HV44" s="256"/>
      <c r="HW44" s="256"/>
      <c r="HX44" s="256"/>
      <c r="HY44" s="256"/>
      <c r="HZ44" s="256"/>
      <c r="IA44" s="256"/>
      <c r="IB44" s="256"/>
      <c r="IC44" s="256"/>
      <c r="ID44" s="256"/>
      <c r="IE44" s="256"/>
      <c r="IF44" s="256"/>
      <c r="IG44" s="256"/>
      <c r="IH44" s="256"/>
      <c r="II44" s="256"/>
      <c r="IJ44" s="256"/>
      <c r="IK44" s="256"/>
      <c r="IL44" s="256"/>
      <c r="IM44" s="256"/>
      <c r="IN44" s="256"/>
      <c r="IO44" s="256"/>
      <c r="IP44" s="256"/>
      <c r="IQ44" s="256"/>
      <c r="IR44" s="256"/>
      <c r="IS44" s="256"/>
      <c r="IT44" s="256"/>
      <c r="IU44" s="256"/>
      <c r="IV44" s="256"/>
      <c r="IW44" s="256"/>
      <c r="IX44" s="256"/>
      <c r="IY44" s="256"/>
      <c r="IZ44" s="256"/>
      <c r="JA44" s="256"/>
      <c r="JB44" s="256"/>
      <c r="JC44" s="256"/>
      <c r="JD44" s="256"/>
      <c r="JE44" s="256"/>
      <c r="JF44" s="256"/>
      <c r="JG44" s="256"/>
      <c r="JH44" s="256"/>
      <c r="JI44" s="256"/>
      <c r="JJ44" s="256"/>
      <c r="JK44" s="256"/>
      <c r="JL44" s="256"/>
      <c r="JM44" s="256"/>
      <c r="JN44" s="256"/>
      <c r="JO44" s="256"/>
      <c r="JP44" s="256"/>
      <c r="JQ44" s="256"/>
      <c r="JR44" s="256"/>
      <c r="JS44" s="256"/>
      <c r="JT44" s="256"/>
      <c r="JU44" s="256"/>
      <c r="JV44" s="256"/>
      <c r="JW44" s="256"/>
      <c r="JX44" s="256"/>
      <c r="JY44" s="256"/>
      <c r="JZ44" s="256"/>
      <c r="KA44" s="256"/>
      <c r="KB44" s="256"/>
      <c r="KC44" s="256"/>
      <c r="KD44" s="256"/>
      <c r="KE44" s="256"/>
      <c r="KF44" s="256"/>
      <c r="KG44" s="256"/>
      <c r="KH44" s="256"/>
      <c r="KI44" s="256"/>
      <c r="KJ44" s="256"/>
      <c r="KK44" s="256"/>
      <c r="KL44" s="256"/>
      <c r="KM44" s="256"/>
      <c r="KN44" s="256"/>
      <c r="KO44" s="256"/>
      <c r="KP44" s="256"/>
      <c r="KQ44" s="256"/>
      <c r="KR44" s="256"/>
      <c r="KS44" s="256"/>
      <c r="KT44" s="256"/>
      <c r="KU44" s="256"/>
      <c r="KV44" s="256"/>
      <c r="KW44" s="256"/>
      <c r="KX44" s="256"/>
      <c r="KY44" s="256"/>
      <c r="KZ44" s="256"/>
      <c r="LA44" s="256"/>
      <c r="LB44" s="256"/>
      <c r="LC44" s="256"/>
      <c r="LD44" s="256"/>
      <c r="LE44" s="256"/>
      <c r="LF44" s="256"/>
      <c r="LG44" s="256"/>
      <c r="LH44" s="256"/>
      <c r="LI44" s="256"/>
      <c r="LJ44" s="256"/>
      <c r="LK44" s="256"/>
      <c r="LL44" s="256"/>
      <c r="LM44" s="256"/>
      <c r="LN44" s="256"/>
      <c r="LO44" s="256"/>
      <c r="LP44" s="256"/>
      <c r="LQ44" s="256"/>
      <c r="LR44" s="256"/>
      <c r="LS44" s="256"/>
      <c r="LT44" s="256"/>
      <c r="LU44" s="256"/>
      <c r="LV44" s="256"/>
      <c r="LW44" s="256"/>
      <c r="LX44" s="256"/>
      <c r="LY44" s="256"/>
      <c r="LZ44" s="256"/>
      <c r="MA44" s="256"/>
      <c r="MB44" s="256"/>
      <c r="MC44" s="256"/>
      <c r="MD44" s="256"/>
      <c r="ME44" s="256"/>
      <c r="MF44" s="256"/>
      <c r="MG44" s="256"/>
      <c r="MH44" s="256"/>
      <c r="MI44" s="256"/>
      <c r="MJ44" s="256"/>
      <c r="MK44" s="256"/>
      <c r="ML44" s="256"/>
      <c r="MM44" s="256"/>
      <c r="MN44" s="256"/>
      <c r="MO44" s="256"/>
      <c r="MP44" s="256"/>
      <c r="MQ44" s="256"/>
      <c r="MR44" s="256"/>
      <c r="MS44" s="256"/>
      <c r="MT44" s="256"/>
      <c r="MU44" s="256"/>
      <c r="MV44" s="256"/>
      <c r="MW44" s="256"/>
      <c r="MX44" s="256"/>
      <c r="MY44" s="256"/>
      <c r="MZ44" s="256"/>
      <c r="NA44" s="256"/>
      <c r="NB44" s="256"/>
      <c r="NC44" s="256"/>
      <c r="ND44" s="256"/>
      <c r="NE44" s="256"/>
      <c r="NF44" s="256"/>
      <c r="NG44" s="256"/>
      <c r="NH44" s="256"/>
      <c r="NI44" s="256"/>
      <c r="NJ44" s="256"/>
      <c r="NK44" s="256"/>
      <c r="NL44" s="256"/>
      <c r="NM44" s="256"/>
      <c r="NN44" s="256"/>
      <c r="NO44" s="256"/>
      <c r="NP44" s="256"/>
      <c r="NQ44" s="256"/>
      <c r="NR44" s="256"/>
      <c r="NS44" s="256"/>
      <c r="NT44" s="256"/>
      <c r="NU44" s="256"/>
      <c r="NV44" s="256"/>
      <c r="NW44" s="256"/>
      <c r="NX44" s="256"/>
      <c r="NY44" s="256"/>
      <c r="NZ44" s="256"/>
      <c r="OA44" s="256"/>
      <c r="OB44" s="256"/>
      <c r="OC44" s="256"/>
      <c r="OD44" s="256"/>
      <c r="OE44" s="256"/>
      <c r="OF44" s="256"/>
      <c r="OG44" s="256"/>
      <c r="OH44" s="256"/>
      <c r="OI44" s="256"/>
      <c r="OJ44" s="256"/>
      <c r="OK44" s="256"/>
      <c r="OL44" s="256"/>
      <c r="OM44" s="256"/>
      <c r="ON44" s="256"/>
      <c r="OO44" s="256"/>
      <c r="OP44" s="256"/>
      <c r="OQ44" s="256"/>
      <c r="OR44" s="256"/>
      <c r="OS44" s="256"/>
      <c r="OT44" s="256"/>
      <c r="OU44" s="256"/>
      <c r="OV44" s="256"/>
      <c r="OW44" s="256"/>
      <c r="OX44" s="256"/>
      <c r="OY44" s="256"/>
      <c r="OZ44" s="256"/>
      <c r="PA44" s="256"/>
      <c r="PB44" s="256"/>
      <c r="PC44" s="256"/>
      <c r="PD44" s="256"/>
      <c r="PE44" s="256"/>
      <c r="PF44" s="256"/>
      <c r="PG44" s="256"/>
      <c r="PH44" s="256"/>
      <c r="PI44" s="256"/>
      <c r="PJ44" s="256"/>
      <c r="PK44" s="256"/>
      <c r="PL44" s="256"/>
      <c r="PM44" s="256"/>
      <c r="PN44" s="256"/>
      <c r="PO44" s="256"/>
      <c r="PP44" s="256"/>
      <c r="PQ44" s="256"/>
      <c r="PR44" s="256"/>
      <c r="PS44" s="256"/>
      <c r="PT44" s="256"/>
      <c r="PU44" s="256"/>
      <c r="PV44" s="256"/>
      <c r="PW44" s="256"/>
      <c r="PX44" s="256"/>
      <c r="PY44" s="256"/>
      <c r="PZ44" s="256"/>
      <c r="QA44" s="256"/>
      <c r="QB44" s="256"/>
      <c r="QC44" s="256"/>
      <c r="QD44" s="256"/>
      <c r="QE44" s="256"/>
      <c r="QF44" s="256"/>
      <c r="QG44" s="256"/>
      <c r="QH44" s="256"/>
      <c r="QI44" s="256"/>
      <c r="QJ44" s="256"/>
      <c r="QK44" s="256"/>
      <c r="QL44" s="256"/>
      <c r="QM44" s="256"/>
      <c r="QN44" s="256"/>
      <c r="QO44" s="256"/>
      <c r="QP44" s="256"/>
      <c r="QQ44" s="256"/>
      <c r="QR44" s="256"/>
      <c r="QS44" s="256"/>
      <c r="QT44" s="256"/>
      <c r="QU44" s="256"/>
      <c r="QV44" s="256"/>
      <c r="QW44" s="256"/>
      <c r="QX44" s="256"/>
      <c r="QY44" s="256"/>
      <c r="QZ44" s="256"/>
      <c r="RA44" s="256"/>
      <c r="RB44" s="256"/>
      <c r="RC44" s="256"/>
      <c r="RD44" s="256"/>
      <c r="RE44" s="256"/>
      <c r="RF44" s="256"/>
      <c r="RG44" s="256"/>
      <c r="RH44" s="256"/>
      <c r="RI44" s="256"/>
      <c r="RJ44" s="256"/>
      <c r="RK44" s="256"/>
      <c r="RL44" s="256"/>
      <c r="RM44" s="256"/>
      <c r="RN44" s="256"/>
      <c r="RO44" s="256"/>
      <c r="RP44" s="256"/>
      <c r="RQ44" s="256"/>
      <c r="RR44" s="256"/>
      <c r="RS44" s="256"/>
      <c r="RT44" s="256"/>
      <c r="RU44" s="256"/>
      <c r="RV44" s="256"/>
      <c r="RW44" s="256"/>
      <c r="RX44" s="256"/>
      <c r="RY44" s="256"/>
      <c r="RZ44" s="256"/>
      <c r="SA44" s="256"/>
      <c r="SB44" s="256"/>
      <c r="SC44" s="256"/>
      <c r="SD44" s="256"/>
      <c r="SE44" s="256"/>
      <c r="SF44" s="256"/>
      <c r="SG44" s="256"/>
      <c r="SH44" s="256"/>
      <c r="SI44" s="256"/>
      <c r="SJ44" s="256"/>
      <c r="SK44" s="256"/>
      <c r="SL44" s="256"/>
      <c r="SM44" s="256"/>
      <c r="SN44" s="256"/>
      <c r="SO44" s="256"/>
      <c r="SP44" s="256"/>
      <c r="SQ44" s="256"/>
      <c r="SR44" s="256"/>
      <c r="SS44" s="256"/>
      <c r="ST44" s="256"/>
      <c r="SU44" s="256"/>
      <c r="SV44" s="256"/>
      <c r="SW44" s="256"/>
      <c r="SX44" s="256"/>
      <c r="SY44" s="256"/>
      <c r="SZ44" s="256"/>
      <c r="TA44" s="256"/>
      <c r="TB44" s="256"/>
      <c r="TC44" s="256"/>
      <c r="TD44" s="256"/>
      <c r="TE44" s="256"/>
      <c r="TF44" s="256"/>
      <c r="TG44" s="256"/>
      <c r="TH44" s="256"/>
      <c r="TI44" s="256"/>
      <c r="TJ44" s="256"/>
      <c r="TK44" s="256"/>
      <c r="TL44" s="256"/>
      <c r="TM44" s="256"/>
      <c r="TN44" s="256"/>
      <c r="TO44" s="256"/>
      <c r="TP44" s="256"/>
      <c r="TQ44" s="256"/>
      <c r="TR44" s="256"/>
      <c r="TS44" s="256"/>
      <c r="TT44" s="256"/>
      <c r="TU44" s="256"/>
      <c r="TV44" s="256"/>
      <c r="TW44" s="256"/>
      <c r="TX44" s="256"/>
      <c r="TY44" s="256"/>
      <c r="TZ44" s="256"/>
      <c r="UA44" s="256"/>
      <c r="UB44" s="256"/>
      <c r="UC44" s="256"/>
      <c r="UD44" s="256"/>
      <c r="UE44" s="256"/>
      <c r="UF44" s="256"/>
      <c r="UG44" s="256"/>
      <c r="UH44" s="256"/>
      <c r="UI44" s="256"/>
      <c r="UJ44" s="256"/>
      <c r="UK44" s="256"/>
      <c r="UL44" s="256"/>
      <c r="UM44" s="256"/>
      <c r="UN44" s="256"/>
      <c r="UO44" s="256"/>
      <c r="UP44" s="256"/>
      <c r="UQ44" s="256"/>
      <c r="UR44" s="256"/>
      <c r="US44" s="256"/>
      <c r="UT44" s="256"/>
      <c r="UU44" s="256"/>
      <c r="UV44" s="256"/>
      <c r="UW44" s="256"/>
      <c r="UX44" s="256"/>
      <c r="UY44" s="256"/>
      <c r="UZ44" s="256"/>
      <c r="VA44" s="256"/>
      <c r="VB44" s="256"/>
      <c r="VC44" s="256"/>
      <c r="VD44" s="256"/>
      <c r="VE44" s="256"/>
      <c r="VF44" s="256"/>
      <c r="VG44" s="256"/>
      <c r="VH44" s="256"/>
      <c r="VI44" s="256"/>
      <c r="VJ44" s="256"/>
      <c r="VK44" s="256"/>
      <c r="VL44" s="256"/>
      <c r="VM44" s="256"/>
      <c r="VN44" s="256"/>
      <c r="VO44" s="256"/>
      <c r="VP44" s="256"/>
      <c r="VQ44" s="256"/>
      <c r="VR44" s="256"/>
      <c r="VS44" s="256"/>
      <c r="VT44" s="256"/>
      <c r="VU44" s="256"/>
      <c r="VV44" s="256"/>
      <c r="VW44" s="256"/>
      <c r="VX44" s="256"/>
      <c r="VY44" s="256"/>
      <c r="VZ44" s="256"/>
      <c r="WA44" s="256"/>
      <c r="WB44" s="256"/>
      <c r="WC44" s="256"/>
      <c r="WD44" s="256"/>
      <c r="WE44" s="256"/>
      <c r="WF44" s="256"/>
      <c r="WG44" s="256"/>
      <c r="WH44" s="256"/>
      <c r="WI44" s="256"/>
      <c r="WJ44" s="256"/>
      <c r="WK44" s="256"/>
      <c r="WL44" s="256"/>
      <c r="WM44" s="256"/>
      <c r="WN44" s="256"/>
      <c r="WO44" s="256"/>
      <c r="WP44" s="256"/>
      <c r="WQ44" s="256"/>
      <c r="WR44" s="256"/>
      <c r="WS44" s="256"/>
      <c r="WT44" s="256"/>
      <c r="WU44" s="256"/>
      <c r="WV44" s="256"/>
      <c r="WW44" s="256"/>
      <c r="WX44" s="256"/>
      <c r="WY44" s="256"/>
      <c r="WZ44" s="256"/>
      <c r="XA44" s="256"/>
      <c r="XB44" s="256"/>
      <c r="XC44" s="256"/>
      <c r="XD44" s="256"/>
      <c r="XE44" s="256"/>
      <c r="XF44" s="256"/>
      <c r="XG44" s="256"/>
      <c r="XH44" s="256"/>
      <c r="XI44" s="256"/>
      <c r="XJ44" s="256"/>
      <c r="XK44" s="256"/>
      <c r="XL44" s="256"/>
      <c r="XM44" s="256"/>
      <c r="XN44" s="256"/>
      <c r="XO44" s="256"/>
      <c r="XP44" s="256"/>
      <c r="XQ44" s="256"/>
      <c r="XR44" s="256"/>
      <c r="XS44" s="256"/>
      <c r="XT44" s="256"/>
      <c r="XU44" s="256"/>
      <c r="XV44" s="256"/>
      <c r="XW44" s="256"/>
      <c r="XX44" s="256"/>
      <c r="XY44" s="256"/>
      <c r="XZ44" s="256"/>
      <c r="YA44" s="256"/>
      <c r="YB44" s="256"/>
      <c r="YC44" s="256"/>
      <c r="YD44" s="256"/>
      <c r="YE44" s="256"/>
      <c r="YF44" s="256"/>
      <c r="YG44" s="256"/>
      <c r="YH44" s="256"/>
      <c r="YI44" s="256"/>
      <c r="YJ44" s="256"/>
      <c r="YK44" s="256"/>
      <c r="YL44" s="256"/>
      <c r="YM44" s="256"/>
      <c r="YN44" s="256"/>
      <c r="YO44" s="256"/>
      <c r="YP44" s="256"/>
      <c r="YQ44" s="256"/>
      <c r="YR44" s="256"/>
      <c r="YS44" s="256"/>
      <c r="YT44" s="256"/>
      <c r="YU44" s="256"/>
      <c r="YV44" s="256"/>
      <c r="YW44" s="256"/>
      <c r="YX44" s="256"/>
      <c r="YY44" s="256"/>
      <c r="YZ44" s="256"/>
      <c r="ZA44" s="256"/>
      <c r="ZB44" s="256"/>
      <c r="ZC44" s="256"/>
      <c r="ZD44" s="256"/>
      <c r="ZE44" s="256"/>
      <c r="ZF44" s="256"/>
      <c r="ZG44" s="256"/>
      <c r="ZH44" s="256"/>
      <c r="ZI44" s="256"/>
      <c r="ZJ44" s="256"/>
      <c r="ZK44" s="256"/>
      <c r="ZL44" s="256"/>
      <c r="ZM44" s="256"/>
      <c r="ZN44" s="256"/>
      <c r="ZO44" s="256"/>
      <c r="ZP44" s="256"/>
      <c r="ZQ44" s="256"/>
      <c r="ZR44" s="256"/>
      <c r="ZS44" s="256"/>
      <c r="ZT44" s="256"/>
      <c r="ZU44" s="256"/>
      <c r="ZV44" s="256"/>
      <c r="ZW44" s="256"/>
      <c r="ZX44" s="256"/>
      <c r="ZY44" s="256"/>
      <c r="ZZ44" s="256"/>
      <c r="AAA44" s="256"/>
      <c r="AAB44" s="256"/>
      <c r="AAC44" s="256"/>
      <c r="AAD44" s="256"/>
      <c r="AAE44" s="256"/>
      <c r="AAF44" s="256"/>
      <c r="AAG44" s="256"/>
      <c r="AAH44" s="256"/>
      <c r="AAI44" s="256"/>
      <c r="AAJ44" s="256"/>
      <c r="AAK44" s="256"/>
      <c r="AAL44" s="256"/>
      <c r="AAM44" s="256"/>
      <c r="AAN44" s="256"/>
      <c r="AAO44" s="256"/>
      <c r="AAP44" s="256"/>
      <c r="AAQ44" s="256"/>
      <c r="AAR44" s="256"/>
      <c r="AAS44" s="256"/>
      <c r="AAT44" s="256"/>
      <c r="AAU44" s="256"/>
      <c r="AAV44" s="256"/>
      <c r="AAW44" s="256"/>
      <c r="AAX44" s="256"/>
      <c r="AAY44" s="256"/>
      <c r="AAZ44" s="256"/>
      <c r="ABA44" s="256"/>
      <c r="ABB44" s="256"/>
      <c r="ABC44" s="256"/>
      <c r="ABD44" s="256"/>
      <c r="ABE44" s="256"/>
      <c r="ABF44" s="256"/>
      <c r="ABG44" s="256"/>
      <c r="ABH44" s="256"/>
      <c r="ABI44" s="256"/>
      <c r="ABJ44" s="256"/>
      <c r="ABK44" s="256"/>
      <c r="ABL44" s="256"/>
      <c r="ABM44" s="256"/>
      <c r="ABN44" s="256"/>
      <c r="ABO44" s="256"/>
      <c r="ABP44" s="256"/>
      <c r="ABQ44" s="256"/>
      <c r="ABR44" s="256"/>
      <c r="ABS44" s="256"/>
      <c r="ABT44" s="256"/>
      <c r="ABU44" s="256"/>
      <c r="ABV44" s="256"/>
      <c r="ABW44" s="256"/>
      <c r="ABX44" s="256"/>
      <c r="ABY44" s="256"/>
      <c r="ABZ44" s="256"/>
      <c r="ACA44" s="256"/>
      <c r="ACB44" s="256"/>
      <c r="ACC44" s="256"/>
      <c r="ACD44" s="256"/>
      <c r="ACE44" s="256"/>
      <c r="ACF44" s="256"/>
      <c r="ACG44" s="256"/>
      <c r="ACH44" s="256"/>
      <c r="ACI44" s="256"/>
      <c r="ACJ44" s="256"/>
      <c r="ACK44" s="256"/>
      <c r="ACL44" s="256"/>
      <c r="ACM44" s="256"/>
      <c r="ACN44" s="256"/>
      <c r="ACO44" s="256"/>
      <c r="ACP44" s="256"/>
      <c r="ACQ44" s="256"/>
      <c r="ACR44" s="256"/>
      <c r="ACS44" s="256"/>
      <c r="ACT44" s="256"/>
      <c r="ACU44" s="256"/>
      <c r="ACV44" s="256"/>
      <c r="ACW44" s="256"/>
      <c r="ACX44" s="256"/>
      <c r="ACY44" s="256"/>
      <c r="ACZ44" s="256"/>
      <c r="ADA44" s="256"/>
      <c r="ADB44" s="256"/>
      <c r="ADC44" s="256"/>
      <c r="ADD44" s="256"/>
      <c r="ADE44" s="256"/>
      <c r="ADF44" s="256"/>
      <c r="ADG44" s="256"/>
      <c r="ADH44" s="256"/>
      <c r="ADI44" s="256"/>
      <c r="ADJ44" s="256"/>
      <c r="ADK44" s="256"/>
      <c r="ADL44" s="256"/>
      <c r="ADM44" s="256"/>
      <c r="ADN44" s="256"/>
      <c r="ADO44" s="256"/>
      <c r="ADP44" s="256"/>
      <c r="ADQ44" s="256"/>
      <c r="ADR44" s="256"/>
      <c r="ADS44" s="256"/>
      <c r="ADT44" s="256"/>
      <c r="ADU44" s="256"/>
      <c r="ADV44" s="256"/>
      <c r="ADW44" s="256"/>
      <c r="ADX44" s="256"/>
      <c r="ADY44" s="256"/>
      <c r="ADZ44" s="256"/>
      <c r="AEA44" s="256"/>
      <c r="AEB44" s="256"/>
      <c r="AEC44" s="256"/>
      <c r="AED44" s="256"/>
      <c r="AEE44" s="256"/>
      <c r="AEF44" s="256"/>
      <c r="AEG44" s="256"/>
      <c r="AEH44" s="256"/>
      <c r="AEI44" s="256"/>
      <c r="AEJ44" s="256"/>
      <c r="AEK44" s="256"/>
      <c r="AEL44" s="256"/>
      <c r="AEM44" s="256"/>
      <c r="AEN44" s="256"/>
      <c r="AEO44" s="256"/>
      <c r="AEP44" s="256"/>
      <c r="AEQ44" s="256"/>
      <c r="AER44" s="256"/>
      <c r="AES44" s="256"/>
      <c r="AET44" s="256"/>
      <c r="AEU44" s="256"/>
      <c r="AEV44" s="256"/>
      <c r="AEW44" s="256"/>
      <c r="AEX44" s="256"/>
      <c r="AEY44" s="256"/>
      <c r="AEZ44" s="256"/>
      <c r="AFA44" s="256"/>
      <c r="AFB44" s="256"/>
      <c r="AFC44" s="256"/>
      <c r="AFD44" s="256"/>
      <c r="AFE44" s="256"/>
      <c r="AFF44" s="256"/>
      <c r="AFG44" s="256"/>
      <c r="AFH44" s="256"/>
      <c r="AFI44" s="256"/>
      <c r="AFJ44" s="256"/>
      <c r="AFK44" s="256"/>
      <c r="AFL44" s="256"/>
      <c r="AFM44" s="256"/>
      <c r="AFN44" s="256"/>
      <c r="AFO44" s="256"/>
      <c r="AFP44" s="256"/>
      <c r="AFQ44" s="256"/>
      <c r="AFR44" s="256"/>
      <c r="AFS44" s="256"/>
      <c r="AFT44" s="256"/>
      <c r="AFU44" s="256"/>
      <c r="AFV44" s="256"/>
      <c r="AFW44" s="256"/>
      <c r="AFX44" s="256"/>
      <c r="AFY44" s="256"/>
      <c r="AFZ44" s="256"/>
      <c r="AGA44" s="256"/>
      <c r="AGB44" s="256"/>
      <c r="AGC44" s="256"/>
      <c r="AGD44" s="256"/>
      <c r="AGE44" s="256"/>
      <c r="AGF44" s="256"/>
      <c r="AGG44" s="256"/>
      <c r="AGH44" s="256"/>
      <c r="AGI44" s="256"/>
      <c r="AGJ44" s="256"/>
      <c r="AGK44" s="256"/>
      <c r="AGL44" s="256"/>
      <c r="AGM44" s="256"/>
      <c r="AGN44" s="256"/>
      <c r="AGO44" s="256"/>
      <c r="AGP44" s="256"/>
      <c r="AGQ44" s="256"/>
      <c r="AGR44" s="256"/>
      <c r="AGS44" s="256"/>
      <c r="AGT44" s="256"/>
      <c r="AGU44" s="256"/>
      <c r="AGV44" s="256"/>
      <c r="AGW44" s="256"/>
      <c r="AGX44" s="256"/>
      <c r="AGY44" s="256"/>
      <c r="AGZ44" s="256"/>
      <c r="AHA44" s="256"/>
      <c r="AHB44" s="256"/>
      <c r="AHC44" s="256"/>
      <c r="AHD44" s="256"/>
      <c r="AHE44" s="256"/>
      <c r="AHF44" s="256"/>
      <c r="AHG44" s="256"/>
      <c r="AHH44" s="256"/>
      <c r="AHI44" s="256"/>
      <c r="AHJ44" s="256"/>
      <c r="AHK44" s="256"/>
      <c r="AHL44" s="256"/>
      <c r="AHM44" s="256"/>
      <c r="AHN44" s="256"/>
      <c r="AHO44" s="256"/>
      <c r="AHP44" s="256"/>
      <c r="AHQ44" s="256"/>
      <c r="AHR44" s="256"/>
      <c r="AHS44" s="256"/>
      <c r="AHT44" s="256"/>
      <c r="AHU44" s="256"/>
      <c r="AHV44" s="256"/>
      <c r="AHW44" s="256"/>
      <c r="AHX44" s="256"/>
      <c r="AHY44" s="256"/>
      <c r="AHZ44" s="256"/>
      <c r="AIA44" s="256"/>
      <c r="AIB44" s="256"/>
      <c r="AIC44" s="256"/>
      <c r="AID44" s="256"/>
      <c r="AIE44" s="256"/>
      <c r="AIF44" s="256"/>
      <c r="AIG44" s="256"/>
      <c r="AIH44" s="256"/>
      <c r="AII44" s="256"/>
      <c r="AIJ44" s="256"/>
      <c r="AIK44" s="256"/>
      <c r="AIL44" s="256"/>
      <c r="AIM44" s="256"/>
      <c r="AIN44" s="256"/>
      <c r="AIO44" s="256"/>
      <c r="AIP44" s="256"/>
      <c r="AIQ44" s="256"/>
      <c r="AIR44" s="256"/>
      <c r="AIS44" s="256"/>
      <c r="AIT44" s="256"/>
      <c r="AIU44" s="256"/>
      <c r="AIV44" s="256"/>
      <c r="AIW44" s="256"/>
      <c r="AIX44" s="256"/>
      <c r="AIY44" s="256"/>
      <c r="AIZ44" s="256"/>
      <c r="AJA44" s="256"/>
      <c r="AJB44" s="256"/>
      <c r="AJC44" s="256"/>
      <c r="AJD44" s="256"/>
      <c r="AJE44" s="256"/>
      <c r="AJF44" s="256"/>
      <c r="AJG44" s="256"/>
      <c r="AJH44" s="256"/>
      <c r="AJI44" s="256"/>
      <c r="AJJ44" s="256"/>
      <c r="AJK44" s="256"/>
      <c r="AJL44" s="256"/>
      <c r="AJM44" s="256"/>
      <c r="AJN44" s="256"/>
      <c r="AJO44" s="256"/>
      <c r="AJP44" s="256"/>
      <c r="AJQ44" s="256"/>
      <c r="AJR44" s="256"/>
      <c r="AJS44" s="256"/>
      <c r="AJT44" s="256"/>
      <c r="AJU44" s="256"/>
      <c r="AJV44" s="256"/>
      <c r="AJW44" s="256"/>
      <c r="AJX44" s="256"/>
      <c r="AJY44" s="256"/>
      <c r="AJZ44" s="256"/>
      <c r="AKA44" s="256"/>
      <c r="AKB44" s="256"/>
      <c r="AKC44" s="256"/>
      <c r="AKD44" s="256"/>
      <c r="AKE44" s="256"/>
      <c r="AKF44" s="256"/>
      <c r="AKG44" s="256"/>
      <c r="AKH44" s="256"/>
      <c r="AKI44" s="256"/>
      <c r="AKJ44" s="256"/>
      <c r="AKK44" s="256"/>
      <c r="AKL44" s="256"/>
      <c r="AKM44" s="256"/>
      <c r="AKN44" s="256"/>
      <c r="AKO44" s="256"/>
      <c r="AKP44" s="256"/>
      <c r="AKQ44" s="256"/>
      <c r="AKR44" s="256"/>
      <c r="AKS44" s="256"/>
      <c r="AKT44" s="256"/>
      <c r="AKU44" s="256"/>
      <c r="AKV44" s="256"/>
      <c r="AKW44" s="256"/>
      <c r="AKX44" s="256"/>
      <c r="AKY44" s="256"/>
      <c r="AKZ44" s="256"/>
      <c r="ALA44" s="256"/>
      <c r="ALB44" s="256"/>
      <c r="ALC44" s="256"/>
      <c r="ALD44" s="256"/>
      <c r="ALE44" s="256"/>
      <c r="ALF44" s="256"/>
      <c r="ALG44" s="256"/>
      <c r="ALH44" s="256"/>
      <c r="ALI44" s="256"/>
      <c r="ALJ44" s="256"/>
      <c r="ALK44" s="256"/>
      <c r="ALL44" s="256"/>
      <c r="ALM44" s="256"/>
      <c r="ALN44" s="256"/>
      <c r="ALO44" s="256"/>
      <c r="ALP44" s="256"/>
      <c r="ALQ44" s="256"/>
      <c r="ALR44" s="256"/>
      <c r="ALS44" s="256"/>
      <c r="ALT44" s="256"/>
      <c r="ALU44" s="258"/>
      <c r="ALV44" s="258"/>
      <c r="ALW44" s="258"/>
      <c r="ALX44" s="258"/>
      <c r="ALY44" s="258"/>
      <c r="ALZ44" s="258"/>
      <c r="AMA44" s="258"/>
      <c r="AMB44" s="258"/>
      <c r="AMC44" s="258"/>
      <c r="AMD44" s="258"/>
      <c r="AME44" s="258"/>
      <c r="AMF44" s="258"/>
      <c r="AMG44" s="258"/>
      <c r="AMH44" s="258"/>
      <c r="AMI44" s="256"/>
    </row>
    <row r="45" spans="1:1023" s="259" customFormat="1" ht="100.5" customHeight="1" x14ac:dyDescent="0.25">
      <c r="A45" s="745" t="s">
        <v>344</v>
      </c>
      <c r="B45" s="745"/>
      <c r="C45" s="745"/>
      <c r="D45" s="745"/>
      <c r="E45" s="745"/>
      <c r="F45" s="745"/>
      <c r="G45" s="745"/>
      <c r="H45" s="745"/>
      <c r="I45" s="745"/>
      <c r="J45" s="745"/>
      <c r="K45" s="745"/>
      <c r="L45" s="745"/>
      <c r="M45" s="745"/>
      <c r="N45" s="745"/>
      <c r="O45" s="745"/>
      <c r="P45" s="745"/>
      <c r="Q45" s="745"/>
      <c r="R45" s="745"/>
      <c r="S45" s="745"/>
      <c r="T45" s="745"/>
      <c r="U45" s="745"/>
      <c r="V45" s="745"/>
      <c r="W45" s="745"/>
      <c r="X45" s="745"/>
      <c r="Y45" s="745"/>
      <c r="Z45" s="745"/>
      <c r="AA45" s="745"/>
      <c r="AB45" s="745"/>
      <c r="AC45" s="745"/>
      <c r="AD45" s="745"/>
      <c r="AE45" s="745"/>
      <c r="AF45" s="745"/>
      <c r="AG45" s="745"/>
      <c r="AH45" s="745"/>
      <c r="AI45" s="745"/>
      <c r="AJ45" s="745"/>
      <c r="AK45" s="745"/>
      <c r="AL45" s="745"/>
      <c r="AM45" s="745"/>
      <c r="AN45" s="745"/>
      <c r="AO45" s="745"/>
      <c r="AP45" s="745"/>
      <c r="AQ45" s="745"/>
      <c r="AR45" s="745"/>
      <c r="AS45" s="745"/>
      <c r="AT45" s="745"/>
      <c r="AU45" s="745"/>
      <c r="AV45" s="745"/>
      <c r="AW45" s="745"/>
      <c r="AX45" s="745"/>
      <c r="AY45" s="745"/>
      <c r="AZ45" s="745"/>
      <c r="BA45" s="745"/>
      <c r="BB45" s="745"/>
      <c r="BC45" s="745"/>
      <c r="BD45" s="745"/>
      <c r="BE45" s="745"/>
      <c r="BF45" s="745"/>
      <c r="BG45" s="745"/>
      <c r="BH45" s="745"/>
      <c r="BI45" s="745"/>
      <c r="BJ45" s="745"/>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c r="CI45" s="745"/>
      <c r="CJ45" s="745"/>
      <c r="CK45" s="745"/>
      <c r="CL45" s="745"/>
      <c r="CM45" s="745"/>
      <c r="CN45" s="745"/>
      <c r="CO45" s="745"/>
      <c r="CP45" s="745"/>
      <c r="CQ45" s="745"/>
      <c r="CR45" s="745"/>
      <c r="CS45" s="745"/>
      <c r="CT45" s="745"/>
      <c r="CU45" s="745"/>
      <c r="CV45" s="745"/>
      <c r="CW45" s="745"/>
      <c r="CX45" s="745"/>
      <c r="CY45" s="745"/>
      <c r="CZ45" s="745"/>
      <c r="DA45" s="745"/>
      <c r="DB45" s="745"/>
      <c r="DC45" s="745"/>
      <c r="DD45" s="745"/>
      <c r="DE45" s="745"/>
      <c r="DF45" s="745"/>
      <c r="DG45" s="745"/>
      <c r="DH45" s="745"/>
      <c r="DI45" s="745"/>
      <c r="DJ45" s="745"/>
      <c r="DK45" s="745"/>
      <c r="DL45" s="745"/>
      <c r="DM45" s="745"/>
      <c r="DN45" s="745"/>
      <c r="DO45" s="745"/>
      <c r="DP45" s="745"/>
      <c r="DQ45" s="745"/>
      <c r="DR45" s="745"/>
      <c r="DS45" s="745"/>
      <c r="DT45" s="745"/>
      <c r="DU45" s="745"/>
      <c r="DV45" s="745"/>
      <c r="DW45" s="745"/>
      <c r="DX45" s="745"/>
      <c r="DY45" s="745"/>
      <c r="DZ45" s="745"/>
      <c r="EA45" s="745"/>
      <c r="EB45" s="745"/>
      <c r="EC45" s="745"/>
      <c r="ED45" s="745"/>
      <c r="EE45" s="745"/>
      <c r="EF45" s="745"/>
      <c r="EG45" s="745"/>
      <c r="EH45" s="745"/>
      <c r="EI45" s="745"/>
      <c r="EJ45" s="745"/>
      <c r="EK45" s="745"/>
      <c r="EL45" s="745"/>
      <c r="EM45" s="745"/>
      <c r="EN45" s="745"/>
      <c r="EO45" s="745"/>
      <c r="EP45" s="745"/>
      <c r="EQ45" s="745"/>
      <c r="ER45" s="745"/>
      <c r="ES45" s="745"/>
      <c r="ET45" s="745"/>
      <c r="EU45" s="745"/>
      <c r="EV45" s="745"/>
      <c r="EW45" s="745"/>
      <c r="EX45" s="745"/>
      <c r="EY45" s="745"/>
      <c r="EZ45" s="745"/>
      <c r="FA45" s="745"/>
      <c r="FB45" s="745"/>
      <c r="FC45" s="745"/>
      <c r="FD45" s="745"/>
      <c r="FE45" s="745"/>
      <c r="FF45" s="745"/>
      <c r="FG45" s="745"/>
      <c r="FH45" s="745"/>
      <c r="FI45" s="745"/>
      <c r="FJ45" s="745"/>
      <c r="FK45" s="745"/>
      <c r="FL45" s="745"/>
      <c r="FM45" s="745"/>
      <c r="FN45" s="745"/>
      <c r="FO45" s="745"/>
      <c r="FP45" s="745"/>
      <c r="FQ45" s="745"/>
      <c r="FR45" s="745"/>
      <c r="FS45" s="745"/>
      <c r="FT45" s="745"/>
      <c r="FU45" s="745"/>
      <c r="FV45" s="745"/>
      <c r="FW45" s="745"/>
      <c r="FX45" s="745"/>
      <c r="FY45" s="745"/>
      <c r="FZ45" s="745"/>
      <c r="GA45" s="745"/>
      <c r="GB45" s="745"/>
      <c r="GC45" s="745"/>
      <c r="GD45" s="745"/>
      <c r="GE45" s="745"/>
      <c r="GF45" s="745"/>
      <c r="GG45" s="745"/>
      <c r="GH45" s="745"/>
      <c r="GI45" s="745"/>
      <c r="GJ45" s="745"/>
      <c r="GK45" s="745"/>
      <c r="GL45" s="745"/>
      <c r="GM45" s="745"/>
      <c r="GN45" s="745"/>
      <c r="GO45" s="745"/>
      <c r="GP45" s="745"/>
      <c r="GQ45" s="745"/>
      <c r="GR45" s="745"/>
      <c r="GS45" s="745"/>
      <c r="GT45" s="745"/>
      <c r="GU45" s="745"/>
      <c r="GV45" s="745"/>
      <c r="GW45" s="745"/>
      <c r="GX45" s="745"/>
      <c r="GY45" s="745"/>
      <c r="GZ45" s="745"/>
      <c r="HA45" s="745"/>
      <c r="HB45" s="745"/>
      <c r="HC45" s="745"/>
      <c r="HD45" s="745"/>
      <c r="HE45" s="745"/>
      <c r="HF45" s="745"/>
      <c r="HG45" s="745"/>
      <c r="HH45" s="745"/>
      <c r="HI45" s="745"/>
      <c r="HJ45" s="745"/>
      <c r="HK45" s="745"/>
      <c r="HL45" s="745"/>
      <c r="HM45" s="745"/>
      <c r="HN45" s="745"/>
      <c r="HO45" s="745"/>
      <c r="HP45" s="745"/>
      <c r="HQ45" s="745"/>
      <c r="HR45" s="745"/>
      <c r="HS45" s="745"/>
      <c r="HT45" s="745"/>
      <c r="HU45" s="745"/>
      <c r="HV45" s="745"/>
      <c r="HW45" s="745"/>
      <c r="HX45" s="745"/>
      <c r="HY45" s="745"/>
      <c r="HZ45" s="745"/>
      <c r="IA45" s="745"/>
      <c r="IB45" s="745"/>
      <c r="IC45" s="745"/>
      <c r="ID45" s="745"/>
      <c r="IE45" s="745"/>
      <c r="IF45" s="745"/>
      <c r="IG45" s="745"/>
      <c r="IH45" s="745"/>
      <c r="II45" s="745"/>
      <c r="IJ45" s="745"/>
      <c r="IK45" s="745"/>
      <c r="IL45" s="745"/>
      <c r="IM45" s="745"/>
      <c r="IN45" s="745"/>
      <c r="IO45" s="745"/>
      <c r="IP45" s="745"/>
      <c r="IQ45" s="745"/>
      <c r="IR45" s="745"/>
      <c r="IS45" s="745"/>
      <c r="IT45" s="745"/>
      <c r="IU45" s="745"/>
      <c r="IV45" s="745"/>
      <c r="IW45" s="745"/>
      <c r="IX45" s="745"/>
      <c r="IY45" s="745"/>
      <c r="IZ45" s="745"/>
      <c r="JA45" s="745"/>
      <c r="JB45" s="745"/>
      <c r="JC45" s="745"/>
      <c r="JD45" s="745"/>
      <c r="JE45" s="745"/>
      <c r="JF45" s="745"/>
      <c r="JG45" s="745"/>
      <c r="JH45" s="745"/>
      <c r="JI45" s="745"/>
      <c r="JJ45" s="745"/>
      <c r="JK45" s="745"/>
      <c r="JL45" s="745"/>
      <c r="JM45" s="745"/>
      <c r="JN45" s="745"/>
      <c r="JO45" s="745"/>
      <c r="JP45" s="745"/>
      <c r="JQ45" s="745"/>
      <c r="JR45" s="745"/>
      <c r="JS45" s="745"/>
      <c r="JT45" s="745"/>
      <c r="JU45" s="745"/>
      <c r="JV45" s="745"/>
      <c r="JW45" s="745"/>
      <c r="JX45" s="745"/>
      <c r="JY45" s="745"/>
      <c r="JZ45" s="745"/>
      <c r="KA45" s="745"/>
      <c r="KB45" s="745"/>
      <c r="KC45" s="745"/>
      <c r="KD45" s="745"/>
      <c r="KE45" s="745"/>
      <c r="KF45" s="745"/>
      <c r="KG45" s="745"/>
      <c r="KH45" s="745"/>
      <c r="KI45" s="745"/>
      <c r="KJ45" s="745"/>
      <c r="KK45" s="745"/>
      <c r="KL45" s="745"/>
      <c r="KM45" s="745"/>
      <c r="KN45" s="745"/>
      <c r="KO45" s="745"/>
      <c r="KP45" s="745"/>
      <c r="KQ45" s="745"/>
      <c r="KR45" s="745"/>
      <c r="KS45" s="745"/>
      <c r="KT45" s="745"/>
      <c r="KU45" s="745"/>
      <c r="KV45" s="745"/>
      <c r="KW45" s="745"/>
      <c r="KX45" s="745"/>
      <c r="KY45" s="745"/>
      <c r="KZ45" s="745"/>
      <c r="LA45" s="745"/>
      <c r="LB45" s="745"/>
      <c r="LC45" s="745"/>
      <c r="LD45" s="745"/>
      <c r="LE45" s="745"/>
      <c r="LF45" s="745"/>
      <c r="LG45" s="745"/>
      <c r="LH45" s="745"/>
      <c r="LI45" s="745"/>
      <c r="LJ45" s="745"/>
      <c r="LK45" s="745"/>
      <c r="LL45" s="745"/>
      <c r="LM45" s="745"/>
      <c r="LN45" s="745"/>
      <c r="LO45" s="745"/>
      <c r="LP45" s="745"/>
      <c r="LQ45" s="745"/>
      <c r="LR45" s="745"/>
      <c r="LS45" s="745"/>
      <c r="LT45" s="745"/>
      <c r="LU45" s="745"/>
      <c r="LV45" s="745"/>
      <c r="LW45" s="745"/>
      <c r="LX45" s="745"/>
      <c r="LY45" s="745"/>
      <c r="LZ45" s="745"/>
      <c r="MA45" s="745"/>
      <c r="MB45" s="745"/>
      <c r="MC45" s="745"/>
      <c r="MD45" s="745"/>
      <c r="ME45" s="745"/>
      <c r="MF45" s="745"/>
      <c r="MG45" s="745"/>
      <c r="MH45" s="745"/>
      <c r="MI45" s="745"/>
      <c r="MJ45" s="745"/>
      <c r="MK45" s="745"/>
      <c r="ML45" s="745"/>
      <c r="MM45" s="745"/>
      <c r="MN45" s="745"/>
      <c r="MO45" s="745"/>
      <c r="MP45" s="745"/>
      <c r="MQ45" s="745"/>
      <c r="MR45" s="745"/>
      <c r="MS45" s="745"/>
      <c r="MT45" s="745"/>
      <c r="MU45" s="745"/>
      <c r="MV45" s="745"/>
      <c r="MW45" s="745"/>
      <c r="MX45" s="745"/>
      <c r="MY45" s="745"/>
      <c r="MZ45" s="745"/>
      <c r="NA45" s="745"/>
      <c r="NB45" s="745"/>
      <c r="NC45" s="745"/>
      <c r="ND45" s="745"/>
      <c r="NE45" s="745"/>
      <c r="NF45" s="745"/>
      <c r="NG45" s="745"/>
      <c r="NH45" s="745"/>
      <c r="NI45" s="745"/>
      <c r="NJ45" s="745"/>
      <c r="NK45" s="745"/>
      <c r="NL45" s="745"/>
      <c r="NM45" s="745"/>
      <c r="NN45" s="745"/>
      <c r="NO45" s="745"/>
      <c r="NP45" s="745"/>
      <c r="NQ45" s="745"/>
      <c r="NR45" s="745"/>
      <c r="NS45" s="745"/>
      <c r="NT45" s="745"/>
      <c r="NU45" s="745"/>
      <c r="NV45" s="745"/>
      <c r="NW45" s="745"/>
      <c r="NX45" s="745"/>
      <c r="NY45" s="745"/>
      <c r="NZ45" s="745"/>
      <c r="OA45" s="745"/>
      <c r="OB45" s="745"/>
      <c r="OC45" s="745"/>
      <c r="OD45" s="745"/>
      <c r="OE45" s="745"/>
      <c r="OF45" s="745"/>
      <c r="OG45" s="745"/>
      <c r="OH45" s="745"/>
      <c r="OI45" s="745"/>
      <c r="OJ45" s="745"/>
      <c r="OK45" s="745"/>
      <c r="OL45" s="745"/>
      <c r="OM45" s="745"/>
      <c r="ON45" s="745"/>
      <c r="OO45" s="745"/>
      <c r="OP45" s="745"/>
      <c r="OQ45" s="745"/>
      <c r="OR45" s="745"/>
      <c r="OS45" s="745"/>
      <c r="OT45" s="745"/>
      <c r="OU45" s="745"/>
      <c r="OV45" s="745"/>
      <c r="OW45" s="745"/>
      <c r="OX45" s="745"/>
      <c r="OY45" s="745"/>
      <c r="OZ45" s="745"/>
      <c r="PA45" s="745"/>
      <c r="PB45" s="745"/>
      <c r="PC45" s="745"/>
      <c r="PD45" s="745"/>
      <c r="PE45" s="745"/>
      <c r="PF45" s="745"/>
      <c r="PG45" s="745"/>
      <c r="PH45" s="745"/>
      <c r="PI45" s="745"/>
      <c r="PJ45" s="745"/>
      <c r="PK45" s="745"/>
      <c r="PL45" s="745"/>
      <c r="PM45" s="745"/>
      <c r="PN45" s="745"/>
      <c r="PO45" s="745"/>
      <c r="PP45" s="745"/>
      <c r="PQ45" s="745"/>
      <c r="PR45" s="745"/>
      <c r="PS45" s="745"/>
      <c r="PT45" s="745"/>
      <c r="PU45" s="745"/>
      <c r="PV45" s="745"/>
      <c r="PW45" s="745"/>
      <c r="PX45" s="745"/>
      <c r="PY45" s="745"/>
      <c r="PZ45" s="745"/>
      <c r="QA45" s="745"/>
      <c r="QB45" s="745"/>
      <c r="QC45" s="745"/>
      <c r="QD45" s="745"/>
      <c r="QE45" s="745"/>
      <c r="QF45" s="745"/>
      <c r="QG45" s="745"/>
      <c r="QH45" s="745"/>
      <c r="QI45" s="745"/>
      <c r="QJ45" s="745"/>
      <c r="QK45" s="745"/>
      <c r="QL45" s="745"/>
      <c r="QM45" s="745"/>
      <c r="QN45" s="745"/>
      <c r="QO45" s="745"/>
      <c r="QP45" s="745"/>
      <c r="QQ45" s="745"/>
      <c r="QR45" s="745"/>
      <c r="QS45" s="745"/>
      <c r="QT45" s="745"/>
      <c r="QU45" s="745"/>
      <c r="QV45" s="745"/>
      <c r="QW45" s="745"/>
      <c r="QX45" s="745"/>
      <c r="QY45" s="745"/>
      <c r="QZ45" s="745"/>
      <c r="RA45" s="745"/>
      <c r="RB45" s="745"/>
      <c r="RC45" s="745"/>
      <c r="RD45" s="745"/>
      <c r="RE45" s="745"/>
      <c r="RF45" s="745"/>
      <c r="RG45" s="745"/>
      <c r="RH45" s="745"/>
      <c r="RI45" s="745"/>
      <c r="RJ45" s="745"/>
      <c r="RK45" s="745"/>
      <c r="RL45" s="745"/>
      <c r="RM45" s="745"/>
      <c r="RN45" s="745"/>
      <c r="RO45" s="745"/>
      <c r="RP45" s="745"/>
      <c r="RQ45" s="745"/>
      <c r="RR45" s="745"/>
      <c r="RS45" s="745"/>
      <c r="RT45" s="745"/>
      <c r="RU45" s="745"/>
      <c r="RV45" s="745"/>
      <c r="RW45" s="745"/>
      <c r="RX45" s="745"/>
      <c r="RY45" s="745"/>
      <c r="RZ45" s="745"/>
      <c r="SA45" s="745"/>
      <c r="SB45" s="745"/>
      <c r="SC45" s="745"/>
      <c r="SD45" s="745"/>
      <c r="SE45" s="745"/>
      <c r="SF45" s="745"/>
      <c r="SG45" s="745"/>
      <c r="SH45" s="745"/>
      <c r="SI45" s="745"/>
      <c r="SJ45" s="745"/>
      <c r="SK45" s="745"/>
      <c r="SL45" s="745"/>
      <c r="SM45" s="745"/>
      <c r="SN45" s="745"/>
      <c r="SO45" s="745"/>
      <c r="SP45" s="745"/>
      <c r="SQ45" s="745"/>
      <c r="SR45" s="745"/>
      <c r="SS45" s="745"/>
      <c r="ST45" s="745"/>
      <c r="SU45" s="745"/>
      <c r="SV45" s="745"/>
      <c r="SW45" s="745"/>
      <c r="SX45" s="745"/>
      <c r="SY45" s="745"/>
      <c r="SZ45" s="745"/>
      <c r="TA45" s="745"/>
      <c r="TB45" s="745"/>
      <c r="TC45" s="745"/>
      <c r="TD45" s="745"/>
      <c r="TE45" s="745"/>
      <c r="TF45" s="745"/>
      <c r="TG45" s="745"/>
      <c r="TH45" s="745"/>
      <c r="TI45" s="745"/>
      <c r="TJ45" s="745"/>
      <c r="TK45" s="745"/>
      <c r="TL45" s="745"/>
      <c r="TM45" s="745"/>
      <c r="TN45" s="745"/>
      <c r="TO45" s="745"/>
      <c r="TP45" s="745"/>
      <c r="TQ45" s="745"/>
      <c r="TR45" s="745"/>
      <c r="TS45" s="745"/>
      <c r="TT45" s="745"/>
      <c r="TU45" s="745"/>
      <c r="TV45" s="745"/>
      <c r="TW45" s="745"/>
      <c r="TX45" s="745"/>
      <c r="TY45" s="745"/>
      <c r="TZ45" s="745"/>
      <c r="UA45" s="745"/>
      <c r="UB45" s="745"/>
      <c r="UC45" s="745"/>
      <c r="UD45" s="745"/>
      <c r="UE45" s="745"/>
      <c r="UF45" s="745"/>
      <c r="UG45" s="745"/>
      <c r="UH45" s="745"/>
      <c r="UI45" s="745"/>
      <c r="UJ45" s="745"/>
      <c r="UK45" s="745"/>
      <c r="UL45" s="745"/>
      <c r="UM45" s="745"/>
      <c r="UN45" s="745"/>
      <c r="UO45" s="745"/>
      <c r="UP45" s="745"/>
      <c r="UQ45" s="745"/>
      <c r="UR45" s="745"/>
      <c r="US45" s="745"/>
      <c r="UT45" s="745"/>
      <c r="UU45" s="745"/>
      <c r="UV45" s="745"/>
      <c r="UW45" s="745"/>
      <c r="UX45" s="745"/>
      <c r="UY45" s="745"/>
      <c r="UZ45" s="745"/>
      <c r="VA45" s="745"/>
      <c r="VB45" s="745"/>
      <c r="VC45" s="745"/>
      <c r="VD45" s="745"/>
      <c r="VE45" s="745"/>
      <c r="VF45" s="745"/>
      <c r="VG45" s="745"/>
      <c r="VH45" s="745"/>
      <c r="VI45" s="745"/>
      <c r="VJ45" s="745"/>
      <c r="VK45" s="745"/>
      <c r="VL45" s="745"/>
      <c r="VM45" s="745"/>
      <c r="VN45" s="745"/>
      <c r="VO45" s="745"/>
      <c r="VP45" s="745"/>
      <c r="VQ45" s="745"/>
      <c r="VR45" s="745"/>
      <c r="VS45" s="745"/>
      <c r="VT45" s="745"/>
      <c r="VU45" s="745"/>
      <c r="VV45" s="745"/>
      <c r="VW45" s="745"/>
      <c r="VX45" s="745"/>
      <c r="VY45" s="745"/>
      <c r="VZ45" s="745"/>
      <c r="WA45" s="745"/>
      <c r="WB45" s="745"/>
      <c r="WC45" s="745"/>
      <c r="WD45" s="745"/>
      <c r="WE45" s="745"/>
      <c r="WF45" s="745"/>
      <c r="WG45" s="745"/>
      <c r="WH45" s="745"/>
      <c r="WI45" s="745"/>
      <c r="WJ45" s="745"/>
      <c r="WK45" s="745"/>
      <c r="WL45" s="745"/>
      <c r="WM45" s="745"/>
      <c r="WN45" s="745"/>
      <c r="WO45" s="745"/>
      <c r="WP45" s="745"/>
      <c r="WQ45" s="745"/>
      <c r="WR45" s="745"/>
      <c r="WS45" s="745"/>
      <c r="WT45" s="745"/>
      <c r="WU45" s="745"/>
      <c r="WV45" s="745"/>
      <c r="WW45" s="745"/>
      <c r="WX45" s="745"/>
      <c r="WY45" s="745"/>
      <c r="WZ45" s="745"/>
      <c r="XA45" s="745"/>
      <c r="XB45" s="745"/>
      <c r="XC45" s="745"/>
      <c r="XD45" s="745"/>
      <c r="XE45" s="745"/>
      <c r="XF45" s="745"/>
      <c r="XG45" s="745"/>
      <c r="XH45" s="745"/>
      <c r="XI45" s="745"/>
      <c r="XJ45" s="745"/>
      <c r="XK45" s="745"/>
      <c r="XL45" s="745"/>
      <c r="XM45" s="745"/>
      <c r="XN45" s="745"/>
      <c r="XO45" s="745"/>
      <c r="XP45" s="745"/>
      <c r="XQ45" s="745"/>
      <c r="XR45" s="745"/>
      <c r="XS45" s="745"/>
      <c r="XT45" s="745"/>
      <c r="XU45" s="745"/>
      <c r="XV45" s="745"/>
      <c r="XW45" s="745"/>
      <c r="XX45" s="745"/>
      <c r="XY45" s="745"/>
      <c r="XZ45" s="745"/>
      <c r="YA45" s="745"/>
      <c r="YB45" s="745"/>
      <c r="YC45" s="745"/>
      <c r="YD45" s="745"/>
      <c r="YE45" s="745"/>
      <c r="YF45" s="745"/>
      <c r="YG45" s="745"/>
      <c r="YH45" s="745"/>
      <c r="YI45" s="745"/>
      <c r="YJ45" s="745"/>
      <c r="YK45" s="745"/>
      <c r="YL45" s="745"/>
      <c r="YM45" s="745"/>
      <c r="YN45" s="745"/>
      <c r="YO45" s="745"/>
      <c r="YP45" s="745"/>
      <c r="YQ45" s="745"/>
      <c r="YR45" s="745"/>
      <c r="YS45" s="745"/>
      <c r="YT45" s="745"/>
      <c r="YU45" s="745"/>
      <c r="YV45" s="745"/>
      <c r="YW45" s="745"/>
      <c r="YX45" s="745"/>
      <c r="YY45" s="745"/>
      <c r="YZ45" s="745"/>
      <c r="ZA45" s="745"/>
      <c r="ZB45" s="745"/>
      <c r="ZC45" s="745"/>
      <c r="ZD45" s="745"/>
      <c r="ZE45" s="745"/>
      <c r="ZF45" s="745"/>
      <c r="ZG45" s="745"/>
      <c r="ZH45" s="745"/>
      <c r="ZI45" s="745"/>
      <c r="ZJ45" s="745"/>
      <c r="ZK45" s="745"/>
      <c r="ZL45" s="745"/>
      <c r="ZM45" s="745"/>
      <c r="ZN45" s="745"/>
      <c r="ZO45" s="745"/>
      <c r="ZP45" s="745"/>
      <c r="ZQ45" s="745"/>
      <c r="ZR45" s="745"/>
      <c r="ZS45" s="745"/>
      <c r="ZT45" s="745"/>
      <c r="ZU45" s="745"/>
      <c r="ZV45" s="745"/>
      <c r="ZW45" s="745"/>
      <c r="ZX45" s="745"/>
      <c r="ZY45" s="745"/>
      <c r="ZZ45" s="745"/>
      <c r="AAA45" s="745"/>
      <c r="AAB45" s="745"/>
      <c r="AAC45" s="745"/>
      <c r="AAD45" s="745"/>
      <c r="AAE45" s="745"/>
      <c r="AAF45" s="745"/>
      <c r="AAG45" s="745"/>
      <c r="AAH45" s="745"/>
      <c r="AAI45" s="745"/>
      <c r="AAJ45" s="745"/>
      <c r="AAK45" s="745"/>
      <c r="AAL45" s="745"/>
      <c r="AAM45" s="745"/>
      <c r="AAN45" s="745"/>
      <c r="AAO45" s="745"/>
      <c r="AAP45" s="745"/>
      <c r="AAQ45" s="745"/>
      <c r="AAR45" s="745"/>
      <c r="AAS45" s="745"/>
      <c r="AAT45" s="745"/>
      <c r="AAU45" s="745"/>
      <c r="AAV45" s="745"/>
      <c r="AAW45" s="745"/>
      <c r="AAX45" s="745"/>
      <c r="AAY45" s="745"/>
      <c r="AAZ45" s="745"/>
      <c r="ABA45" s="745"/>
      <c r="ABB45" s="745"/>
      <c r="ABC45" s="745"/>
      <c r="ABD45" s="745"/>
      <c r="ABE45" s="745"/>
      <c r="ABF45" s="745"/>
      <c r="ABG45" s="745"/>
      <c r="ABH45" s="745"/>
      <c r="ABI45" s="745"/>
      <c r="ABJ45" s="745"/>
      <c r="ABK45" s="745"/>
      <c r="ABL45" s="745"/>
      <c r="ABM45" s="745"/>
      <c r="ABN45" s="745"/>
      <c r="ABO45" s="745"/>
      <c r="ABP45" s="745"/>
      <c r="ABQ45" s="745"/>
      <c r="ABR45" s="745"/>
      <c r="ABS45" s="745"/>
      <c r="ABT45" s="745"/>
      <c r="ABU45" s="745"/>
      <c r="ABV45" s="745"/>
      <c r="ABW45" s="745"/>
      <c r="ABX45" s="745"/>
      <c r="ABY45" s="745"/>
      <c r="ABZ45" s="745"/>
      <c r="ACA45" s="745"/>
      <c r="ACB45" s="745"/>
      <c r="ACC45" s="745"/>
      <c r="ACD45" s="745"/>
      <c r="ACE45" s="745"/>
      <c r="ACF45" s="745"/>
      <c r="ACG45" s="745"/>
      <c r="ACH45" s="745"/>
      <c r="ACI45" s="745"/>
      <c r="ACJ45" s="745"/>
      <c r="ACK45" s="745"/>
      <c r="ACL45" s="745"/>
      <c r="ACM45" s="745"/>
      <c r="ACN45" s="745"/>
      <c r="ACO45" s="745"/>
      <c r="ACP45" s="745"/>
      <c r="ACQ45" s="745"/>
      <c r="ACR45" s="745"/>
      <c r="ACS45" s="745"/>
      <c r="ACT45" s="745"/>
      <c r="ACU45" s="745"/>
      <c r="ACV45" s="745"/>
      <c r="ACW45" s="745"/>
      <c r="ACX45" s="745"/>
      <c r="ACY45" s="745"/>
      <c r="ACZ45" s="745"/>
      <c r="ADA45" s="745"/>
      <c r="ADB45" s="745"/>
      <c r="ADC45" s="745"/>
      <c r="ADD45" s="745"/>
      <c r="ADE45" s="745"/>
      <c r="ADF45" s="745"/>
      <c r="ADG45" s="745"/>
      <c r="ADH45" s="745"/>
      <c r="ADI45" s="745"/>
      <c r="ADJ45" s="745"/>
      <c r="ADK45" s="745"/>
      <c r="ADL45" s="745"/>
      <c r="ADM45" s="745"/>
      <c r="ADN45" s="745"/>
      <c r="ADO45" s="745"/>
      <c r="ADP45" s="745"/>
      <c r="ADQ45" s="745"/>
      <c r="ADR45" s="745"/>
      <c r="ADS45" s="745"/>
      <c r="ADT45" s="745"/>
      <c r="ADU45" s="745"/>
      <c r="ADV45" s="745"/>
      <c r="ADW45" s="745"/>
      <c r="ADX45" s="745"/>
      <c r="ADY45" s="745"/>
      <c r="ADZ45" s="745"/>
      <c r="AEA45" s="745"/>
      <c r="AEB45" s="745"/>
      <c r="AEC45" s="745"/>
      <c r="AED45" s="745"/>
      <c r="AEE45" s="745"/>
      <c r="AEF45" s="745"/>
      <c r="AEG45" s="745"/>
      <c r="AEH45" s="745"/>
      <c r="AEI45" s="745"/>
      <c r="AEJ45" s="745"/>
      <c r="AEK45" s="745"/>
      <c r="AEL45" s="745"/>
      <c r="AEM45" s="745"/>
      <c r="AEN45" s="745"/>
      <c r="AEO45" s="745"/>
      <c r="AEP45" s="745"/>
      <c r="AEQ45" s="745"/>
      <c r="AER45" s="745"/>
      <c r="AES45" s="745"/>
      <c r="AET45" s="745"/>
      <c r="AEU45" s="745"/>
      <c r="AEV45" s="745"/>
      <c r="AEW45" s="745"/>
      <c r="AEX45" s="745"/>
      <c r="AEY45" s="745"/>
      <c r="AEZ45" s="745"/>
      <c r="AFA45" s="745"/>
      <c r="AFB45" s="745"/>
      <c r="AFC45" s="745"/>
      <c r="AFD45" s="745"/>
      <c r="AFE45" s="745"/>
      <c r="AFF45" s="745"/>
      <c r="AFG45" s="745"/>
      <c r="AFH45" s="745"/>
      <c r="AFI45" s="745"/>
      <c r="AFJ45" s="745"/>
      <c r="AFK45" s="745"/>
      <c r="AFL45" s="745"/>
      <c r="AFM45" s="745"/>
      <c r="AFN45" s="745"/>
      <c r="AFO45" s="745"/>
      <c r="AFP45" s="745"/>
      <c r="AFQ45" s="745"/>
      <c r="AFR45" s="745"/>
      <c r="AFS45" s="745"/>
      <c r="AFT45" s="745"/>
      <c r="AFU45" s="745"/>
      <c r="AFV45" s="745"/>
      <c r="AFW45" s="745"/>
      <c r="AFX45" s="745"/>
      <c r="AFY45" s="745"/>
      <c r="AFZ45" s="745"/>
      <c r="AGA45" s="745"/>
      <c r="AGB45" s="745"/>
      <c r="AGC45" s="745"/>
      <c r="AGD45" s="745"/>
      <c r="AGE45" s="745"/>
      <c r="AGF45" s="745"/>
      <c r="AGG45" s="745"/>
      <c r="AGH45" s="745"/>
      <c r="AGI45" s="745"/>
      <c r="AGJ45" s="745"/>
      <c r="AGK45" s="745"/>
      <c r="AGL45" s="745"/>
      <c r="AGM45" s="745"/>
      <c r="AGN45" s="745"/>
      <c r="AGO45" s="745"/>
      <c r="AGP45" s="745"/>
      <c r="AGQ45" s="745"/>
      <c r="AGR45" s="745"/>
      <c r="AGS45" s="745"/>
      <c r="AGT45" s="745"/>
      <c r="AGU45" s="745"/>
      <c r="AGV45" s="745"/>
      <c r="AGW45" s="745"/>
      <c r="AGX45" s="745"/>
      <c r="AGY45" s="745"/>
      <c r="AGZ45" s="745"/>
      <c r="AHA45" s="745"/>
      <c r="AHB45" s="745"/>
      <c r="AHC45" s="745"/>
      <c r="AHD45" s="745"/>
      <c r="AHE45" s="745"/>
      <c r="AHF45" s="745"/>
      <c r="AHG45" s="745"/>
      <c r="AHH45" s="745"/>
      <c r="AHI45" s="745"/>
      <c r="AHJ45" s="745"/>
      <c r="AHK45" s="745"/>
      <c r="AHL45" s="745"/>
      <c r="AHM45" s="745"/>
      <c r="AHN45" s="745"/>
      <c r="AHO45" s="745"/>
      <c r="AHP45" s="745"/>
      <c r="AHQ45" s="745"/>
      <c r="AHR45" s="745"/>
      <c r="AHS45" s="745"/>
      <c r="AHT45" s="745"/>
      <c r="AHU45" s="745"/>
      <c r="AHV45" s="745"/>
      <c r="AHW45" s="745"/>
      <c r="AHX45" s="745"/>
      <c r="AHY45" s="745"/>
      <c r="AHZ45" s="745"/>
      <c r="AIA45" s="745"/>
      <c r="AIB45" s="745"/>
      <c r="AIC45" s="745"/>
      <c r="AID45" s="745"/>
      <c r="AIE45" s="745"/>
      <c r="AIF45" s="745"/>
      <c r="AIG45" s="745"/>
      <c r="AIH45" s="745"/>
      <c r="AII45" s="745"/>
      <c r="AIJ45" s="745"/>
      <c r="AIK45" s="745"/>
      <c r="AIL45" s="745"/>
      <c r="AIM45" s="745"/>
      <c r="AIN45" s="745"/>
      <c r="AIO45" s="745"/>
      <c r="AIP45" s="745"/>
      <c r="AIQ45" s="745"/>
      <c r="AIR45" s="745"/>
      <c r="AIS45" s="745"/>
      <c r="AIT45" s="745"/>
      <c r="AIU45" s="745"/>
      <c r="AIV45" s="745"/>
      <c r="AIW45" s="745"/>
      <c r="AIX45" s="745"/>
      <c r="AIY45" s="745"/>
      <c r="AIZ45" s="745"/>
      <c r="AJA45" s="745"/>
      <c r="AJB45" s="745"/>
      <c r="AJC45" s="745"/>
      <c r="AJD45" s="745"/>
      <c r="AJE45" s="745"/>
      <c r="AJF45" s="745"/>
      <c r="AJG45" s="745"/>
      <c r="AJH45" s="745"/>
      <c r="AJI45" s="745"/>
      <c r="AJJ45" s="745"/>
      <c r="AJK45" s="745"/>
      <c r="AJL45" s="745"/>
      <c r="AJM45" s="745"/>
      <c r="AJN45" s="745"/>
      <c r="AJO45" s="745"/>
      <c r="AJP45" s="745"/>
      <c r="AJQ45" s="745"/>
      <c r="AJR45" s="745"/>
      <c r="AJS45" s="745"/>
      <c r="AJT45" s="745"/>
      <c r="AJU45" s="745"/>
      <c r="AJV45" s="745"/>
      <c r="AJW45" s="745"/>
      <c r="AJX45" s="745"/>
      <c r="AJY45" s="745"/>
      <c r="AJZ45" s="745"/>
      <c r="AKA45" s="745"/>
      <c r="AKB45" s="745"/>
      <c r="AKC45" s="745"/>
      <c r="AKD45" s="745"/>
      <c r="AKE45" s="745"/>
      <c r="AKF45" s="745"/>
      <c r="AKG45" s="745"/>
      <c r="AKH45" s="745"/>
      <c r="AKI45" s="745"/>
      <c r="AKJ45" s="745"/>
      <c r="AKK45" s="745"/>
      <c r="AKL45" s="745"/>
      <c r="AKM45" s="745"/>
      <c r="AKN45" s="745"/>
      <c r="AKO45" s="745"/>
      <c r="AKP45" s="745"/>
      <c r="AKQ45" s="745"/>
      <c r="AKR45" s="745"/>
      <c r="AKS45" s="745"/>
      <c r="AKT45" s="745"/>
      <c r="AKU45" s="745"/>
      <c r="AKV45" s="745"/>
      <c r="AKW45" s="745"/>
      <c r="AKX45" s="745"/>
      <c r="AKY45" s="745"/>
      <c r="AKZ45" s="745"/>
      <c r="ALA45" s="745"/>
      <c r="ALB45" s="745"/>
      <c r="ALC45" s="745"/>
      <c r="ALD45" s="745"/>
      <c r="ALE45" s="745"/>
      <c r="ALF45" s="745"/>
      <c r="ALG45" s="745"/>
      <c r="ALH45" s="745"/>
      <c r="ALI45" s="745"/>
      <c r="ALJ45" s="745"/>
      <c r="ALK45" s="745"/>
      <c r="ALL45" s="745"/>
      <c r="ALM45" s="745"/>
      <c r="ALN45" s="745"/>
      <c r="ALO45" s="745"/>
      <c r="ALP45" s="745"/>
      <c r="ALQ45" s="745"/>
      <c r="ALR45" s="745"/>
      <c r="ALS45" s="745"/>
      <c r="ALT45" s="745"/>
      <c r="ALU45" s="745"/>
      <c r="ALV45" s="745"/>
      <c r="ALW45" s="745"/>
      <c r="ALX45" s="745"/>
      <c r="ALY45" s="745"/>
      <c r="ALZ45" s="745"/>
      <c r="AMA45" s="745"/>
      <c r="AMB45" s="745"/>
      <c r="AMC45" s="745"/>
      <c r="AMD45" s="745"/>
      <c r="AME45" s="745"/>
      <c r="AMF45" s="745"/>
      <c r="AMG45" s="745"/>
      <c r="AMH45" s="745"/>
      <c r="AMI45" s="745"/>
    </row>
    <row r="46" spans="1:1023" s="259" customFormat="1" ht="18.75" hidden="1" customHeight="1" x14ac:dyDescent="0.25">
      <c r="A46" s="746"/>
      <c r="B46" s="746"/>
      <c r="C46" s="746"/>
      <c r="D46" s="746"/>
      <c r="E46" s="746"/>
      <c r="F46" s="746"/>
      <c r="G46" s="746"/>
      <c r="H46" s="746"/>
      <c r="I46" s="746"/>
      <c r="J46" s="746"/>
      <c r="K46" s="746"/>
      <c r="L46" s="746"/>
      <c r="M46" s="746"/>
      <c r="N46" s="746"/>
      <c r="O46" s="746"/>
      <c r="P46" s="746"/>
      <c r="Q46" s="746"/>
      <c r="R46" s="746"/>
      <c r="S46" s="746"/>
      <c r="T46" s="746"/>
      <c r="U46" s="746"/>
      <c r="V46" s="746"/>
      <c r="W46" s="746"/>
      <c r="X46" s="746"/>
      <c r="Y46" s="746"/>
      <c r="Z46" s="746"/>
      <c r="AA46" s="746"/>
      <c r="AB46" s="746"/>
      <c r="AC46" s="746"/>
      <c r="AD46" s="746"/>
      <c r="AE46" s="746"/>
      <c r="AF46" s="746"/>
      <c r="AG46" s="746"/>
      <c r="AH46" s="746"/>
      <c r="AI46" s="746"/>
      <c r="AJ46" s="746"/>
      <c r="AK46" s="746"/>
      <c r="AL46" s="746"/>
      <c r="AM46" s="746"/>
      <c r="AN46" s="746"/>
      <c r="AO46" s="746"/>
      <c r="AP46" s="746"/>
      <c r="AQ46" s="746"/>
      <c r="AR46" s="746"/>
      <c r="AS46" s="746"/>
      <c r="AT46" s="746"/>
      <c r="AU46" s="746"/>
      <c r="AV46" s="746"/>
      <c r="AW46" s="746"/>
      <c r="AX46" s="746"/>
      <c r="AY46" s="746"/>
      <c r="AZ46" s="746"/>
      <c r="BA46" s="746"/>
      <c r="BB46" s="746"/>
      <c r="BC46" s="746"/>
      <c r="BD46" s="746"/>
      <c r="BE46" s="746"/>
      <c r="BF46" s="746"/>
      <c r="BG46" s="746"/>
      <c r="BH46" s="746"/>
      <c r="BI46" s="746"/>
      <c r="BJ46" s="746"/>
      <c r="BK46" s="746"/>
      <c r="BL46" s="746"/>
      <c r="BM46" s="746"/>
      <c r="BN46" s="746"/>
      <c r="BO46" s="746"/>
      <c r="BP46" s="746"/>
      <c r="BQ46" s="746"/>
      <c r="BR46" s="746"/>
      <c r="BS46" s="746"/>
      <c r="BT46" s="746"/>
      <c r="BU46" s="746"/>
      <c r="BV46" s="746"/>
      <c r="BW46" s="746"/>
      <c r="BX46" s="746"/>
      <c r="BY46" s="746"/>
      <c r="BZ46" s="746"/>
      <c r="CA46" s="746"/>
      <c r="CB46" s="746"/>
      <c r="CC46" s="746"/>
      <c r="CD46" s="746"/>
      <c r="CE46" s="746"/>
      <c r="CF46" s="746"/>
      <c r="CG46" s="746"/>
      <c r="CH46" s="746"/>
      <c r="CI46" s="746"/>
      <c r="CJ46" s="746"/>
      <c r="CK46" s="746"/>
      <c r="CL46" s="746"/>
      <c r="CM46" s="746"/>
      <c r="CN46" s="746"/>
      <c r="CO46" s="746"/>
      <c r="CP46" s="746"/>
      <c r="CQ46" s="746"/>
      <c r="CR46" s="746"/>
      <c r="CS46" s="746"/>
      <c r="CT46" s="746"/>
      <c r="CU46" s="746"/>
      <c r="CV46" s="746"/>
      <c r="CW46" s="746"/>
      <c r="CX46" s="746"/>
      <c r="CY46" s="746"/>
      <c r="CZ46" s="746"/>
      <c r="DA46" s="746"/>
      <c r="DB46" s="746"/>
      <c r="DC46" s="746"/>
      <c r="DD46" s="746"/>
      <c r="DE46" s="746"/>
      <c r="DF46" s="746"/>
      <c r="DG46" s="746"/>
      <c r="DH46" s="746"/>
      <c r="DI46" s="746"/>
      <c r="DJ46" s="746"/>
      <c r="DK46" s="746"/>
      <c r="DL46" s="746"/>
      <c r="DM46" s="746"/>
      <c r="DN46" s="746"/>
      <c r="DO46" s="746"/>
      <c r="DP46" s="746"/>
      <c r="DQ46" s="746"/>
      <c r="DR46" s="746"/>
      <c r="DS46" s="746"/>
      <c r="DT46" s="746"/>
      <c r="DU46" s="746"/>
      <c r="DV46" s="746"/>
      <c r="DW46" s="746"/>
      <c r="DX46" s="746"/>
      <c r="DY46" s="746"/>
      <c r="DZ46" s="746"/>
      <c r="EA46" s="746"/>
      <c r="EB46" s="746"/>
      <c r="EC46" s="746"/>
      <c r="ED46" s="746"/>
      <c r="EE46" s="746"/>
      <c r="EF46" s="746"/>
      <c r="EG46" s="746"/>
      <c r="EH46" s="746"/>
      <c r="EI46" s="746"/>
      <c r="EJ46" s="746"/>
      <c r="EK46" s="746"/>
      <c r="EL46" s="746"/>
      <c r="EM46" s="746"/>
      <c r="EN46" s="746"/>
      <c r="EO46" s="746"/>
      <c r="EP46" s="746"/>
      <c r="EQ46" s="746"/>
      <c r="ER46" s="746"/>
      <c r="ES46" s="746"/>
      <c r="ET46" s="746"/>
      <c r="EU46" s="746"/>
      <c r="EV46" s="746"/>
      <c r="EW46" s="746"/>
      <c r="EX46" s="746"/>
      <c r="EY46" s="746"/>
      <c r="EZ46" s="746"/>
      <c r="FA46" s="746"/>
      <c r="FB46" s="746"/>
      <c r="FC46" s="746"/>
      <c r="FD46" s="746"/>
      <c r="FE46" s="746"/>
      <c r="FF46" s="746"/>
      <c r="FG46" s="746"/>
      <c r="FH46" s="746"/>
      <c r="FI46" s="746"/>
      <c r="FJ46" s="746"/>
      <c r="FK46" s="746"/>
      <c r="FL46" s="746"/>
      <c r="FM46" s="746"/>
      <c r="FN46" s="746"/>
      <c r="FO46" s="746"/>
      <c r="FP46" s="746"/>
      <c r="FQ46" s="746"/>
      <c r="FR46" s="746"/>
      <c r="FS46" s="746"/>
      <c r="FT46" s="746"/>
      <c r="FU46" s="746"/>
      <c r="FV46" s="746"/>
      <c r="FW46" s="746"/>
      <c r="FX46" s="746"/>
      <c r="FY46" s="746"/>
      <c r="FZ46" s="746"/>
      <c r="GA46" s="746"/>
      <c r="GB46" s="746"/>
      <c r="GC46" s="746"/>
      <c r="GD46" s="746"/>
      <c r="GE46" s="746"/>
      <c r="GF46" s="746"/>
      <c r="GG46" s="746"/>
      <c r="GH46" s="746"/>
      <c r="GI46" s="746"/>
      <c r="GJ46" s="746"/>
      <c r="GK46" s="746"/>
      <c r="GL46" s="746"/>
      <c r="GM46" s="746"/>
      <c r="GN46" s="746"/>
      <c r="GO46" s="746"/>
      <c r="GP46" s="746"/>
      <c r="GQ46" s="746"/>
      <c r="GR46" s="746"/>
      <c r="GS46" s="746"/>
      <c r="GT46" s="746"/>
      <c r="GU46" s="746"/>
      <c r="GV46" s="746"/>
      <c r="GW46" s="746"/>
      <c r="GX46" s="746"/>
      <c r="GY46" s="746"/>
      <c r="GZ46" s="746"/>
      <c r="HA46" s="746"/>
      <c r="HB46" s="746"/>
      <c r="HC46" s="746"/>
      <c r="HD46" s="746"/>
      <c r="HE46" s="746"/>
      <c r="HF46" s="746"/>
      <c r="HG46" s="746"/>
      <c r="HH46" s="746"/>
      <c r="HI46" s="746"/>
      <c r="HJ46" s="746"/>
      <c r="HK46" s="746"/>
      <c r="HL46" s="746"/>
      <c r="HM46" s="746"/>
      <c r="HN46" s="746"/>
      <c r="HO46" s="746"/>
      <c r="HP46" s="746"/>
      <c r="HQ46" s="746"/>
      <c r="HR46" s="746"/>
      <c r="HS46" s="746"/>
      <c r="HT46" s="746"/>
      <c r="HU46" s="746"/>
      <c r="HV46" s="746"/>
      <c r="HW46" s="746"/>
      <c r="HX46" s="746"/>
      <c r="HY46" s="746"/>
      <c r="HZ46" s="746"/>
      <c r="IA46" s="746"/>
      <c r="IB46" s="746"/>
      <c r="IC46" s="746"/>
      <c r="ID46" s="746"/>
      <c r="IE46" s="746"/>
      <c r="IF46" s="746"/>
      <c r="IG46" s="746"/>
      <c r="IH46" s="746"/>
      <c r="II46" s="746"/>
      <c r="IJ46" s="746"/>
      <c r="IK46" s="746"/>
      <c r="IL46" s="746"/>
      <c r="IM46" s="746"/>
      <c r="IN46" s="746"/>
      <c r="IO46" s="746"/>
      <c r="IP46" s="746"/>
      <c r="IQ46" s="746"/>
      <c r="IR46" s="746"/>
      <c r="IS46" s="746"/>
      <c r="IT46" s="746"/>
      <c r="IU46" s="746"/>
      <c r="IV46" s="746"/>
      <c r="IW46" s="746"/>
      <c r="IX46" s="746"/>
      <c r="IY46" s="746"/>
      <c r="IZ46" s="746"/>
      <c r="JA46" s="746"/>
      <c r="JB46" s="746"/>
      <c r="JC46" s="746"/>
      <c r="JD46" s="746"/>
      <c r="JE46" s="746"/>
      <c r="JF46" s="746"/>
      <c r="JG46" s="746"/>
      <c r="JH46" s="746"/>
      <c r="JI46" s="746"/>
      <c r="JJ46" s="746"/>
      <c r="JK46" s="746"/>
      <c r="JL46" s="746"/>
      <c r="JM46" s="746"/>
      <c r="JN46" s="746"/>
      <c r="JO46" s="746"/>
      <c r="JP46" s="746"/>
      <c r="JQ46" s="746"/>
      <c r="JR46" s="746"/>
      <c r="JS46" s="746"/>
      <c r="JT46" s="746"/>
      <c r="JU46" s="746"/>
      <c r="JV46" s="746"/>
      <c r="JW46" s="746"/>
      <c r="JX46" s="746"/>
      <c r="JY46" s="746"/>
      <c r="JZ46" s="746"/>
      <c r="KA46" s="746"/>
      <c r="KB46" s="746"/>
      <c r="KC46" s="746"/>
      <c r="KD46" s="746"/>
      <c r="KE46" s="746"/>
      <c r="KF46" s="746"/>
      <c r="KG46" s="746"/>
      <c r="KH46" s="746"/>
      <c r="KI46" s="746"/>
      <c r="KJ46" s="746"/>
      <c r="KK46" s="746"/>
      <c r="KL46" s="746"/>
      <c r="KM46" s="746"/>
      <c r="KN46" s="746"/>
      <c r="KO46" s="746"/>
      <c r="KP46" s="746"/>
      <c r="KQ46" s="746"/>
      <c r="KR46" s="746"/>
      <c r="KS46" s="746"/>
      <c r="KT46" s="746"/>
      <c r="KU46" s="746"/>
      <c r="KV46" s="746"/>
      <c r="KW46" s="746"/>
      <c r="KX46" s="746"/>
      <c r="KY46" s="746"/>
      <c r="KZ46" s="746"/>
      <c r="LA46" s="746"/>
      <c r="LB46" s="746"/>
      <c r="LC46" s="746"/>
      <c r="LD46" s="746"/>
      <c r="LE46" s="746"/>
      <c r="LF46" s="746"/>
      <c r="LG46" s="746"/>
      <c r="LH46" s="746"/>
      <c r="LI46" s="746"/>
      <c r="LJ46" s="746"/>
      <c r="LK46" s="746"/>
      <c r="LL46" s="746"/>
      <c r="LM46" s="746"/>
      <c r="LN46" s="746"/>
      <c r="LO46" s="746"/>
      <c r="LP46" s="746"/>
      <c r="LQ46" s="746"/>
      <c r="LR46" s="746"/>
      <c r="LS46" s="746"/>
      <c r="LT46" s="746"/>
      <c r="LU46" s="746"/>
      <c r="LV46" s="746"/>
      <c r="LW46" s="746"/>
      <c r="LX46" s="746"/>
      <c r="LY46" s="746"/>
      <c r="LZ46" s="746"/>
      <c r="MA46" s="746"/>
      <c r="MB46" s="746"/>
      <c r="MC46" s="746"/>
      <c r="MD46" s="746"/>
      <c r="ME46" s="746"/>
      <c r="MF46" s="746"/>
      <c r="MG46" s="746"/>
      <c r="MH46" s="746"/>
      <c r="MI46" s="746"/>
      <c r="MJ46" s="746"/>
      <c r="MK46" s="746"/>
      <c r="ML46" s="746"/>
      <c r="MM46" s="746"/>
      <c r="MN46" s="746"/>
      <c r="MO46" s="746"/>
      <c r="MP46" s="746"/>
      <c r="MQ46" s="746"/>
      <c r="MR46" s="746"/>
      <c r="MS46" s="746"/>
      <c r="MT46" s="746"/>
      <c r="MU46" s="746"/>
      <c r="MV46" s="746"/>
      <c r="MW46" s="746"/>
      <c r="MX46" s="746"/>
      <c r="MY46" s="746"/>
      <c r="MZ46" s="746"/>
      <c r="NA46" s="746"/>
      <c r="NB46" s="746"/>
      <c r="NC46" s="746"/>
      <c r="ND46" s="746"/>
      <c r="NE46" s="746"/>
      <c r="NF46" s="746"/>
      <c r="NG46" s="746"/>
      <c r="NH46" s="746"/>
      <c r="NI46" s="746"/>
      <c r="NJ46" s="746"/>
      <c r="NK46" s="746"/>
      <c r="NL46" s="746"/>
      <c r="NM46" s="746"/>
      <c r="NN46" s="746"/>
      <c r="NO46" s="746"/>
      <c r="NP46" s="746"/>
      <c r="NQ46" s="746"/>
      <c r="NR46" s="746"/>
      <c r="NS46" s="746"/>
      <c r="NT46" s="746"/>
      <c r="NU46" s="746"/>
      <c r="NV46" s="746"/>
      <c r="NW46" s="746"/>
      <c r="NX46" s="746"/>
      <c r="NY46" s="746"/>
      <c r="NZ46" s="746"/>
      <c r="OA46" s="746"/>
      <c r="OB46" s="746"/>
      <c r="OC46" s="746"/>
      <c r="OD46" s="746"/>
      <c r="OE46" s="746"/>
      <c r="OF46" s="746"/>
      <c r="OG46" s="746"/>
      <c r="OH46" s="746"/>
      <c r="OI46" s="746"/>
      <c r="OJ46" s="746"/>
      <c r="OK46" s="746"/>
      <c r="OL46" s="746"/>
      <c r="OM46" s="746"/>
      <c r="ON46" s="746"/>
      <c r="OO46" s="746"/>
      <c r="OP46" s="746"/>
      <c r="OQ46" s="746"/>
      <c r="OR46" s="746"/>
      <c r="OS46" s="746"/>
      <c r="OT46" s="746"/>
      <c r="OU46" s="746"/>
      <c r="OV46" s="746"/>
      <c r="OW46" s="746"/>
      <c r="OX46" s="746"/>
      <c r="OY46" s="746"/>
      <c r="OZ46" s="746"/>
      <c r="PA46" s="746"/>
      <c r="PB46" s="746"/>
      <c r="PC46" s="746"/>
      <c r="PD46" s="746"/>
      <c r="PE46" s="746"/>
      <c r="PF46" s="746"/>
      <c r="PG46" s="746"/>
      <c r="PH46" s="746"/>
      <c r="PI46" s="746"/>
      <c r="PJ46" s="746"/>
      <c r="PK46" s="746"/>
      <c r="PL46" s="746"/>
      <c r="PM46" s="746"/>
      <c r="PN46" s="746"/>
      <c r="PO46" s="746"/>
      <c r="PP46" s="746"/>
      <c r="PQ46" s="746"/>
      <c r="PR46" s="746"/>
      <c r="PS46" s="746"/>
      <c r="PT46" s="746"/>
      <c r="PU46" s="746"/>
      <c r="PV46" s="746"/>
      <c r="PW46" s="746"/>
      <c r="PX46" s="746"/>
      <c r="PY46" s="746"/>
      <c r="PZ46" s="746"/>
      <c r="QA46" s="746"/>
      <c r="QB46" s="746"/>
      <c r="QC46" s="746"/>
      <c r="QD46" s="746"/>
      <c r="QE46" s="746"/>
      <c r="QF46" s="746"/>
      <c r="QG46" s="746"/>
      <c r="QH46" s="746"/>
      <c r="QI46" s="746"/>
      <c r="QJ46" s="746"/>
      <c r="QK46" s="746"/>
      <c r="QL46" s="746"/>
      <c r="QM46" s="746"/>
      <c r="QN46" s="746"/>
      <c r="QO46" s="746"/>
      <c r="QP46" s="746"/>
      <c r="QQ46" s="746"/>
      <c r="QR46" s="746"/>
      <c r="QS46" s="746"/>
      <c r="QT46" s="746"/>
      <c r="QU46" s="746"/>
      <c r="QV46" s="746"/>
      <c r="QW46" s="746"/>
      <c r="QX46" s="746"/>
      <c r="QY46" s="746"/>
      <c r="QZ46" s="746"/>
      <c r="RA46" s="746"/>
      <c r="RB46" s="746"/>
      <c r="RC46" s="746"/>
      <c r="RD46" s="746"/>
      <c r="RE46" s="746"/>
      <c r="RF46" s="746"/>
      <c r="RG46" s="746"/>
      <c r="RH46" s="746"/>
      <c r="RI46" s="746"/>
      <c r="RJ46" s="746"/>
      <c r="RK46" s="746"/>
      <c r="RL46" s="746"/>
      <c r="RM46" s="746"/>
      <c r="RN46" s="746"/>
      <c r="RO46" s="746"/>
      <c r="RP46" s="746"/>
      <c r="RQ46" s="746"/>
      <c r="RR46" s="746"/>
      <c r="RS46" s="746"/>
      <c r="RT46" s="746"/>
      <c r="RU46" s="746"/>
      <c r="RV46" s="746"/>
      <c r="RW46" s="746"/>
      <c r="RX46" s="746"/>
      <c r="RY46" s="746"/>
      <c r="RZ46" s="746"/>
      <c r="SA46" s="746"/>
      <c r="SB46" s="746"/>
      <c r="SC46" s="746"/>
      <c r="SD46" s="746"/>
      <c r="SE46" s="746"/>
      <c r="SF46" s="746"/>
      <c r="SG46" s="746"/>
      <c r="SH46" s="746"/>
      <c r="SI46" s="746"/>
      <c r="SJ46" s="746"/>
      <c r="SK46" s="746"/>
      <c r="SL46" s="746"/>
      <c r="SM46" s="746"/>
      <c r="SN46" s="746"/>
      <c r="SO46" s="746"/>
      <c r="SP46" s="746"/>
      <c r="SQ46" s="746"/>
      <c r="SR46" s="746"/>
      <c r="SS46" s="746"/>
      <c r="ST46" s="746"/>
      <c r="SU46" s="746"/>
      <c r="SV46" s="746"/>
      <c r="SW46" s="746"/>
      <c r="SX46" s="746"/>
      <c r="SY46" s="746"/>
      <c r="SZ46" s="746"/>
      <c r="TA46" s="746"/>
      <c r="TB46" s="746"/>
      <c r="TC46" s="746"/>
      <c r="TD46" s="746"/>
      <c r="TE46" s="746"/>
      <c r="TF46" s="746"/>
      <c r="TG46" s="746"/>
      <c r="TH46" s="746"/>
      <c r="TI46" s="746"/>
      <c r="TJ46" s="746"/>
      <c r="TK46" s="746"/>
      <c r="TL46" s="746"/>
      <c r="TM46" s="746"/>
      <c r="TN46" s="746"/>
      <c r="TO46" s="746"/>
      <c r="TP46" s="746"/>
      <c r="TQ46" s="746"/>
      <c r="TR46" s="746"/>
      <c r="TS46" s="746"/>
      <c r="TT46" s="746"/>
      <c r="TU46" s="746"/>
      <c r="TV46" s="746"/>
      <c r="TW46" s="746"/>
      <c r="TX46" s="746"/>
      <c r="TY46" s="746"/>
      <c r="TZ46" s="746"/>
      <c r="UA46" s="746"/>
      <c r="UB46" s="746"/>
      <c r="UC46" s="746"/>
      <c r="UD46" s="746"/>
      <c r="UE46" s="746"/>
      <c r="UF46" s="746"/>
      <c r="UG46" s="746"/>
      <c r="UH46" s="746"/>
      <c r="UI46" s="746"/>
      <c r="UJ46" s="746"/>
      <c r="UK46" s="746"/>
      <c r="UL46" s="746"/>
      <c r="UM46" s="746"/>
      <c r="UN46" s="746"/>
      <c r="UO46" s="746"/>
      <c r="UP46" s="746"/>
      <c r="UQ46" s="746"/>
      <c r="UR46" s="746"/>
      <c r="US46" s="746"/>
      <c r="UT46" s="746"/>
      <c r="UU46" s="746"/>
      <c r="UV46" s="746"/>
      <c r="UW46" s="746"/>
      <c r="UX46" s="746"/>
      <c r="UY46" s="746"/>
      <c r="UZ46" s="746"/>
      <c r="VA46" s="746"/>
      <c r="VB46" s="746"/>
      <c r="VC46" s="746"/>
      <c r="VD46" s="746"/>
      <c r="VE46" s="746"/>
      <c r="VF46" s="746"/>
      <c r="VG46" s="746"/>
      <c r="VH46" s="746"/>
      <c r="VI46" s="746"/>
      <c r="VJ46" s="746"/>
      <c r="VK46" s="746"/>
      <c r="VL46" s="746"/>
      <c r="VM46" s="746"/>
      <c r="VN46" s="746"/>
      <c r="VO46" s="746"/>
      <c r="VP46" s="746"/>
      <c r="VQ46" s="746"/>
      <c r="VR46" s="746"/>
      <c r="VS46" s="746"/>
      <c r="VT46" s="746"/>
      <c r="VU46" s="746"/>
      <c r="VV46" s="746"/>
      <c r="VW46" s="746"/>
      <c r="VX46" s="746"/>
      <c r="VY46" s="746"/>
      <c r="VZ46" s="746"/>
      <c r="WA46" s="746"/>
      <c r="WB46" s="746"/>
      <c r="WC46" s="746"/>
      <c r="WD46" s="746"/>
      <c r="WE46" s="746"/>
      <c r="WF46" s="746"/>
      <c r="WG46" s="746"/>
      <c r="WH46" s="746"/>
      <c r="WI46" s="746"/>
      <c r="WJ46" s="746"/>
      <c r="WK46" s="746"/>
      <c r="WL46" s="746"/>
      <c r="WM46" s="746"/>
      <c r="WN46" s="746"/>
      <c r="WO46" s="746"/>
      <c r="WP46" s="746"/>
      <c r="WQ46" s="746"/>
      <c r="WR46" s="746"/>
      <c r="WS46" s="746"/>
      <c r="WT46" s="746"/>
      <c r="WU46" s="746"/>
      <c r="WV46" s="746"/>
      <c r="WW46" s="746"/>
      <c r="WX46" s="746"/>
      <c r="WY46" s="746"/>
      <c r="WZ46" s="746"/>
      <c r="XA46" s="746"/>
      <c r="XB46" s="746"/>
      <c r="XC46" s="746"/>
      <c r="XD46" s="746"/>
      <c r="XE46" s="746"/>
      <c r="XF46" s="746"/>
      <c r="XG46" s="746"/>
      <c r="XH46" s="746"/>
      <c r="XI46" s="746"/>
      <c r="XJ46" s="746"/>
      <c r="XK46" s="746"/>
      <c r="XL46" s="746"/>
      <c r="XM46" s="746"/>
      <c r="XN46" s="746"/>
      <c r="XO46" s="746"/>
      <c r="XP46" s="746"/>
      <c r="XQ46" s="746"/>
      <c r="XR46" s="746"/>
      <c r="XS46" s="746"/>
      <c r="XT46" s="746"/>
      <c r="XU46" s="746"/>
      <c r="XV46" s="746"/>
      <c r="XW46" s="746"/>
      <c r="XX46" s="746"/>
      <c r="XY46" s="746"/>
      <c r="XZ46" s="746"/>
      <c r="YA46" s="746"/>
      <c r="YB46" s="746"/>
      <c r="YC46" s="746"/>
      <c r="YD46" s="746"/>
      <c r="YE46" s="746"/>
      <c r="YF46" s="746"/>
      <c r="YG46" s="746"/>
      <c r="YH46" s="746"/>
      <c r="YI46" s="746"/>
      <c r="YJ46" s="746"/>
      <c r="YK46" s="746"/>
      <c r="YL46" s="746"/>
      <c r="YM46" s="746"/>
      <c r="YN46" s="746"/>
      <c r="YO46" s="746"/>
      <c r="YP46" s="746"/>
      <c r="YQ46" s="746"/>
      <c r="YR46" s="746"/>
      <c r="YS46" s="746"/>
      <c r="YT46" s="746"/>
      <c r="YU46" s="746"/>
      <c r="YV46" s="746"/>
      <c r="YW46" s="746"/>
      <c r="YX46" s="746"/>
      <c r="YY46" s="746"/>
      <c r="YZ46" s="746"/>
      <c r="ZA46" s="746"/>
      <c r="ZB46" s="746"/>
      <c r="ZC46" s="746"/>
      <c r="ZD46" s="746"/>
      <c r="ZE46" s="746"/>
      <c r="ZF46" s="746"/>
      <c r="ZG46" s="746"/>
      <c r="ZH46" s="746"/>
      <c r="ZI46" s="746"/>
      <c r="ZJ46" s="746"/>
      <c r="ZK46" s="746"/>
      <c r="ZL46" s="746"/>
      <c r="ZM46" s="746"/>
      <c r="ZN46" s="746"/>
      <c r="ZO46" s="746"/>
      <c r="ZP46" s="746"/>
      <c r="ZQ46" s="746"/>
      <c r="ZR46" s="746"/>
      <c r="ZS46" s="746"/>
      <c r="ZT46" s="746"/>
      <c r="ZU46" s="746"/>
      <c r="ZV46" s="746"/>
      <c r="ZW46" s="746"/>
      <c r="ZX46" s="746"/>
      <c r="ZY46" s="746"/>
      <c r="ZZ46" s="746"/>
      <c r="AAA46" s="746"/>
      <c r="AAB46" s="746"/>
      <c r="AAC46" s="746"/>
      <c r="AAD46" s="746"/>
      <c r="AAE46" s="746"/>
      <c r="AAF46" s="746"/>
      <c r="AAG46" s="746"/>
      <c r="AAH46" s="746"/>
      <c r="AAI46" s="746"/>
      <c r="AAJ46" s="746"/>
      <c r="AAK46" s="746"/>
      <c r="AAL46" s="746"/>
      <c r="AAM46" s="746"/>
      <c r="AAN46" s="746"/>
      <c r="AAO46" s="746"/>
      <c r="AAP46" s="746"/>
      <c r="AAQ46" s="746"/>
      <c r="AAR46" s="746"/>
      <c r="AAS46" s="746"/>
      <c r="AAT46" s="746"/>
      <c r="AAU46" s="746"/>
      <c r="AAV46" s="746"/>
      <c r="AAW46" s="746"/>
      <c r="AAX46" s="746"/>
      <c r="AAY46" s="746"/>
      <c r="AAZ46" s="746"/>
      <c r="ABA46" s="746"/>
      <c r="ABB46" s="746"/>
      <c r="ABC46" s="746"/>
      <c r="ABD46" s="746"/>
      <c r="ABE46" s="746"/>
      <c r="ABF46" s="746"/>
      <c r="ABG46" s="746"/>
      <c r="ABH46" s="746"/>
      <c r="ABI46" s="746"/>
      <c r="ABJ46" s="746"/>
      <c r="ABK46" s="746"/>
      <c r="ABL46" s="746"/>
      <c r="ABM46" s="746"/>
      <c r="ABN46" s="746"/>
      <c r="ABO46" s="746"/>
      <c r="ABP46" s="746"/>
      <c r="ABQ46" s="746"/>
      <c r="ABR46" s="746"/>
      <c r="ABS46" s="746"/>
      <c r="ABT46" s="746"/>
      <c r="ABU46" s="746"/>
      <c r="ABV46" s="746"/>
      <c r="ABW46" s="746"/>
      <c r="ABX46" s="746"/>
      <c r="ABY46" s="746"/>
      <c r="ABZ46" s="746"/>
      <c r="ACA46" s="746"/>
      <c r="ACB46" s="746"/>
      <c r="ACC46" s="746"/>
      <c r="ACD46" s="746"/>
      <c r="ACE46" s="746"/>
      <c r="ACF46" s="746"/>
      <c r="ACG46" s="746"/>
      <c r="ACH46" s="746"/>
      <c r="ACI46" s="746"/>
      <c r="ACJ46" s="746"/>
      <c r="ACK46" s="746"/>
      <c r="ACL46" s="746"/>
      <c r="ACM46" s="746"/>
      <c r="ACN46" s="746"/>
      <c r="ACO46" s="746"/>
      <c r="ACP46" s="746"/>
      <c r="ACQ46" s="746"/>
      <c r="ACR46" s="746"/>
      <c r="ACS46" s="746"/>
      <c r="ACT46" s="746"/>
      <c r="ACU46" s="746"/>
      <c r="ACV46" s="746"/>
      <c r="ACW46" s="746"/>
      <c r="ACX46" s="746"/>
      <c r="ACY46" s="746"/>
      <c r="ACZ46" s="746"/>
      <c r="ADA46" s="746"/>
      <c r="ADB46" s="746"/>
      <c r="ADC46" s="746"/>
      <c r="ADD46" s="746"/>
      <c r="ADE46" s="746"/>
      <c r="ADF46" s="746"/>
      <c r="ADG46" s="746"/>
      <c r="ADH46" s="746"/>
      <c r="ADI46" s="746"/>
      <c r="ADJ46" s="746"/>
      <c r="ADK46" s="746"/>
      <c r="ADL46" s="746"/>
      <c r="ADM46" s="746"/>
      <c r="ADN46" s="746"/>
      <c r="ADO46" s="746"/>
      <c r="ADP46" s="746"/>
      <c r="ADQ46" s="746"/>
      <c r="ADR46" s="746"/>
      <c r="ADS46" s="746"/>
      <c r="ADT46" s="746"/>
      <c r="ADU46" s="746"/>
      <c r="ADV46" s="746"/>
      <c r="ADW46" s="746"/>
      <c r="ADX46" s="746"/>
      <c r="ADY46" s="746"/>
      <c r="ADZ46" s="746"/>
      <c r="AEA46" s="746"/>
      <c r="AEB46" s="746"/>
      <c r="AEC46" s="746"/>
      <c r="AED46" s="746"/>
      <c r="AEE46" s="746"/>
      <c r="AEF46" s="746"/>
      <c r="AEG46" s="746"/>
      <c r="AEH46" s="746"/>
      <c r="AEI46" s="746"/>
      <c r="AEJ46" s="746"/>
      <c r="AEK46" s="746"/>
      <c r="AEL46" s="746"/>
      <c r="AEM46" s="746"/>
      <c r="AEN46" s="746"/>
      <c r="AEO46" s="746"/>
      <c r="AEP46" s="746"/>
      <c r="AEQ46" s="746"/>
      <c r="AER46" s="746"/>
      <c r="AES46" s="746"/>
      <c r="AET46" s="746"/>
      <c r="AEU46" s="746"/>
      <c r="AEV46" s="746"/>
      <c r="AEW46" s="746"/>
      <c r="AEX46" s="746"/>
      <c r="AEY46" s="746"/>
      <c r="AEZ46" s="746"/>
      <c r="AFA46" s="746"/>
      <c r="AFB46" s="746"/>
      <c r="AFC46" s="746"/>
      <c r="AFD46" s="746"/>
      <c r="AFE46" s="746"/>
      <c r="AFF46" s="746"/>
      <c r="AFG46" s="746"/>
      <c r="AFH46" s="746"/>
      <c r="AFI46" s="746"/>
      <c r="AFJ46" s="746"/>
      <c r="AFK46" s="746"/>
      <c r="AFL46" s="746"/>
      <c r="AFM46" s="746"/>
      <c r="AFN46" s="746"/>
      <c r="AFO46" s="746"/>
      <c r="AFP46" s="746"/>
      <c r="AFQ46" s="746"/>
      <c r="AFR46" s="746"/>
      <c r="AFS46" s="746"/>
      <c r="AFT46" s="746"/>
      <c r="AFU46" s="746"/>
      <c r="AFV46" s="746"/>
      <c r="AFW46" s="746"/>
      <c r="AFX46" s="746"/>
      <c r="AFY46" s="746"/>
      <c r="AFZ46" s="746"/>
      <c r="AGA46" s="746"/>
      <c r="AGB46" s="746"/>
      <c r="AGC46" s="746"/>
      <c r="AGD46" s="746"/>
      <c r="AGE46" s="746"/>
      <c r="AGF46" s="746"/>
      <c r="AGG46" s="746"/>
      <c r="AGH46" s="746"/>
      <c r="AGI46" s="746"/>
      <c r="AGJ46" s="746"/>
      <c r="AGK46" s="746"/>
      <c r="AGL46" s="746"/>
      <c r="AGM46" s="746"/>
      <c r="AGN46" s="746"/>
      <c r="AGO46" s="746"/>
      <c r="AGP46" s="746"/>
      <c r="AGQ46" s="746"/>
      <c r="AGR46" s="746"/>
      <c r="AGS46" s="746"/>
      <c r="AGT46" s="746"/>
      <c r="AGU46" s="746"/>
      <c r="AGV46" s="746"/>
      <c r="AGW46" s="746"/>
      <c r="AGX46" s="746"/>
      <c r="AGY46" s="746"/>
      <c r="AGZ46" s="746"/>
      <c r="AHA46" s="746"/>
      <c r="AHB46" s="746"/>
      <c r="AHC46" s="746"/>
      <c r="AHD46" s="746"/>
      <c r="AHE46" s="746"/>
      <c r="AHF46" s="746"/>
      <c r="AHG46" s="746"/>
      <c r="AHH46" s="746"/>
      <c r="AHI46" s="746"/>
      <c r="AHJ46" s="746"/>
      <c r="AHK46" s="746"/>
      <c r="AHL46" s="746"/>
      <c r="AHM46" s="746"/>
      <c r="AHN46" s="746"/>
      <c r="AHO46" s="746"/>
      <c r="AHP46" s="746"/>
      <c r="AHQ46" s="746"/>
      <c r="AHR46" s="746"/>
      <c r="AHS46" s="746"/>
      <c r="AHT46" s="746"/>
      <c r="AHU46" s="746"/>
      <c r="AHV46" s="746"/>
      <c r="AHW46" s="746"/>
      <c r="AHX46" s="746"/>
      <c r="AHY46" s="746"/>
      <c r="AHZ46" s="746"/>
      <c r="AIA46" s="746"/>
      <c r="AIB46" s="746"/>
      <c r="AIC46" s="746"/>
      <c r="AID46" s="746"/>
      <c r="AIE46" s="746"/>
      <c r="AIF46" s="746"/>
      <c r="AIG46" s="746"/>
      <c r="AIH46" s="746"/>
      <c r="AII46" s="746"/>
      <c r="AIJ46" s="746"/>
      <c r="AIK46" s="746"/>
      <c r="AIL46" s="746"/>
      <c r="AIM46" s="746"/>
      <c r="AIN46" s="746"/>
      <c r="AIO46" s="746"/>
      <c r="AIP46" s="746"/>
      <c r="AIQ46" s="746"/>
      <c r="AIR46" s="746"/>
      <c r="AIS46" s="746"/>
      <c r="AIT46" s="746"/>
      <c r="AIU46" s="746"/>
      <c r="AIV46" s="746"/>
      <c r="AIW46" s="746"/>
      <c r="AIX46" s="746"/>
      <c r="AIY46" s="746"/>
      <c r="AIZ46" s="746"/>
      <c r="AJA46" s="746"/>
      <c r="AJB46" s="746"/>
      <c r="AJC46" s="746"/>
      <c r="AJD46" s="746"/>
      <c r="AJE46" s="746"/>
      <c r="AJF46" s="746"/>
      <c r="AJG46" s="746"/>
      <c r="AJH46" s="746"/>
      <c r="AJI46" s="746"/>
      <c r="AJJ46" s="746"/>
      <c r="AJK46" s="746"/>
      <c r="AJL46" s="746"/>
      <c r="AJM46" s="746"/>
      <c r="AJN46" s="746"/>
      <c r="AJO46" s="746"/>
      <c r="AJP46" s="746"/>
      <c r="AJQ46" s="746"/>
      <c r="AJR46" s="746"/>
      <c r="AJS46" s="746"/>
      <c r="AJT46" s="746"/>
      <c r="AJU46" s="746"/>
      <c r="AJV46" s="746"/>
      <c r="AJW46" s="746"/>
      <c r="AJX46" s="746"/>
      <c r="AJY46" s="746"/>
      <c r="AJZ46" s="746"/>
      <c r="AKA46" s="746"/>
      <c r="AKB46" s="746"/>
      <c r="AKC46" s="746"/>
      <c r="AKD46" s="746"/>
      <c r="AKE46" s="746"/>
      <c r="AKF46" s="746"/>
      <c r="AKG46" s="746"/>
      <c r="AKH46" s="746"/>
      <c r="AKI46" s="746"/>
      <c r="AKJ46" s="746"/>
      <c r="AKK46" s="746"/>
      <c r="AKL46" s="746"/>
      <c r="AKM46" s="746"/>
      <c r="AKN46" s="746"/>
      <c r="AKO46" s="746"/>
      <c r="AKP46" s="746"/>
      <c r="AKQ46" s="746"/>
      <c r="AKR46" s="746"/>
      <c r="AKS46" s="746"/>
      <c r="AKT46" s="746"/>
      <c r="AKU46" s="746"/>
      <c r="AKV46" s="746"/>
      <c r="AKW46" s="746"/>
      <c r="AKX46" s="746"/>
      <c r="AKY46" s="746"/>
      <c r="AKZ46" s="746"/>
      <c r="ALA46" s="746"/>
      <c r="ALB46" s="746"/>
      <c r="ALC46" s="746"/>
      <c r="ALD46" s="746"/>
      <c r="ALE46" s="746"/>
      <c r="ALF46" s="746"/>
      <c r="ALG46" s="746"/>
      <c r="ALH46" s="746"/>
      <c r="ALI46" s="746"/>
      <c r="ALJ46" s="746"/>
      <c r="ALK46" s="746"/>
      <c r="ALL46" s="746"/>
      <c r="ALM46" s="746"/>
      <c r="ALN46" s="746"/>
      <c r="ALO46" s="746"/>
      <c r="ALP46" s="746"/>
      <c r="ALQ46" s="746"/>
      <c r="ALR46" s="746"/>
      <c r="ALS46" s="746"/>
      <c r="ALT46" s="746"/>
      <c r="ALU46" s="746"/>
      <c r="ALV46" s="746"/>
      <c r="ALW46" s="746"/>
      <c r="ALX46" s="746"/>
      <c r="ALY46" s="746"/>
      <c r="ALZ46" s="746"/>
      <c r="AMA46" s="746"/>
      <c r="AMB46" s="746"/>
      <c r="AMC46" s="746"/>
      <c r="AMD46" s="746"/>
      <c r="AME46" s="746"/>
      <c r="AMF46" s="746"/>
      <c r="AMG46" s="746"/>
      <c r="AMH46" s="746"/>
      <c r="AMI46" s="746"/>
    </row>
    <row r="47" spans="1:1023" s="259" customFormat="1" ht="21.75" customHeight="1" x14ac:dyDescent="0.25">
      <c r="A47" s="747"/>
      <c r="B47" s="747"/>
      <c r="C47" s="747"/>
      <c r="D47" s="747"/>
      <c r="E47" s="747"/>
      <c r="F47" s="747"/>
      <c r="G47" s="747"/>
      <c r="H47" s="747"/>
      <c r="I47" s="747"/>
      <c r="J47" s="747"/>
      <c r="K47" s="747"/>
      <c r="L47" s="747"/>
      <c r="M47" s="747"/>
      <c r="N47" s="747"/>
      <c r="O47" s="747"/>
      <c r="P47" s="747"/>
      <c r="Q47" s="747"/>
      <c r="R47" s="747"/>
      <c r="S47" s="747"/>
      <c r="T47" s="747"/>
      <c r="U47" s="747"/>
      <c r="V47" s="747"/>
      <c r="W47" s="747"/>
      <c r="X47" s="747"/>
      <c r="Y47" s="747"/>
      <c r="Z47" s="747"/>
      <c r="AA47" s="747"/>
      <c r="AB47" s="747"/>
      <c r="AC47" s="747"/>
      <c r="AD47" s="747"/>
      <c r="AE47" s="747"/>
      <c r="AF47" s="747"/>
      <c r="AG47" s="747"/>
      <c r="AH47" s="747"/>
      <c r="AI47" s="747"/>
      <c r="AJ47" s="747"/>
      <c r="AK47" s="747"/>
      <c r="AL47" s="747"/>
      <c r="AM47" s="747"/>
      <c r="AN47" s="747"/>
      <c r="AO47" s="747"/>
      <c r="AP47" s="747"/>
      <c r="AQ47" s="747"/>
      <c r="AR47" s="747"/>
      <c r="AS47" s="747"/>
      <c r="AT47" s="747"/>
      <c r="AU47" s="747"/>
      <c r="AV47" s="747"/>
      <c r="AW47" s="747"/>
      <c r="AX47" s="747"/>
      <c r="AY47" s="747"/>
      <c r="AZ47" s="747"/>
      <c r="BA47" s="747"/>
      <c r="BB47" s="747"/>
      <c r="BC47" s="747"/>
      <c r="BD47" s="747"/>
      <c r="BE47" s="747"/>
      <c r="BF47" s="747"/>
      <c r="BG47" s="747"/>
      <c r="BH47" s="747"/>
      <c r="BI47" s="747"/>
      <c r="BJ47" s="747"/>
      <c r="BK47" s="747"/>
      <c r="BL47" s="747"/>
      <c r="BM47" s="747"/>
      <c r="BN47" s="747"/>
      <c r="BO47" s="747"/>
      <c r="BP47" s="747"/>
      <c r="BQ47" s="747"/>
      <c r="BR47" s="747"/>
      <c r="BS47" s="747"/>
      <c r="BT47" s="747"/>
      <c r="BU47" s="747"/>
      <c r="BV47" s="747"/>
      <c r="BW47" s="747"/>
      <c r="BX47" s="747"/>
      <c r="BY47" s="747"/>
      <c r="BZ47" s="747"/>
      <c r="CA47" s="747"/>
      <c r="CB47" s="747"/>
      <c r="CC47" s="747"/>
      <c r="CD47" s="747"/>
      <c r="CE47" s="747"/>
      <c r="CF47" s="747"/>
      <c r="CG47" s="747"/>
      <c r="CH47" s="747"/>
      <c r="CI47" s="747"/>
      <c r="CJ47" s="747"/>
      <c r="CK47" s="747"/>
      <c r="CL47" s="747"/>
      <c r="CM47" s="747"/>
      <c r="CN47" s="747"/>
      <c r="CO47" s="747"/>
      <c r="CP47" s="747"/>
      <c r="CQ47" s="747"/>
      <c r="CR47" s="747"/>
      <c r="CS47" s="747"/>
      <c r="CT47" s="747"/>
      <c r="CU47" s="747"/>
      <c r="CV47" s="747"/>
      <c r="CW47" s="747"/>
      <c r="CX47" s="747"/>
      <c r="CY47" s="747"/>
      <c r="CZ47" s="747"/>
      <c r="DA47" s="747"/>
      <c r="DB47" s="747"/>
      <c r="DC47" s="747"/>
      <c r="DD47" s="747"/>
      <c r="DE47" s="747"/>
      <c r="DF47" s="747"/>
      <c r="DG47" s="747"/>
      <c r="DH47" s="747"/>
      <c r="DI47" s="747"/>
      <c r="DJ47" s="747"/>
      <c r="DK47" s="747"/>
      <c r="DL47" s="747"/>
      <c r="DM47" s="747"/>
      <c r="DN47" s="747"/>
      <c r="DO47" s="747"/>
      <c r="DP47" s="747"/>
      <c r="DQ47" s="747"/>
      <c r="DR47" s="747"/>
      <c r="DS47" s="747"/>
      <c r="DT47" s="747"/>
      <c r="DU47" s="747"/>
      <c r="DV47" s="747"/>
      <c r="DW47" s="747"/>
      <c r="DX47" s="747"/>
      <c r="DY47" s="747"/>
      <c r="DZ47" s="747"/>
      <c r="EA47" s="747"/>
      <c r="EB47" s="747"/>
      <c r="EC47" s="747"/>
      <c r="ED47" s="747"/>
      <c r="EE47" s="747"/>
      <c r="EF47" s="747"/>
      <c r="EG47" s="747"/>
      <c r="EH47" s="747"/>
      <c r="EI47" s="747"/>
      <c r="EJ47" s="747"/>
      <c r="EK47" s="747"/>
      <c r="EL47" s="747"/>
      <c r="EM47" s="747"/>
      <c r="EN47" s="747"/>
      <c r="EO47" s="747"/>
      <c r="EP47" s="747"/>
      <c r="EQ47" s="747"/>
      <c r="ER47" s="747"/>
      <c r="ES47" s="747"/>
      <c r="ET47" s="747"/>
      <c r="EU47" s="747"/>
      <c r="EV47" s="747"/>
      <c r="EW47" s="747"/>
      <c r="EX47" s="747"/>
      <c r="EY47" s="747"/>
      <c r="EZ47" s="747"/>
      <c r="FA47" s="747"/>
      <c r="FB47" s="747"/>
      <c r="FC47" s="747"/>
      <c r="FD47" s="747"/>
      <c r="FE47" s="747"/>
      <c r="FF47" s="747"/>
      <c r="FG47" s="747"/>
      <c r="FH47" s="747"/>
      <c r="FI47" s="747"/>
      <c r="FJ47" s="747"/>
      <c r="FK47" s="747"/>
      <c r="FL47" s="747"/>
      <c r="FM47" s="747"/>
      <c r="FN47" s="747"/>
      <c r="FO47" s="747"/>
      <c r="FP47" s="747"/>
      <c r="FQ47" s="747"/>
      <c r="FR47" s="747"/>
      <c r="FS47" s="747"/>
      <c r="FT47" s="747"/>
      <c r="FU47" s="747"/>
      <c r="FV47" s="747"/>
      <c r="FW47" s="747"/>
      <c r="FX47" s="747"/>
      <c r="FY47" s="747"/>
      <c r="FZ47" s="747"/>
      <c r="GA47" s="747"/>
      <c r="GB47" s="747"/>
      <c r="GC47" s="747"/>
      <c r="GD47" s="747"/>
      <c r="GE47" s="747"/>
      <c r="GF47" s="747"/>
      <c r="GG47" s="747"/>
      <c r="GH47" s="747"/>
      <c r="GI47" s="747"/>
      <c r="GJ47" s="747"/>
      <c r="GK47" s="747"/>
      <c r="GL47" s="747"/>
      <c r="GM47" s="747"/>
      <c r="GN47" s="747"/>
      <c r="GO47" s="747"/>
      <c r="GP47" s="747"/>
      <c r="GQ47" s="747"/>
      <c r="GR47" s="747"/>
      <c r="GS47" s="747"/>
      <c r="GT47" s="747"/>
      <c r="GU47" s="747"/>
      <c r="GV47" s="747"/>
      <c r="GW47" s="747"/>
      <c r="GX47" s="747"/>
      <c r="GY47" s="747"/>
      <c r="GZ47" s="747"/>
      <c r="HA47" s="747"/>
      <c r="HB47" s="747"/>
      <c r="HC47" s="747"/>
      <c r="HD47" s="747"/>
      <c r="HE47" s="747"/>
      <c r="HF47" s="747"/>
      <c r="HG47" s="747"/>
      <c r="HH47" s="747"/>
      <c r="HI47" s="747"/>
      <c r="HJ47" s="747"/>
      <c r="HK47" s="747"/>
      <c r="HL47" s="747"/>
      <c r="HM47" s="747"/>
      <c r="HN47" s="747"/>
      <c r="HO47" s="747"/>
      <c r="HP47" s="747"/>
      <c r="HQ47" s="747"/>
      <c r="HR47" s="747"/>
      <c r="HS47" s="747"/>
      <c r="HT47" s="747"/>
      <c r="HU47" s="747"/>
      <c r="HV47" s="747"/>
      <c r="HW47" s="747"/>
      <c r="HX47" s="747"/>
      <c r="HY47" s="747"/>
      <c r="HZ47" s="747"/>
      <c r="IA47" s="747"/>
      <c r="IB47" s="747"/>
      <c r="IC47" s="747"/>
      <c r="ID47" s="747"/>
      <c r="IE47" s="747"/>
      <c r="IF47" s="747"/>
      <c r="IG47" s="747"/>
      <c r="IH47" s="747"/>
      <c r="II47" s="747"/>
      <c r="IJ47" s="747"/>
      <c r="IK47" s="747"/>
      <c r="IL47" s="747"/>
      <c r="IM47" s="747"/>
      <c r="IN47" s="747"/>
      <c r="IO47" s="747"/>
      <c r="IP47" s="747"/>
      <c r="IQ47" s="747"/>
      <c r="IR47" s="747"/>
      <c r="IS47" s="747"/>
      <c r="IT47" s="747"/>
      <c r="IU47" s="747"/>
      <c r="IV47" s="747"/>
      <c r="IW47" s="747"/>
      <c r="IX47" s="747"/>
      <c r="IY47" s="747"/>
      <c r="IZ47" s="747"/>
      <c r="JA47" s="747"/>
      <c r="JB47" s="747"/>
      <c r="JC47" s="747"/>
      <c r="JD47" s="747"/>
      <c r="JE47" s="747"/>
      <c r="JF47" s="747"/>
      <c r="JG47" s="747"/>
      <c r="JH47" s="747"/>
      <c r="JI47" s="747"/>
      <c r="JJ47" s="747"/>
      <c r="JK47" s="747"/>
      <c r="JL47" s="747"/>
      <c r="JM47" s="747"/>
      <c r="JN47" s="747"/>
      <c r="JO47" s="747"/>
      <c r="JP47" s="747"/>
      <c r="JQ47" s="747"/>
      <c r="JR47" s="747"/>
      <c r="JS47" s="747"/>
      <c r="JT47" s="747"/>
      <c r="JU47" s="747"/>
      <c r="JV47" s="747"/>
      <c r="JW47" s="747"/>
      <c r="JX47" s="747"/>
      <c r="JY47" s="747"/>
      <c r="JZ47" s="747"/>
      <c r="KA47" s="747"/>
      <c r="KB47" s="747"/>
      <c r="KC47" s="747"/>
      <c r="KD47" s="747"/>
      <c r="KE47" s="747"/>
      <c r="KF47" s="747"/>
      <c r="KG47" s="747"/>
      <c r="KH47" s="747"/>
      <c r="KI47" s="747"/>
      <c r="KJ47" s="747"/>
      <c r="KK47" s="747"/>
      <c r="KL47" s="747"/>
      <c r="KM47" s="747"/>
      <c r="KN47" s="747"/>
      <c r="KO47" s="747"/>
      <c r="KP47" s="747"/>
      <c r="KQ47" s="747"/>
      <c r="KR47" s="747"/>
      <c r="KS47" s="747"/>
      <c r="KT47" s="747"/>
      <c r="KU47" s="747"/>
      <c r="KV47" s="747"/>
      <c r="KW47" s="747"/>
      <c r="KX47" s="747"/>
      <c r="KY47" s="747"/>
      <c r="KZ47" s="747"/>
      <c r="LA47" s="747"/>
      <c r="LB47" s="747"/>
      <c r="LC47" s="747"/>
      <c r="LD47" s="747"/>
      <c r="LE47" s="747"/>
      <c r="LF47" s="747"/>
      <c r="LG47" s="747"/>
      <c r="LH47" s="747"/>
      <c r="LI47" s="747"/>
      <c r="LJ47" s="747"/>
      <c r="LK47" s="747"/>
      <c r="LL47" s="747"/>
      <c r="LM47" s="747"/>
      <c r="LN47" s="747"/>
      <c r="LO47" s="747"/>
      <c r="LP47" s="747"/>
      <c r="LQ47" s="747"/>
      <c r="LR47" s="747"/>
      <c r="LS47" s="747"/>
      <c r="LT47" s="747"/>
      <c r="LU47" s="747"/>
      <c r="LV47" s="747"/>
      <c r="LW47" s="747"/>
      <c r="LX47" s="747"/>
      <c r="LY47" s="747"/>
      <c r="LZ47" s="747"/>
      <c r="MA47" s="747"/>
      <c r="MB47" s="747"/>
      <c r="MC47" s="747"/>
      <c r="MD47" s="747"/>
      <c r="ME47" s="747"/>
      <c r="MF47" s="747"/>
      <c r="MG47" s="747"/>
      <c r="MH47" s="747"/>
      <c r="MI47" s="747"/>
      <c r="MJ47" s="747"/>
      <c r="MK47" s="747"/>
      <c r="ML47" s="747"/>
      <c r="MM47" s="747"/>
      <c r="MN47" s="747"/>
      <c r="MO47" s="747"/>
      <c r="MP47" s="747"/>
      <c r="MQ47" s="747"/>
      <c r="MR47" s="747"/>
      <c r="MS47" s="747"/>
      <c r="MT47" s="747"/>
      <c r="MU47" s="747"/>
      <c r="MV47" s="747"/>
      <c r="MW47" s="747"/>
      <c r="MX47" s="747"/>
      <c r="MY47" s="747"/>
      <c r="MZ47" s="747"/>
      <c r="NA47" s="747"/>
      <c r="NB47" s="747"/>
      <c r="NC47" s="747"/>
      <c r="ND47" s="747"/>
      <c r="NE47" s="747"/>
      <c r="NF47" s="747"/>
      <c r="NG47" s="747"/>
      <c r="NH47" s="747"/>
      <c r="NI47" s="747"/>
      <c r="NJ47" s="747"/>
      <c r="NK47" s="747"/>
      <c r="NL47" s="747"/>
      <c r="NM47" s="747"/>
      <c r="NN47" s="747"/>
      <c r="NO47" s="747"/>
      <c r="NP47" s="747"/>
      <c r="NQ47" s="747"/>
      <c r="NR47" s="747"/>
      <c r="NS47" s="747"/>
      <c r="NT47" s="747"/>
      <c r="NU47" s="747"/>
      <c r="NV47" s="747"/>
      <c r="NW47" s="747"/>
      <c r="NX47" s="747"/>
      <c r="NY47" s="747"/>
      <c r="NZ47" s="747"/>
      <c r="OA47" s="747"/>
      <c r="OB47" s="747"/>
      <c r="OC47" s="747"/>
      <c r="OD47" s="747"/>
      <c r="OE47" s="747"/>
      <c r="OF47" s="747"/>
      <c r="OG47" s="747"/>
      <c r="OH47" s="747"/>
      <c r="OI47" s="747"/>
      <c r="OJ47" s="747"/>
      <c r="OK47" s="747"/>
      <c r="OL47" s="747"/>
      <c r="OM47" s="747"/>
      <c r="ON47" s="747"/>
      <c r="OO47" s="747"/>
      <c r="OP47" s="747"/>
      <c r="OQ47" s="747"/>
      <c r="OR47" s="747"/>
      <c r="OS47" s="747"/>
      <c r="OT47" s="747"/>
      <c r="OU47" s="747"/>
      <c r="OV47" s="747"/>
      <c r="OW47" s="747"/>
      <c r="OX47" s="747"/>
      <c r="OY47" s="747"/>
      <c r="OZ47" s="747"/>
      <c r="PA47" s="747"/>
      <c r="PB47" s="747"/>
      <c r="PC47" s="747"/>
      <c r="PD47" s="747"/>
      <c r="PE47" s="747"/>
      <c r="PF47" s="747"/>
      <c r="PG47" s="747"/>
      <c r="PH47" s="747"/>
      <c r="PI47" s="747"/>
      <c r="PJ47" s="747"/>
      <c r="PK47" s="747"/>
      <c r="PL47" s="747"/>
      <c r="PM47" s="747"/>
      <c r="PN47" s="747"/>
      <c r="PO47" s="747"/>
      <c r="PP47" s="747"/>
      <c r="PQ47" s="747"/>
      <c r="PR47" s="747"/>
      <c r="PS47" s="747"/>
      <c r="PT47" s="747"/>
      <c r="PU47" s="747"/>
      <c r="PV47" s="747"/>
      <c r="PW47" s="747"/>
      <c r="PX47" s="747"/>
      <c r="PY47" s="747"/>
      <c r="PZ47" s="747"/>
      <c r="QA47" s="747"/>
      <c r="QB47" s="747"/>
      <c r="QC47" s="747"/>
      <c r="QD47" s="747"/>
      <c r="QE47" s="747"/>
      <c r="QF47" s="747"/>
      <c r="QG47" s="747"/>
      <c r="QH47" s="747"/>
      <c r="QI47" s="747"/>
      <c r="QJ47" s="747"/>
      <c r="QK47" s="747"/>
      <c r="QL47" s="747"/>
      <c r="QM47" s="747"/>
      <c r="QN47" s="747"/>
      <c r="QO47" s="747"/>
      <c r="QP47" s="747"/>
      <c r="QQ47" s="747"/>
      <c r="QR47" s="747"/>
      <c r="QS47" s="747"/>
      <c r="QT47" s="747"/>
      <c r="QU47" s="747"/>
      <c r="QV47" s="747"/>
      <c r="QW47" s="747"/>
      <c r="QX47" s="747"/>
      <c r="QY47" s="747"/>
      <c r="QZ47" s="747"/>
      <c r="RA47" s="747"/>
      <c r="RB47" s="747"/>
      <c r="RC47" s="747"/>
      <c r="RD47" s="747"/>
      <c r="RE47" s="747"/>
      <c r="RF47" s="747"/>
      <c r="RG47" s="747"/>
      <c r="RH47" s="747"/>
      <c r="RI47" s="747"/>
      <c r="RJ47" s="747"/>
      <c r="RK47" s="747"/>
      <c r="RL47" s="747"/>
      <c r="RM47" s="747"/>
      <c r="RN47" s="747"/>
      <c r="RO47" s="747"/>
      <c r="RP47" s="747"/>
      <c r="RQ47" s="747"/>
      <c r="RR47" s="747"/>
      <c r="RS47" s="747"/>
      <c r="RT47" s="747"/>
      <c r="RU47" s="747"/>
      <c r="RV47" s="747"/>
      <c r="RW47" s="747"/>
      <c r="RX47" s="747"/>
      <c r="RY47" s="747"/>
      <c r="RZ47" s="747"/>
      <c r="SA47" s="747"/>
      <c r="SB47" s="747"/>
      <c r="SC47" s="747"/>
      <c r="SD47" s="747"/>
      <c r="SE47" s="747"/>
      <c r="SF47" s="747"/>
      <c r="SG47" s="747"/>
      <c r="SH47" s="747"/>
      <c r="SI47" s="747"/>
      <c r="SJ47" s="747"/>
      <c r="SK47" s="747"/>
      <c r="SL47" s="747"/>
      <c r="SM47" s="747"/>
      <c r="SN47" s="747"/>
      <c r="SO47" s="747"/>
      <c r="SP47" s="747"/>
      <c r="SQ47" s="747"/>
      <c r="SR47" s="747"/>
      <c r="SS47" s="747"/>
      <c r="ST47" s="747"/>
      <c r="SU47" s="747"/>
      <c r="SV47" s="747"/>
      <c r="SW47" s="747"/>
      <c r="SX47" s="747"/>
      <c r="SY47" s="747"/>
      <c r="SZ47" s="747"/>
      <c r="TA47" s="747"/>
      <c r="TB47" s="747"/>
      <c r="TC47" s="747"/>
      <c r="TD47" s="747"/>
      <c r="TE47" s="747"/>
      <c r="TF47" s="747"/>
      <c r="TG47" s="747"/>
      <c r="TH47" s="747"/>
      <c r="TI47" s="747"/>
      <c r="TJ47" s="747"/>
      <c r="TK47" s="747"/>
      <c r="TL47" s="747"/>
      <c r="TM47" s="747"/>
      <c r="TN47" s="747"/>
      <c r="TO47" s="747"/>
      <c r="TP47" s="747"/>
      <c r="TQ47" s="747"/>
      <c r="TR47" s="747"/>
      <c r="TS47" s="747"/>
      <c r="TT47" s="747"/>
      <c r="TU47" s="747"/>
      <c r="TV47" s="747"/>
      <c r="TW47" s="747"/>
      <c r="TX47" s="747"/>
      <c r="TY47" s="747"/>
      <c r="TZ47" s="747"/>
      <c r="UA47" s="747"/>
      <c r="UB47" s="747"/>
      <c r="UC47" s="747"/>
      <c r="UD47" s="747"/>
      <c r="UE47" s="747"/>
      <c r="UF47" s="747"/>
      <c r="UG47" s="747"/>
      <c r="UH47" s="747"/>
      <c r="UI47" s="747"/>
      <c r="UJ47" s="747"/>
      <c r="UK47" s="747"/>
      <c r="UL47" s="747"/>
      <c r="UM47" s="747"/>
      <c r="UN47" s="747"/>
      <c r="UO47" s="747"/>
      <c r="UP47" s="747"/>
      <c r="UQ47" s="747"/>
      <c r="UR47" s="747"/>
      <c r="US47" s="747"/>
      <c r="UT47" s="747"/>
      <c r="UU47" s="747"/>
      <c r="UV47" s="747"/>
      <c r="UW47" s="747"/>
      <c r="UX47" s="747"/>
      <c r="UY47" s="747"/>
      <c r="UZ47" s="747"/>
      <c r="VA47" s="747"/>
      <c r="VB47" s="747"/>
      <c r="VC47" s="747"/>
      <c r="VD47" s="747"/>
      <c r="VE47" s="747"/>
      <c r="VF47" s="747"/>
      <c r="VG47" s="747"/>
      <c r="VH47" s="747"/>
      <c r="VI47" s="747"/>
      <c r="VJ47" s="747"/>
      <c r="VK47" s="747"/>
      <c r="VL47" s="747"/>
      <c r="VM47" s="747"/>
      <c r="VN47" s="747"/>
      <c r="VO47" s="747"/>
      <c r="VP47" s="747"/>
      <c r="VQ47" s="747"/>
      <c r="VR47" s="747"/>
      <c r="VS47" s="747"/>
      <c r="VT47" s="747"/>
      <c r="VU47" s="747"/>
      <c r="VV47" s="747"/>
      <c r="VW47" s="747"/>
      <c r="VX47" s="747"/>
      <c r="VY47" s="747"/>
      <c r="VZ47" s="747"/>
      <c r="WA47" s="747"/>
      <c r="WB47" s="747"/>
      <c r="WC47" s="747"/>
      <c r="WD47" s="747"/>
      <c r="WE47" s="747"/>
      <c r="WF47" s="747"/>
      <c r="WG47" s="747"/>
      <c r="WH47" s="747"/>
      <c r="WI47" s="747"/>
      <c r="WJ47" s="747"/>
      <c r="WK47" s="747"/>
      <c r="WL47" s="747"/>
      <c r="WM47" s="747"/>
      <c r="WN47" s="747"/>
      <c r="WO47" s="747"/>
      <c r="WP47" s="747"/>
      <c r="WQ47" s="747"/>
      <c r="WR47" s="747"/>
      <c r="WS47" s="747"/>
      <c r="WT47" s="747"/>
      <c r="WU47" s="747"/>
      <c r="WV47" s="747"/>
      <c r="WW47" s="747"/>
      <c r="WX47" s="747"/>
      <c r="WY47" s="747"/>
      <c r="WZ47" s="747"/>
      <c r="XA47" s="747"/>
      <c r="XB47" s="747"/>
      <c r="XC47" s="747"/>
      <c r="XD47" s="747"/>
      <c r="XE47" s="747"/>
      <c r="XF47" s="747"/>
      <c r="XG47" s="747"/>
      <c r="XH47" s="747"/>
      <c r="XI47" s="747"/>
      <c r="XJ47" s="747"/>
      <c r="XK47" s="747"/>
      <c r="XL47" s="747"/>
      <c r="XM47" s="747"/>
      <c r="XN47" s="747"/>
      <c r="XO47" s="747"/>
      <c r="XP47" s="747"/>
      <c r="XQ47" s="747"/>
      <c r="XR47" s="747"/>
      <c r="XS47" s="747"/>
      <c r="XT47" s="747"/>
      <c r="XU47" s="747"/>
      <c r="XV47" s="747"/>
      <c r="XW47" s="747"/>
      <c r="XX47" s="747"/>
      <c r="XY47" s="747"/>
      <c r="XZ47" s="747"/>
      <c r="YA47" s="747"/>
      <c r="YB47" s="747"/>
      <c r="YC47" s="747"/>
      <c r="YD47" s="747"/>
      <c r="YE47" s="747"/>
      <c r="YF47" s="747"/>
      <c r="YG47" s="747"/>
      <c r="YH47" s="747"/>
      <c r="YI47" s="747"/>
      <c r="YJ47" s="747"/>
      <c r="YK47" s="747"/>
      <c r="YL47" s="747"/>
      <c r="YM47" s="747"/>
      <c r="YN47" s="747"/>
      <c r="YO47" s="747"/>
      <c r="YP47" s="747"/>
      <c r="YQ47" s="747"/>
      <c r="YR47" s="747"/>
      <c r="YS47" s="747"/>
      <c r="YT47" s="747"/>
      <c r="YU47" s="747"/>
      <c r="YV47" s="747"/>
      <c r="YW47" s="747"/>
      <c r="YX47" s="747"/>
      <c r="YY47" s="747"/>
      <c r="YZ47" s="747"/>
      <c r="ZA47" s="747"/>
      <c r="ZB47" s="747"/>
      <c r="ZC47" s="747"/>
      <c r="ZD47" s="747"/>
      <c r="ZE47" s="747"/>
      <c r="ZF47" s="747"/>
      <c r="ZG47" s="747"/>
      <c r="ZH47" s="747"/>
      <c r="ZI47" s="747"/>
      <c r="ZJ47" s="747"/>
      <c r="ZK47" s="747"/>
      <c r="ZL47" s="747"/>
      <c r="ZM47" s="747"/>
      <c r="ZN47" s="747"/>
      <c r="ZO47" s="747"/>
      <c r="ZP47" s="747"/>
      <c r="ZQ47" s="747"/>
      <c r="ZR47" s="747"/>
      <c r="ZS47" s="747"/>
      <c r="ZT47" s="747"/>
      <c r="ZU47" s="747"/>
      <c r="ZV47" s="747"/>
      <c r="ZW47" s="747"/>
      <c r="ZX47" s="747"/>
      <c r="ZY47" s="747"/>
      <c r="ZZ47" s="747"/>
      <c r="AAA47" s="747"/>
      <c r="AAB47" s="747"/>
      <c r="AAC47" s="747"/>
      <c r="AAD47" s="747"/>
      <c r="AAE47" s="747"/>
      <c r="AAF47" s="747"/>
      <c r="AAG47" s="747"/>
      <c r="AAH47" s="747"/>
      <c r="AAI47" s="747"/>
      <c r="AAJ47" s="747"/>
      <c r="AAK47" s="747"/>
      <c r="AAL47" s="747"/>
      <c r="AAM47" s="747"/>
      <c r="AAN47" s="747"/>
      <c r="AAO47" s="747"/>
      <c r="AAP47" s="747"/>
      <c r="AAQ47" s="747"/>
      <c r="AAR47" s="747"/>
      <c r="AAS47" s="747"/>
      <c r="AAT47" s="747"/>
      <c r="AAU47" s="747"/>
      <c r="AAV47" s="747"/>
      <c r="AAW47" s="747"/>
      <c r="AAX47" s="747"/>
      <c r="AAY47" s="747"/>
      <c r="AAZ47" s="747"/>
      <c r="ABA47" s="747"/>
      <c r="ABB47" s="747"/>
      <c r="ABC47" s="747"/>
      <c r="ABD47" s="747"/>
      <c r="ABE47" s="747"/>
      <c r="ABF47" s="747"/>
      <c r="ABG47" s="747"/>
      <c r="ABH47" s="747"/>
      <c r="ABI47" s="747"/>
      <c r="ABJ47" s="747"/>
      <c r="ABK47" s="747"/>
      <c r="ABL47" s="747"/>
      <c r="ABM47" s="747"/>
      <c r="ABN47" s="747"/>
      <c r="ABO47" s="747"/>
      <c r="ABP47" s="747"/>
      <c r="ABQ47" s="747"/>
      <c r="ABR47" s="747"/>
      <c r="ABS47" s="747"/>
      <c r="ABT47" s="747"/>
      <c r="ABU47" s="747"/>
      <c r="ABV47" s="747"/>
      <c r="ABW47" s="747"/>
      <c r="ABX47" s="747"/>
      <c r="ABY47" s="747"/>
      <c r="ABZ47" s="747"/>
      <c r="ACA47" s="747"/>
      <c r="ACB47" s="747"/>
      <c r="ACC47" s="747"/>
      <c r="ACD47" s="747"/>
      <c r="ACE47" s="747"/>
      <c r="ACF47" s="747"/>
      <c r="ACG47" s="747"/>
      <c r="ACH47" s="747"/>
      <c r="ACI47" s="747"/>
      <c r="ACJ47" s="747"/>
      <c r="ACK47" s="747"/>
      <c r="ACL47" s="747"/>
      <c r="ACM47" s="747"/>
      <c r="ACN47" s="747"/>
      <c r="ACO47" s="747"/>
      <c r="ACP47" s="747"/>
      <c r="ACQ47" s="747"/>
      <c r="ACR47" s="747"/>
      <c r="ACS47" s="747"/>
      <c r="ACT47" s="747"/>
      <c r="ACU47" s="747"/>
      <c r="ACV47" s="747"/>
      <c r="ACW47" s="747"/>
      <c r="ACX47" s="747"/>
      <c r="ACY47" s="747"/>
      <c r="ACZ47" s="747"/>
      <c r="ADA47" s="747"/>
      <c r="ADB47" s="747"/>
      <c r="ADC47" s="747"/>
      <c r="ADD47" s="747"/>
      <c r="ADE47" s="747"/>
      <c r="ADF47" s="747"/>
      <c r="ADG47" s="747"/>
      <c r="ADH47" s="747"/>
      <c r="ADI47" s="747"/>
      <c r="ADJ47" s="747"/>
      <c r="ADK47" s="747"/>
      <c r="ADL47" s="747"/>
      <c r="ADM47" s="747"/>
      <c r="ADN47" s="747"/>
      <c r="ADO47" s="747"/>
      <c r="ADP47" s="747"/>
      <c r="ADQ47" s="747"/>
      <c r="ADR47" s="747"/>
      <c r="ADS47" s="747"/>
      <c r="ADT47" s="747"/>
      <c r="ADU47" s="747"/>
      <c r="ADV47" s="747"/>
      <c r="ADW47" s="747"/>
      <c r="ADX47" s="747"/>
      <c r="ADY47" s="747"/>
      <c r="ADZ47" s="747"/>
      <c r="AEA47" s="747"/>
      <c r="AEB47" s="747"/>
      <c r="AEC47" s="747"/>
      <c r="AED47" s="747"/>
      <c r="AEE47" s="747"/>
      <c r="AEF47" s="747"/>
      <c r="AEG47" s="747"/>
      <c r="AEH47" s="747"/>
      <c r="AEI47" s="747"/>
      <c r="AEJ47" s="747"/>
      <c r="AEK47" s="747"/>
      <c r="AEL47" s="747"/>
      <c r="AEM47" s="747"/>
      <c r="AEN47" s="747"/>
      <c r="AEO47" s="747"/>
      <c r="AEP47" s="747"/>
      <c r="AEQ47" s="747"/>
      <c r="AER47" s="747"/>
      <c r="AES47" s="747"/>
      <c r="AET47" s="747"/>
      <c r="AEU47" s="747"/>
      <c r="AEV47" s="747"/>
      <c r="AEW47" s="747"/>
      <c r="AEX47" s="747"/>
      <c r="AEY47" s="747"/>
      <c r="AEZ47" s="747"/>
      <c r="AFA47" s="747"/>
      <c r="AFB47" s="747"/>
      <c r="AFC47" s="747"/>
      <c r="AFD47" s="747"/>
      <c r="AFE47" s="747"/>
      <c r="AFF47" s="747"/>
      <c r="AFG47" s="747"/>
      <c r="AFH47" s="747"/>
      <c r="AFI47" s="747"/>
      <c r="AFJ47" s="747"/>
      <c r="AFK47" s="747"/>
      <c r="AFL47" s="747"/>
      <c r="AFM47" s="747"/>
      <c r="AFN47" s="747"/>
      <c r="AFO47" s="747"/>
      <c r="AFP47" s="747"/>
      <c r="AFQ47" s="747"/>
      <c r="AFR47" s="747"/>
      <c r="AFS47" s="747"/>
      <c r="AFT47" s="747"/>
      <c r="AFU47" s="747"/>
      <c r="AFV47" s="747"/>
      <c r="AFW47" s="747"/>
      <c r="AFX47" s="747"/>
      <c r="AFY47" s="747"/>
      <c r="AFZ47" s="747"/>
      <c r="AGA47" s="747"/>
      <c r="AGB47" s="747"/>
      <c r="AGC47" s="747"/>
      <c r="AGD47" s="747"/>
      <c r="AGE47" s="747"/>
      <c r="AGF47" s="747"/>
      <c r="AGG47" s="747"/>
      <c r="AGH47" s="747"/>
      <c r="AGI47" s="747"/>
      <c r="AGJ47" s="747"/>
      <c r="AGK47" s="747"/>
      <c r="AGL47" s="747"/>
      <c r="AGM47" s="747"/>
      <c r="AGN47" s="747"/>
      <c r="AGO47" s="747"/>
      <c r="AGP47" s="747"/>
      <c r="AGQ47" s="747"/>
      <c r="AGR47" s="747"/>
      <c r="AGS47" s="747"/>
      <c r="AGT47" s="747"/>
      <c r="AGU47" s="747"/>
      <c r="AGV47" s="747"/>
      <c r="AGW47" s="747"/>
      <c r="AGX47" s="747"/>
      <c r="AGY47" s="747"/>
      <c r="AGZ47" s="747"/>
      <c r="AHA47" s="747"/>
      <c r="AHB47" s="747"/>
      <c r="AHC47" s="747"/>
      <c r="AHD47" s="747"/>
      <c r="AHE47" s="747"/>
      <c r="AHF47" s="747"/>
      <c r="AHG47" s="747"/>
      <c r="AHH47" s="747"/>
      <c r="AHI47" s="747"/>
      <c r="AHJ47" s="747"/>
      <c r="AHK47" s="747"/>
      <c r="AHL47" s="747"/>
      <c r="AHM47" s="747"/>
      <c r="AHN47" s="747"/>
      <c r="AHO47" s="747"/>
      <c r="AHP47" s="747"/>
      <c r="AHQ47" s="747"/>
      <c r="AHR47" s="747"/>
      <c r="AHS47" s="747"/>
      <c r="AHT47" s="747"/>
      <c r="AHU47" s="747"/>
      <c r="AHV47" s="747"/>
      <c r="AHW47" s="747"/>
      <c r="AHX47" s="747"/>
      <c r="AHY47" s="747"/>
      <c r="AHZ47" s="747"/>
      <c r="AIA47" s="747"/>
      <c r="AIB47" s="747"/>
      <c r="AIC47" s="747"/>
      <c r="AID47" s="747"/>
      <c r="AIE47" s="747"/>
      <c r="AIF47" s="747"/>
      <c r="AIG47" s="747"/>
      <c r="AIH47" s="747"/>
      <c r="AII47" s="747"/>
      <c r="AIJ47" s="747"/>
      <c r="AIK47" s="747"/>
      <c r="AIL47" s="747"/>
      <c r="AIM47" s="747"/>
      <c r="AIN47" s="747"/>
      <c r="AIO47" s="747"/>
      <c r="AIP47" s="747"/>
      <c r="AIQ47" s="747"/>
      <c r="AIR47" s="747"/>
      <c r="AIS47" s="747"/>
      <c r="AIT47" s="747"/>
      <c r="AIU47" s="747"/>
      <c r="AIV47" s="747"/>
      <c r="AIW47" s="747"/>
      <c r="AIX47" s="747"/>
      <c r="AIY47" s="747"/>
      <c r="AIZ47" s="747"/>
      <c r="AJA47" s="747"/>
      <c r="AJB47" s="747"/>
      <c r="AJC47" s="747"/>
      <c r="AJD47" s="747"/>
      <c r="AJE47" s="747"/>
      <c r="AJF47" s="747"/>
      <c r="AJG47" s="747"/>
      <c r="AJH47" s="747"/>
      <c r="AJI47" s="747"/>
      <c r="AJJ47" s="747"/>
      <c r="AJK47" s="747"/>
      <c r="AJL47" s="747"/>
      <c r="AJM47" s="747"/>
      <c r="AJN47" s="747"/>
      <c r="AJO47" s="747"/>
      <c r="AJP47" s="747"/>
      <c r="AJQ47" s="747"/>
      <c r="AJR47" s="747"/>
      <c r="AJS47" s="747"/>
      <c r="AJT47" s="747"/>
      <c r="AJU47" s="747"/>
      <c r="AJV47" s="747"/>
      <c r="AJW47" s="747"/>
      <c r="AJX47" s="747"/>
      <c r="AJY47" s="747"/>
      <c r="AJZ47" s="747"/>
      <c r="AKA47" s="747"/>
      <c r="AKB47" s="747"/>
      <c r="AKC47" s="747"/>
      <c r="AKD47" s="747"/>
      <c r="AKE47" s="747"/>
      <c r="AKF47" s="747"/>
      <c r="AKG47" s="747"/>
      <c r="AKH47" s="747"/>
      <c r="AKI47" s="747"/>
      <c r="AKJ47" s="747"/>
      <c r="AKK47" s="747"/>
      <c r="AKL47" s="747"/>
      <c r="AKM47" s="747"/>
      <c r="AKN47" s="747"/>
      <c r="AKO47" s="747"/>
      <c r="AKP47" s="747"/>
      <c r="AKQ47" s="747"/>
      <c r="AKR47" s="747"/>
      <c r="AKS47" s="747"/>
      <c r="AKT47" s="747"/>
      <c r="AKU47" s="747"/>
      <c r="AKV47" s="747"/>
      <c r="AKW47" s="747"/>
      <c r="AKX47" s="747"/>
      <c r="AKY47" s="747"/>
      <c r="AKZ47" s="747"/>
      <c r="ALA47" s="747"/>
      <c r="ALB47" s="747"/>
      <c r="ALC47" s="747"/>
      <c r="ALD47" s="747"/>
      <c r="ALE47" s="747"/>
      <c r="ALF47" s="747"/>
      <c r="ALG47" s="747"/>
      <c r="ALH47" s="747"/>
      <c r="ALI47" s="747"/>
      <c r="ALJ47" s="747"/>
      <c r="ALK47" s="747"/>
      <c r="ALL47" s="747"/>
      <c r="ALM47" s="747"/>
      <c r="ALN47" s="747"/>
      <c r="ALO47" s="747"/>
      <c r="ALP47" s="747"/>
      <c r="ALQ47" s="747"/>
      <c r="ALR47" s="747"/>
      <c r="ALS47" s="747"/>
      <c r="ALT47" s="747"/>
      <c r="ALU47" s="747"/>
      <c r="ALV47" s="747"/>
      <c r="ALW47" s="747"/>
      <c r="ALX47" s="747"/>
      <c r="ALY47" s="747"/>
      <c r="ALZ47" s="747"/>
      <c r="AMA47" s="747"/>
      <c r="AMB47" s="747"/>
      <c r="AMC47" s="747"/>
      <c r="AMD47" s="747"/>
      <c r="AME47" s="747"/>
      <c r="AMF47" s="747"/>
      <c r="AMG47" s="747"/>
      <c r="AMH47" s="747"/>
      <c r="AMI47" s="747"/>
    </row>
    <row r="48" spans="1:1023"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sheetData>
  <sheetProtection algorithmName="SHA-512" hashValue="/XC9JYW0y1BdomXwOJOt0FeaNOrcC2k28k1IUYLvDrC8UFMpIOQ0VHF4ahTuChDLRLX50cxKdgglSbS3EJMQjw==" saltValue="8KL9OFOcTNvjvlmeseiHpA=="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defaultRowHeight="15" x14ac:dyDescent="0.25"/>
  <sheetData>
    <row r="1" spans="1:13" x14ac:dyDescent="0.25">
      <c r="A1" s="127" t="s">
        <v>345</v>
      </c>
      <c r="B1" s="127"/>
      <c r="C1" s="127"/>
      <c r="D1" s="127"/>
      <c r="E1" s="127"/>
      <c r="F1" s="127"/>
      <c r="G1" s="127"/>
      <c r="H1" s="127"/>
      <c r="I1" s="127"/>
      <c r="J1" s="127"/>
      <c r="K1" s="127"/>
      <c r="L1" s="127"/>
      <c r="M1" s="127"/>
    </row>
    <row r="2" spans="1:13" x14ac:dyDescent="0.25">
      <c r="A2" s="127"/>
      <c r="B2" s="127"/>
      <c r="C2" s="127"/>
      <c r="D2" s="127"/>
      <c r="E2" s="127"/>
      <c r="F2" s="127"/>
      <c r="G2" s="127"/>
      <c r="H2" s="127"/>
      <c r="I2" s="127"/>
      <c r="J2" s="127"/>
      <c r="K2" s="127"/>
      <c r="L2" s="127"/>
      <c r="M2" s="127"/>
    </row>
    <row r="3" spans="1:13" x14ac:dyDescent="0.25">
      <c r="A3" s="127"/>
      <c r="B3" s="127"/>
      <c r="C3" s="127"/>
      <c r="D3" s="127"/>
      <c r="E3" s="127"/>
      <c r="F3" s="127"/>
      <c r="G3" s="127"/>
      <c r="H3" s="127"/>
      <c r="I3" s="127"/>
      <c r="J3" s="127"/>
      <c r="K3" s="127"/>
      <c r="L3" s="127"/>
      <c r="M3" s="127"/>
    </row>
    <row r="4" spans="1:13" x14ac:dyDescent="0.25">
      <c r="A4" s="127"/>
      <c r="B4" s="127"/>
      <c r="C4" s="127"/>
      <c r="D4" s="127"/>
      <c r="E4" s="127"/>
      <c r="F4" s="127"/>
      <c r="G4" s="127"/>
      <c r="H4" s="127"/>
      <c r="I4" s="127"/>
      <c r="J4" s="127"/>
      <c r="K4" s="127"/>
      <c r="L4" s="127"/>
      <c r="M4" s="127"/>
    </row>
    <row r="5" spans="1:13" x14ac:dyDescent="0.25">
      <c r="A5" s="127"/>
      <c r="B5" s="127"/>
      <c r="C5" s="127"/>
      <c r="D5" s="127"/>
      <c r="E5" s="127"/>
      <c r="F5" s="127"/>
      <c r="G5" s="127"/>
      <c r="H5" s="127"/>
      <c r="I5" s="127"/>
      <c r="J5" s="127"/>
      <c r="K5" s="127"/>
      <c r="L5" s="127"/>
      <c r="M5" s="127"/>
    </row>
    <row r="6" spans="1:13" x14ac:dyDescent="0.25">
      <c r="A6" s="127"/>
      <c r="B6" s="127"/>
      <c r="C6" s="127"/>
      <c r="D6" s="127"/>
      <c r="E6" s="127"/>
      <c r="F6" s="127"/>
      <c r="G6" s="127"/>
      <c r="H6" s="127"/>
      <c r="I6" s="127"/>
      <c r="J6" s="127"/>
      <c r="K6" s="127"/>
      <c r="L6" s="127"/>
      <c r="M6" s="127"/>
    </row>
    <row r="7" spans="1:13" x14ac:dyDescent="0.25">
      <c r="A7" s="127"/>
      <c r="B7" s="127"/>
      <c r="C7" s="127"/>
      <c r="D7" s="127"/>
      <c r="E7" s="127"/>
      <c r="F7" s="127"/>
      <c r="G7" s="127"/>
      <c r="H7" s="127"/>
      <c r="I7" s="127"/>
      <c r="J7" s="127"/>
      <c r="K7" s="127"/>
      <c r="L7" s="127"/>
      <c r="M7" s="127"/>
    </row>
    <row r="8" spans="1:13" x14ac:dyDescent="0.25">
      <c r="A8" s="127"/>
      <c r="B8" s="127"/>
      <c r="C8" s="127"/>
      <c r="D8" s="127"/>
      <c r="E8" s="127"/>
      <c r="F8" s="127"/>
      <c r="G8" s="127"/>
      <c r="H8" s="127"/>
      <c r="I8" s="127"/>
      <c r="J8" s="127"/>
      <c r="K8" s="127"/>
      <c r="L8" s="127"/>
      <c r="M8" s="127"/>
    </row>
    <row r="9" spans="1:13" x14ac:dyDescent="0.25">
      <c r="A9" s="127"/>
      <c r="B9" s="127"/>
      <c r="C9" s="127"/>
      <c r="D9" s="127"/>
      <c r="E9" s="127"/>
      <c r="F9" s="127"/>
      <c r="G9" s="127"/>
      <c r="H9" s="127"/>
      <c r="I9" s="127"/>
      <c r="J9" s="127"/>
      <c r="K9" s="127"/>
      <c r="L9" s="127"/>
      <c r="M9" s="127"/>
    </row>
    <row r="10" spans="1:13" x14ac:dyDescent="0.25">
      <c r="A10" s="127"/>
      <c r="B10" s="127"/>
      <c r="C10" s="127"/>
      <c r="D10" s="127"/>
      <c r="E10" s="127"/>
      <c r="F10" s="127"/>
      <c r="G10" s="127"/>
      <c r="H10" s="127"/>
      <c r="I10" s="127"/>
      <c r="J10" s="127"/>
      <c r="K10" s="127"/>
      <c r="L10" s="127"/>
      <c r="M10" s="127"/>
    </row>
    <row r="11" spans="1:13" x14ac:dyDescent="0.25">
      <c r="A11" s="127"/>
      <c r="B11" s="127"/>
      <c r="C11" s="127"/>
      <c r="D11" s="127"/>
      <c r="E11" s="127" t="s">
        <v>325</v>
      </c>
      <c r="F11" s="127"/>
      <c r="G11" s="127" t="s">
        <v>326</v>
      </c>
      <c r="H11" s="127"/>
      <c r="I11" s="127" t="s">
        <v>327</v>
      </c>
      <c r="J11" s="127"/>
      <c r="K11" s="127" t="s">
        <v>328</v>
      </c>
      <c r="L11" s="127"/>
      <c r="M11" s="127" t="s">
        <v>329</v>
      </c>
    </row>
    <row r="12" spans="1:13" x14ac:dyDescent="0.25">
      <c r="A12" s="127"/>
      <c r="B12" s="127"/>
      <c r="C12" s="127" t="s">
        <v>330</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25">
      <c r="A13" s="127"/>
      <c r="B13" s="127"/>
      <c r="C13" s="127"/>
      <c r="D13" s="127"/>
    </row>
    <row r="14" spans="1:13" x14ac:dyDescent="0.25">
      <c r="A14" s="127"/>
      <c r="B14" s="127"/>
      <c r="C14" s="127" t="s">
        <v>331</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25">
      <c r="A15" s="127"/>
      <c r="B15" s="127"/>
      <c r="C15" s="127"/>
      <c r="D15" s="127"/>
      <c r="G15">
        <f>(COUNTIF(Assessment_TS!H31:H43,"✓")+COUNTIF(Assessment_TS!H31:H43,"X"))/6</f>
        <v>0</v>
      </c>
    </row>
    <row r="16" spans="1:13" x14ac:dyDescent="0.25">
      <c r="A16" s="127"/>
      <c r="B16" s="127"/>
      <c r="C16" s="127" t="s">
        <v>259</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25">
      <c r="C17" s="127"/>
      <c r="D17" s="127"/>
    </row>
    <row r="18" spans="3:13" x14ac:dyDescent="0.25">
      <c r="C18" s="127" t="s">
        <v>272</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25">
      <c r="C19" s="127"/>
      <c r="D19" s="127"/>
    </row>
    <row r="20" spans="3:13" x14ac:dyDescent="0.25">
      <c r="C20" s="127"/>
      <c r="D20" s="127"/>
    </row>
    <row r="21" spans="3:13" x14ac:dyDescent="0.25">
      <c r="C21" s="127" t="s">
        <v>332</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defaultRowHeight="15" x14ac:dyDescent="0.25"/>
  <sheetData>
    <row r="1" spans="1:13" x14ac:dyDescent="0.25">
      <c r="A1" s="127" t="s">
        <v>345</v>
      </c>
      <c r="B1" s="127"/>
      <c r="C1" s="127"/>
      <c r="D1" s="127"/>
      <c r="E1" s="127"/>
      <c r="F1" s="127"/>
      <c r="G1" s="127"/>
      <c r="H1" s="127"/>
      <c r="I1" s="127"/>
      <c r="J1" s="127"/>
      <c r="K1" s="127"/>
      <c r="L1" s="127"/>
      <c r="M1" s="127"/>
    </row>
    <row r="11" spans="1:13" x14ac:dyDescent="0.25">
      <c r="A11" s="127"/>
      <c r="B11" s="127"/>
      <c r="C11" s="127"/>
      <c r="D11" s="127"/>
      <c r="E11" s="127" t="s">
        <v>325</v>
      </c>
      <c r="F11" s="127"/>
      <c r="G11" s="127" t="s">
        <v>326</v>
      </c>
      <c r="H11" s="127"/>
      <c r="I11" s="127" t="s">
        <v>327</v>
      </c>
      <c r="J11" s="127"/>
      <c r="K11" s="127" t="s">
        <v>328</v>
      </c>
      <c r="L11" s="127"/>
      <c r="M11" s="127" t="s">
        <v>329</v>
      </c>
    </row>
    <row r="12" spans="1:13" x14ac:dyDescent="0.25">
      <c r="C12" s="127" t="s">
        <v>330</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25">
      <c r="C14" s="127" t="s">
        <v>331</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25">
      <c r="C15" s="127"/>
      <c r="D15" s="127"/>
      <c r="G15">
        <f>(COUNTIF(Assessment_MSP!I24:I30,"Yes")+COUNTIF(Assessment_MSP!I24:I30,"No"))/4</f>
        <v>0</v>
      </c>
    </row>
    <row r="16" spans="1:13" x14ac:dyDescent="0.25">
      <c r="C16" s="127" t="s">
        <v>259</v>
      </c>
      <c r="D16" s="127"/>
      <c r="E16">
        <f>IF(G16&gt;0,SUM(COUNTIF(Assessment_MSP!I34:I50,"Yes")) / ( COUNTIF(Assessment_MSP!I34:I50,"Yes") + COUNTIF(Assessment_MSP!I34:I50,"No")),0%)</f>
        <v>0</v>
      </c>
      <c r="G16">
        <f>(COUNTIF(Assessment_MSP!I34:I50,"Yes") + COUNTIF(Assessment_MSP!I34:I50,"No"))/6</f>
        <v>0</v>
      </c>
      <c r="I16">
        <f>(COUNTIF(Assessment_MSP!I34:I50,"Yes"))</f>
        <v>0</v>
      </c>
      <c r="K16">
        <f>(COUNTIF(Assessment_MSP!I34:I50,"No"))</f>
        <v>0</v>
      </c>
      <c r="M16">
        <f>(COUNTIF(Assessment_MSP!I34:I50,"N/A"))</f>
        <v>0</v>
      </c>
    </row>
    <row r="18" spans="3:13" x14ac:dyDescent="0.25">
      <c r="C18" s="127" t="s">
        <v>272</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25">
      <c r="C21" s="127" t="s">
        <v>332</v>
      </c>
      <c r="D21" s="127"/>
      <c r="E21">
        <f>SUM(E12:E18)/4</f>
        <v>0</v>
      </c>
      <c r="G21">
        <f>SUM(G12:G18)/4</f>
        <v>0</v>
      </c>
      <c r="I21">
        <f>SUM(I12:I18)</f>
        <v>0</v>
      </c>
      <c r="K21">
        <f>SUM(K12:K18)</f>
        <v>0</v>
      </c>
      <c r="M21">
        <f>SUM(M12:M18)</f>
        <v>0</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4"/>
  <sheetViews>
    <sheetView showGridLines="0" showRowColHeaders="0" zoomScaleNormal="100" workbookViewId="0">
      <selection sqref="A1:N1"/>
    </sheetView>
  </sheetViews>
  <sheetFormatPr defaultColWidth="0" defaultRowHeight="15" zeroHeight="1" x14ac:dyDescent="0.25"/>
  <cols>
    <col min="1" max="2" width="2"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 customWidth="1"/>
    <col min="15" max="1023" width="0" hidden="1" customWidth="1"/>
    <col min="1024" max="16384" width="9" hidden="1"/>
  </cols>
  <sheetData>
    <row r="1" spans="1:1023" s="178" customFormat="1" x14ac:dyDescent="0.25">
      <c r="A1" s="758" t="s">
        <v>346</v>
      </c>
      <c r="B1" s="759"/>
      <c r="C1" s="759"/>
      <c r="D1" s="759"/>
      <c r="E1" s="759"/>
      <c r="F1" s="759"/>
      <c r="G1" s="759"/>
      <c r="H1" s="759"/>
      <c r="I1" s="759"/>
      <c r="J1" s="759"/>
      <c r="K1" s="759"/>
      <c r="L1" s="759"/>
      <c r="M1" s="759"/>
      <c r="N1" s="759"/>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177"/>
      <c r="BN1" s="177"/>
      <c r="BO1" s="177"/>
      <c r="BP1" s="177"/>
      <c r="BQ1" s="177"/>
      <c r="BR1" s="177"/>
      <c r="BS1" s="177"/>
      <c r="BT1" s="177"/>
      <c r="BU1" s="177"/>
      <c r="BV1" s="177"/>
      <c r="BW1" s="177"/>
      <c r="BX1" s="177"/>
      <c r="BY1" s="177"/>
      <c r="BZ1" s="177"/>
      <c r="CA1" s="177"/>
      <c r="CB1" s="177"/>
      <c r="CC1" s="177"/>
      <c r="CD1" s="177"/>
      <c r="CE1" s="177"/>
      <c r="CF1" s="177"/>
      <c r="CG1" s="177"/>
      <c r="CH1" s="177"/>
      <c r="CI1" s="177"/>
      <c r="CJ1" s="177"/>
      <c r="CK1" s="177"/>
      <c r="CL1" s="177"/>
      <c r="CM1" s="177"/>
      <c r="CN1" s="177"/>
      <c r="CO1" s="177"/>
      <c r="CP1" s="177"/>
      <c r="CQ1" s="177"/>
      <c r="CR1" s="177"/>
      <c r="CS1" s="177"/>
      <c r="CT1" s="177"/>
      <c r="CU1" s="177"/>
      <c r="CV1" s="177"/>
      <c r="CW1" s="177"/>
      <c r="CX1" s="177"/>
      <c r="CY1" s="177"/>
      <c r="CZ1" s="177"/>
      <c r="DA1" s="177"/>
      <c r="DB1" s="177"/>
      <c r="DC1" s="177"/>
      <c r="DD1" s="177"/>
      <c r="DE1" s="177"/>
      <c r="DF1" s="177"/>
      <c r="DG1" s="177"/>
      <c r="DH1" s="177"/>
      <c r="DI1" s="177"/>
      <c r="DJ1" s="177"/>
      <c r="DK1" s="177"/>
      <c r="DL1" s="177"/>
      <c r="DM1" s="177"/>
      <c r="DN1" s="177"/>
      <c r="DO1" s="177"/>
      <c r="DP1" s="177"/>
      <c r="DQ1" s="177"/>
      <c r="DR1" s="177"/>
      <c r="DS1" s="177"/>
      <c r="DT1" s="177"/>
      <c r="DU1" s="177"/>
      <c r="DV1" s="177"/>
      <c r="DW1" s="177"/>
      <c r="DX1" s="177"/>
      <c r="DY1" s="177"/>
      <c r="DZ1" s="177"/>
      <c r="EA1" s="177"/>
      <c r="EB1" s="177"/>
      <c r="EC1" s="177"/>
      <c r="ED1" s="177"/>
      <c r="EE1" s="177"/>
      <c r="EF1" s="177"/>
      <c r="EG1" s="177"/>
      <c r="EH1" s="177"/>
      <c r="EI1" s="177"/>
      <c r="EJ1" s="177"/>
      <c r="EK1" s="177"/>
      <c r="EL1" s="177"/>
      <c r="EM1" s="177"/>
      <c r="EN1" s="177"/>
      <c r="EO1" s="177"/>
      <c r="EP1" s="177"/>
      <c r="EQ1" s="177"/>
      <c r="ER1" s="177"/>
      <c r="ES1" s="177"/>
      <c r="ET1" s="177"/>
      <c r="EU1" s="177"/>
      <c r="EV1" s="177"/>
      <c r="EW1" s="177"/>
      <c r="EX1" s="177"/>
      <c r="EY1" s="177"/>
      <c r="EZ1" s="177"/>
      <c r="FA1" s="177"/>
      <c r="FB1" s="177"/>
      <c r="FC1" s="177"/>
      <c r="FD1" s="177"/>
      <c r="FE1" s="177"/>
      <c r="FF1" s="177"/>
      <c r="FG1" s="177"/>
      <c r="FH1" s="177"/>
      <c r="FI1" s="177"/>
      <c r="FJ1" s="177"/>
      <c r="FK1" s="177"/>
      <c r="FL1" s="177"/>
      <c r="FM1" s="177"/>
      <c r="FN1" s="177"/>
      <c r="FO1" s="177"/>
      <c r="FP1" s="177"/>
      <c r="FQ1" s="177"/>
      <c r="FR1" s="177"/>
      <c r="FS1" s="177"/>
      <c r="FT1" s="177"/>
      <c r="FU1" s="177"/>
      <c r="FV1" s="177"/>
      <c r="FW1" s="177"/>
      <c r="FX1" s="177"/>
      <c r="FY1" s="177"/>
      <c r="FZ1" s="177"/>
      <c r="GA1" s="177"/>
      <c r="GB1" s="177"/>
      <c r="GC1" s="177"/>
      <c r="GD1" s="177"/>
      <c r="GE1" s="177"/>
      <c r="GF1" s="177"/>
      <c r="GG1" s="177"/>
      <c r="GH1" s="177"/>
      <c r="GI1" s="177"/>
      <c r="GJ1" s="177"/>
      <c r="GK1" s="177"/>
      <c r="GL1" s="177"/>
      <c r="GM1" s="177"/>
      <c r="GN1" s="177"/>
      <c r="GO1" s="177"/>
      <c r="GP1" s="177"/>
      <c r="GQ1" s="177"/>
      <c r="GR1" s="177"/>
      <c r="GS1" s="177"/>
      <c r="GT1" s="177"/>
      <c r="GU1" s="177"/>
      <c r="GV1" s="177"/>
      <c r="GW1" s="177"/>
      <c r="GX1" s="177"/>
      <c r="GY1" s="177"/>
      <c r="GZ1" s="177"/>
      <c r="HA1" s="177"/>
      <c r="HB1" s="177"/>
      <c r="HC1" s="177"/>
      <c r="HD1" s="177"/>
      <c r="HE1" s="177"/>
      <c r="HF1" s="177"/>
      <c r="HG1" s="177"/>
      <c r="HH1" s="177"/>
      <c r="HI1" s="177"/>
      <c r="HJ1" s="177"/>
      <c r="HK1" s="177"/>
      <c r="HL1" s="177"/>
      <c r="HM1" s="177"/>
      <c r="HN1" s="177"/>
      <c r="HO1" s="177"/>
      <c r="HP1" s="177"/>
      <c r="HQ1" s="177"/>
      <c r="HR1" s="177"/>
      <c r="HS1" s="177"/>
      <c r="HT1" s="177"/>
      <c r="HU1" s="177"/>
      <c r="HV1" s="177"/>
      <c r="HW1" s="177"/>
      <c r="HX1" s="177"/>
      <c r="HY1" s="177"/>
      <c r="HZ1" s="177"/>
      <c r="IA1" s="177"/>
      <c r="IB1" s="177"/>
      <c r="IC1" s="177"/>
      <c r="ID1" s="177"/>
      <c r="IE1" s="177"/>
      <c r="IF1" s="177"/>
      <c r="IG1" s="177"/>
      <c r="IH1" s="177"/>
      <c r="II1" s="177"/>
      <c r="IJ1" s="177"/>
      <c r="IK1" s="177"/>
      <c r="IL1" s="177"/>
      <c r="IM1" s="177"/>
      <c r="IN1" s="177"/>
      <c r="IO1" s="177"/>
      <c r="IP1" s="177"/>
      <c r="IQ1" s="177"/>
      <c r="IR1" s="177"/>
      <c r="IS1" s="177"/>
      <c r="IT1" s="177"/>
      <c r="IU1" s="177"/>
      <c r="IV1" s="177"/>
      <c r="IW1" s="177"/>
      <c r="IX1" s="177"/>
      <c r="IY1" s="177"/>
      <c r="IZ1" s="177"/>
      <c r="JA1" s="177"/>
      <c r="JB1" s="177"/>
      <c r="JC1" s="177"/>
      <c r="JD1" s="177"/>
      <c r="JE1" s="177"/>
      <c r="JF1" s="177"/>
      <c r="JG1" s="177"/>
      <c r="JH1" s="177"/>
      <c r="JI1" s="177"/>
      <c r="JJ1" s="177"/>
      <c r="JK1" s="177"/>
      <c r="JL1" s="177"/>
      <c r="JM1" s="177"/>
      <c r="JN1" s="177"/>
      <c r="JO1" s="177"/>
      <c r="JP1" s="177"/>
      <c r="JQ1" s="177"/>
      <c r="JR1" s="177"/>
      <c r="JS1" s="177"/>
      <c r="JT1" s="177"/>
      <c r="JU1" s="177"/>
      <c r="JV1" s="177"/>
      <c r="JW1" s="177"/>
      <c r="JX1" s="177"/>
      <c r="JY1" s="177"/>
      <c r="JZ1" s="177"/>
      <c r="KA1" s="177"/>
      <c r="KB1" s="177"/>
      <c r="KC1" s="177"/>
      <c r="KD1" s="177"/>
      <c r="KE1" s="177"/>
      <c r="KF1" s="177"/>
      <c r="KG1" s="177"/>
      <c r="KH1" s="177"/>
      <c r="KI1" s="177"/>
      <c r="KJ1" s="177"/>
      <c r="KK1" s="177"/>
      <c r="KL1" s="177"/>
      <c r="KM1" s="177"/>
      <c r="KN1" s="177"/>
      <c r="KO1" s="177"/>
      <c r="KP1" s="177"/>
      <c r="KQ1" s="177"/>
      <c r="KR1" s="177"/>
      <c r="KS1" s="177"/>
      <c r="KT1" s="177"/>
      <c r="KU1" s="177"/>
      <c r="KV1" s="177"/>
      <c r="KW1" s="177"/>
      <c r="KX1" s="177"/>
      <c r="KY1" s="177"/>
      <c r="KZ1" s="177"/>
      <c r="LA1" s="177"/>
      <c r="LB1" s="177"/>
      <c r="LC1" s="177"/>
      <c r="LD1" s="177"/>
      <c r="LE1" s="177"/>
      <c r="LF1" s="177"/>
      <c r="LG1" s="177"/>
      <c r="LH1" s="177"/>
      <c r="LI1" s="177"/>
      <c r="LJ1" s="177"/>
      <c r="LK1" s="177"/>
      <c r="LL1" s="177"/>
      <c r="LM1" s="177"/>
      <c r="LN1" s="177"/>
      <c r="LO1" s="177"/>
      <c r="LP1" s="177"/>
      <c r="LQ1" s="177"/>
      <c r="LR1" s="177"/>
      <c r="LS1" s="177"/>
      <c r="LT1" s="177"/>
      <c r="LU1" s="177"/>
      <c r="LV1" s="177"/>
      <c r="LW1" s="177"/>
      <c r="LX1" s="177"/>
      <c r="LY1" s="177"/>
      <c r="LZ1" s="177"/>
      <c r="MA1" s="177"/>
      <c r="MB1" s="177"/>
      <c r="MC1" s="177"/>
      <c r="MD1" s="177"/>
      <c r="ME1" s="177"/>
      <c r="MF1" s="177"/>
      <c r="MG1" s="177"/>
      <c r="MH1" s="177"/>
      <c r="MI1" s="177"/>
      <c r="MJ1" s="177"/>
      <c r="MK1" s="177"/>
      <c r="ML1" s="177"/>
      <c r="MM1" s="177"/>
      <c r="MN1" s="177"/>
      <c r="MO1" s="177"/>
      <c r="MP1" s="177"/>
      <c r="MQ1" s="177"/>
      <c r="MR1" s="177"/>
      <c r="MS1" s="177"/>
      <c r="MT1" s="177"/>
      <c r="MU1" s="177"/>
      <c r="MV1" s="177"/>
      <c r="MW1" s="177"/>
      <c r="MX1" s="177"/>
      <c r="MY1" s="177"/>
      <c r="MZ1" s="177"/>
      <c r="NA1" s="177"/>
      <c r="NB1" s="177"/>
      <c r="NC1" s="177"/>
      <c r="ND1" s="177"/>
      <c r="NE1" s="177"/>
      <c r="NF1" s="177"/>
      <c r="NG1" s="177"/>
      <c r="NH1" s="177"/>
      <c r="NI1" s="177"/>
      <c r="NJ1" s="177"/>
      <c r="NK1" s="177"/>
      <c r="NL1" s="177"/>
      <c r="NM1" s="177"/>
      <c r="NN1" s="177"/>
      <c r="NO1" s="177"/>
      <c r="NP1" s="177"/>
      <c r="NQ1" s="177"/>
      <c r="NR1" s="177"/>
      <c r="NS1" s="177"/>
      <c r="NT1" s="177"/>
      <c r="NU1" s="177"/>
      <c r="NV1" s="177"/>
      <c r="NW1" s="177"/>
      <c r="NX1" s="177"/>
      <c r="NY1" s="177"/>
      <c r="NZ1" s="177"/>
      <c r="OA1" s="177"/>
      <c r="OB1" s="177"/>
      <c r="OC1" s="177"/>
      <c r="OD1" s="177"/>
      <c r="OE1" s="177"/>
      <c r="OF1" s="177"/>
      <c r="OG1" s="177"/>
      <c r="OH1" s="177"/>
      <c r="OI1" s="177"/>
      <c r="OJ1" s="177"/>
      <c r="OK1" s="177"/>
      <c r="OL1" s="177"/>
      <c r="OM1" s="177"/>
      <c r="ON1" s="177"/>
      <c r="OO1" s="177"/>
      <c r="OP1" s="177"/>
      <c r="OQ1" s="177"/>
      <c r="OR1" s="177"/>
      <c r="OS1" s="177"/>
      <c r="OT1" s="177"/>
      <c r="OU1" s="177"/>
      <c r="OV1" s="177"/>
      <c r="OW1" s="177"/>
      <c r="OX1" s="177"/>
      <c r="OY1" s="177"/>
      <c r="OZ1" s="177"/>
      <c r="PA1" s="177"/>
      <c r="PB1" s="177"/>
      <c r="PC1" s="177"/>
      <c r="PD1" s="177"/>
      <c r="PE1" s="177"/>
      <c r="PF1" s="177"/>
      <c r="PG1" s="177"/>
      <c r="PH1" s="177"/>
      <c r="PI1" s="177"/>
      <c r="PJ1" s="177"/>
      <c r="PK1" s="177"/>
      <c r="PL1" s="177"/>
      <c r="PM1" s="177"/>
      <c r="PN1" s="177"/>
      <c r="PO1" s="177"/>
      <c r="PP1" s="177"/>
      <c r="PQ1" s="177"/>
      <c r="PR1" s="177"/>
      <c r="PS1" s="177"/>
      <c r="PT1" s="177"/>
      <c r="PU1" s="177"/>
      <c r="PV1" s="177"/>
      <c r="PW1" s="177"/>
      <c r="PX1" s="177"/>
      <c r="PY1" s="177"/>
      <c r="PZ1" s="177"/>
      <c r="QA1" s="177"/>
      <c r="QB1" s="177"/>
      <c r="QC1" s="177"/>
      <c r="QD1" s="177"/>
      <c r="QE1" s="177"/>
      <c r="QF1" s="177"/>
      <c r="QG1" s="177"/>
      <c r="QH1" s="177"/>
      <c r="QI1" s="177"/>
      <c r="QJ1" s="177"/>
      <c r="QK1" s="177"/>
      <c r="QL1" s="177"/>
      <c r="QM1" s="177"/>
      <c r="QN1" s="177"/>
      <c r="QO1" s="177"/>
      <c r="QP1" s="177"/>
      <c r="QQ1" s="177"/>
      <c r="QR1" s="177"/>
      <c r="QS1" s="177"/>
      <c r="QT1" s="177"/>
      <c r="QU1" s="177"/>
      <c r="QV1" s="177"/>
      <c r="QW1" s="177"/>
      <c r="QX1" s="177"/>
      <c r="QY1" s="177"/>
      <c r="QZ1" s="177"/>
      <c r="RA1" s="177"/>
      <c r="RB1" s="177"/>
      <c r="RC1" s="177"/>
      <c r="RD1" s="177"/>
      <c r="RE1" s="177"/>
      <c r="RF1" s="177"/>
      <c r="RG1" s="177"/>
      <c r="RH1" s="177"/>
      <c r="RI1" s="177"/>
      <c r="RJ1" s="177"/>
      <c r="RK1" s="177"/>
      <c r="RL1" s="177"/>
      <c r="RM1" s="177"/>
      <c r="RN1" s="177"/>
      <c r="RO1" s="177"/>
      <c r="RP1" s="177"/>
      <c r="RQ1" s="177"/>
      <c r="RR1" s="177"/>
      <c r="RS1" s="177"/>
      <c r="RT1" s="177"/>
      <c r="RU1" s="177"/>
      <c r="RV1" s="177"/>
      <c r="RW1" s="177"/>
      <c r="RX1" s="177"/>
      <c r="RY1" s="177"/>
      <c r="RZ1" s="177"/>
      <c r="SA1" s="177"/>
      <c r="SB1" s="177"/>
      <c r="SC1" s="177"/>
      <c r="SD1" s="177"/>
      <c r="SE1" s="177"/>
      <c r="SF1" s="177"/>
      <c r="SG1" s="177"/>
      <c r="SH1" s="177"/>
      <c r="SI1" s="177"/>
      <c r="SJ1" s="177"/>
      <c r="SK1" s="177"/>
      <c r="SL1" s="177"/>
      <c r="SM1" s="177"/>
      <c r="SN1" s="177"/>
      <c r="SO1" s="177"/>
      <c r="SP1" s="177"/>
      <c r="SQ1" s="177"/>
      <c r="SR1" s="177"/>
      <c r="SS1" s="177"/>
      <c r="ST1" s="177"/>
      <c r="SU1" s="177"/>
      <c r="SV1" s="177"/>
      <c r="SW1" s="177"/>
      <c r="SX1" s="177"/>
      <c r="SY1" s="177"/>
      <c r="SZ1" s="177"/>
      <c r="TA1" s="177"/>
      <c r="TB1" s="177"/>
      <c r="TC1" s="177"/>
      <c r="TD1" s="177"/>
      <c r="TE1" s="177"/>
      <c r="TF1" s="177"/>
      <c r="TG1" s="177"/>
      <c r="TH1" s="177"/>
      <c r="TI1" s="177"/>
      <c r="TJ1" s="177"/>
      <c r="TK1" s="177"/>
      <c r="TL1" s="177"/>
      <c r="TM1" s="177"/>
      <c r="TN1" s="177"/>
      <c r="TO1" s="177"/>
      <c r="TP1" s="177"/>
      <c r="TQ1" s="177"/>
      <c r="TR1" s="177"/>
      <c r="TS1" s="177"/>
      <c r="TT1" s="177"/>
      <c r="TU1" s="177"/>
      <c r="TV1" s="177"/>
      <c r="TW1" s="177"/>
      <c r="TX1" s="177"/>
      <c r="TY1" s="177"/>
      <c r="TZ1" s="177"/>
      <c r="UA1" s="177"/>
      <c r="UB1" s="177"/>
      <c r="UC1" s="177"/>
      <c r="UD1" s="177"/>
      <c r="UE1" s="177"/>
      <c r="UF1" s="177"/>
      <c r="UG1" s="177"/>
      <c r="UH1" s="177"/>
      <c r="UI1" s="177"/>
      <c r="UJ1" s="177"/>
      <c r="UK1" s="177"/>
      <c r="UL1" s="177"/>
      <c r="UM1" s="177"/>
      <c r="UN1" s="177"/>
      <c r="UO1" s="177"/>
      <c r="UP1" s="177"/>
      <c r="UQ1" s="177"/>
      <c r="UR1" s="177"/>
      <c r="US1" s="177"/>
      <c r="UT1" s="177"/>
      <c r="UU1" s="177"/>
      <c r="UV1" s="177"/>
      <c r="UW1" s="177"/>
      <c r="UX1" s="177"/>
      <c r="UY1" s="177"/>
      <c r="UZ1" s="177"/>
      <c r="VA1" s="177"/>
      <c r="VB1" s="177"/>
      <c r="VC1" s="177"/>
      <c r="VD1" s="177"/>
      <c r="VE1" s="177"/>
      <c r="VF1" s="177"/>
      <c r="VG1" s="177"/>
      <c r="VH1" s="177"/>
      <c r="VI1" s="177"/>
      <c r="VJ1" s="177"/>
      <c r="VK1" s="177"/>
      <c r="VL1" s="177"/>
      <c r="VM1" s="177"/>
      <c r="VN1" s="177"/>
      <c r="VO1" s="177"/>
      <c r="VP1" s="177"/>
      <c r="VQ1" s="177"/>
      <c r="VR1" s="177"/>
      <c r="VS1" s="177"/>
      <c r="VT1" s="177"/>
      <c r="VU1" s="177"/>
      <c r="VV1" s="177"/>
      <c r="VW1" s="177"/>
      <c r="VX1" s="177"/>
      <c r="VY1" s="177"/>
      <c r="VZ1" s="177"/>
      <c r="WA1" s="177"/>
      <c r="WB1" s="177"/>
      <c r="WC1" s="177"/>
      <c r="WD1" s="177"/>
      <c r="WE1" s="177"/>
      <c r="WF1" s="177"/>
      <c r="WG1" s="177"/>
      <c r="WH1" s="177"/>
      <c r="WI1" s="177"/>
      <c r="WJ1" s="177"/>
      <c r="WK1" s="177"/>
      <c r="WL1" s="177"/>
      <c r="WM1" s="177"/>
      <c r="WN1" s="177"/>
      <c r="WO1" s="177"/>
      <c r="WP1" s="177"/>
      <c r="WQ1" s="177"/>
      <c r="WR1" s="177"/>
      <c r="WS1" s="177"/>
      <c r="WT1" s="177"/>
      <c r="WU1" s="177"/>
      <c r="WV1" s="177"/>
      <c r="WW1" s="177"/>
      <c r="WX1" s="177"/>
      <c r="WY1" s="177"/>
      <c r="WZ1" s="177"/>
      <c r="XA1" s="177"/>
      <c r="XB1" s="177"/>
      <c r="XC1" s="177"/>
      <c r="XD1" s="177"/>
      <c r="XE1" s="177"/>
      <c r="XF1" s="177"/>
      <c r="XG1" s="177"/>
      <c r="XH1" s="177"/>
      <c r="XI1" s="177"/>
      <c r="XJ1" s="177"/>
      <c r="XK1" s="177"/>
      <c r="XL1" s="177"/>
      <c r="XM1" s="177"/>
      <c r="XN1" s="177"/>
      <c r="XO1" s="177"/>
      <c r="XP1" s="177"/>
      <c r="XQ1" s="177"/>
      <c r="XR1" s="177"/>
      <c r="XS1" s="177"/>
      <c r="XT1" s="177"/>
      <c r="XU1" s="177"/>
      <c r="XV1" s="177"/>
      <c r="XW1" s="177"/>
      <c r="XX1" s="177"/>
      <c r="XY1" s="177"/>
      <c r="XZ1" s="177"/>
      <c r="YA1" s="177"/>
      <c r="YB1" s="177"/>
      <c r="YC1" s="177"/>
      <c r="YD1" s="177"/>
      <c r="YE1" s="177"/>
      <c r="YF1" s="177"/>
      <c r="YG1" s="177"/>
      <c r="YH1" s="177"/>
      <c r="YI1" s="177"/>
      <c r="YJ1" s="177"/>
      <c r="YK1" s="177"/>
      <c r="YL1" s="177"/>
      <c r="YM1" s="177"/>
      <c r="YN1" s="177"/>
      <c r="YO1" s="177"/>
      <c r="YP1" s="177"/>
      <c r="YQ1" s="177"/>
      <c r="YR1" s="177"/>
      <c r="YS1" s="177"/>
      <c r="YT1" s="177"/>
      <c r="YU1" s="177"/>
      <c r="YV1" s="177"/>
      <c r="YW1" s="177"/>
      <c r="YX1" s="177"/>
      <c r="YY1" s="177"/>
      <c r="YZ1" s="177"/>
      <c r="ZA1" s="177"/>
      <c r="ZB1" s="177"/>
      <c r="ZC1" s="177"/>
      <c r="ZD1" s="177"/>
      <c r="ZE1" s="177"/>
      <c r="ZF1" s="177"/>
      <c r="ZG1" s="177"/>
      <c r="ZH1" s="177"/>
      <c r="ZI1" s="177"/>
      <c r="ZJ1" s="177"/>
      <c r="ZK1" s="177"/>
      <c r="ZL1" s="177"/>
      <c r="ZM1" s="177"/>
      <c r="ZN1" s="177"/>
      <c r="ZO1" s="177"/>
      <c r="ZP1" s="177"/>
      <c r="ZQ1" s="177"/>
      <c r="ZR1" s="177"/>
      <c r="ZS1" s="177"/>
      <c r="ZT1" s="177"/>
      <c r="ZU1" s="177"/>
      <c r="ZV1" s="177"/>
      <c r="ZW1" s="177"/>
      <c r="ZX1" s="177"/>
      <c r="ZY1" s="177"/>
      <c r="ZZ1" s="177"/>
      <c r="AAA1" s="177"/>
      <c r="AAB1" s="177"/>
      <c r="AAC1" s="177"/>
      <c r="AAD1" s="177"/>
      <c r="AAE1" s="177"/>
      <c r="AAF1" s="177"/>
      <c r="AAG1" s="177"/>
      <c r="AAH1" s="177"/>
      <c r="AAI1" s="177"/>
      <c r="AAJ1" s="177"/>
      <c r="AAK1" s="177"/>
      <c r="AAL1" s="177"/>
      <c r="AAM1" s="177"/>
      <c r="AAN1" s="177"/>
      <c r="AAO1" s="177"/>
      <c r="AAP1" s="177"/>
      <c r="AAQ1" s="177"/>
      <c r="AAR1" s="177"/>
      <c r="AAS1" s="177"/>
      <c r="AAT1" s="177"/>
      <c r="AAU1" s="177"/>
      <c r="AAV1" s="177"/>
      <c r="AAW1" s="177"/>
      <c r="AAX1" s="177"/>
      <c r="AAY1" s="177"/>
      <c r="AAZ1" s="177"/>
      <c r="ABA1" s="177"/>
      <c r="ABB1" s="177"/>
      <c r="ABC1" s="177"/>
      <c r="ABD1" s="177"/>
      <c r="ABE1" s="177"/>
      <c r="ABF1" s="177"/>
      <c r="ABG1" s="177"/>
      <c r="ABH1" s="177"/>
      <c r="ABI1" s="177"/>
      <c r="ABJ1" s="177"/>
      <c r="ABK1" s="177"/>
      <c r="ABL1" s="177"/>
      <c r="ABM1" s="177"/>
      <c r="ABN1" s="177"/>
      <c r="ABO1" s="177"/>
      <c r="ABP1" s="177"/>
      <c r="ABQ1" s="177"/>
      <c r="ABR1" s="177"/>
      <c r="ABS1" s="177"/>
      <c r="ABT1" s="177"/>
      <c r="ABU1" s="177"/>
      <c r="ABV1" s="177"/>
      <c r="ABW1" s="177"/>
      <c r="ABX1" s="177"/>
      <c r="ABY1" s="177"/>
      <c r="ABZ1" s="177"/>
      <c r="ACA1" s="177"/>
      <c r="ACB1" s="177"/>
      <c r="ACC1" s="177"/>
      <c r="ACD1" s="177"/>
      <c r="ACE1" s="177"/>
      <c r="ACF1" s="177"/>
      <c r="ACG1" s="177"/>
      <c r="ACH1" s="177"/>
      <c r="ACI1" s="177"/>
      <c r="ACJ1" s="177"/>
      <c r="ACK1" s="177"/>
      <c r="ACL1" s="177"/>
      <c r="ACM1" s="177"/>
      <c r="ACN1" s="177"/>
      <c r="ACO1" s="177"/>
      <c r="ACP1" s="177"/>
      <c r="ACQ1" s="177"/>
      <c r="ACR1" s="177"/>
      <c r="ACS1" s="177"/>
      <c r="ACT1" s="177"/>
      <c r="ACU1" s="177"/>
      <c r="ACV1" s="177"/>
      <c r="ACW1" s="177"/>
      <c r="ACX1" s="177"/>
      <c r="ACY1" s="177"/>
      <c r="ACZ1" s="177"/>
      <c r="ADA1" s="177"/>
      <c r="ADB1" s="177"/>
      <c r="ADC1" s="177"/>
      <c r="ADD1" s="177"/>
      <c r="ADE1" s="177"/>
      <c r="ADF1" s="177"/>
      <c r="ADG1" s="177"/>
      <c r="ADH1" s="177"/>
      <c r="ADI1" s="177"/>
      <c r="ADJ1" s="177"/>
      <c r="ADK1" s="177"/>
      <c r="ADL1" s="177"/>
      <c r="ADM1" s="177"/>
      <c r="ADN1" s="177"/>
      <c r="ADO1" s="177"/>
      <c r="ADP1" s="177"/>
      <c r="ADQ1" s="177"/>
      <c r="ADR1" s="177"/>
      <c r="ADS1" s="177"/>
      <c r="ADT1" s="177"/>
      <c r="ADU1" s="177"/>
      <c r="ADV1" s="177"/>
      <c r="ADW1" s="177"/>
      <c r="ADX1" s="177"/>
      <c r="ADY1" s="177"/>
      <c r="ADZ1" s="177"/>
      <c r="AEA1" s="177"/>
      <c r="AEB1" s="177"/>
      <c r="AEC1" s="177"/>
      <c r="AED1" s="177"/>
      <c r="AEE1" s="177"/>
      <c r="AEF1" s="177"/>
      <c r="AEG1" s="177"/>
      <c r="AEH1" s="177"/>
      <c r="AEI1" s="177"/>
      <c r="AEJ1" s="177"/>
      <c r="AEK1" s="177"/>
      <c r="AEL1" s="177"/>
      <c r="AEM1" s="177"/>
      <c r="AEN1" s="177"/>
      <c r="AEO1" s="177"/>
      <c r="AEP1" s="177"/>
      <c r="AEQ1" s="177"/>
      <c r="AER1" s="177"/>
      <c r="AES1" s="177"/>
      <c r="AET1" s="177"/>
      <c r="AEU1" s="177"/>
      <c r="AEV1" s="177"/>
      <c r="AEW1" s="177"/>
      <c r="AEX1" s="177"/>
      <c r="AEY1" s="177"/>
      <c r="AEZ1" s="177"/>
      <c r="AFA1" s="177"/>
      <c r="AFB1" s="177"/>
      <c r="AFC1" s="177"/>
      <c r="AFD1" s="177"/>
      <c r="AFE1" s="177"/>
      <c r="AFF1" s="177"/>
      <c r="AFG1" s="177"/>
      <c r="AFH1" s="177"/>
      <c r="AFI1" s="177"/>
      <c r="AFJ1" s="177"/>
      <c r="AFK1" s="177"/>
      <c r="AFL1" s="177"/>
      <c r="AFM1" s="177"/>
      <c r="AFN1" s="177"/>
      <c r="AFO1" s="177"/>
      <c r="AFP1" s="177"/>
      <c r="AFQ1" s="177"/>
      <c r="AFR1" s="177"/>
      <c r="AFS1" s="177"/>
      <c r="AFT1" s="177"/>
      <c r="AFU1" s="177"/>
      <c r="AFV1" s="177"/>
      <c r="AFW1" s="177"/>
      <c r="AFX1" s="177"/>
      <c r="AFY1" s="177"/>
      <c r="AFZ1" s="177"/>
      <c r="AGA1" s="177"/>
      <c r="AGB1" s="177"/>
      <c r="AGC1" s="177"/>
      <c r="AGD1" s="177"/>
      <c r="AGE1" s="177"/>
      <c r="AGF1" s="177"/>
      <c r="AGG1" s="177"/>
      <c r="AGH1" s="177"/>
      <c r="AGI1" s="177"/>
      <c r="AGJ1" s="177"/>
      <c r="AGK1" s="177"/>
      <c r="AGL1" s="177"/>
      <c r="AGM1" s="177"/>
      <c r="AGN1" s="177"/>
      <c r="AGO1" s="177"/>
      <c r="AGP1" s="177"/>
      <c r="AGQ1" s="177"/>
      <c r="AGR1" s="177"/>
      <c r="AGS1" s="177"/>
      <c r="AGT1" s="177"/>
      <c r="AGU1" s="177"/>
      <c r="AGV1" s="177"/>
      <c r="AGW1" s="177"/>
      <c r="AGX1" s="177"/>
      <c r="AGY1" s="177"/>
      <c r="AGZ1" s="177"/>
      <c r="AHA1" s="177"/>
      <c r="AHB1" s="177"/>
      <c r="AHC1" s="177"/>
      <c r="AHD1" s="177"/>
      <c r="AHE1" s="177"/>
      <c r="AHF1" s="177"/>
      <c r="AHG1" s="177"/>
      <c r="AHH1" s="177"/>
      <c r="AHI1" s="177"/>
      <c r="AHJ1" s="177"/>
      <c r="AHK1" s="177"/>
      <c r="AHL1" s="177"/>
      <c r="AHM1" s="177"/>
      <c r="AHN1" s="177"/>
      <c r="AHO1" s="177"/>
      <c r="AHP1" s="177"/>
      <c r="AHQ1" s="177"/>
      <c r="AHR1" s="177"/>
      <c r="AHS1" s="177"/>
      <c r="AHT1" s="177"/>
      <c r="AHU1" s="177"/>
      <c r="AHV1" s="177"/>
      <c r="AHW1" s="177"/>
      <c r="AHX1" s="177"/>
      <c r="AHY1" s="177"/>
      <c r="AHZ1" s="177"/>
      <c r="AIA1" s="177"/>
      <c r="AIB1" s="177"/>
      <c r="AIC1" s="177"/>
      <c r="AID1" s="177"/>
      <c r="AIE1" s="177"/>
      <c r="AIF1" s="177"/>
      <c r="AIG1" s="177"/>
      <c r="AIH1" s="177"/>
      <c r="AII1" s="177"/>
      <c r="AIJ1" s="177"/>
      <c r="AIK1" s="177"/>
      <c r="AIL1" s="177"/>
      <c r="AIM1" s="177"/>
      <c r="AIN1" s="177"/>
      <c r="AIO1" s="177"/>
      <c r="AIP1" s="177"/>
      <c r="AIQ1" s="177"/>
      <c r="AIR1" s="177"/>
      <c r="AIS1" s="177"/>
      <c r="AIT1" s="177"/>
      <c r="AIU1" s="177"/>
      <c r="AIV1" s="177"/>
      <c r="AIW1" s="177"/>
      <c r="AIX1" s="177"/>
      <c r="AIY1" s="177"/>
      <c r="AIZ1" s="177"/>
      <c r="AJA1" s="177"/>
      <c r="AJB1" s="177"/>
      <c r="AJC1" s="177"/>
      <c r="AJD1" s="177"/>
      <c r="AJE1" s="177"/>
      <c r="AJF1" s="177"/>
      <c r="AJG1" s="177"/>
      <c r="AJH1" s="177"/>
      <c r="AJI1" s="177"/>
      <c r="AJJ1" s="177"/>
      <c r="AJK1" s="177"/>
      <c r="AJL1" s="177"/>
      <c r="AJM1" s="177"/>
      <c r="AJN1" s="177"/>
      <c r="AJO1" s="177"/>
      <c r="AJP1" s="177"/>
      <c r="AJQ1" s="177"/>
      <c r="AJR1" s="177"/>
      <c r="AJS1" s="177"/>
      <c r="AJT1" s="177"/>
      <c r="AJU1" s="177"/>
      <c r="AJV1" s="177"/>
      <c r="AJW1" s="177"/>
      <c r="AJX1" s="177"/>
      <c r="AJY1" s="177"/>
      <c r="AJZ1" s="177"/>
      <c r="AKA1" s="177"/>
      <c r="AKB1" s="177"/>
      <c r="AKC1" s="177"/>
      <c r="AKD1" s="177"/>
      <c r="AKE1" s="177"/>
      <c r="AKF1" s="177"/>
      <c r="AKG1" s="177"/>
      <c r="AKH1" s="177"/>
      <c r="AKI1" s="177"/>
      <c r="AKJ1" s="177"/>
      <c r="AKK1" s="177"/>
      <c r="AKL1" s="177"/>
      <c r="AKM1" s="177"/>
      <c r="AKN1" s="177"/>
      <c r="AKO1" s="177"/>
      <c r="AKP1" s="177"/>
      <c r="AKQ1" s="177"/>
      <c r="AKR1" s="177"/>
      <c r="AKS1" s="177"/>
      <c r="AKT1" s="177"/>
      <c r="AKU1" s="177"/>
      <c r="AKV1" s="177"/>
      <c r="AKW1" s="177"/>
      <c r="AKX1" s="177"/>
      <c r="AKY1" s="177"/>
      <c r="AKZ1" s="177"/>
      <c r="ALA1" s="177"/>
      <c r="ALB1" s="177"/>
      <c r="ALC1" s="177"/>
      <c r="ALD1" s="177"/>
      <c r="ALE1" s="177"/>
      <c r="ALF1" s="177"/>
      <c r="ALG1" s="177"/>
      <c r="ALH1" s="177"/>
      <c r="ALI1" s="177"/>
      <c r="ALJ1" s="177"/>
      <c r="ALK1" s="177"/>
      <c r="ALL1" s="177"/>
      <c r="ALM1" s="177"/>
      <c r="ALN1" s="177"/>
      <c r="ALO1" s="177"/>
      <c r="ALP1" s="177"/>
      <c r="ALQ1" s="177"/>
      <c r="ALR1" s="177"/>
      <c r="ALS1" s="177"/>
      <c r="ALT1" s="177"/>
      <c r="ALU1" s="177"/>
      <c r="ALV1" s="177"/>
      <c r="ALW1" s="177"/>
      <c r="ALX1" s="177"/>
      <c r="ALY1" s="177"/>
      <c r="ALZ1" s="177"/>
      <c r="AMA1" s="177"/>
      <c r="AMB1" s="177"/>
      <c r="AMC1" s="177"/>
      <c r="AMD1" s="177"/>
      <c r="AME1" s="177"/>
      <c r="AMF1" s="177"/>
      <c r="AMG1" s="177"/>
      <c r="AMH1" s="177"/>
      <c r="AMI1" s="177"/>
    </row>
    <row r="2" spans="1:1023" x14ac:dyDescent="0.25">
      <c r="A2" s="179"/>
      <c r="B2" s="180"/>
      <c r="C2" s="181"/>
      <c r="D2" s="181"/>
      <c r="E2" s="182"/>
      <c r="F2" s="182"/>
      <c r="G2" s="182"/>
      <c r="H2" s="182"/>
      <c r="I2" s="182"/>
      <c r="J2" s="182"/>
      <c r="K2" s="182"/>
      <c r="L2" s="181"/>
      <c r="M2" s="183"/>
      <c r="N2" s="184"/>
    </row>
    <row r="3" spans="1:1023" x14ac:dyDescent="0.25">
      <c r="A3" s="179"/>
      <c r="B3" s="180"/>
      <c r="C3" s="185" t="s">
        <v>347</v>
      </c>
      <c r="D3" s="186"/>
      <c r="E3" s="761">
        <v>44135</v>
      </c>
      <c r="F3" s="762"/>
      <c r="G3" s="762"/>
      <c r="H3" s="762"/>
      <c r="I3" s="762"/>
      <c r="J3" s="762"/>
      <c r="K3" s="762"/>
      <c r="L3" s="763"/>
      <c r="M3" s="183"/>
      <c r="N3" s="184"/>
    </row>
    <row r="4" spans="1:1023" ht="5.25" customHeight="1" x14ac:dyDescent="0.25">
      <c r="A4" s="187"/>
      <c r="B4" s="188"/>
      <c r="C4" s="189"/>
      <c r="D4" s="189"/>
      <c r="E4" s="189"/>
      <c r="F4" s="189"/>
      <c r="G4" s="189"/>
      <c r="H4" s="189"/>
      <c r="I4" s="189"/>
      <c r="J4" s="189"/>
      <c r="K4" s="189"/>
      <c r="L4" s="189"/>
      <c r="M4" s="183"/>
      <c r="N4" s="184"/>
    </row>
    <row r="5" spans="1:1023" x14ac:dyDescent="0.25">
      <c r="A5" s="179"/>
      <c r="B5" s="180"/>
      <c r="C5" s="185" t="s">
        <v>348</v>
      </c>
      <c r="D5" s="186"/>
      <c r="E5" s="764"/>
      <c r="F5" s="765"/>
      <c r="G5" s="765"/>
      <c r="H5" s="765"/>
      <c r="I5" s="765"/>
      <c r="J5" s="765"/>
      <c r="K5" s="765"/>
      <c r="L5" s="766"/>
      <c r="M5" s="183"/>
      <c r="N5" s="184"/>
    </row>
    <row r="6" spans="1:1023" ht="5.25" customHeight="1" x14ac:dyDescent="0.25">
      <c r="A6" s="187"/>
      <c r="B6" s="188"/>
      <c r="C6" s="190"/>
      <c r="D6" s="189"/>
      <c r="E6" s="189"/>
      <c r="F6" s="189"/>
      <c r="G6" s="189"/>
      <c r="H6" s="189"/>
      <c r="I6" s="189"/>
      <c r="J6" s="189"/>
      <c r="K6" s="189"/>
      <c r="L6" s="189"/>
      <c r="M6" s="183"/>
      <c r="N6" s="184"/>
    </row>
    <row r="7" spans="1:1023" x14ac:dyDescent="0.25">
      <c r="A7" s="179"/>
      <c r="B7" s="180"/>
      <c r="C7" s="185" t="s">
        <v>188</v>
      </c>
      <c r="D7" s="191"/>
      <c r="E7" s="764" t="s">
        <v>436</v>
      </c>
      <c r="F7" s="765"/>
      <c r="G7" s="765"/>
      <c r="H7" s="765"/>
      <c r="I7" s="765"/>
      <c r="J7" s="765"/>
      <c r="K7" s="765"/>
      <c r="L7" s="766"/>
      <c r="M7" s="183"/>
      <c r="N7" s="184"/>
    </row>
    <row r="8" spans="1:1023" ht="5.25" customHeight="1" x14ac:dyDescent="0.25">
      <c r="A8" s="187"/>
      <c r="B8" s="188"/>
      <c r="C8" s="189"/>
      <c r="D8" s="189"/>
      <c r="E8" s="189"/>
      <c r="F8" s="189"/>
      <c r="G8" s="189"/>
      <c r="H8" s="189"/>
      <c r="I8" s="189"/>
      <c r="J8" s="189"/>
      <c r="K8" s="189"/>
      <c r="L8" s="189"/>
      <c r="M8" s="183"/>
      <c r="N8" s="184"/>
    </row>
    <row r="9" spans="1:1023" x14ac:dyDescent="0.25">
      <c r="A9" s="179"/>
      <c r="B9" s="180"/>
      <c r="C9" s="185" t="s">
        <v>189</v>
      </c>
      <c r="D9" s="186"/>
      <c r="E9" s="764" t="s">
        <v>439</v>
      </c>
      <c r="F9" s="765"/>
      <c r="G9" s="765"/>
      <c r="H9" s="765"/>
      <c r="I9" s="765"/>
      <c r="J9" s="765"/>
      <c r="K9" s="765"/>
      <c r="L9" s="766"/>
      <c r="M9" s="183"/>
      <c r="N9" s="184"/>
    </row>
    <row r="10" spans="1:1023" x14ac:dyDescent="0.25">
      <c r="A10" s="192"/>
      <c r="B10" s="193"/>
      <c r="C10" s="193"/>
      <c r="D10" s="193"/>
      <c r="E10" s="193"/>
      <c r="F10" s="193"/>
      <c r="G10" s="193"/>
      <c r="H10" s="193"/>
      <c r="I10" s="193"/>
      <c r="J10" s="193"/>
      <c r="K10" s="193"/>
      <c r="L10" s="193"/>
      <c r="M10" s="193"/>
      <c r="N10" s="194"/>
    </row>
    <row r="11" spans="1:1023" ht="5.25" customHeight="1" x14ac:dyDescent="0.25">
      <c r="A11" s="186"/>
      <c r="B11" s="195"/>
      <c r="C11" s="195"/>
      <c r="D11" s="195"/>
      <c r="E11" s="195"/>
      <c r="F11" s="195"/>
      <c r="G11" s="195"/>
      <c r="H11" s="195"/>
      <c r="I11" s="195"/>
      <c r="J11" s="195"/>
      <c r="K11" s="195"/>
      <c r="L11" s="195"/>
      <c r="M11" s="195"/>
      <c r="N11" s="196"/>
    </row>
    <row r="12" spans="1:1023" ht="30" x14ac:dyDescent="0.25">
      <c r="A12" s="186"/>
      <c r="B12" s="195"/>
      <c r="C12" s="195"/>
      <c r="D12" s="195"/>
      <c r="E12" s="197" t="s">
        <v>325</v>
      </c>
      <c r="F12" s="198"/>
      <c r="G12" s="197" t="s">
        <v>349</v>
      </c>
      <c r="H12" s="198"/>
      <c r="I12" s="198" t="s">
        <v>327</v>
      </c>
      <c r="J12" s="198"/>
      <c r="K12" s="198" t="s">
        <v>328</v>
      </c>
      <c r="L12" s="199"/>
      <c r="M12" s="197" t="s">
        <v>350</v>
      </c>
      <c r="N12" s="196"/>
    </row>
    <row r="13" spans="1:1023" ht="3.75" customHeight="1" x14ac:dyDescent="0.25">
      <c r="A13" s="200"/>
      <c r="B13" s="201"/>
      <c r="C13" s="202"/>
      <c r="D13" s="201"/>
      <c r="E13" s="203"/>
      <c r="F13" s="201"/>
      <c r="G13" s="203"/>
      <c r="H13" s="201"/>
      <c r="I13" s="203"/>
      <c r="J13" s="201"/>
      <c r="K13" s="203"/>
      <c r="L13" s="201"/>
      <c r="M13" s="203"/>
      <c r="N13" s="194"/>
      <c r="O13" s="141"/>
      <c r="P13" s="141"/>
    </row>
    <row r="14" spans="1:1023" x14ac:dyDescent="0.25">
      <c r="A14" s="204"/>
      <c r="B14" s="195"/>
      <c r="C14" s="205"/>
      <c r="D14" s="195"/>
      <c r="E14" s="195"/>
      <c r="F14" s="195"/>
      <c r="G14" s="195"/>
      <c r="H14" s="195"/>
      <c r="I14" s="195"/>
      <c r="J14" s="195"/>
      <c r="K14" s="195"/>
      <c r="L14" s="195"/>
      <c r="M14" s="195"/>
      <c r="N14" s="196"/>
    </row>
    <row r="15" spans="1:1023" ht="30" customHeight="1" x14ac:dyDescent="0.25">
      <c r="A15" s="200"/>
      <c r="B15" s="183"/>
      <c r="C15" s="206" t="s">
        <v>351</v>
      </c>
      <c r="D15" s="207"/>
      <c r="E15" s="494">
        <f>IF(G15&gt;0,(COUNTIF(Assessment_EIF!G18,"✓"))/((COUNTIF(Assessment_EIF!G18,"X"))+(COUNTIF(Assessment_EIF!G18,"✓"))),0)</f>
        <v>0</v>
      </c>
      <c r="F15" s="495"/>
      <c r="G15" s="494">
        <f>(COUNTIF(Assessment_EIF!G18,"✓")+COUNTIF(Assessment_EIF!G18,"X"))/1</f>
        <v>1</v>
      </c>
      <c r="H15" s="183"/>
      <c r="I15" s="208">
        <f>COUNTIF(Assessment_EIF!G18,"✓")</f>
        <v>0</v>
      </c>
      <c r="J15" s="183"/>
      <c r="K15" s="208">
        <f>COUNTIF(Assessment_EIF!G18,"X")</f>
        <v>1</v>
      </c>
      <c r="L15" s="183"/>
      <c r="M15" s="208">
        <f>COUNTIF(Assessment_EIF!G18,"N/A")</f>
        <v>0</v>
      </c>
      <c r="N15" s="184"/>
    </row>
    <row r="16" spans="1:1023" ht="10.15" customHeight="1" x14ac:dyDescent="0.25">
      <c r="A16" s="200"/>
      <c r="B16" s="183"/>
      <c r="C16" s="209"/>
      <c r="D16" s="183"/>
      <c r="E16" s="496"/>
      <c r="F16" s="495"/>
      <c r="G16" s="496"/>
      <c r="H16" s="183"/>
      <c r="I16" s="209"/>
      <c r="J16" s="183"/>
      <c r="K16" s="209"/>
      <c r="L16" s="183"/>
      <c r="M16" s="209"/>
      <c r="N16" s="184"/>
    </row>
    <row r="17" spans="1:16" ht="33" customHeight="1" thickBot="1" x14ac:dyDescent="0.3">
      <c r="A17" s="200"/>
      <c r="B17" s="183"/>
      <c r="C17" s="211" t="s">
        <v>352</v>
      </c>
      <c r="D17" s="212"/>
      <c r="E17" s="493">
        <f>IF(G17&gt;0,(COUNTIF(Assessment_EIF!G18,"✓"))/((COUNTIF(Assessment_EIF!G18,"X"))+(COUNTIF(Assessment_EIF!G18,"✓"))),0)</f>
        <v>0</v>
      </c>
      <c r="F17" s="497"/>
      <c r="G17" s="493">
        <f>(COUNTIF(Assessment_EIF!G18,"✓")+COUNTIF(Assessment_EIF!G18,"X"))/1</f>
        <v>1</v>
      </c>
      <c r="H17" s="213"/>
      <c r="I17" s="214">
        <f>COUNTIF(Assessment_EIF!G18,"✓")</f>
        <v>0</v>
      </c>
      <c r="J17" s="213"/>
      <c r="K17" s="214">
        <f>COUNTIF(Assessment_EIF!G18,"X")</f>
        <v>1</v>
      </c>
      <c r="L17" s="213"/>
      <c r="M17" s="214">
        <f>COUNTIF(Assessment_EIF!G18,"N/A")</f>
        <v>0</v>
      </c>
      <c r="N17" s="184"/>
    </row>
    <row r="18" spans="1:16" x14ac:dyDescent="0.25">
      <c r="A18" s="200"/>
      <c r="B18" s="201"/>
      <c r="C18" s="202"/>
      <c r="D18" s="201"/>
      <c r="E18" s="498"/>
      <c r="F18" s="499"/>
      <c r="G18" s="498"/>
      <c r="H18" s="201"/>
      <c r="I18" s="203"/>
      <c r="J18" s="201"/>
      <c r="K18" s="203"/>
      <c r="L18" s="201"/>
      <c r="M18" s="203"/>
      <c r="N18" s="194"/>
    </row>
    <row r="19" spans="1:16" ht="15.75" thickBot="1" x14ac:dyDescent="0.3">
      <c r="A19" s="204"/>
      <c r="B19" s="195"/>
      <c r="C19" s="205"/>
      <c r="D19" s="195"/>
      <c r="E19" s="500"/>
      <c r="F19" s="500"/>
      <c r="G19" s="500"/>
      <c r="H19" s="195"/>
      <c r="I19" s="195"/>
      <c r="J19" s="195"/>
      <c r="K19" s="195"/>
      <c r="L19" s="195"/>
      <c r="M19" s="195"/>
      <c r="N19" s="196"/>
    </row>
    <row r="20" spans="1:16" ht="30" customHeight="1" thickBot="1" x14ac:dyDescent="0.3">
      <c r="A20" s="200"/>
      <c r="B20" s="183"/>
      <c r="C20" s="215" t="s">
        <v>353</v>
      </c>
      <c r="D20" s="183"/>
      <c r="E20" s="494">
        <f>IF(G20&gt;0,(COUNTIF(Assessment_EIF!G24:G42,"✓"))/((COUNTIF(Assessment_EIF!G24:G42,"X"))+(COUNTIF(Assessment_EIF!G24:G42,"✓"))),0)</f>
        <v>0.55555555555555558</v>
      </c>
      <c r="F20" s="495"/>
      <c r="G20" s="494">
        <f>(COUNTIF(Assessment_EIF!G24:G42,"✓")+COUNTIF(Assessment_EIF!G24:G42,"X"))/10</f>
        <v>0.9</v>
      </c>
      <c r="H20" s="183"/>
      <c r="I20" s="208">
        <f>COUNTIF(Assessment_EIF!G24:G42,"✓")</f>
        <v>5</v>
      </c>
      <c r="J20" s="183"/>
      <c r="K20" s="208">
        <f>COUNTIF(Assessment_EIF!G24:G42,"X")</f>
        <v>4</v>
      </c>
      <c r="L20" s="183"/>
      <c r="M20" s="208">
        <f>COUNTIF(Assessment_EIF!G24:G42,"N/A")</f>
        <v>1</v>
      </c>
      <c r="N20" s="184"/>
    </row>
    <row r="21" spans="1:16" ht="10.15" customHeight="1" thickBot="1" x14ac:dyDescent="0.3">
      <c r="A21" s="200"/>
      <c r="B21" s="183"/>
      <c r="C21" s="216"/>
      <c r="D21" s="183"/>
      <c r="E21" s="495"/>
      <c r="F21" s="495"/>
      <c r="G21" s="495"/>
      <c r="H21" s="183"/>
      <c r="I21" s="183"/>
      <c r="J21" s="183"/>
      <c r="K21" s="183"/>
      <c r="L21" s="183"/>
      <c r="M21" s="183"/>
      <c r="N21" s="184"/>
    </row>
    <row r="22" spans="1:16" ht="30" customHeight="1" thickBot="1" x14ac:dyDescent="0.3">
      <c r="A22" s="200"/>
      <c r="B22" s="183"/>
      <c r="C22" s="215" t="s">
        <v>354</v>
      </c>
      <c r="D22" s="183"/>
      <c r="E22" s="494">
        <f>IF(G22&gt;0,(COUNTIF(Assessment_EIF!G46:G50,"✓"))/((COUNTIF(Assessment_EIF!G46:G50,"X"))+(COUNTIF(Assessment_EIF!G46:G50,"✓"))),0)</f>
        <v>0</v>
      </c>
      <c r="F22" s="495"/>
      <c r="G22" s="494">
        <f>(COUNTIF(Assessment_EIF!G46:G50,"✓")+COUNTIF(Assessment_EIF!G46:G50,"X"))/3</f>
        <v>0</v>
      </c>
      <c r="H22" s="183"/>
      <c r="I22" s="208">
        <f>COUNTIF(Assessment_EIF!G46:G50,"✓")</f>
        <v>0</v>
      </c>
      <c r="J22" s="183"/>
      <c r="K22" s="208">
        <f>COUNTIF(Assessment_EIF!G46:G50,"X")</f>
        <v>0</v>
      </c>
      <c r="L22" s="183"/>
      <c r="M22" s="208">
        <f>COUNTIF(Assessment_EIF!G46:G50,"N/A")</f>
        <v>3</v>
      </c>
      <c r="N22" s="184"/>
    </row>
    <row r="23" spans="1:16" ht="10.15" customHeight="1" thickBot="1" x14ac:dyDescent="0.3">
      <c r="A23" s="200"/>
      <c r="B23" s="183"/>
      <c r="C23" s="216"/>
      <c r="D23" s="183"/>
      <c r="E23" s="495"/>
      <c r="F23" s="495"/>
      <c r="G23" s="495"/>
      <c r="H23" s="183"/>
      <c r="I23" s="183"/>
      <c r="J23" s="183"/>
      <c r="K23" s="183"/>
      <c r="L23" s="183"/>
      <c r="M23" s="183"/>
      <c r="N23" s="184"/>
    </row>
    <row r="24" spans="1:16" ht="30" customHeight="1" thickBot="1" x14ac:dyDescent="0.3">
      <c r="A24" s="200"/>
      <c r="B24" s="183"/>
      <c r="C24" s="215" t="s">
        <v>355</v>
      </c>
      <c r="D24" s="183"/>
      <c r="E24" s="494">
        <f>IF(G24&gt;0,(COUNTIF(Assessment_EIF!G54:G58,"✓"))/((COUNTIF(Assessment_EIF!G54:G58,"X"))+(COUNTIF(Assessment_EIF!G54:G58,"✓"))),0)</f>
        <v>0.33333333333333331</v>
      </c>
      <c r="F24" s="495"/>
      <c r="G24" s="494">
        <f>(COUNTIF(Assessment_EIF!G54:G58,"✓")+COUNTIF(Assessment_EIF!G54:G58,"X"))/3</f>
        <v>1</v>
      </c>
      <c r="H24" s="183"/>
      <c r="I24" s="208">
        <f>COUNTIF(Assessment_EIF!G54:G58,"✓")</f>
        <v>1</v>
      </c>
      <c r="J24" s="183"/>
      <c r="K24" s="208">
        <f>COUNTIF(Assessment_EIF!G54:G58,"X")</f>
        <v>2</v>
      </c>
      <c r="L24" s="183"/>
      <c r="M24" s="208">
        <f>COUNTIF(Assessment_EIF!G54:G58,"N/A")</f>
        <v>0</v>
      </c>
      <c r="N24" s="184"/>
    </row>
    <row r="25" spans="1:16" ht="10.15" customHeight="1" thickBot="1" x14ac:dyDescent="0.3">
      <c r="A25" s="200"/>
      <c r="B25" s="183"/>
      <c r="C25" s="216"/>
      <c r="D25" s="183"/>
      <c r="E25" s="495"/>
      <c r="F25" s="495"/>
      <c r="G25" s="495"/>
      <c r="H25" s="183"/>
      <c r="I25" s="183"/>
      <c r="J25" s="183"/>
      <c r="K25" s="183"/>
      <c r="L25" s="183"/>
      <c r="M25" s="183"/>
      <c r="N25" s="184"/>
    </row>
    <row r="26" spans="1:16" ht="30" customHeight="1" thickBot="1" x14ac:dyDescent="0.3">
      <c r="A26" s="200"/>
      <c r="B26" s="183"/>
      <c r="C26" s="215" t="s">
        <v>356</v>
      </c>
      <c r="D26" s="183"/>
      <c r="E26" s="494">
        <f>IF(G26&gt;0,(COUNTIF(Assessment_EIF!G62:G66,"✓"))/((COUNTIF(Assessment_EIF!G62:G66,"X"))+(COUNTIF(Assessment_EIF!G62:G66,"✓"))),0)</f>
        <v>1</v>
      </c>
      <c r="F26" s="495"/>
      <c r="G26" s="494">
        <f>(COUNTIF(Assessment_EIF!G62:G66,"✓")+COUNTIF(Assessment_EIF!G62:G66,"X"))/3</f>
        <v>0.66666666666666663</v>
      </c>
      <c r="H26" s="183"/>
      <c r="I26" s="208">
        <f>COUNTIF(Assessment_EIF!G62:G66,"✓")</f>
        <v>2</v>
      </c>
      <c r="J26" s="183"/>
      <c r="K26" s="208">
        <f>COUNTIF(Assessment_EIF!G62:G66,"X")</f>
        <v>0</v>
      </c>
      <c r="L26" s="183"/>
      <c r="M26" s="208">
        <f>COUNTIF(Assessment_EIF!G62:G66,"N/A")</f>
        <v>1</v>
      </c>
      <c r="N26" s="184"/>
      <c r="P26" s="128">
        <v>1</v>
      </c>
    </row>
    <row r="27" spans="1:16" ht="10.15" customHeight="1" x14ac:dyDescent="0.25">
      <c r="A27" s="200"/>
      <c r="B27" s="183"/>
      <c r="C27" s="209"/>
      <c r="D27" s="183"/>
      <c r="E27" s="496"/>
      <c r="F27" s="495"/>
      <c r="G27" s="496"/>
      <c r="H27" s="183"/>
      <c r="I27" s="209"/>
      <c r="J27" s="183"/>
      <c r="K27" s="209"/>
      <c r="L27" s="183"/>
      <c r="M27" s="209"/>
      <c r="N27" s="184"/>
    </row>
    <row r="28" spans="1:16" ht="33" customHeight="1" thickBot="1" x14ac:dyDescent="0.3">
      <c r="A28" s="200"/>
      <c r="B28" s="183"/>
      <c r="C28" s="217" t="s">
        <v>357</v>
      </c>
      <c r="D28" s="183"/>
      <c r="E28" s="493">
        <f>IF(G28&gt;0,(COUNTIF(Assessment_EIF!G24:G66,"✓"))/((COUNTIF(Assessment_EIF!G24:G66,"X"))+(COUNTIF(Assessment_EIF!G24:G66,"✓"))),0)</f>
        <v>0.5714285714285714</v>
      </c>
      <c r="F28" s="497"/>
      <c r="G28" s="493">
        <f>(COUNTIF(Assessment_EIF!G24:G66,"✓")+COUNTIF(Assessment_EIF!G24:G66,"X"))/19</f>
        <v>0.73684210526315785</v>
      </c>
      <c r="H28" s="213"/>
      <c r="I28" s="214">
        <f>SUM(I20,I22,I24,I26)</f>
        <v>8</v>
      </c>
      <c r="J28" s="213"/>
      <c r="K28" s="214">
        <f>SUM(K20,K22,K24,K26)</f>
        <v>6</v>
      </c>
      <c r="L28" s="213"/>
      <c r="M28" s="214">
        <f>SUM(M20,M22,M24,M26)</f>
        <v>5</v>
      </c>
      <c r="N28" s="184"/>
    </row>
    <row r="29" spans="1:16" x14ac:dyDescent="0.25">
      <c r="A29" s="200"/>
      <c r="B29" s="201"/>
      <c r="C29" s="202"/>
      <c r="D29" s="201"/>
      <c r="E29" s="498"/>
      <c r="F29" s="499"/>
      <c r="G29" s="498"/>
      <c r="H29" s="201"/>
      <c r="I29" s="203"/>
      <c r="J29" s="201"/>
      <c r="K29" s="203"/>
      <c r="L29" s="201"/>
      <c r="M29" s="203"/>
      <c r="N29" s="194"/>
      <c r="O29" s="145"/>
      <c r="P29" s="145"/>
    </row>
    <row r="30" spans="1:16" x14ac:dyDescent="0.25">
      <c r="A30" s="204"/>
      <c r="B30" s="195"/>
      <c r="C30" s="205"/>
      <c r="D30" s="195"/>
      <c r="E30" s="500"/>
      <c r="F30" s="500"/>
      <c r="G30" s="500"/>
      <c r="H30" s="195"/>
      <c r="I30" s="195"/>
      <c r="J30" s="195"/>
      <c r="K30" s="195"/>
      <c r="L30" s="195"/>
      <c r="M30" s="195"/>
      <c r="N30" s="196"/>
      <c r="O30" s="168"/>
      <c r="P30" s="168"/>
    </row>
    <row r="31" spans="1:16" ht="30" customHeight="1" x14ac:dyDescent="0.25">
      <c r="A31" s="200"/>
      <c r="B31" s="183"/>
      <c r="C31" s="218" t="s">
        <v>358</v>
      </c>
      <c r="D31" s="212"/>
      <c r="E31" s="494">
        <f>IF(G31&gt;0,(COUNTIF(Assessment_EIF!G72,"✓"))/((COUNTIF(Assessment_EIF!G72,"X"))+(COUNTIF(Assessment_EIF!G72,"✓"))),0)</f>
        <v>0</v>
      </c>
      <c r="F31" s="495"/>
      <c r="G31" s="494">
        <f>(COUNTIF(Assessment_EIF!G72,"✓")+COUNTIF(Assessment_EIF!G72,"X"))/1</f>
        <v>0</v>
      </c>
      <c r="H31" s="183"/>
      <c r="I31" s="208">
        <f>COUNTIF(Assessment_EIF!G72,"✓")</f>
        <v>0</v>
      </c>
      <c r="J31" s="183"/>
      <c r="K31" s="208">
        <f>COUNTIF(Assessment_EIF!G72,"X")</f>
        <v>0</v>
      </c>
      <c r="L31" s="180"/>
      <c r="M31" s="208">
        <f>COUNTIF(Assessment_EIF!G72,"N/A")</f>
        <v>1</v>
      </c>
      <c r="N31" s="184"/>
    </row>
    <row r="32" spans="1:16" ht="10.15" customHeight="1" x14ac:dyDescent="0.25">
      <c r="A32" s="200"/>
      <c r="B32" s="183"/>
      <c r="C32" s="216"/>
      <c r="D32" s="183"/>
      <c r="E32" s="495"/>
      <c r="F32" s="495"/>
      <c r="G32" s="495"/>
      <c r="H32" s="183"/>
      <c r="I32" s="183"/>
      <c r="J32" s="183"/>
      <c r="K32" s="183"/>
      <c r="L32" s="183"/>
      <c r="M32" s="183"/>
      <c r="N32" s="184"/>
    </row>
    <row r="33" spans="1:16" ht="30" customHeight="1" x14ac:dyDescent="0.25">
      <c r="A33" s="200"/>
      <c r="B33" s="183"/>
      <c r="C33" s="218" t="s">
        <v>359</v>
      </c>
      <c r="D33" s="183"/>
      <c r="E33" s="494">
        <f>IF(G33&gt;0,(COUNTIF(Assessment_EIF!G76,"✓"))/((COUNTIF(Assessment_EIF!G76,"X"))+(COUNTIF(Assessment_EIF!G76,"✓"))),0)</f>
        <v>0</v>
      </c>
      <c r="F33" s="495"/>
      <c r="G33" s="494">
        <f>(COUNTIF(Assessment_EIF!G76,"✓")+COUNTIF(Assessment_EIF!G76,"X"))/1</f>
        <v>0</v>
      </c>
      <c r="H33" s="183"/>
      <c r="I33" s="208">
        <f>COUNTIF(Assessment_EIF!G76,"✓")</f>
        <v>0</v>
      </c>
      <c r="J33" s="183"/>
      <c r="K33" s="208">
        <f>COUNTIF(Assessment_EIF!G76,"X")</f>
        <v>0</v>
      </c>
      <c r="L33" s="180"/>
      <c r="M33" s="208">
        <f>COUNTIF(Assessment_EIF!G76,"N/A")</f>
        <v>1</v>
      </c>
      <c r="N33" s="184"/>
    </row>
    <row r="34" spans="1:16" ht="10.15" customHeight="1" x14ac:dyDescent="0.25">
      <c r="A34" s="200"/>
      <c r="B34" s="183"/>
      <c r="C34" s="216"/>
      <c r="D34" s="183"/>
      <c r="E34" s="495"/>
      <c r="F34" s="495"/>
      <c r="G34" s="495"/>
      <c r="H34" s="183"/>
      <c r="I34" s="183"/>
      <c r="J34" s="183"/>
      <c r="K34" s="183"/>
      <c r="L34" s="183"/>
      <c r="M34" s="183"/>
      <c r="N34" s="184"/>
    </row>
    <row r="35" spans="1:16" ht="30" customHeight="1" x14ac:dyDescent="0.25">
      <c r="A35" s="200"/>
      <c r="B35" s="183"/>
      <c r="C35" s="218" t="s">
        <v>360</v>
      </c>
      <c r="D35" s="183"/>
      <c r="E35" s="494">
        <f>IF(G35&gt;0,(COUNTIF(Assessment_EIF!G80,"✓"))/((COUNTIF(Assessment_EIF!G80,"X"))+(COUNTIF(Assessment_EIF!G80,"✓"))),0)</f>
        <v>1</v>
      </c>
      <c r="F35" s="495"/>
      <c r="G35" s="494">
        <f>(COUNTIF(Assessment_EIF!G80,"✓")+COUNTIF(Assessment_EIF!G80,"X"))/1</f>
        <v>1</v>
      </c>
      <c r="H35" s="183"/>
      <c r="I35" s="208">
        <f>COUNTIF(Assessment_EIF!G80,"✓")</f>
        <v>1</v>
      </c>
      <c r="J35" s="183"/>
      <c r="K35" s="208">
        <f>COUNTIF(Assessment_EIF!G80,"X")</f>
        <v>0</v>
      </c>
      <c r="L35" s="180"/>
      <c r="M35" s="208">
        <f>COUNTIF(Assessment_EIF!G80,"N/A")</f>
        <v>0</v>
      </c>
      <c r="N35" s="184"/>
    </row>
    <row r="36" spans="1:16" ht="10.15" customHeight="1" x14ac:dyDescent="0.25">
      <c r="A36" s="200"/>
      <c r="B36" s="183"/>
      <c r="C36" s="219"/>
      <c r="D36" s="183"/>
      <c r="E36" s="495"/>
      <c r="F36" s="495"/>
      <c r="G36" s="495"/>
      <c r="H36" s="183"/>
      <c r="I36" s="183"/>
      <c r="J36" s="183"/>
      <c r="K36" s="183"/>
      <c r="L36" s="183"/>
      <c r="M36" s="183"/>
      <c r="N36" s="184"/>
    </row>
    <row r="37" spans="1:16" ht="30" customHeight="1" x14ac:dyDescent="0.25">
      <c r="A37" s="200"/>
      <c r="B37" s="183"/>
      <c r="C37" s="218" t="s">
        <v>361</v>
      </c>
      <c r="D37" s="183"/>
      <c r="E37" s="494">
        <f>IF(G37&gt;0,(COUNTIF(Assessment_EIF!G84,"✓"))/((COUNTIF(Assessment_EIF!G84,"X"))+(COUNTIF(Assessment_EIF!G84,"✓"))),0)</f>
        <v>0</v>
      </c>
      <c r="F37" s="495"/>
      <c r="G37" s="494">
        <f>(COUNTIF(Assessment_EIF!G84,"✓")+COUNTIF(Assessment_EIF!G84,"X"))/1</f>
        <v>0</v>
      </c>
      <c r="H37" s="183"/>
      <c r="I37" s="208">
        <f>COUNTIF(Assessment_EIF!G84,"✓")</f>
        <v>0</v>
      </c>
      <c r="J37" s="183"/>
      <c r="K37" s="208">
        <f>COUNTIF(Assessment_EIF!G84,"X")</f>
        <v>0</v>
      </c>
      <c r="L37" s="180"/>
      <c r="M37" s="208">
        <f>COUNTIF(Assessment_EIF!G84,"N/A")</f>
        <v>1</v>
      </c>
      <c r="N37" s="184"/>
    </row>
    <row r="38" spans="1:16" ht="10.15" customHeight="1" x14ac:dyDescent="0.25">
      <c r="A38" s="200"/>
      <c r="B38" s="183"/>
      <c r="C38" s="220"/>
      <c r="D38" s="183"/>
      <c r="E38" s="496"/>
      <c r="F38" s="495"/>
      <c r="G38" s="496"/>
      <c r="H38" s="183"/>
      <c r="I38" s="210"/>
      <c r="J38" s="183"/>
      <c r="K38" s="210"/>
      <c r="L38" s="180"/>
      <c r="M38" s="210"/>
      <c r="N38" s="184"/>
    </row>
    <row r="39" spans="1:16" ht="33" customHeight="1" thickBot="1" x14ac:dyDescent="0.3">
      <c r="A39" s="200"/>
      <c r="B39" s="183"/>
      <c r="C39" s="221" t="s">
        <v>201</v>
      </c>
      <c r="D39" s="212"/>
      <c r="E39" s="493">
        <f>IF(G39&gt;0,(COUNTIF(Assessment_EIF!G72:G84,"✓"))/((COUNTIF(Assessment_EIF!G72:G84,"X"))+(COUNTIF(Assessment_EIF!G72:G84,"✓"))),0)</f>
        <v>1</v>
      </c>
      <c r="F39" s="497"/>
      <c r="G39" s="493">
        <f>(COUNTIF(Assessment_EIF!G72:G84,"✓")+COUNTIF(Assessment_EIF!G72:G84,"X"))/4</f>
        <v>0.25</v>
      </c>
      <c r="H39" s="213"/>
      <c r="I39" s="214">
        <f>SUM(I31:I37)</f>
        <v>1</v>
      </c>
      <c r="J39" s="213"/>
      <c r="K39" s="214">
        <f>SUM(K31:K37)</f>
        <v>0</v>
      </c>
      <c r="L39" s="213"/>
      <c r="M39" s="214">
        <f>SUM(M31:M37)</f>
        <v>3</v>
      </c>
      <c r="N39" s="184"/>
      <c r="P39" s="128">
        <v>1</v>
      </c>
    </row>
    <row r="40" spans="1:16" x14ac:dyDescent="0.25">
      <c r="A40" s="200"/>
      <c r="B40" s="183"/>
      <c r="C40" s="222"/>
      <c r="D40" s="183"/>
      <c r="E40" s="495"/>
      <c r="F40" s="495"/>
      <c r="G40" s="495"/>
      <c r="H40" s="183"/>
      <c r="I40" s="183"/>
      <c r="J40" s="183"/>
      <c r="K40" s="183"/>
      <c r="L40" s="183"/>
      <c r="M40" s="183"/>
      <c r="N40" s="184"/>
    </row>
    <row r="41" spans="1:16" ht="15.75" thickBot="1" x14ac:dyDescent="0.3">
      <c r="A41" s="204"/>
      <c r="B41" s="223"/>
      <c r="C41" s="224"/>
      <c r="D41" s="223"/>
      <c r="E41" s="501"/>
      <c r="F41" s="501"/>
      <c r="G41" s="501"/>
      <c r="H41" s="223"/>
      <c r="I41" s="223"/>
      <c r="J41" s="223"/>
      <c r="K41" s="223"/>
      <c r="L41" s="223"/>
      <c r="M41" s="223"/>
      <c r="N41" s="225"/>
    </row>
    <row r="42" spans="1:16" ht="30" customHeight="1" thickBot="1" x14ac:dyDescent="0.3">
      <c r="A42" s="200"/>
      <c r="B42" s="183"/>
      <c r="C42" s="226" t="s">
        <v>362</v>
      </c>
      <c r="D42" s="227"/>
      <c r="E42" s="494">
        <f>IF(G42&gt;0,(COUNTIF(Assessment_EIF!G90,"✓"))/((COUNTIF(Assessment_EIF!G90,"X"))+(COUNTIF(Assessment_EIF!G90,"✓"))),0)</f>
        <v>1</v>
      </c>
      <c r="F42" s="495"/>
      <c r="G42" s="494">
        <f>(COUNTIF(Assessment_EIF!G90,"✓")+COUNTIF(Assessment_EIF!G90,"X"))/1</f>
        <v>1</v>
      </c>
      <c r="H42" s="183"/>
      <c r="I42" s="208">
        <f>COUNTIF(Assessment_EIF!G90,"✓")</f>
        <v>1</v>
      </c>
      <c r="J42" s="183"/>
      <c r="K42" s="208">
        <f>COUNTIF(Assessment_EIF!G90,"X")</f>
        <v>0</v>
      </c>
      <c r="L42" s="180"/>
      <c r="M42" s="208">
        <f>COUNTIF(Assessment_EIF!G90,"N/A")</f>
        <v>0</v>
      </c>
      <c r="N42" s="184"/>
    </row>
    <row r="43" spans="1:16" ht="10.15" customHeight="1" thickBot="1" x14ac:dyDescent="0.3">
      <c r="A43" s="200"/>
      <c r="B43" s="183"/>
      <c r="C43" s="216"/>
      <c r="D43" s="183"/>
      <c r="E43" s="495"/>
      <c r="F43" s="495"/>
      <c r="G43" s="495"/>
      <c r="H43" s="183"/>
      <c r="I43" s="183"/>
      <c r="J43" s="183"/>
      <c r="K43" s="183"/>
      <c r="L43" s="183"/>
      <c r="M43" s="183"/>
      <c r="N43" s="184"/>
    </row>
    <row r="44" spans="1:16" ht="30" customHeight="1" thickBot="1" x14ac:dyDescent="0.3">
      <c r="A44" s="200"/>
      <c r="B44" s="183"/>
      <c r="C44" s="226" t="s">
        <v>363</v>
      </c>
      <c r="D44" s="183"/>
      <c r="E44" s="494">
        <f>IF(G44&gt;0,(COUNTIF(Assessment_EIF!G94,"✓"))/((COUNTIF(Assessment_EIF!G94,"X"))+(COUNTIF(Assessment_EIF!G94,"✓"))),0)</f>
        <v>1</v>
      </c>
      <c r="F44" s="495"/>
      <c r="G44" s="494">
        <f>(COUNTIF(Assessment_EIF!G94,"✓")+COUNTIF(Assessment_EIF!G94,"X"))/1</f>
        <v>1</v>
      </c>
      <c r="H44" s="183"/>
      <c r="I44" s="208">
        <f>COUNTIF(Assessment_EIF!G94,"✓")</f>
        <v>1</v>
      </c>
      <c r="J44" s="183"/>
      <c r="K44" s="208">
        <f>COUNTIF(Assessment_EIF!G94,"X")</f>
        <v>0</v>
      </c>
      <c r="L44" s="180"/>
      <c r="M44" s="208">
        <f>COUNTIF(Assessment_EIF!G94,"N/A")</f>
        <v>0</v>
      </c>
      <c r="N44" s="184"/>
    </row>
    <row r="45" spans="1:16" ht="8.25" customHeight="1" x14ac:dyDescent="0.25">
      <c r="A45" s="200"/>
      <c r="B45" s="183"/>
      <c r="C45" s="228"/>
      <c r="D45" s="183"/>
      <c r="E45" s="496"/>
      <c r="F45" s="495"/>
      <c r="G45" s="496"/>
      <c r="H45" s="183"/>
      <c r="I45" s="210"/>
      <c r="J45" s="183"/>
      <c r="K45" s="210"/>
      <c r="L45" s="180"/>
      <c r="M45" s="210"/>
      <c r="N45" s="184"/>
    </row>
    <row r="46" spans="1:16" ht="30" customHeight="1" x14ac:dyDescent="0.25">
      <c r="A46" s="200"/>
      <c r="B46" s="183"/>
      <c r="C46" s="229" t="s">
        <v>364</v>
      </c>
      <c r="D46" s="183"/>
      <c r="E46" s="494">
        <f>IF(G46&gt;0,(COUNTIF(Assessment_EIF!G98,"✓"))/((COUNTIF(Assessment_EIF!G98,"X"))+(COUNTIF(Assessment_EIF!G98,"✓"))),0)</f>
        <v>0</v>
      </c>
      <c r="F46" s="495"/>
      <c r="G46" s="494">
        <f>(COUNTIF(Assessment_EIF!G98,"✓")+COUNTIF(Assessment_EIF!G98,"X"))/1</f>
        <v>1</v>
      </c>
      <c r="H46" s="183"/>
      <c r="I46" s="208">
        <f>COUNTIF(Assessment_EIF!G98,"✓")</f>
        <v>0</v>
      </c>
      <c r="J46" s="183"/>
      <c r="K46" s="208">
        <f>COUNTIF(Assessment_EIF!G98,"X")</f>
        <v>1</v>
      </c>
      <c r="L46" s="180"/>
      <c r="M46" s="208">
        <f>COUNTIF(Assessment_EIF!G98,"N/A")</f>
        <v>0</v>
      </c>
      <c r="N46" s="184"/>
    </row>
    <row r="47" spans="1:16" ht="10.15" customHeight="1" x14ac:dyDescent="0.25">
      <c r="A47" s="200"/>
      <c r="B47" s="183"/>
      <c r="C47" s="230"/>
      <c r="D47" s="183"/>
      <c r="E47" s="496"/>
      <c r="F47" s="495"/>
      <c r="G47" s="496"/>
      <c r="H47" s="183"/>
      <c r="I47" s="210"/>
      <c r="J47" s="183"/>
      <c r="K47" s="210"/>
      <c r="L47" s="180"/>
      <c r="M47" s="210"/>
      <c r="N47" s="184"/>
    </row>
    <row r="48" spans="1:16" ht="33" customHeight="1" thickBot="1" x14ac:dyDescent="0.3">
      <c r="A48" s="200"/>
      <c r="B48" s="183"/>
      <c r="C48" s="231" t="s">
        <v>365</v>
      </c>
      <c r="D48" s="183"/>
      <c r="E48" s="493">
        <f>IF(G48&gt;0,(COUNTIF(Assessment_EIF!G90:G98,"✓"))/((COUNTIF(Assessment_EIF!G90:G98,"X"))+(COUNTIF(Assessment_EIF!G90:G98,"✓"))),0)</f>
        <v>0.66666666666666663</v>
      </c>
      <c r="F48" s="497"/>
      <c r="G48" s="493">
        <f>(COUNTIF(Assessment_EIF!G90:G98,"✓")+COUNTIF(Assessment_EIF!G90:G98,"X"))/3</f>
        <v>1</v>
      </c>
      <c r="H48" s="213"/>
      <c r="I48" s="214">
        <f>SUM(I42:I46)</f>
        <v>2</v>
      </c>
      <c r="J48" s="213"/>
      <c r="K48" s="214">
        <f>SUM(K42:K46)</f>
        <v>1</v>
      </c>
      <c r="L48" s="213"/>
      <c r="M48" s="214">
        <f>SUM(M42:M46)</f>
        <v>0</v>
      </c>
      <c r="N48" s="184"/>
      <c r="P48" s="128">
        <v>1</v>
      </c>
    </row>
    <row r="49" spans="1:16" x14ac:dyDescent="0.25">
      <c r="A49" s="232"/>
      <c r="B49" s="233"/>
      <c r="C49" s="234"/>
      <c r="D49" s="233"/>
      <c r="E49" s="502"/>
      <c r="F49" s="503"/>
      <c r="G49" s="504"/>
      <c r="H49" s="233"/>
      <c r="I49" s="233"/>
      <c r="J49" s="233"/>
      <c r="K49" s="233"/>
      <c r="L49" s="233"/>
      <c r="M49" s="233"/>
      <c r="N49" s="236"/>
      <c r="O49" s="141"/>
      <c r="P49" s="141"/>
    </row>
    <row r="50" spans="1:16" x14ac:dyDescent="0.25">
      <c r="A50" s="237"/>
      <c r="B50" s="238"/>
      <c r="C50" s="239"/>
      <c r="D50" s="240"/>
      <c r="E50" s="505"/>
      <c r="F50" s="505"/>
      <c r="G50" s="505"/>
      <c r="H50" s="239"/>
      <c r="I50" s="239"/>
      <c r="J50" s="239"/>
      <c r="K50" s="239"/>
      <c r="L50" s="239"/>
      <c r="M50" s="239"/>
      <c r="N50" s="241"/>
      <c r="O50" s="141"/>
      <c r="P50" s="141"/>
    </row>
    <row r="51" spans="1:16" ht="30" customHeight="1" thickBot="1" x14ac:dyDescent="0.3">
      <c r="A51" s="200"/>
      <c r="B51" s="183"/>
      <c r="C51" s="242" t="s">
        <v>366</v>
      </c>
      <c r="D51" s="243"/>
      <c r="E51" s="494">
        <f>IF(G51&gt;0,(COUNTIF(Assessment_EIF!G104:G114,"✓"))/((COUNTIF(Assessment_EIF!G104:G114,"X"))+(COUNTIF(Assessment_EIF!G104:G114,"✓"))),0)</f>
        <v>0.33333333333333331</v>
      </c>
      <c r="F51" s="495"/>
      <c r="G51" s="494">
        <f>(COUNTIF(Assessment_EIF!G104:G114,"✓")+COUNTIF(Assessment_EIF!G104:G114,"X"))/6</f>
        <v>1</v>
      </c>
      <c r="H51" s="183"/>
      <c r="I51" s="208">
        <f>COUNTIF(Assessment_EIF!G104:G114,"✓")</f>
        <v>2</v>
      </c>
      <c r="J51" s="183"/>
      <c r="K51" s="208">
        <f>COUNTIF(Assessment_EIF!G104:G114,"X")</f>
        <v>4</v>
      </c>
      <c r="L51" s="180"/>
      <c r="M51" s="208">
        <f>COUNTIF(Assessment_EIF!G104:G114,"N/A")</f>
        <v>0</v>
      </c>
      <c r="N51" s="184"/>
      <c r="O51" s="141"/>
      <c r="P51" s="141"/>
    </row>
    <row r="52" spans="1:16" ht="10.15" customHeight="1" x14ac:dyDescent="0.25">
      <c r="A52" s="183"/>
      <c r="B52" s="183"/>
      <c r="C52" s="244"/>
      <c r="D52" s="183"/>
      <c r="E52" s="495"/>
      <c r="F52" s="495"/>
      <c r="G52" s="495"/>
      <c r="H52" s="183"/>
      <c r="I52" s="183"/>
      <c r="J52" s="183"/>
      <c r="K52" s="183"/>
      <c r="L52" s="183"/>
      <c r="M52" s="183"/>
      <c r="N52" s="245"/>
      <c r="O52" s="141"/>
      <c r="P52" s="141"/>
    </row>
    <row r="53" spans="1:16" ht="30" customHeight="1" thickBot="1" x14ac:dyDescent="0.3">
      <c r="A53" s="200"/>
      <c r="B53" s="183"/>
      <c r="C53" s="242" t="s">
        <v>224</v>
      </c>
      <c r="D53" s="243"/>
      <c r="E53" s="494">
        <f>IF(G53&gt;0,(COUNTIF(Assessment_EIF!G118,"✓"))/((COUNTIF(Assessment_EIF!G118,"X"))+(COUNTIF(Assessment_EIF!G118,"✓"))),0)</f>
        <v>0</v>
      </c>
      <c r="F53" s="495"/>
      <c r="G53" s="494">
        <f>(COUNTIF(Assessment_EIF!G118,"✓")+COUNTIF(Assessment_EIF!G118,"X"))/1</f>
        <v>1</v>
      </c>
      <c r="H53" s="183"/>
      <c r="I53" s="208">
        <f>COUNTIF(Assessment_EIF!G118,"✓")</f>
        <v>0</v>
      </c>
      <c r="J53" s="183"/>
      <c r="K53" s="208">
        <f>COUNTIF(Assessment_EIF!G118,"X")</f>
        <v>1</v>
      </c>
      <c r="L53" s="180"/>
      <c r="M53" s="208">
        <f>COUNTIF(Assessment_EIF!G118,"N/A")</f>
        <v>0</v>
      </c>
      <c r="N53" s="184"/>
    </row>
    <row r="54" spans="1:16" ht="9.75" customHeight="1" x14ac:dyDescent="0.25">
      <c r="A54" s="200"/>
      <c r="B54" s="183"/>
      <c r="C54" s="244"/>
      <c r="D54" s="183"/>
      <c r="E54" s="496"/>
      <c r="F54" s="495"/>
      <c r="G54" s="496"/>
      <c r="H54" s="183"/>
      <c r="I54" s="209"/>
      <c r="J54" s="183"/>
      <c r="K54" s="209"/>
      <c r="L54" s="180"/>
      <c r="M54" s="209"/>
      <c r="N54" s="184"/>
    </row>
    <row r="55" spans="1:16" ht="30" customHeight="1" x14ac:dyDescent="0.25">
      <c r="A55" s="200"/>
      <c r="B55" s="183"/>
      <c r="C55" s="482" t="s">
        <v>367</v>
      </c>
      <c r="D55" s="183"/>
      <c r="E55" s="494">
        <f>IF(G55&gt;0,(COUNTIF(Assessment_EIF!G122,"✓"))/((COUNTIF(Assessment_EIF!G122,"X"))+(COUNTIF(Assessment_EIF!G122,"✓"))),0)</f>
        <v>0</v>
      </c>
      <c r="F55" s="495"/>
      <c r="G55" s="494">
        <f>(COUNTIF(Assessment_EIF!G122,"✓")+COUNTIF(Assessment_EIF!G122,"X"))/1</f>
        <v>1</v>
      </c>
      <c r="H55" s="183"/>
      <c r="I55" s="208">
        <f>COUNTIF(Assessment_EIF!G122,"✓")</f>
        <v>0</v>
      </c>
      <c r="J55" s="183"/>
      <c r="K55" s="208">
        <f>COUNTIF(Assessment_EIF!G122,"X")</f>
        <v>1</v>
      </c>
      <c r="L55" s="180"/>
      <c r="M55" s="208">
        <f>COUNTIF(Assessment_EIF!G122,"N/A")</f>
        <v>0</v>
      </c>
      <c r="N55" s="184"/>
    </row>
    <row r="56" spans="1:16" ht="9.75" customHeight="1" x14ac:dyDescent="0.25">
      <c r="A56" s="200"/>
      <c r="B56" s="183"/>
      <c r="C56" s="244"/>
      <c r="D56" s="183"/>
      <c r="E56" s="496"/>
      <c r="F56" s="495"/>
      <c r="G56" s="496"/>
      <c r="H56" s="183"/>
      <c r="I56" s="209"/>
      <c r="J56" s="183"/>
      <c r="K56" s="209"/>
      <c r="L56" s="180"/>
      <c r="M56" s="209"/>
      <c r="N56" s="184"/>
    </row>
    <row r="57" spans="1:16" ht="30" customHeight="1" x14ac:dyDescent="0.25">
      <c r="A57" s="200"/>
      <c r="B57" s="183"/>
      <c r="C57" s="482" t="s">
        <v>368</v>
      </c>
      <c r="D57" s="183"/>
      <c r="E57" s="494">
        <f>IF(G57&gt;0,(COUNTIF(Assessment_EIF!G129:G131,"✓"))/((COUNTIF(Assessment_EIF!G129:G131,"X"))+(COUNTIF(Assessment_EIF!G129:G131,"✓"))),0)</f>
        <v>0</v>
      </c>
      <c r="F57" s="495"/>
      <c r="G57" s="494">
        <f>(COUNTIF(Assessment_EIF!G129:G131,"✓")+COUNTIF(Assessment_EIF!G129:G131,"X"))/2</f>
        <v>0</v>
      </c>
      <c r="H57" s="183"/>
      <c r="I57" s="208">
        <f>COUNTIF(Assessment_EIF!G129:G131,"✓")</f>
        <v>0</v>
      </c>
      <c r="J57" s="183"/>
      <c r="K57" s="208">
        <f>COUNTIF(Assessment_EIF!G129:G131,"X")</f>
        <v>0</v>
      </c>
      <c r="L57" s="180"/>
      <c r="M57" s="208">
        <f>COUNTIF(Assessment_EIF!G129:G131,"N/A")</f>
        <v>2</v>
      </c>
      <c r="N57" s="184"/>
      <c r="P57" s="484">
        <v>1</v>
      </c>
    </row>
    <row r="58" spans="1:16" ht="9.75" customHeight="1" x14ac:dyDescent="0.25">
      <c r="A58" s="200"/>
      <c r="B58" s="183"/>
      <c r="C58" s="244"/>
      <c r="D58" s="183"/>
      <c r="E58" s="496"/>
      <c r="F58" s="495"/>
      <c r="G58" s="496"/>
      <c r="H58" s="183"/>
      <c r="I58" s="209"/>
      <c r="J58" s="183"/>
      <c r="K58" s="209"/>
      <c r="L58" s="180"/>
      <c r="M58" s="209"/>
      <c r="N58" s="184"/>
    </row>
    <row r="59" spans="1:16" ht="30" customHeight="1" x14ac:dyDescent="0.25">
      <c r="A59" s="200"/>
      <c r="B59" s="183"/>
      <c r="C59" s="482" t="s">
        <v>369</v>
      </c>
      <c r="D59" s="183"/>
      <c r="E59" s="494">
        <f>IF(G59&gt;0,(COUNTIF(Assessment_EIF!G135:G137,"✓"))/((COUNTIF(Assessment_EIF!G135:G137,"X"))+(COUNTIF(Assessment_EIF!G135:G137,"✓"))),0)</f>
        <v>0</v>
      </c>
      <c r="F59" s="495"/>
      <c r="G59" s="494">
        <f>(COUNTIF(Assessment_EIF!G135:G137,"✓")+COUNTIF(Assessment_EIF!G135:G137,"X"))/2</f>
        <v>0.5</v>
      </c>
      <c r="H59" s="183"/>
      <c r="I59" s="208">
        <f>COUNTIF(Assessment_EIF!G135:G137,"✓")</f>
        <v>0</v>
      </c>
      <c r="J59" s="183"/>
      <c r="K59" s="208">
        <f>COUNTIF(Assessment_EIF!G135:G137,"X")</f>
        <v>1</v>
      </c>
      <c r="L59" s="180"/>
      <c r="M59" s="208">
        <f>COUNTIF(Assessment_EIF!G135:G137,"N/A")</f>
        <v>1</v>
      </c>
      <c r="N59" s="184"/>
    </row>
    <row r="60" spans="1:16" ht="7.5" customHeight="1" x14ac:dyDescent="0.25">
      <c r="A60" s="200"/>
      <c r="B60" s="183"/>
      <c r="C60" s="244"/>
      <c r="D60" s="183"/>
      <c r="E60" s="496"/>
      <c r="F60" s="495"/>
      <c r="G60" s="496"/>
      <c r="H60" s="183"/>
      <c r="I60" s="209"/>
      <c r="J60" s="183"/>
      <c r="K60" s="209"/>
      <c r="L60" s="180"/>
      <c r="M60" s="209"/>
      <c r="N60" s="184"/>
    </row>
    <row r="61" spans="1:16" ht="30" customHeight="1" thickBot="1" x14ac:dyDescent="0.3">
      <c r="A61" s="200"/>
      <c r="B61" s="183"/>
      <c r="C61" s="242" t="s">
        <v>371</v>
      </c>
      <c r="D61" s="183"/>
      <c r="E61" s="494">
        <f>IF(G61&gt;0,(COUNTIF(Assessment_EIF!G24:G42,"✓"))/((COUNTIF(Assessment_EIF!G24:G42,"X"))+(COUNTIF(Assessment_EIF!G24:G42,"✓"))),0)</f>
        <v>0.55555555555555558</v>
      </c>
      <c r="F61" s="495"/>
      <c r="G61" s="494">
        <f>(COUNTIF(Assessment_EIF!G24:G42,"✓")+COUNTIF(Assessment_EIF!G24:G42,"X"))/10</f>
        <v>0.9</v>
      </c>
      <c r="H61" s="492"/>
      <c r="I61" s="209"/>
      <c r="J61" s="183"/>
      <c r="K61" s="209"/>
      <c r="L61" s="180"/>
      <c r="M61" s="209"/>
      <c r="N61" s="184"/>
    </row>
    <row r="62" spans="1:16" ht="10.15" customHeight="1" x14ac:dyDescent="0.25">
      <c r="A62" s="200"/>
      <c r="B62" s="183"/>
      <c r="C62" s="246"/>
      <c r="D62" s="183"/>
      <c r="E62" s="496"/>
      <c r="F62" s="495"/>
      <c r="G62" s="496"/>
      <c r="H62" s="183"/>
      <c r="I62" s="486"/>
      <c r="J62" s="183"/>
      <c r="K62" s="210"/>
      <c r="L62" s="180"/>
      <c r="M62" s="210"/>
      <c r="N62" s="184"/>
    </row>
    <row r="63" spans="1:16" ht="33" customHeight="1" thickBot="1" x14ac:dyDescent="0.3">
      <c r="A63" s="200"/>
      <c r="B63" s="183"/>
      <c r="C63" s="247" t="s">
        <v>216</v>
      </c>
      <c r="D63" s="248"/>
      <c r="E63" s="493">
        <f>IF(G63&gt;0,((COUNTIF(Assessment_EIF!G104:G137,"✓"))+(COUNTIF(Assessment_EIF!G24:G42,"✓")))/(((COUNTIF(Assessment_EIF!G104:G137,"X"))+(COUNTIF(Assessment_EIF!G104:G137,"✓")))+((COUNTIF(Assessment_EIF!G24:G42,"X"))+(COUNTIF(Assessment_EIF!G24:G42,"✓")))),0)</f>
        <v>0.3888888888888889</v>
      </c>
      <c r="F63" s="497"/>
      <c r="G63" s="493">
        <f>(((COUNTIF(Assessment_EIF!G104:G137,"X"))+(COUNTIF(Assessment_EIF!G104:G137,"✓")))+((COUNTIF(Assessment_EIF!G24:G42,"X"))+(COUNTIF(Assessment_EIF!G24:G42,"✓"))))/22</f>
        <v>0.81818181818181823</v>
      </c>
      <c r="H63" s="248"/>
      <c r="I63" s="214">
        <f>SUM(I51:I59,I20)</f>
        <v>7</v>
      </c>
      <c r="J63" s="248"/>
      <c r="K63" s="214">
        <f>SUM(K51:K59,K20)</f>
        <v>11</v>
      </c>
      <c r="L63" s="248"/>
      <c r="M63" s="214">
        <f>SUM(M51:M59,M20)</f>
        <v>4</v>
      </c>
      <c r="N63" s="184"/>
      <c r="P63" s="128">
        <v>1</v>
      </c>
    </row>
    <row r="64" spans="1:16" ht="11.25" customHeight="1" x14ac:dyDescent="0.25">
      <c r="A64" s="200"/>
      <c r="B64" s="183"/>
      <c r="C64" s="489"/>
      <c r="D64" s="248"/>
      <c r="E64" s="490"/>
      <c r="F64" s="213"/>
      <c r="G64" s="490"/>
      <c r="H64" s="248"/>
      <c r="I64" s="487"/>
      <c r="J64" s="248"/>
      <c r="K64" s="487"/>
      <c r="L64" s="248"/>
      <c r="M64" s="487"/>
      <c r="N64" s="184"/>
      <c r="P64" s="491"/>
    </row>
    <row r="65" spans="1:18" x14ac:dyDescent="0.25">
      <c r="A65" s="200"/>
      <c r="B65" s="183"/>
      <c r="C65" s="757" t="s">
        <v>372</v>
      </c>
      <c r="D65" s="757"/>
      <c r="E65" s="757"/>
      <c r="F65" s="757"/>
      <c r="G65" s="757"/>
      <c r="H65" s="757"/>
      <c r="I65" s="757"/>
      <c r="J65" s="757"/>
      <c r="K65" s="757"/>
      <c r="L65" s="757"/>
      <c r="M65" s="757"/>
      <c r="N65" s="184"/>
      <c r="P65" s="491"/>
    </row>
    <row r="66" spans="1:18" ht="15.75" thickBot="1" x14ac:dyDescent="0.3">
      <c r="A66" s="237"/>
      <c r="B66" s="238"/>
      <c r="C66" s="488"/>
      <c r="D66" s="240"/>
      <c r="E66" s="239"/>
      <c r="F66" s="239"/>
      <c r="G66" s="239"/>
      <c r="H66" s="239"/>
      <c r="I66" s="239"/>
      <c r="J66" s="239"/>
      <c r="K66" s="239"/>
      <c r="L66" s="239"/>
      <c r="M66" s="239"/>
      <c r="N66" s="241"/>
    </row>
    <row r="67" spans="1:18" ht="16.5" customHeight="1" x14ac:dyDescent="0.25">
      <c r="A67" s="200"/>
      <c r="B67" s="183"/>
      <c r="C67" s="767" t="s">
        <v>332</v>
      </c>
      <c r="D67" s="183"/>
      <c r="E67" s="769">
        <f>IF(G67&gt;0,(COUNTIF(Assessment_EIF!G18:G137,"✓"))/((COUNTIF(Assessment_EIF!G18:G137,"X"))+(COUNTIF(Assessment_EIF!G18:G137,"✓"))),0)</f>
        <v>0.4642857142857143</v>
      </c>
      <c r="F67" s="183"/>
      <c r="G67" s="769">
        <f>(COUNTIF(Assessment_EIF!G18:G137,"✓")+COUNTIF(Assessment_EIF!G18:G137,"X"))/39</f>
        <v>0.71794871794871795</v>
      </c>
      <c r="H67" s="183"/>
      <c r="I67" s="771">
        <f>COUNTIF(Assessment_EIF!G18:G137,"✓")</f>
        <v>13</v>
      </c>
      <c r="J67" s="183"/>
      <c r="K67" s="771">
        <f>COUNTIF(Assessment_EIF!G18:G137,"X")</f>
        <v>15</v>
      </c>
      <c r="L67" s="183"/>
      <c r="M67" s="771">
        <f>COUNTIF(Assessment_EIF!G18:G137,"N/A")</f>
        <v>11</v>
      </c>
      <c r="N67" s="184"/>
      <c r="P67" s="755">
        <v>1</v>
      </c>
      <c r="R67" s="755"/>
    </row>
    <row r="68" spans="1:18" ht="15.75" thickBot="1" x14ac:dyDescent="0.3">
      <c r="A68" s="200"/>
      <c r="B68" s="183"/>
      <c r="C68" s="768"/>
      <c r="D68" s="183"/>
      <c r="E68" s="770"/>
      <c r="F68" s="213"/>
      <c r="G68" s="770"/>
      <c r="H68" s="248"/>
      <c r="I68" s="772"/>
      <c r="J68" s="248"/>
      <c r="K68" s="772"/>
      <c r="L68" s="248"/>
      <c r="M68" s="772"/>
      <c r="N68" s="184"/>
      <c r="P68" s="756"/>
      <c r="R68" s="756"/>
    </row>
    <row r="69" spans="1:18" x14ac:dyDescent="0.25">
      <c r="A69" s="249"/>
      <c r="B69" s="193"/>
      <c r="C69" s="485"/>
      <c r="D69" s="193"/>
      <c r="E69" s="251"/>
      <c r="F69" s="193"/>
      <c r="G69" s="251"/>
      <c r="H69" s="193"/>
      <c r="I69" s="252"/>
      <c r="J69" s="193"/>
      <c r="K69" s="252"/>
      <c r="L69" s="193"/>
      <c r="M69" s="252"/>
      <c r="N69" s="194"/>
    </row>
    <row r="70" spans="1:18" x14ac:dyDescent="0.25">
      <c r="A70" s="195"/>
      <c r="B70" s="195"/>
      <c r="C70" s="205"/>
      <c r="D70" s="195"/>
      <c r="E70" s="195"/>
      <c r="F70" s="195"/>
      <c r="G70" s="195"/>
      <c r="H70" s="195"/>
      <c r="I70" s="195"/>
      <c r="J70" s="195"/>
      <c r="K70" s="195"/>
      <c r="L70" s="195"/>
      <c r="M70" s="195"/>
      <c r="N70" s="195"/>
    </row>
    <row r="71" spans="1:18" x14ac:dyDescent="0.25">
      <c r="A71" s="253"/>
      <c r="B71" s="183"/>
      <c r="C71" s="183"/>
      <c r="D71" s="183"/>
      <c r="E71" s="183"/>
      <c r="F71" s="183"/>
      <c r="G71" s="183"/>
      <c r="H71" s="183"/>
      <c r="I71" s="183"/>
      <c r="J71" s="183"/>
      <c r="K71" s="183"/>
      <c r="L71" s="183"/>
      <c r="M71" s="183"/>
      <c r="N71" s="183"/>
    </row>
    <row r="72" spans="1:18" x14ac:dyDescent="0.25">
      <c r="A72" s="253"/>
      <c r="B72" s="183"/>
      <c r="C72" s="183"/>
      <c r="D72" s="183"/>
      <c r="E72" s="183"/>
      <c r="F72" s="183"/>
      <c r="G72" s="183"/>
      <c r="H72" s="183"/>
      <c r="I72" s="183"/>
      <c r="J72" s="183"/>
      <c r="K72" s="183"/>
      <c r="L72" s="183"/>
      <c r="M72" s="183"/>
      <c r="N72" s="183"/>
    </row>
    <row r="73" spans="1:18" x14ac:dyDescent="0.25">
      <c r="A73" s="253"/>
      <c r="B73" s="183"/>
      <c r="C73" s="183"/>
      <c r="D73" s="183"/>
      <c r="E73" s="183"/>
      <c r="F73" s="183"/>
      <c r="G73" s="183"/>
      <c r="H73" s="183"/>
      <c r="I73" s="183"/>
      <c r="J73" s="183"/>
      <c r="K73" s="183"/>
      <c r="L73" s="183"/>
      <c r="M73" s="183"/>
      <c r="N73" s="183"/>
    </row>
    <row r="74" spans="1:18" x14ac:dyDescent="0.25">
      <c r="A74" s="253"/>
      <c r="B74" s="183"/>
      <c r="C74" s="183"/>
      <c r="D74" s="183"/>
      <c r="E74" s="183"/>
      <c r="F74" s="183"/>
      <c r="G74" s="183"/>
      <c r="H74" s="183"/>
      <c r="I74" s="183"/>
      <c r="J74" s="183"/>
      <c r="K74" s="183"/>
      <c r="L74" s="183"/>
      <c r="M74" s="183"/>
      <c r="N74" s="183"/>
    </row>
    <row r="75" spans="1:18" x14ac:dyDescent="0.25">
      <c r="A75" s="254"/>
      <c r="B75" s="183"/>
      <c r="C75" s="183"/>
      <c r="D75" s="183"/>
      <c r="E75" s="183"/>
      <c r="F75" s="183"/>
      <c r="G75" s="183"/>
      <c r="H75" s="183"/>
      <c r="I75" s="183"/>
      <c r="J75" s="183"/>
      <c r="K75" s="183"/>
      <c r="L75" s="183"/>
      <c r="M75" s="183"/>
      <c r="N75" s="183"/>
    </row>
    <row r="76" spans="1:18" x14ac:dyDescent="0.25">
      <c r="A76" s="254"/>
      <c r="B76" s="183"/>
      <c r="C76" s="183"/>
      <c r="D76" s="183"/>
      <c r="E76" s="183"/>
      <c r="F76" s="183"/>
      <c r="G76" s="183"/>
      <c r="H76" s="183"/>
      <c r="I76" s="183"/>
      <c r="J76" s="183"/>
      <c r="K76" s="183"/>
      <c r="L76" s="183"/>
      <c r="M76" s="183"/>
      <c r="N76" s="183"/>
    </row>
    <row r="77" spans="1:18" x14ac:dyDescent="0.25">
      <c r="A77" s="254"/>
      <c r="B77" s="183"/>
      <c r="C77" s="183"/>
      <c r="D77" s="183"/>
      <c r="E77" s="183"/>
      <c r="F77" s="183"/>
      <c r="G77" s="183"/>
      <c r="H77" s="183"/>
      <c r="I77" s="183"/>
      <c r="J77" s="183"/>
      <c r="K77" s="183"/>
      <c r="L77" s="183"/>
      <c r="M77" s="183"/>
      <c r="N77" s="183"/>
    </row>
    <row r="78" spans="1:18" x14ac:dyDescent="0.25">
      <c r="A78" s="254"/>
      <c r="B78" s="183"/>
      <c r="C78" s="183"/>
      <c r="D78" s="183"/>
      <c r="E78" s="183"/>
      <c r="F78" s="183"/>
      <c r="G78" s="183"/>
      <c r="H78" s="183"/>
      <c r="I78" s="183"/>
      <c r="J78" s="183"/>
      <c r="K78" s="183"/>
      <c r="L78" s="183"/>
      <c r="M78" s="183"/>
      <c r="N78" s="183"/>
    </row>
    <row r="79" spans="1:18" x14ac:dyDescent="0.25">
      <c r="A79" s="254"/>
      <c r="B79" s="183"/>
      <c r="C79" s="183"/>
      <c r="D79" s="183"/>
      <c r="E79" s="183"/>
      <c r="F79" s="183"/>
      <c r="G79" s="183"/>
      <c r="H79" s="183"/>
      <c r="I79" s="183"/>
      <c r="J79" s="183"/>
      <c r="K79" s="183"/>
      <c r="L79" s="183"/>
      <c r="M79" s="183"/>
      <c r="N79" s="183"/>
    </row>
    <row r="80" spans="1:18" x14ac:dyDescent="0.25">
      <c r="A80" s="254"/>
      <c r="B80" s="183"/>
      <c r="C80" s="183"/>
      <c r="D80" s="183"/>
      <c r="E80" s="183"/>
      <c r="F80" s="183"/>
      <c r="G80" s="183"/>
      <c r="H80" s="183"/>
      <c r="I80" s="183"/>
      <c r="J80" s="183"/>
      <c r="K80" s="183"/>
      <c r="L80" s="183"/>
      <c r="M80" s="183"/>
      <c r="N80" s="183"/>
    </row>
    <row r="81" spans="1:14" x14ac:dyDescent="0.25">
      <c r="A81" s="254"/>
      <c r="B81" s="183"/>
      <c r="C81" s="183"/>
      <c r="D81" s="183"/>
      <c r="E81" s="183"/>
      <c r="F81" s="183"/>
      <c r="G81" s="183"/>
      <c r="H81" s="183"/>
      <c r="I81" s="183"/>
      <c r="J81" s="183"/>
      <c r="K81" s="183"/>
      <c r="L81" s="183"/>
      <c r="M81" s="183"/>
      <c r="N81" s="183"/>
    </row>
    <row r="82" spans="1:14" x14ac:dyDescent="0.25">
      <c r="A82" s="254"/>
      <c r="B82" s="183"/>
      <c r="C82" s="183"/>
      <c r="D82" s="183"/>
      <c r="E82" s="183"/>
      <c r="F82" s="183"/>
      <c r="G82" s="183"/>
      <c r="H82" s="183"/>
      <c r="I82" s="183"/>
      <c r="J82" s="183"/>
      <c r="K82" s="183"/>
      <c r="L82" s="183"/>
      <c r="M82" s="183"/>
      <c r="N82" s="183"/>
    </row>
    <row r="83" spans="1:14" x14ac:dyDescent="0.25">
      <c r="A83" s="254"/>
      <c r="B83" s="183"/>
      <c r="C83" s="183"/>
      <c r="D83" s="183"/>
      <c r="E83" s="183"/>
      <c r="F83" s="183"/>
      <c r="G83" s="183"/>
      <c r="H83" s="183"/>
      <c r="I83" s="183"/>
      <c r="J83" s="183"/>
      <c r="K83" s="183"/>
      <c r="L83" s="183"/>
      <c r="M83" s="183"/>
      <c r="N83" s="183"/>
    </row>
    <row r="84" spans="1:14" x14ac:dyDescent="0.25">
      <c r="A84" s="255"/>
      <c r="B84" s="255"/>
      <c r="C84" s="255"/>
      <c r="D84" s="255"/>
      <c r="E84" s="255"/>
      <c r="F84" s="255"/>
      <c r="G84" s="255"/>
      <c r="H84" s="255"/>
      <c r="I84" s="255"/>
      <c r="J84" s="255"/>
      <c r="K84" s="255"/>
      <c r="L84" s="255"/>
      <c r="M84" s="183"/>
      <c r="N84" s="183"/>
    </row>
    <row r="85" spans="1:14" x14ac:dyDescent="0.25">
      <c r="A85" s="256"/>
      <c r="B85" s="180"/>
      <c r="C85" s="180"/>
      <c r="D85" s="180"/>
      <c r="E85" s="180"/>
      <c r="F85" s="180"/>
      <c r="G85" s="180"/>
      <c r="H85" s="180"/>
      <c r="I85" s="180"/>
      <c r="J85" s="180"/>
      <c r="K85" s="180"/>
      <c r="L85" s="180"/>
      <c r="M85" s="183"/>
      <c r="N85" s="183"/>
    </row>
    <row r="86" spans="1:14" x14ac:dyDescent="0.25">
      <c r="A86" s="256"/>
      <c r="B86" s="180"/>
      <c r="C86" s="180"/>
      <c r="D86" s="180"/>
      <c r="E86" s="180"/>
      <c r="F86" s="180"/>
      <c r="G86" s="180"/>
      <c r="H86" s="180"/>
      <c r="I86" s="180"/>
      <c r="J86" s="180"/>
      <c r="K86" s="180"/>
      <c r="L86" s="180"/>
      <c r="M86" s="183"/>
      <c r="N86" s="183"/>
    </row>
    <row r="87" spans="1:14" x14ac:dyDescent="0.25">
      <c r="A87" s="256"/>
      <c r="B87" s="180"/>
      <c r="C87" s="180"/>
      <c r="D87" s="180"/>
      <c r="E87" s="180"/>
      <c r="F87" s="180"/>
      <c r="G87" s="180"/>
      <c r="H87" s="180"/>
      <c r="I87" s="180"/>
      <c r="J87" s="180"/>
      <c r="K87" s="180"/>
      <c r="L87" s="180"/>
      <c r="M87" s="183"/>
      <c r="N87" s="183"/>
    </row>
    <row r="88" spans="1:14" x14ac:dyDescent="0.25">
      <c r="A88" s="256"/>
      <c r="B88" s="180"/>
      <c r="C88" s="180"/>
      <c r="D88" s="180"/>
      <c r="E88" s="180"/>
      <c r="F88" s="180"/>
      <c r="G88" s="180"/>
      <c r="H88" s="180"/>
      <c r="I88" s="180"/>
      <c r="J88" s="180"/>
      <c r="K88" s="180"/>
      <c r="L88" s="180"/>
      <c r="M88" s="183"/>
      <c r="N88" s="183"/>
    </row>
    <row r="89" spans="1:14" x14ac:dyDescent="0.25">
      <c r="A89" s="256"/>
      <c r="B89" s="180"/>
      <c r="C89" s="180"/>
      <c r="D89" s="180"/>
      <c r="E89" s="180"/>
      <c r="F89" s="180"/>
      <c r="G89" s="180"/>
      <c r="H89" s="180"/>
      <c r="I89" s="180"/>
      <c r="J89" s="180"/>
      <c r="K89" s="180"/>
      <c r="L89" s="180"/>
      <c r="M89" s="183"/>
      <c r="N89" s="183"/>
    </row>
    <row r="90" spans="1:14" x14ac:dyDescent="0.25">
      <c r="A90" s="256"/>
      <c r="B90" s="180"/>
      <c r="C90" s="180"/>
      <c r="D90" s="180"/>
      <c r="E90" s="180"/>
      <c r="F90" s="180"/>
      <c r="G90" s="180"/>
      <c r="H90" s="180"/>
      <c r="I90" s="180"/>
      <c r="J90" s="180"/>
      <c r="K90" s="180"/>
      <c r="L90" s="180"/>
      <c r="M90" s="183"/>
      <c r="N90" s="183"/>
    </row>
    <row r="91" spans="1:14" x14ac:dyDescent="0.25">
      <c r="A91" s="256"/>
      <c r="B91" s="180"/>
      <c r="C91" s="180"/>
      <c r="D91" s="180"/>
      <c r="E91" s="180"/>
      <c r="F91" s="180"/>
      <c r="G91" s="180"/>
      <c r="H91" s="180"/>
      <c r="I91" s="180"/>
      <c r="J91" s="180"/>
      <c r="K91" s="180"/>
      <c r="L91" s="180"/>
      <c r="M91" s="183"/>
      <c r="N91" s="183"/>
    </row>
    <row r="92" spans="1:14" x14ac:dyDescent="0.25">
      <c r="A92" s="256"/>
      <c r="B92" s="180"/>
      <c r="C92" s="180"/>
      <c r="D92" s="180"/>
      <c r="E92" s="180"/>
      <c r="F92" s="180"/>
      <c r="G92" s="180"/>
      <c r="H92" s="180"/>
      <c r="I92" s="180"/>
      <c r="J92" s="180"/>
      <c r="K92" s="180"/>
      <c r="L92" s="180"/>
      <c r="M92" s="183"/>
      <c r="N92" s="183"/>
    </row>
    <row r="93" spans="1:14" x14ac:dyDescent="0.25">
      <c r="A93" s="256"/>
      <c r="B93" s="180"/>
      <c r="C93" s="180"/>
      <c r="D93" s="180"/>
      <c r="E93" s="180"/>
      <c r="F93" s="180"/>
      <c r="G93" s="180"/>
      <c r="H93" s="180"/>
      <c r="I93" s="180"/>
      <c r="J93" s="180"/>
      <c r="K93" s="180"/>
      <c r="L93" s="180"/>
      <c r="M93" s="183"/>
      <c r="N93" s="183"/>
    </row>
    <row r="94" spans="1:14" x14ac:dyDescent="0.25">
      <c r="A94" s="256"/>
      <c r="B94" s="180"/>
      <c r="C94" s="180"/>
      <c r="D94" s="180"/>
      <c r="E94" s="180"/>
      <c r="F94" s="180"/>
      <c r="G94" s="180"/>
      <c r="H94" s="180"/>
      <c r="I94" s="180"/>
      <c r="J94" s="180"/>
      <c r="K94" s="180"/>
      <c r="L94" s="180"/>
      <c r="M94" s="183"/>
      <c r="N94" s="183"/>
    </row>
    <row r="95" spans="1:14" x14ac:dyDescent="0.25">
      <c r="A95" s="256"/>
      <c r="B95" s="180"/>
      <c r="C95" s="180"/>
      <c r="D95" s="180"/>
      <c r="E95" s="180"/>
      <c r="F95" s="180"/>
      <c r="G95" s="180"/>
      <c r="H95" s="180"/>
      <c r="I95" s="180"/>
      <c r="J95" s="180"/>
      <c r="K95" s="180"/>
      <c r="L95" s="180"/>
      <c r="M95" s="183"/>
      <c r="N95" s="183"/>
    </row>
    <row r="96" spans="1:14" x14ac:dyDescent="0.25">
      <c r="A96" s="256"/>
      <c r="B96" s="180"/>
      <c r="C96" s="180"/>
      <c r="D96" s="180"/>
      <c r="E96" s="180"/>
      <c r="F96" s="180"/>
      <c r="G96" s="180"/>
      <c r="H96" s="180"/>
      <c r="I96" s="180"/>
      <c r="J96" s="180"/>
      <c r="K96" s="180"/>
      <c r="L96" s="180"/>
      <c r="M96" s="183"/>
      <c r="N96" s="183"/>
    </row>
    <row r="97" spans="1:14" x14ac:dyDescent="0.25">
      <c r="A97" s="256"/>
      <c r="B97" s="180"/>
      <c r="C97" s="180"/>
      <c r="D97" s="180"/>
      <c r="E97" s="180"/>
      <c r="F97" s="180"/>
      <c r="G97" s="180"/>
      <c r="H97" s="180"/>
      <c r="I97" s="180"/>
      <c r="J97" s="180"/>
      <c r="K97" s="180"/>
      <c r="L97" s="180"/>
      <c r="M97" s="183"/>
      <c r="N97" s="183"/>
    </row>
    <row r="98" spans="1:14" x14ac:dyDescent="0.25">
      <c r="A98" s="256"/>
      <c r="B98" s="180"/>
      <c r="C98" s="180"/>
      <c r="D98" s="180"/>
      <c r="E98" s="180"/>
      <c r="F98" s="180"/>
      <c r="G98" s="180"/>
      <c r="H98" s="180"/>
      <c r="I98" s="180"/>
      <c r="J98" s="180"/>
      <c r="K98" s="180"/>
      <c r="L98" s="180"/>
      <c r="M98" s="183"/>
      <c r="N98" s="183"/>
    </row>
    <row r="99" spans="1:14" x14ac:dyDescent="0.25">
      <c r="A99" s="256"/>
      <c r="B99" s="180"/>
      <c r="C99" s="180"/>
      <c r="D99" s="180"/>
      <c r="E99" s="180"/>
      <c r="F99" s="180"/>
      <c r="G99" s="180"/>
      <c r="H99" s="180"/>
      <c r="I99" s="180"/>
      <c r="J99" s="180"/>
      <c r="K99" s="180"/>
      <c r="L99" s="180"/>
      <c r="M99" s="183"/>
      <c r="N99" s="183"/>
    </row>
    <row r="100" spans="1:14" x14ac:dyDescent="0.25">
      <c r="A100" s="256"/>
      <c r="B100" s="180"/>
      <c r="C100" s="180"/>
      <c r="D100" s="180"/>
      <c r="E100" s="180"/>
      <c r="F100" s="180"/>
      <c r="G100" s="180"/>
      <c r="H100" s="180"/>
      <c r="I100" s="180"/>
      <c r="J100" s="180"/>
      <c r="K100" s="180"/>
      <c r="L100" s="180"/>
      <c r="M100" s="183"/>
      <c r="N100" s="183"/>
    </row>
    <row r="101" spans="1:14" ht="30.75" customHeight="1" x14ac:dyDescent="0.25">
      <c r="A101" s="250"/>
      <c r="B101" s="250"/>
      <c r="C101" s="250"/>
      <c r="D101" s="250"/>
      <c r="E101" s="250"/>
      <c r="F101" s="250"/>
      <c r="G101" s="250"/>
      <c r="H101" s="250"/>
      <c r="I101" s="250"/>
      <c r="J101" s="250"/>
      <c r="K101" s="250"/>
      <c r="L101" s="250"/>
      <c r="M101" s="250"/>
      <c r="N101" s="250"/>
    </row>
    <row r="102" spans="1:14" ht="44.25" customHeight="1" x14ac:dyDescent="0.25">
      <c r="A102" s="169"/>
      <c r="B102" s="169"/>
      <c r="C102" s="760" t="s">
        <v>370</v>
      </c>
      <c r="D102" s="760"/>
      <c r="E102" s="760"/>
      <c r="F102" s="760"/>
      <c r="G102" s="760"/>
      <c r="H102" s="760"/>
      <c r="I102" s="760"/>
      <c r="J102" s="760"/>
      <c r="K102" s="760"/>
      <c r="L102" s="760"/>
      <c r="M102" s="760"/>
      <c r="N102" s="169"/>
    </row>
    <row r="103" spans="1:14" hidden="1" x14ac:dyDescent="0.25"/>
    <row r="104" spans="1:14" hidden="1" x14ac:dyDescent="0.25"/>
  </sheetData>
  <sheetProtection algorithmName="SHA-512" hashValue="m8/GF5uN9K4kUdGGGwqCv4ocuCPgwQ3H2EQLYRS6xG144PjceWC8dpPvSh4eF4U+5qiggjBrdm9d4ml2ia9a/w==" saltValue="UbL4TkeoDcYQS3gW8WoqFQ=="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defaultRowHeight="15" x14ac:dyDescent="0.25"/>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BA0CF7F-F9C3-4309-838D-D46F9D8FA07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CAE4CF5-2834-4907-9192-DF8FD4A1A5D8}">
  <ds:schemaRefs>
    <ds:schemaRef ds:uri="http://purl.org/dc/terms/"/>
    <ds:schemaRef ds:uri="http://schemas.microsoft.com/office/infopath/2007/PartnerControls"/>
    <ds:schemaRef ds:uri="http://schemas.microsoft.com/office/2006/documentManagement/types"/>
    <ds:schemaRef ds:uri="http://purl.org/dc/elements/1.1/"/>
    <ds:schemaRef ds:uri="http://schemas.microsoft.com/office/2006/metadata/properties"/>
    <ds:schemaRef ds:uri="6b2d526b-f179-4f8c-9fce-7a2c6e455f6f"/>
    <ds:schemaRef ds:uri="http://schemas.openxmlformats.org/package/2006/metadata/core-properties"/>
    <ds:schemaRef ds:uri="8253af2a-fd0f-40a4-8001-231cdeab6c87"/>
    <ds:schemaRef ds:uri="http://www.w3.org/XML/1998/namespace"/>
    <ds:schemaRef ds:uri="http://purl.org/dc/dcmitype/"/>
  </ds:schemaRefs>
</ds:datastoreItem>
</file>

<file path=customXml/itemProps3.xml><?xml version="1.0" encoding="utf-8"?>
<ds:datastoreItem xmlns:ds="http://schemas.openxmlformats.org/officeDocument/2006/customXml" ds:itemID="{67E59505-AC7D-444F-B635-E4B3C5CFA82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Marc Fajula Soldevila</cp:lastModifiedBy>
  <cp:revision/>
  <dcterms:created xsi:type="dcterms:W3CDTF">2006-09-16T00:00:00Z</dcterms:created>
  <dcterms:modified xsi:type="dcterms:W3CDTF">2021-02-22T15:16:05Z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
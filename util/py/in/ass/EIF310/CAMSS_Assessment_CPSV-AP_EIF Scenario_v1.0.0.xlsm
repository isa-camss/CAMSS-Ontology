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30"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21. CPSV-AP\"/>
    </mc:Choice>
  </mc:AlternateContent>
  <xr:revisionPtr revIDLastSave="0" documentId="11_9326B341E60E9FE5D787F201E2DE731CBEB57896" xr6:coauthVersionLast="46" xr6:coauthVersionMax="46" xr10:uidLastSave="{00000000-0000-0000-0000-000000000000}"/>
  <bookViews>
    <workbookView xWindow="0" yWindow="0" windowWidth="20490" windowHeight="6555" firstSheet="5" activeTab="5" xr2:uid="{00000000-000D-0000-FFFF-FFFF00000000}"/>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91028"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<sst xmlns="http://schemas.openxmlformats.org/spreadsheetml/2006/main" count="897" uniqueCount="477">
  <si>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</si>
  <si>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</si>
  <si>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</si>
  <si>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</si>
  <si>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</si>
  <si>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</si>
  <si>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</si>
  <si>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</si>
  <si>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</si>
  <si>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</si>
  <si>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</si>
  <si>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</si>
  <si>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</si>
  <si>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</si>
  <si>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</si>
  <si>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</si>
  <si>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</si>
  <si>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</si>
  <si>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</si>
  <si>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</si>
  <si>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</si>
  <si>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</si>
  <si>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</si>
  <si>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</si>
  <si>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</si>
  <si>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</si>
  <si>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</si>
  <si>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</si>
  <si>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</si>
  <si>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</si>
  <si>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</si>
  <si>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</si>
  <si>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</si>
  <si>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</si>
  <si>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</si>
  <si>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</si>
  <si>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</si>
  <si>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</si>
  <si>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</si>
  <si>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</si>
  <si>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</si>
  <si>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</si>
  <si>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</si>
  <si>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</si>
  <si>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</si>
  <si>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</si>
  <si>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</si>
  <si>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</si>
  <si>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</si>
  <si>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</si>
  <si>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</si>
  <si>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</si>
  <si>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</si>
  <si>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</si>
  <si>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</si>
  <si>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</si>
  <si>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</si>
  <si>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</si>
  <si>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</si>
  <si>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</si>
  <si>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</si>
  <si>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</si>
  <si>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</si>
  <si>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</si>
  <si>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</si>
  <si>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</si>
  <si>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</si>
  <si>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</si>
  <si>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</si>
  <si>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</si>
  <si>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</si>
  <si>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</si>
  <si>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</si>
  <si>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</si>
  <si>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</si>
  <si>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</si>
  <si>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</si>
  <si>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</si>
  <si>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</si>
  <si>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</si>
  <si>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</si>
  <si>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</si>
  <si>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</si>
  <si>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</si>
  <si>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</si>
  <si>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</si>
  <si>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</si>
  <si>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</si>
  <si>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</si>
  <si>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</si>
  <si>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</si>
  <si>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</si>
  <si>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</si>
  <si>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</si>
  <si>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</si>
  <si>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</si>
  <si>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</si>
  <si>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</si>
  <si>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</si>
  <si>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</si>
  <si>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</si>
  <si>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</si>
  <si>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</si>
  <si>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</si>
  <si>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</si>
  <si>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</si>
  <si>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</si>
  <si>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</si>
  <si>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</si>
  <si>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</si>
  <si>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</si>
  <si>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</si>
  <si>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</si>
  <si>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</si>
  <si>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</si>
  <si>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</si>
  <si>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</si>
  <si>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</si>
  <si>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</si>
  <si>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</si>
  <si>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</si>
  <si>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</si>
  <si>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</si>
  <si>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</si>
  <si>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</si>
  <si>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</si>
  <si>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</si>
  <si>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</si>
  <si>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</si>
  <si>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</si>
  <si>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</si>
  <si>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</si>
  <si>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</si>
  <si>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</si>
  <si>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</si>
  <si>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</si>
  <si>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</si>
  <si>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</si>
  <si>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</si>
  <si>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</si>
  <si>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</si>
  <si>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</si>
  <si>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</si>
  <si>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</si>
  <si>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</si>
  <si>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</si>
  <si>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</si>
  <si>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</si>
  <si>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</si>
  <si>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</si>
  <si>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</si>
  <si>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</si>
  <si>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</si>
  <si>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</si>
  <si>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</si>
  <si>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</si>
  <si>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</si>
  <si>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</si>
  <si>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</si>
  <si>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</si>
  <si>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</si>
  <si>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</si>
  <si>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</si>
  <si>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</si>
  <si>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</si>
  <si>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</si>
  <si>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</si>
  <si>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</si>
  <si>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</si>
  <si>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</si>
  <si>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</si>
  <si>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</si>
  <si>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</si>
  <si>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</si>
  <si>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</si>
  <si>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</si>
  <si>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</si>
  <si>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</si>
  <si>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</si>
  <si>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</si>
  <si>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</si>
  <si>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</si>
  <si>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</si>
  <si>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</si>
  <si>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</si>
  <si>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</si>
  <si>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</si>
  <si>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</si>
  <si>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</si>
  <si>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</si>
  <si>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</si>
  <si>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</si>
  <si>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</si>
  <si>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</si>
  <si>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</si>
  <si>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</si>
  <si>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</si>
  <si>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</si>
  <si>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</si>
  <si>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</si>
  <si>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</si>
  <si>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</si>
  <si>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</si>
  <si>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</si>
  <si>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</si>
  <si>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</si>
  <si>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</si>
  <si>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</si>
  <si>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</si>
  <si>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</si>
  <si>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</si>
  <si>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CAMSS@everis.com</t>
  </si>
  <si>
    <t>European Interoperability Framework (EIF)</t>
  </si>
  <si>
    <t>.</t>
  </si>
  <si>
    <t>Core Public Service Vocabulary Application Profile (CPSV-AP) v2.2</t>
  </si>
  <si>
    <t>https://joinup.ec.europa.eu/solution/e-government-core-vocabularies/core-public-service-vocabulary-application-profile</t>
  </si>
  <si>
    <t>Other SDO/SSO</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</si>
  <si>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</si>
  <si>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</si>
  <si>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</si>
  <si>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</si>
  <si>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</si>
  <si>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</si>
  <si>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</si>
  <si>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</si>
  <si>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</si>
  <si>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There is no Member State that includes CPSV-AP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</si>
  <si>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</si>
  <si>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</si>
  <si>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</si>
  <si>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The CPSV-AP allows describing public services in a standardised human and machine-readable format. This fact fosters the discoverability of the datasets containing information about public services. Therefore, it enhances its reuse and visibility.
CPSV-AP Joinup webpage:
https://joinup.ec.europa.eu/solution/core-public-service-vocabulary-application-profile/release/22
Tim Berners-Lee 5-star schema for Open Data:
https://5stardata.info/en/
On using the core public sector vocabulary (CPSV) to publish a "citizen's guide" as linked data:
https://www.researchgate.net/publication/325495548_On_using_the_core_public_sector_vocabulary_CPSV_to_publish_a_citizen's_guide_as_linked_data</t>
  </si>
  <si>
    <t>All stakeholders have the opportunity to contribute to the development of the specification </t>
  </si>
  <si>
    <t>The Semantic Interoperability Community (SEMIC) has established Working Groups. These Working Groups are open to the participation of everyone interested in semantic solution working for public administrations in the Member States or in EU institutions.
SEMIC working groups:
https://joinup.ec.europa.eu/collection/semantic-interoperability-community-semic/about</t>
  </si>
  <si>
    <t>A public review is part of the decision-making process.</t>
  </si>
  <si>
    <t>The Semantic Interoperability Community (SEMIC) develops solutions to help European public administrations perform seamless and meaningful cross-border and cross-domain data exchanges. They develop semantic specifications and interoperability solutions under the ISA² Programme. When a new solution release is finished, it is submitted for a public review with a minimum period of four weeks.
Specification development process by the ISA Programme:
https://joinup.ec.europa.eu/collection/semantic-interoperability-community-semic/document/description-change-management-release-and-publication-process-structural-metadata-specifications
Detailed document ISA Programme:
https://joinup.ec.europa.eu/sites/default/files/document/2016-10/description_of_a_change_management_release_and_publication_process_for_structural_metadata_specifications_developed_by_the_isa_progr.pdf</t>
  </si>
  <si>
    <t>The specification is available for everyone to study.</t>
  </si>
  <si>
    <t>Core Public Service Vocabulary Application Profile is publicly available for its use and implementation. Moreover, it is available for everyone to study with no cost on Joinup webpage.
CPSV-AP reference:
https://joinup.ec.europa.eu/solution/e-government-core-vocabularies/core-public-service-vocabulary-application-profile</t>
  </si>
  <si>
    <t>The specification is licensed on a (F)RAND basis</t>
  </si>
  <si>
    <t>All solutions developed in ISA² Programme are under ISA Open Metadata Licence which is perpetual, royalty-free and non-exclusive license to Use and re-Use the Works.
ISA open metadata license:
https://joinup.ec.europa.eu/licence/isa-open-metadata-licence-v11</t>
  </si>
  <si>
    <t>The specification is licensed on a royalty-free basis</t>
  </si>
  <si>
    <t>The specification is sufficiently mature for its use in the development of products and services.</t>
  </si>
  <si>
    <t>The specification was developed in 2014 by Catalogue of Services actions, and it has been evolved taking into account the inputs of the different stakeholders involved according to the development process stated by SEMIC. It is supporting several initiatives at European level, this fact demonstrates the maturity for its use in the development of products and services.
CPSV-AP reference:
https://joinup.ec.europa.eu/solution/e-government-core-vocabularies/core-public-service-vocabulary-application-profile</t>
  </si>
  <si>
    <t>The specification has sufficient market acceptance for its use in the development of products and services.</t>
  </si>
  <si>
    <t>This Core Vocabulary was developed in 2014 and has good acceptance in the European Union. The CPSV-AP is already being used by public administrations in Belgium, Italy, Finland and Estonia to create a cross-border federated catalogue of public services. Moreover, it is the basis of the European Catalogue of Services 
CPSV-AP reference:
https://joinup.ec.europa.eu/solution/e-government-core-vocabularies/core-public-service-vocabulary-application-profile
CPSV-AP used in EU:
https://www.ceps.eu/wp-content/uploads/2019/06/NO0119341ENN.en_.pdf
Catalogue of Services:
https://ec.europa.eu/isa2/catalogue-services-helping-eu-countries-catalogue-and-describe-public-services_en</t>
  </si>
  <si>
    <t>The specification fosters the creation of innovative solutions.</t>
  </si>
  <si>
    <t>This Core Vocabulary offers several services that aim to help e-Government professionals share their experience with each other, so it fosters the creation of innovative solutions.
CPSV-AP reference:
https://joinup.ec.europa.eu/solution/e-government-core-vocabularies/core-public-service-vocabulary-application-profile</t>
  </si>
  <si>
    <t>The specification has a strong support from at least one developer community.</t>
  </si>
  <si>
    <t>As it happens with all the e-Government Vocabularies, it has the SEMIC action from the ISA2 as responsible for the maintenance of the development.
SEMIC in Joinup:
https://joinup.ec.europa.eu/collection/semantic-interoperability-community-semic</t>
  </si>
  <si>
    <t xml:space="preserve">          TRANSPARENCY</t>
  </si>
  <si>
    <t>The specification fosters the visibility of administrative rules, data, services and decision-making of a public administration.</t>
  </si>
  <si>
    <t>CPSV-AP is a reusable and extensible data model for harmonising the way public services are described in a machine-readable format. So it describes the public administrations and eases their visualization and comprehensibility.
CPSV-AP reference:
https://joinup.ec.europa.eu/solution/e-government-core-vocabularies/core-public-service-vocabulary-application-profile</t>
  </si>
  <si>
    <t>The specification fosters the comprehensibility of administrative rules, data, services and decision-making of a public administration.</t>
  </si>
  <si>
    <t>The specification helps to ensure the availability of interfaces with internal information systems of a public administration.</t>
  </si>
  <si>
    <t>N/A</t>
  </si>
  <si>
    <t>The purpose of this core Vocabulary is not related to the availability of interfaces with internal information systems. Therefore, this criterion does not apply to this specification. 
CPSV-AP reference:
https://joinup.ec.europa.eu/solution/e-government-core-vocabularies/core-public-service-vocabulary-application-profile</t>
  </si>
  <si>
    <t xml:space="preserve">          REUSABILITY</t>
  </si>
  <si>
    <t>The specification is reusable beyond the domain for which it was originally developed. </t>
  </si>
  <si>
    <t>The Core Public Service Vocabulary Application Profile is a business domain agnostic specification that can be reused in a cross-domain way.
CPSV-AP reference:
https://joinup.ec.europa.eu/solution/e-government-core-vocabularies/core-public-service-vocabulary-application-profile</t>
  </si>
  <si>
    <t>The specification has been made available for its reuse by the organisations, administrations, open communities, etc. that developed it.</t>
  </si>
  <si>
    <t>The Core Public Service Vocabulary Application Profile is publicly available for implementation and use for free on Joinup's webpage. Therefore, it can be reused by the organisations, administrations, open communities, etc. that developed it.
CPSV-AP reference:
https://joinup.ec.europa.eu/solution/e-government-core-vocabularies/core-public-service-vocabulary-application-profile</t>
  </si>
  <si>
    <t>The specification is available for free on at least one national or European platform.</t>
  </si>
  <si>
    <t>The Core Public Service Vocabulary Application Profile can be found for free along within the European Collaborative Platform, Joinup.
CPSV-AP reference:
https://joinup.ec.europa.eu/solution/e-government-core-vocabularies/core-public-service-vocabulary-application-profile</t>
  </si>
  <si>
    <t xml:space="preserve">          TECHNOLOGICAL NEUTRALITY AND DATA PORTABILITY</t>
  </si>
  <si>
    <t>A18</t>
  </si>
  <si>
    <t>The specification is independent of any specific technology and/or platform.</t>
  </si>
  <si>
    <t>CPSV-AP is independent of any software, hardware, or operating system. So it can be said that the specification is independent of any specific technology or platform.
CPSV-AP reference:
https://joinup.ec.europa.eu/solution/e-government-core-vocabularies/core-public-service-vocabulary-application-profile</t>
  </si>
  <si>
    <t>A19</t>
  </si>
  <si>
    <t>The specification is proportionate to the needs of its users (citizens, businesses or administrations).</t>
  </si>
  <si>
    <t>The adoption of this Core Vocabulary as a data model does not hamper the scalability of systems.
CPSV-AP reference:
https://joinup.ec.europa.eu/solution/e-government-core-vocabularies/core-public-service-vocabulary-application-profile</t>
  </si>
  <si>
    <t>A20</t>
  </si>
  <si>
    <t>The specification fosters data portability between systems and applications supporting the implementation and evolution of European public services when legally possible.</t>
  </si>
  <si>
    <t>The purpose of this Core Vocabulary is to harmonise public services (information) stored in different local, regional and national information sources, allowing the information to be searched and shared easily within and across public administrations all over Europe.
CPSV-AP reference:
https://joinup.ec.europa.eu/solution/e-government-core-vocabularies/core-public-service-vocabulary-application-profile</t>
  </si>
  <si>
    <t>PRINCIPLES RELATED TO GENERIC USER NEEDS AND EXPECTATIONS</t>
  </si>
  <si>
    <t xml:space="preserve">          USER-CENTRICITY</t>
  </si>
  <si>
    <t>A21</t>
  </si>
  <si>
    <t>The specification eases the implementation of the once-only principle.</t>
  </si>
  <si>
    <t>The application of the once-only principle in all EU Member States public administrations aims at reducing the administrative burden. This Core Vocabulary fosters interoperability between public administrations, cross border services and impacts positively the development of eGovernment.
CPSV-AP reference:
https://joinup.ec.europa.eu/solution/e-government-core-vocabularies/core-public-service-vocabulary-application-profile</t>
  </si>
  <si>
    <t xml:space="preserve">          INCLUSION AND ACCESSIBILITY</t>
  </si>
  <si>
    <t>A22</t>
  </si>
  <si>
    <t>The specification fosters e-accessibility.</t>
  </si>
  <si>
    <t>The purpose of this Core Vocabulary is not related to e-accessibility. Therefore, this criterion is considered not applicable to this specification.
CPSV-AP reference:
https://joinup.ec.europa.eu/solution/e-government-core-vocabularies/core-public-service-vocabulary-application-profile</t>
  </si>
  <si>
    <t xml:space="preserve">          SECURITY AND PRIVACY</t>
  </si>
  <si>
    <t>A23</t>
  </si>
  <si>
    <t>The specification fosters the secure and trustworthy data exchange between citizens and businesses, and public administrations.</t>
  </si>
  <si>
    <t>The purpose of this Core Vocabulary is not related to security and privacy of the data exchange. Therefore, this criterion is not applicable to this specification.
CPSV-AP reference:
https://joinup.ec.europa.eu/solution/e-government-core-vocabularies/core-public-service-vocabulary-application-profile</t>
  </si>
  <si>
    <t xml:space="preserve">          MULTILINGUALISM</t>
  </si>
  <si>
    <t>A24</t>
  </si>
  <si>
    <t>The specification fosters the delivery of multilingual European public services.</t>
  </si>
  <si>
    <t>The purpose of CPSV-AP is related to the delivery of multilingual public services. All datatype properties with datatype “text” where the value for that property may exist in multiple languages, the property has multiple instances which are tagged with a language identifier for each language in which the value for that property exists.
CPSV-AP reference:
https://joinup.ec.europa.eu/solution/e-government-core-vocabularies/core-public-service-vocabulary-application-profile</t>
  </si>
  <si>
    <t xml:space="preserve">  FOUNDATION PRINCIPLES FOR COOPERATION AMONG PUBLIC ADMINISTRATIONS</t>
  </si>
  <si>
    <t xml:space="preserve">          ADMINISTRATIVE SIMPLIFICATION</t>
  </si>
  <si>
    <t>A25</t>
  </si>
  <si>
    <t>The adoption of the specification reduces the administrative burden.</t>
  </si>
  <si>
    <t>The purpose of the specification is to facilitate the exchange of structured data. By allowing to make the data available to other persons or organisations, this Core Vocabulary reduces the administrative burden.
CPSV-AP reference:
https://joinup.ec.europa.eu/solution/e-government-core-vocabularies/core-public-service-vocabulary-application-profile</t>
  </si>
  <si>
    <t xml:space="preserve">          PRESERVATION OF INFORMATION</t>
  </si>
  <si>
    <t>A26</t>
  </si>
  <si>
    <t>The specification fosters the long-term preservation of electronic records and other kinds of information.</t>
  </si>
  <si>
    <t>The purpose of this Core Vocabulary is not related to long term preservation of electronic records. Therefore, this criterion is considered not applicable to this specification.
CPSV-AP reference:
https://joinup.ec.europa.eu/solution/e-government-core-vocabularies/core-public-service-vocabulary-application-profile</t>
  </si>
  <si>
    <t xml:space="preserve">          ASSESSMENT OF EFFECTIVENESS AND EFFICIENCY</t>
  </si>
  <si>
    <t>A27</t>
  </si>
  <si>
    <t>There are already existing studies or documentation assessing the specification in terms of effectiveness and efficiency.</t>
  </si>
  <si>
    <t>There are not explicit studies or documentation regarding the effectiveness or efficiency of the Core Vocabulary Application Profile. However, an article on the usefulness of the AP for the publication of linked data from administrations. 
Study about ISA2 efficiency:
https://www.ceps.eu/wp-content/uploads/2019/06/NO0119341ENN.en_.pdf
On using the core public sector vocabulary (CPSV) to publish a "citizen's guide" as linked data:
https://www.researchgate.net/publication/325495548_On_using_the_core_public_sector_vocabulary_CPSV_to_publish_a_citizen's_guide_as_linked_data</t>
  </si>
  <si>
    <t>INTEROPERABILITY LAYERS</t>
  </si>
  <si>
    <t xml:space="preserve">           INTEROPERABILITY GOVERNANCE</t>
  </si>
  <si>
    <t>A28</t>
  </si>
  <si>
    <t>The specification can be mapped to the European Interoperability Reference Architecture (EIRA).</t>
  </si>
  <si>
    <t>Core Public Service Vocabulary Application Profile 2.2 is already associated to an EIRA ABB in the European Library Of Specifications (ELIS). Specifically, this Core Vocabulary can define the interoperability aspects of the "Core Data Model" and "Data" ABBs from the EIRA Semantic view.
EIRA Library of Interoperability Specifications (ELIS):
https://joinup.ec.europa.eu/solution/elis/release/v100</t>
  </si>
  <si>
    <t>A29</t>
  </si>
  <si>
    <t>Mechanisms to assess conformity of the implementations of the specification (e.g. conformity tests, certifications) are available for free.</t>
  </si>
  <si>
    <t xml:space="preserve">As a vocabulary, the implementation of CPSV-AP can be tested using methods like SHACL shapes and using semantic reasoners to ensure that the implementation is well-formed. These validation mechanisms can be used with open source tools or lite versions of tools like GrapghDB or Protégé.
SHACL validation: 
https://graphdb.ontotext.com/documentation/free/shacl-validation.html#what-is-shacl-validation
Semantic Reasoners List: 
http://owl.cs.manchester.ac.uk/tools/list-of-reasoners/ </t>
  </si>
  <si>
    <t>A30</t>
  </si>
  <si>
    <t>The specification is recommended by an EU Member State.</t>
  </si>
  <si>
    <t>Belgium is recommending CPSV-AP in their ICT National Catalogues.
Belgium national catalogue:
https://www.belgif.be/nl/specifications</t>
  </si>
  <si>
    <t>A31</t>
  </si>
  <si>
    <t>The specification has been selected for its use in an EU cross-border project or initiative after agreed identification and assessment.</t>
  </si>
  <si>
    <t>The CPSV-AP allows describing public services in a standarised human and machine-readable format. This fact fosters the discoverability of the datasets containing the information of public services. Therefore, it enhances its reuse and visibility. That is the reason why CPSV-AP is implementing the EU Catalogue of Services. Moreover, it is recommended in the CarTool 3.1.0 as one of the Operational enablers for the Catalogue of Services Solution Architecture Template (SAT).
CPSV-AP Joinup webpage:
https://joinup.ec.europa.eu/solution/core-public-service-vocabulary-application-profile/release/22
Catalogue of Services news page: 
https://ec.europa.eu/isa2/catalogue-services-helping-eu-countries-catalogue-and-describe-public-services_en</t>
  </si>
  <si>
    <t>A32</t>
  </si>
  <si>
    <t>The specification is included in a catalogue of standards at national level.</t>
  </si>
  <si>
    <t>The specification is included in 1 Member States' catalogue of recommended specifications. The Member State that includes this Core Vocabulary on their catalogue is Belgium.
Belgium national catalogue:
https://www.belgif.be/nl/specifications</t>
  </si>
  <si>
    <t>A33</t>
  </si>
  <si>
    <t>The specification is included in a catalogue of standards at EU level.</t>
  </si>
  <si>
    <t>After checking the different standard catalogues at supra-national level, there is no evidence of the inclusion of CPSV-AP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</si>
  <si>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INTEGRATED PUBLIC SERVICE GOVERNANCE</t>
  </si>
  <si>
    <t>A34</t>
  </si>
  <si>
    <t>The specification is included in an interoperability agreement established between organisations involved in European public service provision.</t>
  </si>
  <si>
    <t>This Core Vocabulary Application Profile offers the possibility of describing public services in a standarised way easing their reuse and discoverability. It can be translated  into Federated Catalogues of Public Services that can be accessed across-borders. As the "Evaluation Study supporting the interim evaluation of the programme on interoperability solutions for European public administrations, businesses and citizens (ISA²)" states, there are several MS like Italy or Finland that are using CPSV-AP to create Public Services Catalogues.
JoinUp Webpage:
https://joinup.ec.europa.eu/
Evaluation Study supporting the interim evaluation of the programme on interoperability solutions for European public administrations, businesses and citizens (ISA²): 
https://www.ceps.eu/wp-content/uploads/2019/06/NO0119341ENN.en_.pdf</t>
  </si>
  <si>
    <t xml:space="preserve">           LEGAL INTEROPERABILITY</t>
  </si>
  <si>
    <t>A35</t>
  </si>
  <si>
    <t>The specification is compliant with a European standardisation regulation (e.g. regulation 1025/2012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</si>
  <si>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</si>
  <si>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 xml:space="preserve">         ORGANISATIONAL INTEROPERABILITY</t>
  </si>
  <si>
    <t>A36</t>
  </si>
  <si>
    <t>The specification is a commonly accepted business process modelling specification.</t>
  </si>
  <si>
    <t>The purpose of this Core Vocabulary is not related to the modelling of business processes. Therefore, this criterion is not applicable to the specification.
CPSV-AP reference:
https://joinup.ec.europa.eu/solution/e-government-core-vocabularies/core-public-service-vocabulary-application-profile</t>
  </si>
  <si>
    <t>A37</t>
  </si>
  <si>
    <t>The specification defines organisational interoperability aspects (e.g. skills, language, etc.).</t>
  </si>
  <si>
    <t>The purpose of this Core Vocabulary is not related to the modelling of organisational interoperability aspects. Therefore, this criterion is not applicable to the specification.
CPSV-AP reference:
https://joinup.ec.europa.eu/solution/e-government-core-vocabularies/core-public-service-vocabulary-application-profile</t>
  </si>
  <si>
    <t xml:space="preserve">         SEMANTIC INTEROPERABILITY</t>
  </si>
  <si>
    <t>A38</t>
  </si>
  <si>
    <t>The specification defines a cross-sector reusable data model.</t>
  </si>
  <si>
    <t>This Core Vocabulary is a reusable and extensible data model for harmonising the way public services are described in a machine-readable format.
CPSV-AP reference:
https://joinup.ec.europa.eu/solution/e-government-core-vocabularies/core-public-service-vocabulary-application-profile</t>
  </si>
  <si>
    <t>A39</t>
  </si>
  <si>
    <t>The specification fosters the publication of data as Linked Open Data.</t>
  </si>
  <si>
    <t>The CPSV-AP allows describing public services in a standard human and machine-readable format. This fact fosters the discoverability of the datasets containing the information of public services. Moreover, enhances its reuse and visibility. 
CPSV-AP Joinup webpage:
https://joinup.ec.europa.eu/solution/core-public-service-vocabulary-application-profile/release/22
5-star linked open data:
https://www.w3.org/DesignIssues/LinkedData.html
On using the core public sector vocabulary (CPSV) to publish a "citizen's guide" as linked data:
https://www.researchgate.net/publication/325495548_On_using_the_core_public_sector_vocabulary_CPSV_to_publish_a_citizen's_guide_as_linked_data</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</si>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</sst>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F800]dddd\,\ mmmm\ dd\,\ yyyy"/>
    <numFmt numFmtId="166" formatCode="[$-809]dd\ mmmm\ yyyy;@"/>
  </numFmts>
  <fonts count="99">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9">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51"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2" fillId="2" borderId="19" xfId="4" applyFill="1" applyBorder="1" applyAlignment="1" applyProtection="1">
      <alignment horizontal="left" vertical="center"/>
      <protection locked="0"/>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wrapText="1"/>
      <protection hidden="1"/>
    </xf>
    <xf numFmtId="0" fontId="28" fillId="21" borderId="23" xfId="0" applyFont="1" applyFill="1" applyBorder="1" applyAlignment="1" applyProtection="1">
      <alignment horizontal="center" vertical="center" wrapText="1"/>
      <protection hidden="1"/>
    </xf>
    <xf numFmtId="0" fontId="28" fillId="21" borderId="24" xfId="0" applyFont="1" applyFill="1" applyBorder="1" applyAlignment="1" applyProtection="1">
      <alignment horizontal="center" vertical="center" wrapText="1"/>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xr:uid="{00000000-0005-0000-0000-000000000000}"/>
    <cellStyle name="Hipervínculo" xfId="4" builtinId="8"/>
    <cellStyle name="Normal" xfId="0" builtinId="0"/>
    <cellStyle name="Normal 2" xfId="3" xr:uid="{00000000-0005-0000-0000-000003000000}"/>
    <cellStyle name="Normal 3" xfId="1" xr:uid="{00000000-0005-0000-0000-000004000000}"/>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97255160"/>
        <c:axId val="397258688"/>
        <c:extLs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c:ext xmlns:c16="http://schemas.microsoft.com/office/drawing/2014/chart" uri="{C3380CC4-5D6E-409C-BE32-E72D297353CC}">
                    <c16:uniqueId val="{00000002-5D39-4251-9CF2-E357A1BED20E}"/>
                  </c:ext>
                </c:extLst>
              </c15:ser>
            </c15:filteredBarSeries>
          </c:ext>
        </c:extLst>
      </c:barChart>
      <c:catAx>
        <c:axId val="397255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97258688"/>
        <c:crosses val="autoZero"/>
        <c:auto val="1"/>
        <c:lblAlgn val="ctr"/>
        <c:lblOffset val="100"/>
        <c:tickMarkSkip val="1"/>
        <c:noMultiLvlLbl val="1"/>
      </c:catAx>
      <c:valAx>
        <c:axId val="397258688"/>
        <c:scaling>
          <c:orientation val="minMax"/>
          <c:max val="1"/>
          <c:min val="0"/>
        </c:scaling>
        <c:delete val="1"/>
        <c:axPos val="l"/>
        <c:numFmt formatCode="0%" sourceLinked="0"/>
        <c:majorTickMark val="none"/>
        <c:minorTickMark val="none"/>
        <c:tickLblPos val="nextTo"/>
        <c:crossAx val="39725516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E55-4936-B911-73DA997CF7C0}"/>
                </c:ext>
              </c:extLst>
            </c:dLbl>
            <c:dLbl>
              <c:idx val="1"/>
              <c:layout>
                <c:manualLayout>
                  <c:x val="4.479283841283337E-3"/>
                  <c:y val="5.5888223552894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E55-4936-B911-73DA997CF7C0}"/>
                </c:ext>
              </c:extLst>
            </c:dLbl>
            <c:dLbl>
              <c:idx val="2"/>
              <c:layout>
                <c:manualLayout>
                  <c:x val="9.4064960666950082E-2"/>
                  <c:y val="-8.78243512974051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E55-4936-B911-73DA997CF7C0}"/>
                </c:ext>
              </c:extLst>
            </c:dLbl>
            <c:dLbl>
              <c:idx val="3"/>
              <c:layout>
                <c:manualLayout>
                  <c:x val="-7.4654730688056168E-3"/>
                  <c:y val="5.18962075848303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'!$E$17,'Results '!$E$28,'Results '!$E$39,'Results '!$E$48)</c:f>
              <c:numCache>
                <c:formatCode>0%</c:formatCode>
                <c:ptCount val="4"/>
                <c:pt idx="0">
                  <c:v>0</c:v>
                </c:pt>
                <c:pt idx="1">
                  <c:v>1</c:v>
                </c:pt>
                <c:pt idx="2">
                  <c:v>1</c:v>
                </c:pt>
                <c:pt idx="3">
                  <c:v>0.5</c:v>
                </c:pt>
              </c:numCache>
            </c:numRef>
          </c:val>
          <c:extLs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55-4936-B911-73DA997CF7C0}"/>
                </c:ext>
              </c:extLst>
            </c:dLbl>
            <c:dLbl>
              <c:idx val="1"/>
              <c:layout>
                <c:manualLayout>
                  <c:x val="1.194475691008879E-2"/>
                  <c:y val="-9.98003992015968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55-4936-B911-73DA997CF7C0}"/>
                </c:ext>
              </c:extLst>
            </c:dLbl>
            <c:dLbl>
              <c:idx val="2"/>
              <c:layout>
                <c:manualLayout>
                  <c:x val="-9.257186605318897E-2"/>
                  <c:y val="-9.18163672654690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E55-4936-B911-73DA997CF7C0}"/>
                </c:ext>
              </c:extLst>
            </c:dLbl>
            <c:dLbl>
              <c:idx val="3"/>
              <c:layout>
                <c:manualLayout>
                  <c:x val="-1.0451662296327787E-2"/>
                  <c:y val="-9.580838323353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E55-4936-B911-73DA997CF7C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'!$G$17,'Results '!$G$28,'Results '!$G$39,'Results '!$G$48)</c:f>
              <c:numCache>
                <c:formatCode>0%</c:formatCode>
                <c:ptCount val="4"/>
                <c:pt idx="0">
                  <c:v>1</c:v>
                </c:pt>
                <c:pt idx="1">
                  <c:v>0.94736842105263153</c:v>
                </c:pt>
                <c:pt idx="2">
                  <c:v>0.5</c:v>
                </c:pt>
                <c:pt idx="3">
                  <c:v>0.66666666666666663</c:v>
                </c:pt>
              </c:numCache>
            </c:numRef>
          </c:val>
          <c:extLs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97252416"/>
        <c:axId val="397251240"/>
        <c:extLst>
          <c:ext xmlns:c15="http://schemas.microsoft.com/office/drawing/2012/chart" uri="{02D57815-91ED-43cb-92C2-25804820EDAC}">
            <c15:filteredRadarSeries>
              <c15:ser>
                <c:idx val="1"/>
                <c:order val="1"/>
                <c:tx>
                  <c:strRef>
                    <c:extLs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extLst>
                      <c:ext uri="{02D57815-91ED-43cb-92C2-25804820EDAC}">
                        <c15:formulaRef>
                          <c15:sqref>('Results '!$C$17:$D$17,'Results '!$C$28:$D$28,'Results '!$C$39:$D$39,'Results '!$C$48:$D$48)</c15:sqref>
                        </c15:formulaRef>
                      </c:ext>
                    </c:extLst>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extLst>
                      <c:ext uri="{02D57815-91ED-43cb-92C2-25804820EDAC}">
                        <c15:formulaRef>
                          <c15:sqref>('Results '!$F$17,'Results '!$F$28,'Results '!$F$39,'Results '!$F$48)</c15:sqref>
                        </c15:formulaRef>
                      </c:ext>
                    </c:extLst>
                    <c:numCache>
                      <c:formatCode>0%</c:formatCode>
                      <c:ptCount val="4"/>
                    </c:numCache>
                  </c:numRef>
                </c:val>
                <c:extLst>
                  <c:ext xmlns:c16="http://schemas.microsoft.com/office/drawing/2014/chart" uri="{C3380CC4-5D6E-409C-BE32-E72D297353CC}">
                    <c16:uniqueId val="{00000002-DBC7-4752-A0AF-3BEA7045EE41}"/>
                  </c:ext>
                </c:extLst>
              </c15:ser>
            </c15:filteredRadarSeries>
          </c:ext>
        </c:extLst>
      </c:radarChart>
      <c:catAx>
        <c:axId val="39725241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97251240"/>
        <c:crosses val="autoZero"/>
        <c:auto val="1"/>
        <c:lblAlgn val="ctr"/>
        <c:lblOffset val="100"/>
        <c:noMultiLvlLbl val="0"/>
      </c:catAx>
      <c:valAx>
        <c:axId val="39725124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9725241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5EF-481E-8779-880AEFD8A02C}"/>
                </c:ext>
              </c:extLst>
            </c:dLbl>
            <c:dLbl>
              <c:idx val="1"/>
              <c:layout>
                <c:manualLayout>
                  <c:x val="2.0903322135124938E-2"/>
                  <c:y val="8.15494393476044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5EF-481E-8779-880AEFD8A02C}"/>
                </c:ext>
              </c:extLst>
            </c:dLbl>
            <c:dLbl>
              <c:idx val="2"/>
              <c:layout>
                <c:manualLayout>
                  <c:x val="1.6424038820455285E-2"/>
                  <c:y val="-9.78593272171254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EF-481E-8779-880AEFD8A02C}"/>
                </c:ext>
              </c:extLst>
            </c:dLbl>
            <c:dLbl>
              <c:idx val="3"/>
              <c:layout>
                <c:manualLayout>
                  <c:x val="4.7779022023142964E-2"/>
                  <c:y val="-7.74719673802242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5EF-481E-8779-880AEFD8A02C}"/>
                </c:ext>
              </c:extLst>
            </c:dLbl>
            <c:dLbl>
              <c:idx val="4"/>
              <c:layout>
                <c:manualLayout>
                  <c:x val="2.9861888764464353E-3"/>
                  <c:y val="2.85423037716615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5EF-481E-8779-880AEFD8A02C}"/>
                </c:ext>
              </c:extLst>
            </c:dLbl>
            <c:dLbl>
              <c:idx val="5"/>
              <c:layout>
                <c:manualLayout>
                  <c:x val="-1.4930944382232176E-2"/>
                  <c:y val="6.11620795107032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1</c:v>
                </c:pt>
                <c:pt idx="2">
                  <c:v>0</c:v>
                </c:pt>
                <c:pt idx="3">
                  <c:v>0</c:v>
                </c:pt>
                <c:pt idx="4">
                  <c:v>1</c:v>
                </c:pt>
                <c:pt idx="5">
                  <c:v>1</c:v>
                </c:pt>
              </c:numCache>
            </c:numRef>
          </c:val>
          <c:extLs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5EF-481E-8779-880AEFD8A02C}"/>
                </c:ext>
              </c:extLst>
            </c:dLbl>
            <c:dLbl>
              <c:idx val="1"/>
              <c:layout>
                <c:manualLayout>
                  <c:x val="8.9585666293393058E-3"/>
                  <c:y val="-4.48521916411825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5EF-481E-8779-880AEFD8A02C}"/>
                </c:ext>
              </c:extLst>
            </c:dLbl>
            <c:dLbl>
              <c:idx val="2"/>
              <c:layout>
                <c:manualLayout>
                  <c:x val="5.9723777528927612E-3"/>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5EF-481E-8779-880AEFD8A02C}"/>
                </c:ext>
              </c:extLst>
            </c:dLbl>
            <c:dLbl>
              <c:idx val="3"/>
              <c:layout>
                <c:manualLayout>
                  <c:x val="-4.7779022023142909E-2"/>
                  <c:y val="-7.33944954128440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5EF-481E-8779-880AEFD8A02C}"/>
                </c:ext>
              </c:extLst>
            </c:dLbl>
            <c:dLbl>
              <c:idx val="4"/>
              <c:layout>
                <c:manualLayout>
                  <c:x val="-1.6424038820455393E-2"/>
                  <c:y val="-0.134556574923547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5EF-481E-8779-880AEFD8A02C}"/>
                </c:ext>
              </c:extLst>
            </c:dLbl>
            <c:dLbl>
              <c:idx val="5"/>
              <c:layout>
                <c:manualLayout>
                  <c:x val="1.6424038820455393E-2"/>
                  <c:y val="-4.07747196738022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5EF-481E-8779-880AEFD8A0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97252024"/>
        <c:axId val="397253592"/>
        <c:extLst/>
      </c:radarChart>
      <c:catAx>
        <c:axId val="39725202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97253592"/>
        <c:crosses val="autoZero"/>
        <c:auto val="1"/>
        <c:lblAlgn val="ctr"/>
        <c:lblOffset val="100"/>
        <c:noMultiLvlLbl val="0"/>
      </c:catAx>
      <c:valAx>
        <c:axId val="39725359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9725202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joinup.ec.europa.eu/solution/e-government-core-vocabularies/core-public-service-vocabulary-application-profile"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80"/>
  <sheetViews>
    <sheetView showGridLines="0" showRowColHeaders="0" zoomScaleNormal="100" workbookViewId="0"/>
  </sheetViews>
  <sheetFormatPr defaultColWidth="0" defaultRowHeight="16.5" zeroHeight="1"/>
  <cols>
    <col min="1" max="12" width="9" style="511" customWidth="1"/>
    <col min="13" max="13" width="0" style="511" hidden="1" customWidth="1"/>
    <col min="14" max="16384" width="9" style="511" hidden="1"/>
  </cols>
  <sheetData>
    <row r="1" spans="1:13" ht="24.6">
      <c r="A1" s="508"/>
      <c r="B1" s="508"/>
      <c r="C1" s="508"/>
      <c r="D1" s="508"/>
      <c r="E1" s="508"/>
      <c r="F1" s="508"/>
      <c r="G1" s="508"/>
      <c r="H1" s="508"/>
      <c r="I1" s="508"/>
      <c r="J1" s="173"/>
      <c r="K1" s="509"/>
      <c r="L1" s="310" t="s">
        <v>0</v>
      </c>
      <c r="M1" s="510"/>
    </row>
    <row r="2" spans="1:13" ht="24.6" hidden="1">
      <c r="A2" s="508"/>
      <c r="B2" s="508"/>
      <c r="C2" s="508"/>
      <c r="D2" s="508"/>
      <c r="E2" s="508"/>
      <c r="F2" s="508"/>
      <c r="G2" s="508"/>
      <c r="H2" s="508"/>
      <c r="I2" s="508"/>
      <c r="J2" s="173"/>
      <c r="K2" s="311"/>
      <c r="L2" s="172"/>
      <c r="M2" s="510"/>
    </row>
    <row r="3" spans="1:13" ht="24.6">
      <c r="A3" s="508"/>
      <c r="B3" s="508"/>
      <c r="C3" s="508"/>
      <c r="D3" s="508"/>
      <c r="E3" s="508"/>
      <c r="F3" s="508"/>
      <c r="G3" s="508"/>
      <c r="H3" s="508"/>
      <c r="I3" s="508"/>
      <c r="J3" s="173"/>
      <c r="K3" s="551"/>
      <c r="L3" s="312"/>
      <c r="M3" s="510"/>
    </row>
    <row r="4" spans="1:13" ht="24.6" hidden="1">
      <c r="A4" s="508"/>
      <c r="B4" s="508"/>
      <c r="C4" s="508"/>
      <c r="D4" s="508"/>
      <c r="E4" s="508"/>
      <c r="F4" s="508"/>
      <c r="G4" s="508"/>
      <c r="H4" s="508"/>
      <c r="I4" s="508"/>
      <c r="J4" s="173"/>
      <c r="K4" s="173"/>
      <c r="L4" s="172"/>
      <c r="M4" s="510"/>
    </row>
    <row r="5" spans="1:13" ht="24.6">
      <c r="A5" s="508"/>
      <c r="B5" s="508"/>
      <c r="C5" s="508"/>
      <c r="D5" s="508"/>
      <c r="E5" s="508"/>
      <c r="F5" s="508"/>
      <c r="G5" s="508"/>
      <c r="H5" s="508"/>
      <c r="I5" s="508"/>
      <c r="J5" s="173"/>
      <c r="K5" s="173"/>
      <c r="L5" s="172"/>
      <c r="M5" s="510"/>
    </row>
    <row r="6" spans="1:13" ht="24.6">
      <c r="A6" s="508"/>
      <c r="B6" s="508"/>
      <c r="C6" s="508"/>
      <c r="D6" s="508"/>
      <c r="E6" s="508"/>
      <c r="F6" s="508"/>
      <c r="G6" s="508"/>
      <c r="H6" s="508"/>
      <c r="I6" s="508"/>
      <c r="J6" s="173"/>
      <c r="K6" s="173"/>
      <c r="L6" s="172"/>
      <c r="M6" s="510"/>
    </row>
    <row r="7" spans="1:13" ht="24.6">
      <c r="A7" s="588"/>
      <c r="B7" s="588"/>
      <c r="C7" s="588"/>
      <c r="D7" s="508"/>
      <c r="E7" s="508"/>
      <c r="F7" s="508"/>
      <c r="G7" s="508"/>
      <c r="H7" s="508"/>
      <c r="I7" s="508"/>
      <c r="J7" s="173"/>
      <c r="K7" s="173"/>
      <c r="L7" s="172"/>
      <c r="M7" s="510"/>
    </row>
    <row r="8" spans="1:13" ht="24.6">
      <c r="A8" s="512"/>
      <c r="B8" s="512"/>
      <c r="C8" s="512"/>
      <c r="D8" s="512"/>
      <c r="E8" s="512"/>
      <c r="F8" s="512"/>
      <c r="G8" s="512"/>
      <c r="H8" s="512"/>
      <c r="I8" s="512"/>
      <c r="J8" s="173"/>
      <c r="K8" s="173"/>
      <c r="L8" s="172"/>
      <c r="M8" s="510"/>
    </row>
    <row r="9" spans="1:13" ht="24.6">
      <c r="A9" s="512"/>
      <c r="B9" s="510"/>
      <c r="C9" s="512"/>
      <c r="D9" s="512"/>
      <c r="E9" s="512"/>
      <c r="F9" s="512"/>
      <c r="G9" s="512"/>
      <c r="H9" s="512"/>
      <c r="I9" s="512"/>
      <c r="J9" s="173"/>
      <c r="K9" s="173"/>
      <c r="L9" s="172"/>
      <c r="M9" s="510"/>
    </row>
    <row r="10" spans="1:13" ht="24.6" hidden="1">
      <c r="A10" s="313"/>
      <c r="B10" s="313"/>
      <c r="C10" s="313"/>
      <c r="D10" s="313"/>
      <c r="E10" s="313"/>
      <c r="F10" s="173"/>
      <c r="G10" s="173"/>
      <c r="H10" s="173"/>
      <c r="I10" s="173"/>
      <c r="J10" s="173"/>
      <c r="K10" s="173"/>
      <c r="L10" s="172"/>
      <c r="M10" s="510"/>
    </row>
    <row r="11" spans="1:13" ht="24.6" hidden="1">
      <c r="A11" s="173"/>
      <c r="B11" s="173"/>
      <c r="C11" s="173"/>
      <c r="D11" s="173"/>
      <c r="E11" s="173"/>
      <c r="F11" s="173"/>
      <c r="G11" s="173"/>
      <c r="H11" s="173"/>
      <c r="I11" s="173"/>
      <c r="J11" s="173"/>
      <c r="K11" s="173"/>
      <c r="L11" s="172"/>
      <c r="M11" s="510"/>
    </row>
    <row r="12" spans="1:13" ht="24.6">
      <c r="A12" s="589" t="s">
        <v>1</v>
      </c>
      <c r="B12" s="589"/>
      <c r="C12" s="589"/>
      <c r="D12" s="589"/>
      <c r="E12" s="589"/>
      <c r="F12" s="589"/>
      <c r="G12" s="589"/>
      <c r="H12" s="589"/>
      <c r="I12" s="589"/>
      <c r="J12" s="589"/>
      <c r="K12" s="589"/>
      <c r="L12" s="590"/>
      <c r="M12" s="510"/>
    </row>
    <row r="13" spans="1:13" ht="17.25" customHeight="1">
      <c r="A13" s="591" t="s">
        <v>2</v>
      </c>
      <c r="B13" s="591"/>
      <c r="C13" s="591"/>
      <c r="D13" s="591"/>
      <c r="E13" s="591"/>
      <c r="F13" s="591"/>
      <c r="G13" s="591"/>
      <c r="H13" s="591"/>
      <c r="I13" s="591"/>
      <c r="J13" s="591"/>
      <c r="K13" s="591"/>
      <c r="L13" s="592"/>
      <c r="M13" s="510"/>
    </row>
    <row r="14" spans="1:13" ht="16.5" customHeight="1">
      <c r="A14" s="314"/>
      <c r="B14" s="314"/>
      <c r="C14" s="314"/>
      <c r="D14" s="314"/>
      <c r="E14" s="314"/>
      <c r="F14" s="314"/>
      <c r="G14" s="314"/>
      <c r="H14" s="314"/>
      <c r="I14" s="314"/>
      <c r="J14" s="314"/>
      <c r="K14" s="314"/>
      <c r="L14" s="315"/>
      <c r="M14" s="510"/>
    </row>
    <row r="15" spans="1:13" ht="17.25" customHeight="1">
      <c r="A15" s="316"/>
      <c r="B15" s="317"/>
      <c r="C15" s="317"/>
      <c r="D15" s="317"/>
      <c r="E15" s="580" t="s">
        <v>3</v>
      </c>
      <c r="F15" s="580"/>
      <c r="G15" s="580"/>
      <c r="H15" s="580"/>
      <c r="I15" s="580"/>
      <c r="J15" s="317"/>
      <c r="K15" s="317"/>
      <c r="L15" s="318"/>
      <c r="M15" s="510"/>
    </row>
    <row r="16" spans="1:13" ht="16.5" customHeight="1">
      <c r="A16" s="319"/>
      <c r="B16" s="319"/>
      <c r="C16" s="319"/>
      <c r="D16" s="319"/>
      <c r="E16" s="587" t="s">
        <v>4</v>
      </c>
      <c r="F16" s="587"/>
      <c r="G16" s="587"/>
      <c r="H16" s="587"/>
      <c r="I16" s="587"/>
      <c r="J16" s="319"/>
      <c r="K16" s="319"/>
      <c r="L16" s="320"/>
      <c r="M16" s="510"/>
    </row>
    <row r="17" spans="1:13" ht="42.75" customHeight="1">
      <c r="A17" s="314"/>
      <c r="B17" s="314"/>
      <c r="C17" s="314"/>
      <c r="D17" s="314"/>
      <c r="E17" s="314"/>
      <c r="F17" s="314"/>
      <c r="G17" s="314"/>
      <c r="H17" s="314"/>
      <c r="I17" s="314"/>
      <c r="J17" s="314"/>
      <c r="K17" s="317"/>
      <c r="L17" s="315"/>
      <c r="M17" s="510"/>
    </row>
    <row r="18" spans="1:13" ht="24" customHeight="1">
      <c r="A18" s="321"/>
      <c r="B18" s="321"/>
      <c r="C18" s="321"/>
      <c r="D18" s="321"/>
      <c r="E18" s="321"/>
      <c r="F18" s="321"/>
      <c r="G18" s="321"/>
      <c r="H18" s="321"/>
      <c r="I18" s="321"/>
      <c r="J18" s="321"/>
      <c r="K18" s="321"/>
      <c r="L18" s="322"/>
      <c r="M18" s="510"/>
    </row>
    <row r="19" spans="1:13" ht="24.6">
      <c r="A19" s="171"/>
      <c r="B19" s="316"/>
      <c r="C19" s="171"/>
      <c r="D19" s="171"/>
      <c r="E19" s="593" t="s">
        <v>5</v>
      </c>
      <c r="F19" s="593"/>
      <c r="G19" s="593"/>
      <c r="H19" s="593"/>
      <c r="I19" s="171"/>
      <c r="J19" s="171"/>
      <c r="K19" s="171"/>
      <c r="L19" s="323"/>
      <c r="M19" s="510"/>
    </row>
    <row r="20" spans="1:13" ht="22.5" customHeight="1">
      <c r="A20" s="173"/>
      <c r="B20" s="171"/>
      <c r="C20" s="173"/>
      <c r="D20" s="173"/>
      <c r="E20" s="594" t="s">
        <v>6</v>
      </c>
      <c r="F20" s="595"/>
      <c r="G20" s="595"/>
      <c r="H20" s="596"/>
      <c r="I20" s="324"/>
      <c r="J20" s="174"/>
      <c r="K20" s="173"/>
      <c r="L20" s="172"/>
      <c r="M20" s="510"/>
    </row>
    <row r="21" spans="1:13" ht="24.6">
      <c r="A21" s="173"/>
      <c r="B21" s="316"/>
      <c r="C21" s="173"/>
      <c r="D21" s="174"/>
      <c r="E21" s="174"/>
      <c r="F21" s="174"/>
      <c r="G21" s="171"/>
      <c r="H21" s="171"/>
      <c r="I21" s="174"/>
      <c r="J21" s="174"/>
      <c r="K21" s="173"/>
      <c r="L21" s="172"/>
      <c r="M21" s="510"/>
    </row>
    <row r="22" spans="1:13" ht="16.5" hidden="1" customHeight="1">
      <c r="A22" s="171"/>
      <c r="B22" s="513"/>
      <c r="C22" s="170"/>
      <c r="D22" s="170"/>
      <c r="E22" s="170"/>
      <c r="F22" s="170"/>
      <c r="G22" s="170"/>
      <c r="H22" s="170"/>
      <c r="I22" s="170"/>
      <c r="J22" s="170"/>
      <c r="K22" s="170"/>
      <c r="L22" s="172"/>
      <c r="M22" s="510"/>
    </row>
    <row r="23" spans="1:13" ht="33" hidden="1" customHeight="1">
      <c r="A23" s="173"/>
      <c r="B23" s="581" t="s">
        <v>7</v>
      </c>
      <c r="C23" s="582"/>
      <c r="D23" s="582"/>
      <c r="E23" s="582"/>
      <c r="F23" s="582"/>
      <c r="G23" s="582"/>
      <c r="H23" s="582"/>
      <c r="I23" s="582"/>
      <c r="J23" s="582"/>
      <c r="K23" s="583"/>
      <c r="L23" s="172"/>
      <c r="M23" s="510"/>
    </row>
    <row r="24" spans="1:13" ht="26.25" hidden="1" customHeight="1">
      <c r="A24" s="173"/>
      <c r="B24" s="584"/>
      <c r="C24" s="585"/>
      <c r="D24" s="585"/>
      <c r="E24" s="585"/>
      <c r="F24" s="585"/>
      <c r="G24" s="585"/>
      <c r="H24" s="585"/>
      <c r="I24" s="585"/>
      <c r="J24" s="585"/>
      <c r="K24" s="586"/>
      <c r="L24" s="172"/>
      <c r="M24" s="510"/>
    </row>
    <row r="25" spans="1:13" ht="24.6" hidden="1">
      <c r="A25" s="173"/>
      <c r="B25" s="174"/>
      <c r="C25" s="175"/>
      <c r="D25" s="175"/>
      <c r="E25" s="175"/>
      <c r="F25" s="175"/>
      <c r="G25" s="175"/>
      <c r="H25" s="175"/>
      <c r="I25" s="175"/>
      <c r="J25" s="175"/>
      <c r="K25" s="176"/>
      <c r="L25" s="172"/>
      <c r="M25" s="510"/>
    </row>
    <row r="26" spans="1:13" ht="16.5" hidden="1" customHeight="1">
      <c r="A26" s="173"/>
      <c r="B26" s="571" t="s">
        <v>8</v>
      </c>
      <c r="C26" s="572"/>
      <c r="D26" s="572"/>
      <c r="E26" s="572"/>
      <c r="F26" s="572"/>
      <c r="G26" s="572"/>
      <c r="H26" s="572"/>
      <c r="I26" s="572"/>
      <c r="J26" s="572"/>
      <c r="K26" s="573"/>
      <c r="L26" s="172"/>
      <c r="M26" s="510"/>
    </row>
    <row r="27" spans="1:13" ht="18.399999999999999" hidden="1" customHeight="1">
      <c r="A27" s="173"/>
      <c r="B27" s="574"/>
      <c r="C27" s="575"/>
      <c r="D27" s="575"/>
      <c r="E27" s="575"/>
      <c r="F27" s="575"/>
      <c r="G27" s="575"/>
      <c r="H27" s="575"/>
      <c r="I27" s="575"/>
      <c r="J27" s="575"/>
      <c r="K27" s="576"/>
      <c r="L27" s="172"/>
      <c r="M27" s="510"/>
    </row>
    <row r="28" spans="1:13" ht="24.6" hidden="1">
      <c r="A28" s="173"/>
      <c r="B28" s="577"/>
      <c r="C28" s="578"/>
      <c r="D28" s="578"/>
      <c r="E28" s="578"/>
      <c r="F28" s="578"/>
      <c r="G28" s="578"/>
      <c r="H28" s="578"/>
      <c r="I28" s="578"/>
      <c r="J28" s="578"/>
      <c r="K28" s="579"/>
      <c r="L28" s="172"/>
      <c r="M28" s="510"/>
    </row>
    <row r="29" spans="1:13" ht="24.6" hidden="1">
      <c r="A29" s="173"/>
      <c r="B29" s="174"/>
      <c r="C29" s="175"/>
      <c r="D29" s="175"/>
      <c r="E29" s="175"/>
      <c r="F29" s="175"/>
      <c r="G29" s="175"/>
      <c r="H29" s="175"/>
      <c r="I29" s="175"/>
      <c r="J29" s="175"/>
      <c r="K29" s="176"/>
      <c r="L29" s="172"/>
      <c r="M29" s="510"/>
    </row>
    <row r="30" spans="1:13" s="515" customFormat="1" ht="16.5" customHeight="1">
      <c r="A30" s="476"/>
      <c r="B30" s="571" t="s">
        <v>9</v>
      </c>
      <c r="C30" s="572"/>
      <c r="D30" s="572"/>
      <c r="E30" s="572"/>
      <c r="F30" s="572"/>
      <c r="G30" s="572"/>
      <c r="H30" s="572"/>
      <c r="I30" s="572"/>
      <c r="J30" s="572"/>
      <c r="K30" s="573"/>
      <c r="L30" s="477"/>
      <c r="M30" s="514"/>
    </row>
    <row r="31" spans="1:13" s="515" customFormat="1" ht="25.5">
      <c r="A31" s="476"/>
      <c r="B31" s="574"/>
      <c r="C31" s="575"/>
      <c r="D31" s="575"/>
      <c r="E31" s="575"/>
      <c r="F31" s="575"/>
      <c r="G31" s="575"/>
      <c r="H31" s="575"/>
      <c r="I31" s="575"/>
      <c r="J31" s="575"/>
      <c r="K31" s="576"/>
      <c r="L31" s="477"/>
      <c r="M31" s="514"/>
    </row>
    <row r="32" spans="1:13" s="515" customFormat="1" ht="46.9" customHeight="1">
      <c r="A32" s="476"/>
      <c r="B32" s="574"/>
      <c r="C32" s="575"/>
      <c r="D32" s="575"/>
      <c r="E32" s="575"/>
      <c r="F32" s="575"/>
      <c r="G32" s="575"/>
      <c r="H32" s="575"/>
      <c r="I32" s="575"/>
      <c r="J32" s="575"/>
      <c r="K32" s="576"/>
      <c r="L32" s="477"/>
      <c r="M32" s="514"/>
    </row>
    <row r="33" spans="1:13" s="515" customFormat="1" ht="18.75" customHeight="1">
      <c r="A33" s="476"/>
      <c r="B33" s="577"/>
      <c r="C33" s="578"/>
      <c r="D33" s="578"/>
      <c r="E33" s="578"/>
      <c r="F33" s="578"/>
      <c r="G33" s="578"/>
      <c r="H33" s="578"/>
      <c r="I33" s="578"/>
      <c r="J33" s="578"/>
      <c r="K33" s="579"/>
      <c r="L33" s="477"/>
      <c r="M33" s="514"/>
    </row>
    <row r="34" spans="1:13" s="515" customFormat="1" ht="14.25" hidden="1" customHeight="1">
      <c r="A34" s="476"/>
      <c r="B34" s="478"/>
      <c r="C34" s="478"/>
      <c r="D34" s="478"/>
      <c r="E34" s="478"/>
      <c r="F34" s="478"/>
      <c r="G34" s="478"/>
      <c r="H34" s="478"/>
      <c r="I34" s="478"/>
      <c r="J34" s="478"/>
      <c r="K34" s="478"/>
      <c r="L34" s="477"/>
      <c r="M34" s="514"/>
    </row>
    <row r="35" spans="1:13" s="515" customFormat="1" ht="24.6" hidden="1">
      <c r="A35" s="476"/>
      <c r="B35" s="478"/>
      <c r="C35" s="478"/>
      <c r="D35" s="478"/>
      <c r="E35" s="478"/>
      <c r="F35" s="478"/>
      <c r="G35" s="478"/>
      <c r="H35" s="478"/>
      <c r="I35" s="478"/>
      <c r="J35" s="478"/>
      <c r="K35" s="478"/>
      <c r="L35" s="477"/>
      <c r="M35" s="514"/>
    </row>
    <row r="36" spans="1:13" s="515" customFormat="1" ht="24.6" hidden="1">
      <c r="A36" s="476"/>
      <c r="B36" s="478"/>
      <c r="C36" s="478"/>
      <c r="D36" s="478"/>
      <c r="E36" s="478"/>
      <c r="F36" s="478"/>
      <c r="G36" s="478"/>
      <c r="H36" s="478"/>
      <c r="I36" s="478"/>
      <c r="J36" s="478"/>
      <c r="K36" s="478"/>
      <c r="L36" s="477"/>
      <c r="M36" s="514"/>
    </row>
    <row r="37" spans="1:13" s="515" customFormat="1" ht="16.5" hidden="1" customHeight="1">
      <c r="A37" s="476"/>
      <c r="B37" s="562" t="s">
        <v>10</v>
      </c>
      <c r="C37" s="563"/>
      <c r="D37" s="563"/>
      <c r="E37" s="563"/>
      <c r="F37" s="563"/>
      <c r="G37" s="563"/>
      <c r="H37" s="563"/>
      <c r="I37" s="563"/>
      <c r="J37" s="563"/>
      <c r="K37" s="564"/>
      <c r="L37" s="477"/>
      <c r="M37" s="514"/>
    </row>
    <row r="38" spans="1:13" s="515" customFormat="1" ht="24.6" hidden="1">
      <c r="A38" s="476"/>
      <c r="B38" s="565"/>
      <c r="C38" s="566"/>
      <c r="D38" s="566"/>
      <c r="E38" s="566"/>
      <c r="F38" s="566"/>
      <c r="G38" s="566"/>
      <c r="H38" s="566"/>
      <c r="I38" s="566"/>
      <c r="J38" s="566"/>
      <c r="K38" s="567"/>
      <c r="L38" s="477"/>
      <c r="M38" s="514"/>
    </row>
    <row r="39" spans="1:13" s="515" customFormat="1" ht="24.6" hidden="1">
      <c r="A39" s="476"/>
      <c r="B39" s="565"/>
      <c r="C39" s="566"/>
      <c r="D39" s="566"/>
      <c r="E39" s="566"/>
      <c r="F39" s="566"/>
      <c r="G39" s="566"/>
      <c r="H39" s="566"/>
      <c r="I39" s="566"/>
      <c r="J39" s="566"/>
      <c r="K39" s="567"/>
      <c r="L39" s="477"/>
      <c r="M39" s="514"/>
    </row>
    <row r="40" spans="1:13" s="515" customFormat="1" ht="24.6" hidden="1">
      <c r="A40" s="476"/>
      <c r="B40" s="568"/>
      <c r="C40" s="569"/>
      <c r="D40" s="569"/>
      <c r="E40" s="569"/>
      <c r="F40" s="569"/>
      <c r="G40" s="569"/>
      <c r="H40" s="569"/>
      <c r="I40" s="569"/>
      <c r="J40" s="569"/>
      <c r="K40" s="570"/>
      <c r="L40" s="477"/>
      <c r="M40" s="514"/>
    </row>
    <row r="41" spans="1:13" s="515" customFormat="1" ht="25.5">
      <c r="A41" s="476"/>
      <c r="B41" s="476"/>
      <c r="C41" s="476"/>
      <c r="D41" s="476"/>
      <c r="E41" s="476"/>
      <c r="F41" s="476"/>
      <c r="G41" s="476"/>
      <c r="H41" s="476"/>
      <c r="I41" s="476"/>
      <c r="J41" s="476"/>
      <c r="K41" s="476"/>
      <c r="L41" s="511"/>
      <c r="M41" s="514"/>
    </row>
    <row r="42" spans="1:13" s="515" customFormat="1" ht="24.6" hidden="1">
      <c r="A42" s="476"/>
      <c r="B42" s="476"/>
      <c r="C42" s="476"/>
      <c r="D42" s="476"/>
      <c r="E42" s="476"/>
      <c r="F42" s="476"/>
      <c r="G42" s="476"/>
      <c r="H42" s="476"/>
      <c r="I42" s="476"/>
      <c r="J42" s="476"/>
      <c r="K42" s="476"/>
      <c r="L42" s="476"/>
      <c r="M42" s="514"/>
    </row>
    <row r="43" spans="1:13" s="515" customFormat="1" ht="24.6" hidden="1">
      <c r="A43" s="476"/>
      <c r="B43" s="476"/>
      <c r="C43" s="476"/>
      <c r="D43" s="476"/>
      <c r="E43" s="476"/>
      <c r="F43" s="476"/>
      <c r="G43" s="476"/>
      <c r="H43" s="476"/>
      <c r="I43" s="476"/>
      <c r="J43" s="476"/>
      <c r="K43" s="476"/>
      <c r="L43" s="476"/>
      <c r="M43" s="514"/>
    </row>
    <row r="44" spans="1:13" s="515" customFormat="1" ht="25.5">
      <c r="A44" s="476"/>
      <c r="B44" s="476"/>
      <c r="C44" s="476"/>
      <c r="D44" s="476"/>
      <c r="E44" s="476"/>
      <c r="F44" s="476"/>
      <c r="G44" s="476"/>
      <c r="H44" s="476"/>
      <c r="I44" s="476"/>
      <c r="J44" s="476"/>
      <c r="K44" s="561" t="s">
        <v>11</v>
      </c>
      <c r="L44" s="561"/>
      <c r="M44" s="514"/>
    </row>
    <row r="45" spans="1:13" ht="21" customHeight="1">
      <c r="A45" s="600"/>
      <c r="B45" s="601"/>
      <c r="C45" s="531"/>
      <c r="D45" s="532"/>
      <c r="E45" s="532"/>
      <c r="F45" s="532"/>
      <c r="G45" s="532"/>
      <c r="H45" s="532"/>
      <c r="I45" s="532"/>
      <c r="J45" s="532"/>
      <c r="K45" s="532"/>
      <c r="L45" s="532"/>
      <c r="M45" s="510"/>
    </row>
    <row r="46" spans="1:13" ht="16.5" hidden="1" customHeight="1" thickTop="1">
      <c r="A46" s="516"/>
      <c r="B46" s="602"/>
      <c r="C46" s="602"/>
      <c r="D46" s="602"/>
      <c r="E46" s="602"/>
      <c r="F46" s="602"/>
      <c r="G46" s="602"/>
      <c r="H46" s="602"/>
      <c r="I46" s="602"/>
      <c r="J46" s="602"/>
      <c r="K46" s="602"/>
      <c r="L46" s="602"/>
    </row>
    <row r="47" spans="1:13" ht="33" hidden="1" customHeight="1">
      <c r="A47" s="516"/>
      <c r="B47" s="517"/>
      <c r="C47" s="517"/>
      <c r="D47" s="517"/>
      <c r="E47" s="517" t="s">
        <v>12</v>
      </c>
      <c r="F47" s="517"/>
      <c r="G47" s="517"/>
      <c r="H47" s="517"/>
      <c r="I47" s="517"/>
      <c r="J47" s="517"/>
      <c r="K47" s="517"/>
      <c r="L47" s="517"/>
    </row>
    <row r="48" spans="1:13" ht="33" hidden="1" customHeight="1">
      <c r="A48" s="516"/>
      <c r="B48" s="517"/>
      <c r="C48" s="517"/>
      <c r="D48" s="517"/>
      <c r="E48" s="517" t="s">
        <v>13</v>
      </c>
      <c r="F48" s="517"/>
      <c r="G48" s="517"/>
      <c r="H48" s="517"/>
      <c r="I48" s="517"/>
      <c r="J48" s="517"/>
      <c r="K48" s="517"/>
      <c r="L48" s="517"/>
    </row>
    <row r="49" spans="1:16383" ht="33" hidden="1" customHeight="1" thickBot="1">
      <c r="A49" s="516"/>
      <c r="B49" s="517"/>
      <c r="C49" s="517"/>
      <c r="D49" s="517"/>
      <c r="E49" s="517" t="s">
        <v>6</v>
      </c>
      <c r="F49" s="517"/>
      <c r="G49" s="517"/>
      <c r="H49" s="517"/>
      <c r="I49" s="517"/>
      <c r="J49" s="517"/>
      <c r="K49" s="517"/>
      <c r="L49" s="517"/>
    </row>
    <row r="50" spans="1:16383" s="521" customFormat="1" ht="20.25" hidden="1" customHeight="1" thickTop="1">
      <c r="A50" s="598" t="s">
        <v>14</v>
      </c>
      <c r="B50" s="599"/>
      <c r="C50" s="597"/>
      <c r="D50" s="597"/>
      <c r="E50" s="597"/>
      <c r="F50" s="597"/>
      <c r="G50" s="597"/>
      <c r="H50" s="597"/>
      <c r="I50" s="597"/>
      <c r="J50" s="597"/>
      <c r="K50" s="597"/>
      <c r="L50" s="597"/>
      <c r="M50" s="518"/>
      <c r="N50" s="519"/>
      <c r="O50" s="519"/>
      <c r="P50" s="519"/>
      <c r="Q50" s="519"/>
      <c r="R50" s="519"/>
      <c r="S50" s="519"/>
      <c r="T50" s="519"/>
      <c r="U50" s="519"/>
      <c r="V50" s="519"/>
      <c r="W50" s="519"/>
      <c r="X50" s="519"/>
      <c r="Y50" s="519"/>
      <c r="Z50" s="519"/>
      <c r="AA50" s="519"/>
      <c r="AB50" s="519"/>
      <c r="AC50" s="519"/>
      <c r="AD50" s="519"/>
      <c r="AE50" s="519"/>
      <c r="AF50" s="519"/>
      <c r="AG50" s="519"/>
      <c r="AH50" s="519"/>
      <c r="AI50" s="519"/>
      <c r="AJ50" s="519"/>
      <c r="AK50" s="519"/>
      <c r="AL50" s="519"/>
      <c r="AM50" s="519"/>
      <c r="AN50" s="519"/>
      <c r="AO50" s="519"/>
      <c r="AP50" s="519"/>
      <c r="AQ50" s="519"/>
      <c r="AR50" s="519"/>
      <c r="AS50" s="519"/>
      <c r="AT50" s="519"/>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19"/>
      <c r="BW50" s="519"/>
      <c r="BX50" s="519"/>
      <c r="BY50" s="519"/>
      <c r="BZ50" s="519"/>
      <c r="CA50" s="519"/>
      <c r="CB50" s="519"/>
      <c r="CC50" s="519"/>
      <c r="CD50" s="519"/>
      <c r="CE50" s="519"/>
      <c r="CF50" s="519"/>
      <c r="CG50" s="519"/>
      <c r="CH50" s="519"/>
      <c r="CI50" s="519"/>
      <c r="CJ50" s="519"/>
      <c r="CK50" s="519"/>
      <c r="CL50" s="519"/>
      <c r="CM50" s="519"/>
      <c r="CN50" s="519"/>
      <c r="CO50" s="519"/>
      <c r="CP50" s="519"/>
      <c r="CQ50" s="519"/>
      <c r="CR50" s="519"/>
      <c r="CS50" s="519"/>
      <c r="CT50" s="519"/>
      <c r="CU50" s="519"/>
      <c r="CV50" s="519"/>
      <c r="CW50" s="519"/>
      <c r="CX50" s="519"/>
      <c r="CY50" s="519"/>
      <c r="CZ50" s="519"/>
      <c r="DA50" s="519"/>
      <c r="DB50" s="519"/>
      <c r="DC50" s="519"/>
      <c r="DD50" s="519"/>
      <c r="DE50" s="519"/>
      <c r="DF50" s="519"/>
      <c r="DG50" s="519"/>
      <c r="DH50" s="519"/>
      <c r="DI50" s="519"/>
      <c r="DJ50" s="519"/>
      <c r="DK50" s="519"/>
      <c r="DL50" s="519"/>
      <c r="DM50" s="519"/>
      <c r="DN50" s="519"/>
      <c r="DO50" s="519"/>
      <c r="DP50" s="519"/>
      <c r="DQ50" s="519"/>
      <c r="DR50" s="519"/>
      <c r="DS50" s="519"/>
      <c r="DT50" s="519"/>
      <c r="DU50" s="519"/>
      <c r="DV50" s="519"/>
      <c r="DW50" s="519"/>
      <c r="DX50" s="519"/>
      <c r="DY50" s="519"/>
      <c r="DZ50" s="519"/>
      <c r="EA50" s="519"/>
      <c r="EB50" s="519"/>
      <c r="EC50" s="519"/>
      <c r="ED50" s="519"/>
      <c r="EE50" s="519"/>
      <c r="EF50" s="519"/>
      <c r="EG50" s="519"/>
      <c r="EH50" s="519"/>
      <c r="EI50" s="519"/>
      <c r="EJ50" s="519"/>
      <c r="EK50" s="519"/>
      <c r="EL50" s="519"/>
      <c r="EM50" s="519"/>
      <c r="EN50" s="519"/>
      <c r="EO50" s="519"/>
      <c r="EP50" s="519"/>
      <c r="EQ50" s="519"/>
      <c r="ER50" s="519"/>
      <c r="ES50" s="519"/>
      <c r="ET50" s="519"/>
      <c r="EU50" s="519"/>
      <c r="EV50" s="519"/>
      <c r="EW50" s="519"/>
      <c r="EX50" s="519"/>
      <c r="EY50" s="519"/>
      <c r="EZ50" s="519"/>
      <c r="FA50" s="519"/>
      <c r="FB50" s="519"/>
      <c r="FC50" s="519"/>
      <c r="FD50" s="519"/>
      <c r="FE50" s="519"/>
      <c r="FF50" s="519"/>
      <c r="FG50" s="519"/>
      <c r="FH50" s="519"/>
      <c r="FI50" s="519"/>
      <c r="FJ50" s="519"/>
      <c r="FK50" s="519"/>
      <c r="FL50" s="519"/>
      <c r="FM50" s="519"/>
      <c r="FN50" s="519"/>
      <c r="FO50" s="519"/>
      <c r="FP50" s="519"/>
      <c r="FQ50" s="519"/>
      <c r="FR50" s="519"/>
      <c r="FS50" s="519"/>
      <c r="FT50" s="519"/>
      <c r="FU50" s="519"/>
      <c r="FV50" s="519"/>
      <c r="FW50" s="519"/>
      <c r="FX50" s="519"/>
      <c r="FY50" s="519"/>
      <c r="FZ50" s="519"/>
      <c r="GA50" s="519"/>
      <c r="GB50" s="519"/>
      <c r="GC50" s="519"/>
      <c r="GD50" s="519"/>
      <c r="GE50" s="519"/>
      <c r="GF50" s="519"/>
      <c r="GG50" s="519"/>
      <c r="GH50" s="519"/>
      <c r="GI50" s="519"/>
      <c r="GJ50" s="519"/>
      <c r="GK50" s="519"/>
      <c r="GL50" s="519"/>
      <c r="GM50" s="519"/>
      <c r="GN50" s="519"/>
      <c r="GO50" s="519"/>
      <c r="GP50" s="519"/>
      <c r="GQ50" s="519"/>
      <c r="GR50" s="519"/>
      <c r="GS50" s="519"/>
      <c r="GT50" s="519"/>
      <c r="GU50" s="519"/>
      <c r="GV50" s="519"/>
      <c r="GW50" s="519"/>
      <c r="GX50" s="519"/>
      <c r="GY50" s="519"/>
      <c r="GZ50" s="519"/>
      <c r="HA50" s="519"/>
      <c r="HB50" s="519"/>
      <c r="HC50" s="519"/>
      <c r="HD50" s="519"/>
      <c r="HE50" s="519"/>
      <c r="HF50" s="519"/>
      <c r="HG50" s="519"/>
      <c r="HH50" s="519"/>
      <c r="HI50" s="519"/>
      <c r="HJ50" s="519"/>
      <c r="HK50" s="519"/>
      <c r="HL50" s="519"/>
      <c r="HM50" s="519"/>
      <c r="HN50" s="519"/>
      <c r="HO50" s="519"/>
      <c r="HP50" s="519"/>
      <c r="HQ50" s="519"/>
      <c r="HR50" s="519"/>
      <c r="HS50" s="519"/>
      <c r="HT50" s="519"/>
      <c r="HU50" s="519"/>
      <c r="HV50" s="519"/>
      <c r="HW50" s="519"/>
      <c r="HX50" s="519"/>
      <c r="HY50" s="519"/>
      <c r="HZ50" s="519"/>
      <c r="IA50" s="519"/>
      <c r="IB50" s="519"/>
      <c r="IC50" s="519"/>
      <c r="ID50" s="519"/>
      <c r="IE50" s="519"/>
      <c r="IF50" s="519"/>
      <c r="IG50" s="519"/>
      <c r="IH50" s="519"/>
      <c r="II50" s="519"/>
      <c r="IJ50" s="519"/>
      <c r="IK50" s="519"/>
      <c r="IL50" s="519"/>
      <c r="IM50" s="519"/>
      <c r="IN50" s="519"/>
      <c r="IO50" s="519"/>
      <c r="IP50" s="519"/>
      <c r="IQ50" s="519"/>
      <c r="IR50" s="519"/>
      <c r="IS50" s="519"/>
      <c r="IT50" s="519"/>
      <c r="IU50" s="519"/>
      <c r="IV50" s="519"/>
      <c r="IW50" s="519"/>
      <c r="IX50" s="519"/>
      <c r="IY50" s="519"/>
      <c r="IZ50" s="519"/>
      <c r="JA50" s="519"/>
      <c r="JB50" s="519"/>
      <c r="JC50" s="519"/>
      <c r="JD50" s="519"/>
      <c r="JE50" s="519"/>
      <c r="JF50" s="519"/>
      <c r="JG50" s="519"/>
      <c r="JH50" s="519"/>
      <c r="JI50" s="519"/>
      <c r="JJ50" s="519"/>
      <c r="JK50" s="519"/>
      <c r="JL50" s="519"/>
      <c r="JM50" s="519"/>
      <c r="JN50" s="519"/>
      <c r="JO50" s="519"/>
      <c r="JP50" s="519"/>
      <c r="JQ50" s="519"/>
      <c r="JR50" s="519"/>
      <c r="JS50" s="519"/>
      <c r="JT50" s="519"/>
      <c r="JU50" s="519"/>
      <c r="JV50" s="519"/>
      <c r="JW50" s="519"/>
      <c r="JX50" s="519"/>
      <c r="JY50" s="519"/>
      <c r="JZ50" s="519"/>
      <c r="KA50" s="519"/>
      <c r="KB50" s="519"/>
      <c r="KC50" s="519"/>
      <c r="KD50" s="519"/>
      <c r="KE50" s="519"/>
      <c r="KF50" s="519"/>
      <c r="KG50" s="519"/>
      <c r="KH50" s="519"/>
      <c r="KI50" s="519"/>
      <c r="KJ50" s="519"/>
      <c r="KK50" s="519"/>
      <c r="KL50" s="519"/>
      <c r="KM50" s="519"/>
      <c r="KN50" s="519"/>
      <c r="KO50" s="519"/>
      <c r="KP50" s="519"/>
      <c r="KQ50" s="519"/>
      <c r="KR50" s="519"/>
      <c r="KS50" s="519"/>
      <c r="KT50" s="519"/>
      <c r="KU50" s="519"/>
      <c r="KV50" s="519"/>
      <c r="KW50" s="519"/>
      <c r="KX50" s="519"/>
      <c r="KY50" s="519"/>
      <c r="KZ50" s="519"/>
      <c r="LA50" s="519"/>
      <c r="LB50" s="519"/>
      <c r="LC50" s="519"/>
      <c r="LD50" s="519"/>
      <c r="LE50" s="519"/>
      <c r="LF50" s="519"/>
      <c r="LG50" s="519"/>
      <c r="LH50" s="519"/>
      <c r="LI50" s="519"/>
      <c r="LJ50" s="519"/>
      <c r="LK50" s="519"/>
      <c r="LL50" s="519"/>
      <c r="LM50" s="519"/>
      <c r="LN50" s="519"/>
      <c r="LO50" s="519"/>
      <c r="LP50" s="519"/>
      <c r="LQ50" s="519"/>
      <c r="LR50" s="519"/>
      <c r="LS50" s="519"/>
      <c r="LT50" s="519"/>
      <c r="LU50" s="519"/>
      <c r="LV50" s="519"/>
      <c r="LW50" s="519"/>
      <c r="LX50" s="519"/>
      <c r="LY50" s="519"/>
      <c r="LZ50" s="519"/>
      <c r="MA50" s="519"/>
      <c r="MB50" s="519"/>
      <c r="MC50" s="519"/>
      <c r="MD50" s="519"/>
      <c r="ME50" s="519"/>
      <c r="MF50" s="519"/>
      <c r="MG50" s="519"/>
      <c r="MH50" s="519"/>
      <c r="MI50" s="519"/>
      <c r="MJ50" s="519"/>
      <c r="MK50" s="519"/>
      <c r="ML50" s="519"/>
      <c r="MM50" s="519"/>
      <c r="MN50" s="519"/>
      <c r="MO50" s="519"/>
      <c r="MP50" s="519"/>
      <c r="MQ50" s="519"/>
      <c r="MR50" s="519"/>
      <c r="MS50" s="519"/>
      <c r="MT50" s="519"/>
      <c r="MU50" s="519"/>
      <c r="MV50" s="519"/>
      <c r="MW50" s="519"/>
      <c r="MX50" s="519"/>
      <c r="MY50" s="519"/>
      <c r="MZ50" s="519"/>
      <c r="NA50" s="519"/>
      <c r="NB50" s="519"/>
      <c r="NC50" s="519"/>
      <c r="ND50" s="519"/>
      <c r="NE50" s="519"/>
      <c r="NF50" s="519"/>
      <c r="NG50" s="519"/>
      <c r="NH50" s="519"/>
      <c r="NI50" s="519"/>
      <c r="NJ50" s="519"/>
      <c r="NK50" s="519"/>
      <c r="NL50" s="519"/>
      <c r="NM50" s="519"/>
      <c r="NN50" s="519"/>
      <c r="NO50" s="519"/>
      <c r="NP50" s="519"/>
      <c r="NQ50" s="519"/>
      <c r="NR50" s="519"/>
      <c r="NS50" s="519"/>
      <c r="NT50" s="519"/>
      <c r="NU50" s="519"/>
      <c r="NV50" s="519"/>
      <c r="NW50" s="519"/>
      <c r="NX50" s="519"/>
      <c r="NY50" s="519"/>
      <c r="NZ50" s="519"/>
      <c r="OA50" s="519"/>
      <c r="OB50" s="519"/>
      <c r="OC50" s="519"/>
      <c r="OD50" s="519"/>
      <c r="OE50" s="519"/>
      <c r="OF50" s="519"/>
      <c r="OG50" s="519"/>
      <c r="OH50" s="519"/>
      <c r="OI50" s="519"/>
      <c r="OJ50" s="519"/>
      <c r="OK50" s="519"/>
      <c r="OL50" s="519"/>
      <c r="OM50" s="519"/>
      <c r="ON50" s="519"/>
      <c r="OO50" s="519"/>
      <c r="OP50" s="519"/>
      <c r="OQ50" s="519"/>
      <c r="OR50" s="519"/>
      <c r="OS50" s="519"/>
      <c r="OT50" s="519"/>
      <c r="OU50" s="519"/>
      <c r="OV50" s="519"/>
      <c r="OW50" s="519"/>
      <c r="OX50" s="519"/>
      <c r="OY50" s="519"/>
      <c r="OZ50" s="519"/>
      <c r="PA50" s="519"/>
      <c r="PB50" s="519"/>
      <c r="PC50" s="519"/>
      <c r="PD50" s="519"/>
      <c r="PE50" s="519"/>
      <c r="PF50" s="519"/>
      <c r="PG50" s="519"/>
      <c r="PH50" s="519"/>
      <c r="PI50" s="519"/>
      <c r="PJ50" s="519"/>
      <c r="PK50" s="519"/>
      <c r="PL50" s="519"/>
      <c r="PM50" s="519"/>
      <c r="PN50" s="519"/>
      <c r="PO50" s="519"/>
      <c r="PP50" s="519"/>
      <c r="PQ50" s="519"/>
      <c r="PR50" s="519"/>
      <c r="PS50" s="519"/>
      <c r="PT50" s="519"/>
      <c r="PU50" s="519"/>
      <c r="PV50" s="519"/>
      <c r="PW50" s="519"/>
      <c r="PX50" s="519"/>
      <c r="PY50" s="519"/>
      <c r="PZ50" s="519"/>
      <c r="QA50" s="519"/>
      <c r="QB50" s="519"/>
      <c r="QC50" s="519"/>
      <c r="QD50" s="519"/>
      <c r="QE50" s="519"/>
      <c r="QF50" s="519"/>
      <c r="QG50" s="519"/>
      <c r="QH50" s="519"/>
      <c r="QI50" s="519"/>
      <c r="QJ50" s="519"/>
      <c r="QK50" s="519"/>
      <c r="QL50" s="519"/>
      <c r="QM50" s="519"/>
      <c r="QN50" s="519"/>
      <c r="QO50" s="519"/>
      <c r="QP50" s="519"/>
      <c r="QQ50" s="519"/>
      <c r="QR50" s="519"/>
      <c r="QS50" s="519"/>
      <c r="QT50" s="519"/>
      <c r="QU50" s="519"/>
      <c r="QV50" s="519"/>
      <c r="QW50" s="519"/>
      <c r="QX50" s="519"/>
      <c r="QY50" s="519"/>
      <c r="QZ50" s="519"/>
      <c r="RA50" s="519"/>
      <c r="RB50" s="519"/>
      <c r="RC50" s="519"/>
      <c r="RD50" s="519"/>
      <c r="RE50" s="519"/>
      <c r="RF50" s="519"/>
      <c r="RG50" s="519"/>
      <c r="RH50" s="519"/>
      <c r="RI50" s="519"/>
      <c r="RJ50" s="519"/>
      <c r="RK50" s="519"/>
      <c r="RL50" s="519"/>
      <c r="RM50" s="519"/>
      <c r="RN50" s="519"/>
      <c r="RO50" s="519"/>
      <c r="RP50" s="519"/>
      <c r="RQ50" s="519"/>
      <c r="RR50" s="519"/>
      <c r="RS50" s="519"/>
      <c r="RT50" s="519"/>
      <c r="RU50" s="519"/>
      <c r="RV50" s="519"/>
      <c r="RW50" s="519"/>
      <c r="RX50" s="519"/>
      <c r="RY50" s="519"/>
      <c r="RZ50" s="519"/>
      <c r="SA50" s="519"/>
      <c r="SB50" s="519"/>
      <c r="SC50" s="519"/>
      <c r="SD50" s="519"/>
      <c r="SE50" s="519"/>
      <c r="SF50" s="519"/>
      <c r="SG50" s="519"/>
      <c r="SH50" s="519"/>
      <c r="SI50" s="519"/>
      <c r="SJ50" s="519"/>
      <c r="SK50" s="519"/>
      <c r="SL50" s="519"/>
      <c r="SM50" s="519"/>
      <c r="SN50" s="519"/>
      <c r="SO50" s="519"/>
      <c r="SP50" s="519"/>
      <c r="SQ50" s="519"/>
      <c r="SR50" s="519"/>
      <c r="SS50" s="519"/>
      <c r="ST50" s="519"/>
      <c r="SU50" s="519"/>
      <c r="SV50" s="519"/>
      <c r="SW50" s="519"/>
      <c r="SX50" s="519"/>
      <c r="SY50" s="519"/>
      <c r="SZ50" s="519"/>
      <c r="TA50" s="519"/>
      <c r="TB50" s="519"/>
      <c r="TC50" s="519"/>
      <c r="TD50" s="519"/>
      <c r="TE50" s="519"/>
      <c r="TF50" s="519"/>
      <c r="TG50" s="519"/>
      <c r="TH50" s="519"/>
      <c r="TI50" s="519"/>
      <c r="TJ50" s="519"/>
      <c r="TK50" s="519"/>
      <c r="TL50" s="519"/>
      <c r="TM50" s="519"/>
      <c r="TN50" s="519"/>
      <c r="TO50" s="519"/>
      <c r="TP50" s="519"/>
      <c r="TQ50" s="519"/>
      <c r="TR50" s="519"/>
      <c r="TS50" s="519"/>
      <c r="TT50" s="519"/>
      <c r="TU50" s="519"/>
      <c r="TV50" s="519"/>
      <c r="TW50" s="519"/>
      <c r="TX50" s="519"/>
      <c r="TY50" s="519"/>
      <c r="TZ50" s="519"/>
      <c r="UA50" s="519"/>
      <c r="UB50" s="519"/>
      <c r="UC50" s="519"/>
      <c r="UD50" s="519"/>
      <c r="UE50" s="519"/>
      <c r="UF50" s="519"/>
      <c r="UG50" s="519"/>
      <c r="UH50" s="519"/>
      <c r="UI50" s="519"/>
      <c r="UJ50" s="519"/>
      <c r="UK50" s="519"/>
      <c r="UL50" s="519"/>
      <c r="UM50" s="519"/>
      <c r="UN50" s="519"/>
      <c r="UO50" s="519"/>
      <c r="UP50" s="519"/>
      <c r="UQ50" s="519"/>
      <c r="UR50" s="519"/>
      <c r="US50" s="519"/>
      <c r="UT50" s="519"/>
      <c r="UU50" s="519"/>
      <c r="UV50" s="519"/>
      <c r="UW50" s="519"/>
      <c r="UX50" s="519"/>
      <c r="UY50" s="519"/>
      <c r="UZ50" s="519"/>
      <c r="VA50" s="519"/>
      <c r="VB50" s="519"/>
      <c r="VC50" s="519"/>
      <c r="VD50" s="519"/>
      <c r="VE50" s="519"/>
      <c r="VF50" s="519"/>
      <c r="VG50" s="519"/>
      <c r="VH50" s="519"/>
      <c r="VI50" s="519"/>
      <c r="VJ50" s="519"/>
      <c r="VK50" s="519"/>
      <c r="VL50" s="519"/>
      <c r="VM50" s="519"/>
      <c r="VN50" s="519"/>
      <c r="VO50" s="519"/>
      <c r="VP50" s="519"/>
      <c r="VQ50" s="519"/>
      <c r="VR50" s="519"/>
      <c r="VS50" s="519"/>
      <c r="VT50" s="519"/>
      <c r="VU50" s="519"/>
      <c r="VV50" s="519"/>
      <c r="VW50" s="519"/>
      <c r="VX50" s="519"/>
      <c r="VY50" s="519"/>
      <c r="VZ50" s="519"/>
      <c r="WA50" s="519"/>
      <c r="WB50" s="519"/>
      <c r="WC50" s="519"/>
      <c r="WD50" s="519"/>
      <c r="WE50" s="519"/>
      <c r="WF50" s="519"/>
      <c r="WG50" s="519"/>
      <c r="WH50" s="519"/>
      <c r="WI50" s="519"/>
      <c r="WJ50" s="519"/>
      <c r="WK50" s="519"/>
      <c r="WL50" s="519"/>
      <c r="WM50" s="519"/>
      <c r="WN50" s="519"/>
      <c r="WO50" s="519"/>
      <c r="WP50" s="519"/>
      <c r="WQ50" s="519"/>
      <c r="WR50" s="519"/>
      <c r="WS50" s="519"/>
      <c r="WT50" s="519"/>
      <c r="WU50" s="519"/>
      <c r="WV50" s="519"/>
      <c r="WW50" s="519"/>
      <c r="WX50" s="519"/>
      <c r="WY50" s="519"/>
      <c r="WZ50" s="519"/>
      <c r="XA50" s="519"/>
      <c r="XB50" s="519"/>
      <c r="XC50" s="519"/>
      <c r="XD50" s="519"/>
      <c r="XE50" s="519"/>
      <c r="XF50" s="519"/>
      <c r="XG50" s="519"/>
      <c r="XH50" s="519"/>
      <c r="XI50" s="519"/>
      <c r="XJ50" s="519"/>
      <c r="XK50" s="519"/>
      <c r="XL50" s="519"/>
      <c r="XM50" s="519"/>
      <c r="XN50" s="519"/>
      <c r="XO50" s="519"/>
      <c r="XP50" s="519"/>
      <c r="XQ50" s="519"/>
      <c r="XR50" s="519"/>
      <c r="XS50" s="519"/>
      <c r="XT50" s="519"/>
      <c r="XU50" s="519"/>
      <c r="XV50" s="519"/>
      <c r="XW50" s="519"/>
      <c r="XX50" s="519"/>
      <c r="XY50" s="519"/>
      <c r="XZ50" s="519"/>
      <c r="YA50" s="519"/>
      <c r="YB50" s="519"/>
      <c r="YC50" s="519"/>
      <c r="YD50" s="519"/>
      <c r="YE50" s="519"/>
      <c r="YF50" s="519"/>
      <c r="YG50" s="519"/>
      <c r="YH50" s="519"/>
      <c r="YI50" s="519"/>
      <c r="YJ50" s="519"/>
      <c r="YK50" s="519"/>
      <c r="YL50" s="519"/>
      <c r="YM50" s="519"/>
      <c r="YN50" s="519"/>
      <c r="YO50" s="519"/>
      <c r="YP50" s="519"/>
      <c r="YQ50" s="519"/>
      <c r="YR50" s="519"/>
      <c r="YS50" s="519"/>
      <c r="YT50" s="519"/>
      <c r="YU50" s="519"/>
      <c r="YV50" s="519"/>
      <c r="YW50" s="519"/>
      <c r="YX50" s="519"/>
      <c r="YY50" s="519"/>
      <c r="YZ50" s="519"/>
      <c r="ZA50" s="519"/>
      <c r="ZB50" s="519"/>
      <c r="ZC50" s="519"/>
      <c r="ZD50" s="519"/>
      <c r="ZE50" s="519"/>
      <c r="ZF50" s="519"/>
      <c r="ZG50" s="519"/>
      <c r="ZH50" s="519"/>
      <c r="ZI50" s="519"/>
      <c r="ZJ50" s="519"/>
      <c r="ZK50" s="519"/>
      <c r="ZL50" s="519"/>
      <c r="ZM50" s="519"/>
      <c r="ZN50" s="519"/>
      <c r="ZO50" s="519"/>
      <c r="ZP50" s="519"/>
      <c r="ZQ50" s="519"/>
      <c r="ZR50" s="519"/>
      <c r="ZS50" s="519"/>
      <c r="ZT50" s="519"/>
      <c r="ZU50" s="519"/>
      <c r="ZV50" s="519"/>
      <c r="ZW50" s="519"/>
      <c r="ZX50" s="519"/>
      <c r="ZY50" s="519"/>
      <c r="ZZ50" s="519"/>
      <c r="AAA50" s="519"/>
      <c r="AAB50" s="519"/>
      <c r="AAC50" s="519"/>
      <c r="AAD50" s="519"/>
      <c r="AAE50" s="519"/>
      <c r="AAF50" s="519"/>
      <c r="AAG50" s="519"/>
      <c r="AAH50" s="519"/>
      <c r="AAI50" s="519"/>
      <c r="AAJ50" s="519"/>
      <c r="AAK50" s="519"/>
      <c r="AAL50" s="519"/>
      <c r="AAM50" s="519"/>
      <c r="AAN50" s="519"/>
      <c r="AAO50" s="519"/>
      <c r="AAP50" s="519"/>
      <c r="AAQ50" s="519"/>
      <c r="AAR50" s="519"/>
      <c r="AAS50" s="519"/>
      <c r="AAT50" s="519"/>
      <c r="AAU50" s="519"/>
      <c r="AAV50" s="519"/>
      <c r="AAW50" s="519"/>
      <c r="AAX50" s="519"/>
      <c r="AAY50" s="519"/>
      <c r="AAZ50" s="519"/>
      <c r="ABA50" s="519"/>
      <c r="ABB50" s="519"/>
      <c r="ABC50" s="519"/>
      <c r="ABD50" s="519"/>
      <c r="ABE50" s="519"/>
      <c r="ABF50" s="519"/>
      <c r="ABG50" s="519"/>
      <c r="ABH50" s="519"/>
      <c r="ABI50" s="519"/>
      <c r="ABJ50" s="519"/>
      <c r="ABK50" s="519"/>
      <c r="ABL50" s="519"/>
      <c r="ABM50" s="519"/>
      <c r="ABN50" s="519"/>
      <c r="ABO50" s="519"/>
      <c r="ABP50" s="519"/>
      <c r="ABQ50" s="519"/>
      <c r="ABR50" s="519"/>
      <c r="ABS50" s="519"/>
      <c r="ABT50" s="519"/>
      <c r="ABU50" s="519"/>
      <c r="ABV50" s="519"/>
      <c r="ABW50" s="519"/>
      <c r="ABX50" s="519"/>
      <c r="ABY50" s="519"/>
      <c r="ABZ50" s="519"/>
      <c r="ACA50" s="519"/>
      <c r="ACB50" s="519"/>
      <c r="ACC50" s="519"/>
      <c r="ACD50" s="519"/>
      <c r="ACE50" s="519"/>
      <c r="ACF50" s="519"/>
      <c r="ACG50" s="519"/>
      <c r="ACH50" s="519"/>
      <c r="ACI50" s="519"/>
      <c r="ACJ50" s="519"/>
      <c r="ACK50" s="519"/>
      <c r="ACL50" s="519"/>
      <c r="ACM50" s="519"/>
      <c r="ACN50" s="519"/>
      <c r="ACO50" s="519"/>
      <c r="ACP50" s="519"/>
      <c r="ACQ50" s="519"/>
      <c r="ACR50" s="519"/>
      <c r="ACS50" s="519"/>
      <c r="ACT50" s="519"/>
      <c r="ACU50" s="519"/>
      <c r="ACV50" s="519"/>
      <c r="ACW50" s="519"/>
      <c r="ACX50" s="519"/>
      <c r="ACY50" s="519"/>
      <c r="ACZ50" s="519"/>
      <c r="ADA50" s="519"/>
      <c r="ADB50" s="519"/>
      <c r="ADC50" s="519"/>
      <c r="ADD50" s="519"/>
      <c r="ADE50" s="519"/>
      <c r="ADF50" s="519"/>
      <c r="ADG50" s="519"/>
      <c r="ADH50" s="519"/>
      <c r="ADI50" s="519"/>
      <c r="ADJ50" s="519"/>
      <c r="ADK50" s="519"/>
      <c r="ADL50" s="519"/>
      <c r="ADM50" s="519"/>
      <c r="ADN50" s="519"/>
      <c r="ADO50" s="519"/>
      <c r="ADP50" s="519"/>
      <c r="ADQ50" s="519"/>
      <c r="ADR50" s="519"/>
      <c r="ADS50" s="519"/>
      <c r="ADT50" s="519"/>
      <c r="ADU50" s="519"/>
      <c r="ADV50" s="519"/>
      <c r="ADW50" s="519"/>
      <c r="ADX50" s="519"/>
      <c r="ADY50" s="519"/>
      <c r="ADZ50" s="519"/>
      <c r="AEA50" s="519"/>
      <c r="AEB50" s="519"/>
      <c r="AEC50" s="519"/>
      <c r="AED50" s="519"/>
      <c r="AEE50" s="519"/>
      <c r="AEF50" s="519"/>
      <c r="AEG50" s="519"/>
      <c r="AEH50" s="519"/>
      <c r="AEI50" s="519"/>
      <c r="AEJ50" s="519"/>
      <c r="AEK50" s="519"/>
      <c r="AEL50" s="519"/>
      <c r="AEM50" s="519"/>
      <c r="AEN50" s="519"/>
      <c r="AEO50" s="519"/>
      <c r="AEP50" s="519"/>
      <c r="AEQ50" s="519"/>
      <c r="AER50" s="519"/>
      <c r="AES50" s="519"/>
      <c r="AET50" s="519"/>
      <c r="AEU50" s="519"/>
      <c r="AEV50" s="519"/>
      <c r="AEW50" s="519"/>
      <c r="AEX50" s="519"/>
      <c r="AEY50" s="519"/>
      <c r="AEZ50" s="519"/>
      <c r="AFA50" s="519"/>
      <c r="AFB50" s="519"/>
      <c r="AFC50" s="519"/>
      <c r="AFD50" s="519"/>
      <c r="AFE50" s="519"/>
      <c r="AFF50" s="519"/>
      <c r="AFG50" s="519"/>
      <c r="AFH50" s="519"/>
      <c r="AFI50" s="519"/>
      <c r="AFJ50" s="519"/>
      <c r="AFK50" s="519"/>
      <c r="AFL50" s="519"/>
      <c r="AFM50" s="519"/>
      <c r="AFN50" s="519"/>
      <c r="AFO50" s="519"/>
      <c r="AFP50" s="519"/>
      <c r="AFQ50" s="519"/>
      <c r="AFR50" s="519"/>
      <c r="AFS50" s="519"/>
      <c r="AFT50" s="519"/>
      <c r="AFU50" s="519"/>
      <c r="AFV50" s="519"/>
      <c r="AFW50" s="519"/>
      <c r="AFX50" s="519"/>
      <c r="AFY50" s="519"/>
      <c r="AFZ50" s="519"/>
      <c r="AGA50" s="519"/>
      <c r="AGB50" s="519"/>
      <c r="AGC50" s="519"/>
      <c r="AGD50" s="519"/>
      <c r="AGE50" s="519"/>
      <c r="AGF50" s="519"/>
      <c r="AGG50" s="519"/>
      <c r="AGH50" s="519"/>
      <c r="AGI50" s="519"/>
      <c r="AGJ50" s="519"/>
      <c r="AGK50" s="519"/>
      <c r="AGL50" s="519"/>
      <c r="AGM50" s="519"/>
      <c r="AGN50" s="519"/>
      <c r="AGO50" s="519"/>
      <c r="AGP50" s="519"/>
      <c r="AGQ50" s="519"/>
      <c r="AGR50" s="519"/>
      <c r="AGS50" s="519"/>
      <c r="AGT50" s="519"/>
      <c r="AGU50" s="519"/>
      <c r="AGV50" s="519"/>
      <c r="AGW50" s="519"/>
      <c r="AGX50" s="519"/>
      <c r="AGY50" s="519"/>
      <c r="AGZ50" s="519"/>
      <c r="AHA50" s="519"/>
      <c r="AHB50" s="519"/>
      <c r="AHC50" s="519"/>
      <c r="AHD50" s="519"/>
      <c r="AHE50" s="519"/>
      <c r="AHF50" s="519"/>
      <c r="AHG50" s="519"/>
      <c r="AHH50" s="519"/>
      <c r="AHI50" s="519"/>
      <c r="AHJ50" s="519"/>
      <c r="AHK50" s="519"/>
      <c r="AHL50" s="519"/>
      <c r="AHM50" s="519"/>
      <c r="AHN50" s="519"/>
      <c r="AHO50" s="519"/>
      <c r="AHP50" s="519"/>
      <c r="AHQ50" s="519"/>
      <c r="AHR50" s="519"/>
      <c r="AHS50" s="519"/>
      <c r="AHT50" s="519"/>
      <c r="AHU50" s="519"/>
      <c r="AHV50" s="519"/>
      <c r="AHW50" s="519"/>
      <c r="AHX50" s="519"/>
      <c r="AHY50" s="519"/>
      <c r="AHZ50" s="519"/>
      <c r="AIA50" s="519"/>
      <c r="AIB50" s="519"/>
      <c r="AIC50" s="519"/>
      <c r="AID50" s="519"/>
      <c r="AIE50" s="519"/>
      <c r="AIF50" s="519"/>
      <c r="AIG50" s="519"/>
      <c r="AIH50" s="519"/>
      <c r="AII50" s="519"/>
      <c r="AIJ50" s="519"/>
      <c r="AIK50" s="519"/>
      <c r="AIL50" s="519"/>
      <c r="AIM50" s="519"/>
      <c r="AIN50" s="519"/>
      <c r="AIO50" s="519"/>
      <c r="AIP50" s="519"/>
      <c r="AIQ50" s="519"/>
      <c r="AIR50" s="519"/>
      <c r="AIS50" s="519"/>
      <c r="AIT50" s="519"/>
      <c r="AIU50" s="519"/>
      <c r="AIV50" s="519"/>
      <c r="AIW50" s="519"/>
      <c r="AIX50" s="519"/>
      <c r="AIY50" s="519"/>
      <c r="AIZ50" s="519"/>
      <c r="AJA50" s="519"/>
      <c r="AJB50" s="519"/>
      <c r="AJC50" s="519"/>
      <c r="AJD50" s="519"/>
      <c r="AJE50" s="519"/>
      <c r="AJF50" s="519"/>
      <c r="AJG50" s="519"/>
      <c r="AJH50" s="519"/>
      <c r="AJI50" s="519"/>
      <c r="AJJ50" s="519"/>
      <c r="AJK50" s="519"/>
      <c r="AJL50" s="519"/>
      <c r="AJM50" s="519"/>
      <c r="AJN50" s="519"/>
      <c r="AJO50" s="519"/>
      <c r="AJP50" s="519"/>
      <c r="AJQ50" s="519"/>
      <c r="AJR50" s="519"/>
      <c r="AJS50" s="519"/>
      <c r="AJT50" s="519"/>
      <c r="AJU50" s="519"/>
      <c r="AJV50" s="519"/>
      <c r="AJW50" s="519"/>
      <c r="AJX50" s="519"/>
      <c r="AJY50" s="519"/>
      <c r="AJZ50" s="519"/>
      <c r="AKA50" s="519"/>
      <c r="AKB50" s="519"/>
      <c r="AKC50" s="519"/>
      <c r="AKD50" s="519"/>
      <c r="AKE50" s="519"/>
      <c r="AKF50" s="519"/>
      <c r="AKG50" s="519"/>
      <c r="AKH50" s="519"/>
      <c r="AKI50" s="519"/>
      <c r="AKJ50" s="519"/>
      <c r="AKK50" s="519"/>
      <c r="AKL50" s="519"/>
      <c r="AKM50" s="519"/>
      <c r="AKN50" s="519"/>
      <c r="AKO50" s="519"/>
      <c r="AKP50" s="519"/>
      <c r="AKQ50" s="519"/>
      <c r="AKR50" s="519"/>
      <c r="AKS50" s="519"/>
      <c r="AKT50" s="519"/>
      <c r="AKU50" s="519"/>
      <c r="AKV50" s="519"/>
      <c r="AKW50" s="519"/>
      <c r="AKX50" s="519"/>
      <c r="AKY50" s="519"/>
      <c r="AKZ50" s="519"/>
      <c r="ALA50" s="519"/>
      <c r="ALB50" s="519"/>
      <c r="ALC50" s="519"/>
      <c r="ALD50" s="519"/>
      <c r="ALE50" s="519"/>
      <c r="ALF50" s="519"/>
      <c r="ALG50" s="519"/>
      <c r="ALH50" s="519"/>
      <c r="ALI50" s="519"/>
      <c r="ALJ50" s="519"/>
      <c r="ALK50" s="519"/>
      <c r="ALL50" s="519"/>
      <c r="ALM50" s="519"/>
      <c r="ALN50" s="519"/>
      <c r="ALO50" s="519"/>
      <c r="ALP50" s="519"/>
      <c r="ALQ50" s="519"/>
      <c r="ALR50" s="519"/>
      <c r="ALS50" s="519"/>
      <c r="ALT50" s="519"/>
      <c r="ALU50" s="519"/>
      <c r="ALV50" s="519"/>
      <c r="ALW50" s="519"/>
      <c r="ALX50" s="519"/>
      <c r="ALY50" s="519"/>
      <c r="ALZ50" s="519"/>
      <c r="AMA50" s="519"/>
      <c r="AMB50" s="519"/>
      <c r="AMC50" s="519"/>
      <c r="AMD50" s="519"/>
      <c r="AME50" s="519"/>
      <c r="AMF50" s="519"/>
      <c r="AMG50" s="519"/>
      <c r="AMH50" s="519"/>
      <c r="AMI50" s="519"/>
      <c r="AMJ50" s="519"/>
      <c r="AMK50" s="519"/>
      <c r="AML50" s="519"/>
      <c r="AMM50" s="519"/>
      <c r="AMN50" s="519"/>
      <c r="AMO50" s="519"/>
      <c r="AMP50" s="519"/>
      <c r="AMQ50" s="519"/>
      <c r="AMR50" s="519"/>
      <c r="AMS50" s="519"/>
      <c r="AMT50" s="519"/>
      <c r="AMU50" s="519"/>
      <c r="AMV50" s="519"/>
      <c r="AMW50" s="519"/>
      <c r="AMX50" s="519"/>
      <c r="AMY50" s="519"/>
      <c r="AMZ50" s="519"/>
      <c r="ANA50" s="519"/>
      <c r="ANB50" s="519"/>
      <c r="ANC50" s="519"/>
      <c r="AND50" s="519"/>
      <c r="ANE50" s="519"/>
      <c r="ANF50" s="519"/>
      <c r="ANG50" s="519"/>
      <c r="ANH50" s="519"/>
      <c r="ANI50" s="519"/>
      <c r="ANJ50" s="519"/>
      <c r="ANK50" s="519"/>
      <c r="ANL50" s="519"/>
      <c r="ANM50" s="519"/>
      <c r="ANN50" s="519"/>
      <c r="ANO50" s="519"/>
      <c r="ANP50" s="519"/>
      <c r="ANQ50" s="519"/>
      <c r="ANR50" s="519"/>
      <c r="ANS50" s="519"/>
      <c r="ANT50" s="519"/>
      <c r="ANU50" s="519"/>
      <c r="ANV50" s="519"/>
      <c r="ANW50" s="519"/>
      <c r="ANX50" s="519"/>
      <c r="ANY50" s="519"/>
      <c r="ANZ50" s="519"/>
      <c r="AOA50" s="519"/>
      <c r="AOB50" s="519"/>
      <c r="AOC50" s="519"/>
      <c r="AOD50" s="519"/>
      <c r="AOE50" s="519"/>
      <c r="AOF50" s="519"/>
      <c r="AOG50" s="519"/>
      <c r="AOH50" s="519"/>
      <c r="AOI50" s="519"/>
      <c r="AOJ50" s="519"/>
      <c r="AOK50" s="519"/>
      <c r="AOL50" s="519"/>
      <c r="AOM50" s="519"/>
      <c r="AON50" s="519"/>
      <c r="AOO50" s="519"/>
      <c r="AOP50" s="519"/>
      <c r="AOQ50" s="519"/>
      <c r="AOR50" s="519"/>
      <c r="AOS50" s="519"/>
      <c r="AOT50" s="519"/>
      <c r="AOU50" s="519"/>
      <c r="AOV50" s="519"/>
      <c r="AOW50" s="519"/>
      <c r="AOX50" s="519"/>
      <c r="AOY50" s="519"/>
      <c r="AOZ50" s="519"/>
      <c r="APA50" s="519"/>
      <c r="APB50" s="519"/>
      <c r="APC50" s="519"/>
      <c r="APD50" s="519"/>
      <c r="APE50" s="519"/>
      <c r="APF50" s="519"/>
      <c r="APG50" s="519"/>
      <c r="APH50" s="519"/>
      <c r="API50" s="519"/>
      <c r="APJ50" s="519"/>
      <c r="APK50" s="519"/>
      <c r="APL50" s="519"/>
      <c r="APM50" s="519"/>
      <c r="APN50" s="519"/>
      <c r="APO50" s="519"/>
      <c r="APP50" s="519"/>
      <c r="APQ50" s="519"/>
      <c r="APR50" s="519"/>
      <c r="APS50" s="519"/>
      <c r="APT50" s="519"/>
      <c r="APU50" s="519"/>
      <c r="APV50" s="519"/>
      <c r="APW50" s="519"/>
      <c r="APX50" s="519"/>
      <c r="APY50" s="519"/>
      <c r="APZ50" s="519"/>
      <c r="AQA50" s="519"/>
      <c r="AQB50" s="519"/>
      <c r="AQC50" s="519"/>
      <c r="AQD50" s="519"/>
      <c r="AQE50" s="519"/>
      <c r="AQF50" s="519"/>
      <c r="AQG50" s="519"/>
      <c r="AQH50" s="519"/>
      <c r="AQI50" s="519"/>
      <c r="AQJ50" s="519"/>
      <c r="AQK50" s="519"/>
      <c r="AQL50" s="519"/>
      <c r="AQM50" s="519"/>
      <c r="AQN50" s="519"/>
      <c r="AQO50" s="519"/>
      <c r="AQP50" s="519"/>
      <c r="AQQ50" s="519"/>
      <c r="AQR50" s="519"/>
      <c r="AQS50" s="519"/>
      <c r="AQT50" s="519"/>
      <c r="AQU50" s="519"/>
      <c r="AQV50" s="519"/>
      <c r="AQW50" s="519"/>
      <c r="AQX50" s="519"/>
      <c r="AQY50" s="519"/>
      <c r="AQZ50" s="519"/>
      <c r="ARA50" s="519"/>
      <c r="ARB50" s="519"/>
      <c r="ARC50" s="519"/>
      <c r="ARD50" s="519"/>
      <c r="ARE50" s="519"/>
      <c r="ARF50" s="519"/>
      <c r="ARG50" s="519"/>
      <c r="ARH50" s="519"/>
      <c r="ARI50" s="519"/>
      <c r="ARJ50" s="519"/>
      <c r="ARK50" s="519"/>
      <c r="ARL50" s="519"/>
      <c r="ARM50" s="519"/>
      <c r="ARN50" s="519"/>
      <c r="ARO50" s="519"/>
      <c r="ARP50" s="519"/>
      <c r="ARQ50" s="519"/>
      <c r="ARR50" s="519"/>
      <c r="ARS50" s="519"/>
      <c r="ART50" s="519"/>
      <c r="ARU50" s="519"/>
      <c r="ARV50" s="519"/>
      <c r="ARW50" s="519"/>
      <c r="ARX50" s="519"/>
      <c r="ARY50" s="519"/>
      <c r="ARZ50" s="519"/>
      <c r="ASA50" s="519"/>
      <c r="ASB50" s="519"/>
      <c r="ASC50" s="519"/>
      <c r="ASD50" s="519"/>
      <c r="ASE50" s="519"/>
      <c r="ASF50" s="519"/>
      <c r="ASG50" s="519"/>
      <c r="ASH50" s="519"/>
      <c r="ASI50" s="519"/>
      <c r="ASJ50" s="519"/>
      <c r="ASK50" s="519"/>
      <c r="ASL50" s="519"/>
      <c r="ASM50" s="519"/>
      <c r="ASN50" s="519"/>
      <c r="ASO50" s="519"/>
      <c r="ASP50" s="519"/>
      <c r="ASQ50" s="519"/>
      <c r="ASR50" s="519"/>
      <c r="ASS50" s="519"/>
      <c r="AST50" s="519"/>
      <c r="ASU50" s="519"/>
      <c r="ASV50" s="519"/>
      <c r="ASW50" s="519"/>
      <c r="ASX50" s="519"/>
      <c r="ASY50" s="519"/>
      <c r="ASZ50" s="519"/>
      <c r="ATA50" s="519"/>
      <c r="ATB50" s="519"/>
      <c r="ATC50" s="519"/>
      <c r="ATD50" s="519"/>
      <c r="ATE50" s="519"/>
      <c r="ATF50" s="519"/>
      <c r="ATG50" s="519"/>
      <c r="ATH50" s="519"/>
      <c r="ATI50" s="519"/>
      <c r="ATJ50" s="519"/>
      <c r="ATK50" s="519"/>
      <c r="ATL50" s="519"/>
      <c r="ATM50" s="519"/>
      <c r="ATN50" s="519"/>
      <c r="ATO50" s="519"/>
      <c r="ATP50" s="519"/>
      <c r="ATQ50" s="519"/>
      <c r="ATR50" s="519"/>
      <c r="ATS50" s="519"/>
      <c r="ATT50" s="519"/>
      <c r="ATU50" s="519"/>
      <c r="ATV50" s="519"/>
      <c r="ATW50" s="519"/>
      <c r="ATX50" s="519"/>
      <c r="ATY50" s="519"/>
      <c r="ATZ50" s="519"/>
      <c r="AUA50" s="519"/>
      <c r="AUB50" s="519"/>
      <c r="AUC50" s="519"/>
      <c r="AUD50" s="519"/>
      <c r="AUE50" s="519"/>
      <c r="AUF50" s="519"/>
      <c r="AUG50" s="519"/>
      <c r="AUH50" s="519"/>
      <c r="AUI50" s="519"/>
      <c r="AUJ50" s="519"/>
      <c r="AUK50" s="519"/>
      <c r="AUL50" s="519"/>
      <c r="AUM50" s="519"/>
      <c r="AUN50" s="519"/>
      <c r="AUO50" s="519"/>
      <c r="AUP50" s="519"/>
      <c r="AUQ50" s="519"/>
      <c r="AUR50" s="519"/>
      <c r="AUS50" s="519"/>
      <c r="AUT50" s="519"/>
      <c r="AUU50" s="519"/>
      <c r="AUV50" s="519"/>
      <c r="AUW50" s="519"/>
      <c r="AUX50" s="519"/>
      <c r="AUY50" s="519"/>
      <c r="AUZ50" s="519"/>
      <c r="AVA50" s="519"/>
      <c r="AVB50" s="519"/>
      <c r="AVC50" s="519"/>
      <c r="AVD50" s="519"/>
      <c r="AVE50" s="519"/>
      <c r="AVF50" s="519"/>
      <c r="AVG50" s="519"/>
      <c r="AVH50" s="519"/>
      <c r="AVI50" s="519"/>
      <c r="AVJ50" s="519"/>
      <c r="AVK50" s="519"/>
      <c r="AVL50" s="519"/>
      <c r="AVM50" s="519"/>
      <c r="AVN50" s="519"/>
      <c r="AVO50" s="519"/>
      <c r="AVP50" s="519"/>
      <c r="AVQ50" s="519"/>
      <c r="AVR50" s="519"/>
      <c r="AVS50" s="519"/>
      <c r="AVT50" s="519"/>
      <c r="AVU50" s="519"/>
      <c r="AVV50" s="519"/>
      <c r="AVW50" s="519"/>
      <c r="AVX50" s="519"/>
      <c r="AVY50" s="519"/>
      <c r="AVZ50" s="519"/>
      <c r="AWA50" s="519"/>
      <c r="AWB50" s="519"/>
      <c r="AWC50" s="519"/>
      <c r="AWD50" s="519"/>
      <c r="AWE50" s="519"/>
      <c r="AWF50" s="519"/>
      <c r="AWG50" s="519"/>
      <c r="AWH50" s="519"/>
      <c r="AWI50" s="519"/>
      <c r="AWJ50" s="519"/>
      <c r="AWK50" s="519"/>
      <c r="AWL50" s="519"/>
      <c r="AWM50" s="519"/>
      <c r="AWN50" s="519"/>
      <c r="AWO50" s="519"/>
      <c r="AWP50" s="519"/>
      <c r="AWQ50" s="519"/>
      <c r="AWR50" s="519"/>
      <c r="AWS50" s="519"/>
      <c r="AWT50" s="519"/>
      <c r="AWU50" s="519"/>
      <c r="AWV50" s="519"/>
      <c r="AWW50" s="519"/>
      <c r="AWX50" s="519"/>
      <c r="AWY50" s="519"/>
      <c r="AWZ50" s="519"/>
      <c r="AXA50" s="519"/>
      <c r="AXB50" s="519"/>
      <c r="AXC50" s="519"/>
      <c r="AXD50" s="519"/>
      <c r="AXE50" s="519"/>
      <c r="AXF50" s="519"/>
      <c r="AXG50" s="519"/>
      <c r="AXH50" s="519"/>
      <c r="AXI50" s="519"/>
      <c r="AXJ50" s="519"/>
      <c r="AXK50" s="519"/>
      <c r="AXL50" s="519"/>
      <c r="AXM50" s="519"/>
      <c r="AXN50" s="519"/>
      <c r="AXO50" s="519"/>
      <c r="AXP50" s="519"/>
      <c r="AXQ50" s="519"/>
      <c r="AXR50" s="519"/>
      <c r="AXS50" s="519"/>
      <c r="AXT50" s="519"/>
      <c r="AXU50" s="519"/>
      <c r="AXV50" s="519"/>
      <c r="AXW50" s="519"/>
      <c r="AXX50" s="519"/>
      <c r="AXY50" s="519"/>
      <c r="AXZ50" s="519"/>
      <c r="AYA50" s="519"/>
      <c r="AYB50" s="519"/>
      <c r="AYC50" s="519"/>
      <c r="AYD50" s="519"/>
      <c r="AYE50" s="519"/>
      <c r="AYF50" s="519"/>
      <c r="AYG50" s="519"/>
      <c r="AYH50" s="519"/>
      <c r="AYI50" s="519"/>
      <c r="AYJ50" s="519"/>
      <c r="AYK50" s="519"/>
      <c r="AYL50" s="519"/>
      <c r="AYM50" s="519"/>
      <c r="AYN50" s="519"/>
      <c r="AYO50" s="519"/>
      <c r="AYP50" s="519"/>
      <c r="AYQ50" s="519"/>
      <c r="AYR50" s="519"/>
      <c r="AYS50" s="519"/>
      <c r="AYT50" s="519"/>
      <c r="AYU50" s="519"/>
      <c r="AYV50" s="519"/>
      <c r="AYW50" s="519"/>
      <c r="AYX50" s="519"/>
      <c r="AYY50" s="519"/>
      <c r="AYZ50" s="519"/>
      <c r="AZA50" s="519"/>
      <c r="AZB50" s="519"/>
      <c r="AZC50" s="519"/>
      <c r="AZD50" s="519"/>
      <c r="AZE50" s="519"/>
      <c r="AZF50" s="519"/>
      <c r="AZG50" s="519"/>
      <c r="AZH50" s="519"/>
      <c r="AZI50" s="519"/>
      <c r="AZJ50" s="519"/>
      <c r="AZK50" s="519"/>
      <c r="AZL50" s="519"/>
      <c r="AZM50" s="519"/>
      <c r="AZN50" s="519"/>
      <c r="AZO50" s="519"/>
      <c r="AZP50" s="519"/>
      <c r="AZQ50" s="519"/>
      <c r="AZR50" s="519"/>
      <c r="AZS50" s="519"/>
      <c r="AZT50" s="519"/>
      <c r="AZU50" s="519"/>
      <c r="AZV50" s="519"/>
      <c r="AZW50" s="519"/>
      <c r="AZX50" s="519"/>
      <c r="AZY50" s="519"/>
      <c r="AZZ50" s="519"/>
      <c r="BAA50" s="519"/>
      <c r="BAB50" s="519"/>
      <c r="BAC50" s="519"/>
      <c r="BAD50" s="519"/>
      <c r="BAE50" s="519"/>
      <c r="BAF50" s="519"/>
      <c r="BAG50" s="519"/>
      <c r="BAH50" s="519"/>
      <c r="BAI50" s="519"/>
      <c r="BAJ50" s="519"/>
      <c r="BAK50" s="519"/>
      <c r="BAL50" s="519"/>
      <c r="BAM50" s="519"/>
      <c r="BAN50" s="519"/>
      <c r="BAO50" s="519"/>
      <c r="BAP50" s="519"/>
      <c r="BAQ50" s="519"/>
      <c r="BAR50" s="519"/>
      <c r="BAS50" s="519"/>
      <c r="BAT50" s="519"/>
      <c r="BAU50" s="519"/>
      <c r="BAV50" s="519"/>
      <c r="BAW50" s="519"/>
      <c r="BAX50" s="519"/>
      <c r="BAY50" s="519"/>
      <c r="BAZ50" s="519"/>
      <c r="BBA50" s="519"/>
      <c r="BBB50" s="519"/>
      <c r="BBC50" s="519"/>
      <c r="BBD50" s="519"/>
      <c r="BBE50" s="519"/>
      <c r="BBF50" s="519"/>
      <c r="BBG50" s="519"/>
      <c r="BBH50" s="519"/>
      <c r="BBI50" s="519"/>
      <c r="BBJ50" s="519"/>
      <c r="BBK50" s="519"/>
      <c r="BBL50" s="519"/>
      <c r="BBM50" s="519"/>
      <c r="BBN50" s="519"/>
      <c r="BBO50" s="519"/>
      <c r="BBP50" s="519"/>
      <c r="BBQ50" s="519"/>
      <c r="BBR50" s="519"/>
      <c r="BBS50" s="519"/>
      <c r="BBT50" s="519"/>
      <c r="BBU50" s="519"/>
      <c r="BBV50" s="519"/>
      <c r="BBW50" s="519"/>
      <c r="BBX50" s="519"/>
      <c r="BBY50" s="519"/>
      <c r="BBZ50" s="519"/>
      <c r="BCA50" s="519"/>
      <c r="BCB50" s="519"/>
      <c r="BCC50" s="519"/>
      <c r="BCD50" s="519"/>
      <c r="BCE50" s="519"/>
      <c r="BCF50" s="519"/>
      <c r="BCG50" s="519"/>
      <c r="BCH50" s="519"/>
      <c r="BCI50" s="519"/>
      <c r="BCJ50" s="519"/>
      <c r="BCK50" s="519"/>
      <c r="BCL50" s="519"/>
      <c r="BCM50" s="519"/>
      <c r="BCN50" s="519"/>
      <c r="BCO50" s="519"/>
      <c r="BCP50" s="519"/>
      <c r="BCQ50" s="519"/>
      <c r="BCR50" s="519"/>
      <c r="BCS50" s="519"/>
      <c r="BCT50" s="519"/>
      <c r="BCU50" s="519"/>
      <c r="BCV50" s="519"/>
      <c r="BCW50" s="519"/>
      <c r="BCX50" s="519"/>
      <c r="BCY50" s="519"/>
      <c r="BCZ50" s="519"/>
      <c r="BDA50" s="519"/>
      <c r="BDB50" s="519"/>
      <c r="BDC50" s="519"/>
      <c r="BDD50" s="519"/>
      <c r="BDE50" s="519"/>
      <c r="BDF50" s="519"/>
      <c r="BDG50" s="519"/>
      <c r="BDH50" s="519"/>
      <c r="BDI50" s="519"/>
      <c r="BDJ50" s="519"/>
      <c r="BDK50" s="519"/>
      <c r="BDL50" s="519"/>
      <c r="BDM50" s="519"/>
      <c r="BDN50" s="519"/>
      <c r="BDO50" s="519"/>
      <c r="BDP50" s="519"/>
      <c r="BDQ50" s="519"/>
      <c r="BDR50" s="519"/>
      <c r="BDS50" s="519"/>
      <c r="BDT50" s="519"/>
      <c r="BDU50" s="519"/>
      <c r="BDV50" s="519"/>
      <c r="BDW50" s="519"/>
      <c r="BDX50" s="519"/>
      <c r="BDY50" s="519"/>
      <c r="BDZ50" s="519"/>
      <c r="BEA50" s="519"/>
      <c r="BEB50" s="519"/>
      <c r="BEC50" s="519"/>
      <c r="BED50" s="519"/>
      <c r="BEE50" s="519"/>
      <c r="BEF50" s="519"/>
      <c r="BEG50" s="519"/>
      <c r="BEH50" s="519"/>
      <c r="BEI50" s="519"/>
      <c r="BEJ50" s="519"/>
      <c r="BEK50" s="519"/>
      <c r="BEL50" s="519"/>
      <c r="BEM50" s="519"/>
      <c r="BEN50" s="519"/>
      <c r="BEO50" s="519"/>
      <c r="BEP50" s="519"/>
      <c r="BEQ50" s="519"/>
      <c r="BER50" s="519"/>
      <c r="BES50" s="519"/>
      <c r="BET50" s="519"/>
      <c r="BEU50" s="519"/>
      <c r="BEV50" s="519"/>
      <c r="BEW50" s="519"/>
      <c r="BEX50" s="519"/>
      <c r="BEY50" s="519"/>
      <c r="BEZ50" s="519"/>
      <c r="BFA50" s="519"/>
      <c r="BFB50" s="519"/>
      <c r="BFC50" s="519"/>
      <c r="BFD50" s="519"/>
      <c r="BFE50" s="519"/>
      <c r="BFF50" s="519"/>
      <c r="BFG50" s="519"/>
      <c r="BFH50" s="519"/>
      <c r="BFI50" s="519"/>
      <c r="BFJ50" s="519"/>
      <c r="BFK50" s="519"/>
      <c r="BFL50" s="519"/>
      <c r="BFM50" s="519"/>
      <c r="BFN50" s="519"/>
      <c r="BFO50" s="519"/>
      <c r="BFP50" s="519"/>
      <c r="BFQ50" s="519"/>
      <c r="BFR50" s="519"/>
      <c r="BFS50" s="519"/>
      <c r="BFT50" s="519"/>
      <c r="BFU50" s="519"/>
      <c r="BFV50" s="519"/>
      <c r="BFW50" s="519"/>
      <c r="BFX50" s="519"/>
      <c r="BFY50" s="519"/>
      <c r="BFZ50" s="519"/>
      <c r="BGA50" s="519"/>
      <c r="BGB50" s="519"/>
      <c r="BGC50" s="519"/>
      <c r="BGD50" s="519"/>
      <c r="BGE50" s="519"/>
      <c r="BGF50" s="519"/>
      <c r="BGG50" s="519"/>
      <c r="BGH50" s="519"/>
      <c r="BGI50" s="519"/>
      <c r="BGJ50" s="519"/>
      <c r="BGK50" s="519"/>
      <c r="BGL50" s="519"/>
      <c r="BGM50" s="519"/>
      <c r="BGN50" s="519"/>
      <c r="BGO50" s="519"/>
      <c r="BGP50" s="519"/>
      <c r="BGQ50" s="519"/>
      <c r="BGR50" s="519"/>
      <c r="BGS50" s="519"/>
      <c r="BGT50" s="519"/>
      <c r="BGU50" s="519"/>
      <c r="BGV50" s="519"/>
      <c r="BGW50" s="519"/>
      <c r="BGX50" s="519"/>
      <c r="BGY50" s="519"/>
      <c r="BGZ50" s="519"/>
      <c r="BHA50" s="519"/>
      <c r="BHB50" s="519"/>
      <c r="BHC50" s="519"/>
      <c r="BHD50" s="519"/>
      <c r="BHE50" s="519"/>
      <c r="BHF50" s="519"/>
      <c r="BHG50" s="519"/>
      <c r="BHH50" s="519"/>
      <c r="BHI50" s="519"/>
      <c r="BHJ50" s="519"/>
      <c r="BHK50" s="519"/>
      <c r="BHL50" s="519"/>
      <c r="BHM50" s="519"/>
      <c r="BHN50" s="519"/>
      <c r="BHO50" s="519"/>
      <c r="BHP50" s="519"/>
      <c r="BHQ50" s="519"/>
      <c r="BHR50" s="519"/>
      <c r="BHS50" s="519"/>
      <c r="BHT50" s="519"/>
      <c r="BHU50" s="519"/>
      <c r="BHV50" s="519"/>
      <c r="BHW50" s="519"/>
      <c r="BHX50" s="519"/>
      <c r="BHY50" s="519"/>
      <c r="BHZ50" s="519"/>
      <c r="BIA50" s="519"/>
      <c r="BIB50" s="519"/>
      <c r="BIC50" s="519"/>
      <c r="BID50" s="519"/>
      <c r="BIE50" s="519"/>
      <c r="BIF50" s="519"/>
      <c r="BIG50" s="519"/>
      <c r="BIH50" s="519"/>
      <c r="BII50" s="519"/>
      <c r="BIJ50" s="519"/>
      <c r="BIK50" s="519"/>
      <c r="BIL50" s="519"/>
      <c r="BIM50" s="519"/>
      <c r="BIN50" s="519"/>
      <c r="BIO50" s="519"/>
      <c r="BIP50" s="519"/>
      <c r="BIQ50" s="519"/>
      <c r="BIR50" s="519"/>
      <c r="BIS50" s="519"/>
      <c r="BIT50" s="519"/>
      <c r="BIU50" s="519"/>
      <c r="BIV50" s="519"/>
      <c r="BIW50" s="519"/>
      <c r="BIX50" s="519"/>
      <c r="BIY50" s="519"/>
      <c r="BIZ50" s="519"/>
      <c r="BJA50" s="519"/>
      <c r="BJB50" s="519"/>
      <c r="BJC50" s="519"/>
      <c r="BJD50" s="519"/>
      <c r="BJE50" s="519"/>
      <c r="BJF50" s="519"/>
      <c r="BJG50" s="519"/>
      <c r="BJH50" s="519"/>
      <c r="BJI50" s="519"/>
      <c r="BJJ50" s="519"/>
      <c r="BJK50" s="519"/>
      <c r="BJL50" s="519"/>
      <c r="BJM50" s="519"/>
      <c r="BJN50" s="519"/>
      <c r="BJO50" s="519"/>
      <c r="BJP50" s="519"/>
      <c r="BJQ50" s="519"/>
      <c r="BJR50" s="519"/>
      <c r="BJS50" s="519"/>
      <c r="BJT50" s="519"/>
      <c r="BJU50" s="519"/>
      <c r="BJV50" s="519"/>
      <c r="BJW50" s="519"/>
      <c r="BJX50" s="519"/>
      <c r="BJY50" s="519"/>
      <c r="BJZ50" s="519"/>
      <c r="BKA50" s="519"/>
      <c r="BKB50" s="519"/>
      <c r="BKC50" s="519"/>
      <c r="BKD50" s="519"/>
      <c r="BKE50" s="519"/>
      <c r="BKF50" s="519"/>
      <c r="BKG50" s="519"/>
      <c r="BKH50" s="519"/>
      <c r="BKI50" s="519"/>
      <c r="BKJ50" s="519"/>
      <c r="BKK50" s="519"/>
      <c r="BKL50" s="519"/>
      <c r="BKM50" s="519"/>
      <c r="BKN50" s="519"/>
      <c r="BKO50" s="519"/>
      <c r="BKP50" s="519"/>
      <c r="BKQ50" s="519"/>
      <c r="BKR50" s="519"/>
      <c r="BKS50" s="519"/>
      <c r="BKT50" s="519"/>
      <c r="BKU50" s="519"/>
      <c r="BKV50" s="519"/>
      <c r="BKW50" s="519"/>
      <c r="BKX50" s="519"/>
      <c r="BKY50" s="519"/>
      <c r="BKZ50" s="519"/>
      <c r="BLA50" s="519"/>
      <c r="BLB50" s="519"/>
      <c r="BLC50" s="519"/>
      <c r="BLD50" s="519"/>
      <c r="BLE50" s="519"/>
      <c r="BLF50" s="519"/>
      <c r="BLG50" s="519"/>
      <c r="BLH50" s="519"/>
      <c r="BLI50" s="519"/>
      <c r="BLJ50" s="519"/>
      <c r="BLK50" s="519"/>
      <c r="BLL50" s="519"/>
      <c r="BLM50" s="519"/>
      <c r="BLN50" s="519"/>
      <c r="BLO50" s="519"/>
      <c r="BLP50" s="519"/>
      <c r="BLQ50" s="519"/>
      <c r="BLR50" s="519"/>
      <c r="BLS50" s="519"/>
      <c r="BLT50" s="519"/>
      <c r="BLU50" s="519"/>
      <c r="BLV50" s="519"/>
      <c r="BLW50" s="519"/>
      <c r="BLX50" s="519"/>
      <c r="BLY50" s="519"/>
      <c r="BLZ50" s="519"/>
      <c r="BMA50" s="519"/>
      <c r="BMB50" s="519"/>
      <c r="BMC50" s="519"/>
      <c r="BMD50" s="519"/>
      <c r="BME50" s="519"/>
      <c r="BMF50" s="519"/>
      <c r="BMG50" s="519"/>
      <c r="BMH50" s="519"/>
      <c r="BMI50" s="519"/>
      <c r="BMJ50" s="519"/>
      <c r="BMK50" s="519"/>
      <c r="BML50" s="519"/>
      <c r="BMM50" s="519"/>
      <c r="BMN50" s="519"/>
      <c r="BMO50" s="519"/>
      <c r="BMP50" s="519"/>
      <c r="BMQ50" s="519"/>
      <c r="BMR50" s="519"/>
      <c r="BMS50" s="519"/>
      <c r="BMT50" s="519"/>
      <c r="BMU50" s="519"/>
      <c r="BMV50" s="519"/>
      <c r="BMW50" s="519"/>
      <c r="BMX50" s="519"/>
      <c r="BMY50" s="519"/>
      <c r="BMZ50" s="519"/>
      <c r="BNA50" s="519"/>
      <c r="BNB50" s="519"/>
      <c r="BNC50" s="519"/>
      <c r="BND50" s="519"/>
      <c r="BNE50" s="519"/>
      <c r="BNF50" s="519"/>
      <c r="BNG50" s="519"/>
      <c r="BNH50" s="519"/>
      <c r="BNI50" s="519"/>
      <c r="BNJ50" s="519"/>
      <c r="BNK50" s="519"/>
      <c r="BNL50" s="519"/>
      <c r="BNM50" s="519"/>
      <c r="BNN50" s="519"/>
      <c r="BNO50" s="519"/>
      <c r="BNP50" s="519"/>
      <c r="BNQ50" s="519"/>
      <c r="BNR50" s="519"/>
      <c r="BNS50" s="519"/>
      <c r="BNT50" s="519"/>
      <c r="BNU50" s="519"/>
      <c r="BNV50" s="519"/>
      <c r="BNW50" s="519"/>
      <c r="BNX50" s="519"/>
      <c r="BNY50" s="519"/>
      <c r="BNZ50" s="519"/>
      <c r="BOA50" s="519"/>
      <c r="BOB50" s="519"/>
      <c r="BOC50" s="519"/>
      <c r="BOD50" s="519"/>
      <c r="BOE50" s="519"/>
      <c r="BOF50" s="519"/>
      <c r="BOG50" s="519"/>
      <c r="BOH50" s="519"/>
      <c r="BOI50" s="519"/>
      <c r="BOJ50" s="519"/>
      <c r="BOK50" s="519"/>
      <c r="BOL50" s="519"/>
      <c r="BOM50" s="519"/>
      <c r="BON50" s="519"/>
      <c r="BOO50" s="519"/>
      <c r="BOP50" s="519"/>
      <c r="BOQ50" s="519"/>
      <c r="BOR50" s="519"/>
      <c r="BOS50" s="519"/>
      <c r="BOT50" s="519"/>
      <c r="BOU50" s="519"/>
      <c r="BOV50" s="519"/>
      <c r="BOW50" s="519"/>
      <c r="BOX50" s="519"/>
      <c r="BOY50" s="519"/>
      <c r="BOZ50" s="519"/>
      <c r="BPA50" s="519"/>
      <c r="BPB50" s="519"/>
      <c r="BPC50" s="519"/>
      <c r="BPD50" s="519"/>
      <c r="BPE50" s="519"/>
      <c r="BPF50" s="519"/>
      <c r="BPG50" s="519"/>
      <c r="BPH50" s="519"/>
      <c r="BPI50" s="519"/>
      <c r="BPJ50" s="519"/>
      <c r="BPK50" s="519"/>
      <c r="BPL50" s="519"/>
      <c r="BPM50" s="519"/>
      <c r="BPN50" s="519"/>
      <c r="BPO50" s="519"/>
      <c r="BPP50" s="519"/>
      <c r="BPQ50" s="519"/>
      <c r="BPR50" s="519"/>
      <c r="BPS50" s="519"/>
      <c r="BPT50" s="519"/>
      <c r="BPU50" s="519"/>
      <c r="BPV50" s="519"/>
      <c r="BPW50" s="519"/>
      <c r="BPX50" s="519"/>
      <c r="BPY50" s="519"/>
      <c r="BPZ50" s="519"/>
      <c r="BQA50" s="519"/>
      <c r="BQB50" s="519"/>
      <c r="BQC50" s="519"/>
      <c r="BQD50" s="519"/>
      <c r="BQE50" s="519"/>
      <c r="BQF50" s="519"/>
      <c r="BQG50" s="519"/>
      <c r="BQH50" s="519"/>
      <c r="BQI50" s="519"/>
      <c r="BQJ50" s="519"/>
      <c r="BQK50" s="519"/>
      <c r="BQL50" s="519"/>
      <c r="BQM50" s="519"/>
      <c r="BQN50" s="519"/>
      <c r="BQO50" s="519"/>
      <c r="BQP50" s="519"/>
      <c r="BQQ50" s="519"/>
      <c r="BQR50" s="519"/>
      <c r="BQS50" s="519"/>
      <c r="BQT50" s="519"/>
      <c r="BQU50" s="519"/>
      <c r="BQV50" s="519"/>
      <c r="BQW50" s="519"/>
      <c r="BQX50" s="519"/>
      <c r="BQY50" s="519"/>
      <c r="BQZ50" s="519"/>
      <c r="BRA50" s="519"/>
      <c r="BRB50" s="519"/>
      <c r="BRC50" s="519"/>
      <c r="BRD50" s="519"/>
      <c r="BRE50" s="519"/>
      <c r="BRF50" s="519"/>
      <c r="BRG50" s="519"/>
      <c r="BRH50" s="519"/>
      <c r="BRI50" s="519"/>
      <c r="BRJ50" s="519"/>
      <c r="BRK50" s="519"/>
      <c r="BRL50" s="519"/>
      <c r="BRM50" s="519"/>
      <c r="BRN50" s="519"/>
      <c r="BRO50" s="519"/>
      <c r="BRP50" s="519"/>
      <c r="BRQ50" s="519"/>
      <c r="BRR50" s="519"/>
      <c r="BRS50" s="519"/>
      <c r="BRT50" s="519"/>
      <c r="BRU50" s="519"/>
      <c r="BRV50" s="519"/>
      <c r="BRW50" s="519"/>
      <c r="BRX50" s="519"/>
      <c r="BRY50" s="519"/>
      <c r="BRZ50" s="519"/>
      <c r="BSA50" s="519"/>
      <c r="BSB50" s="519"/>
      <c r="BSC50" s="519"/>
      <c r="BSD50" s="519"/>
      <c r="BSE50" s="519"/>
      <c r="BSF50" s="519"/>
      <c r="BSG50" s="519"/>
      <c r="BSH50" s="519"/>
      <c r="BSI50" s="519"/>
      <c r="BSJ50" s="519"/>
      <c r="BSK50" s="519"/>
      <c r="BSL50" s="519"/>
      <c r="BSM50" s="519"/>
      <c r="BSN50" s="519"/>
      <c r="BSO50" s="519"/>
      <c r="BSP50" s="519"/>
      <c r="BSQ50" s="519"/>
      <c r="BSR50" s="519"/>
      <c r="BSS50" s="519"/>
      <c r="BST50" s="519"/>
      <c r="BSU50" s="519"/>
      <c r="BSV50" s="519"/>
      <c r="BSW50" s="519"/>
      <c r="BSX50" s="519"/>
      <c r="BSY50" s="519"/>
      <c r="BSZ50" s="519"/>
      <c r="BTA50" s="519"/>
      <c r="BTB50" s="519"/>
      <c r="BTC50" s="519"/>
      <c r="BTD50" s="519"/>
      <c r="BTE50" s="519"/>
      <c r="BTF50" s="519"/>
      <c r="BTG50" s="519"/>
      <c r="BTH50" s="519"/>
      <c r="BTI50" s="519"/>
      <c r="BTJ50" s="519"/>
      <c r="BTK50" s="519"/>
      <c r="BTL50" s="519"/>
      <c r="BTM50" s="519"/>
      <c r="BTN50" s="519"/>
      <c r="BTO50" s="519"/>
      <c r="BTP50" s="519"/>
      <c r="BTQ50" s="519"/>
      <c r="BTR50" s="519"/>
      <c r="BTS50" s="519"/>
      <c r="BTT50" s="519"/>
      <c r="BTU50" s="519"/>
      <c r="BTV50" s="519"/>
      <c r="BTW50" s="519"/>
      <c r="BTX50" s="519"/>
      <c r="BTY50" s="519"/>
      <c r="BTZ50" s="519"/>
      <c r="BUA50" s="519"/>
      <c r="BUB50" s="519"/>
      <c r="BUC50" s="519"/>
      <c r="BUD50" s="519"/>
      <c r="BUE50" s="519"/>
      <c r="BUF50" s="519"/>
      <c r="BUG50" s="519"/>
      <c r="BUH50" s="519"/>
      <c r="BUI50" s="519"/>
      <c r="BUJ50" s="519"/>
      <c r="BUK50" s="519"/>
      <c r="BUL50" s="519"/>
      <c r="BUM50" s="519"/>
      <c r="BUN50" s="519"/>
      <c r="BUO50" s="519"/>
      <c r="BUP50" s="519"/>
      <c r="BUQ50" s="519"/>
      <c r="BUR50" s="519"/>
      <c r="BUS50" s="519"/>
      <c r="BUT50" s="519"/>
      <c r="BUU50" s="519"/>
      <c r="BUV50" s="519"/>
      <c r="BUW50" s="519"/>
      <c r="BUX50" s="519"/>
      <c r="BUY50" s="519"/>
      <c r="BUZ50" s="519"/>
      <c r="BVA50" s="519"/>
      <c r="BVB50" s="519"/>
      <c r="BVC50" s="519"/>
      <c r="BVD50" s="519"/>
      <c r="BVE50" s="519"/>
      <c r="BVF50" s="519"/>
      <c r="BVG50" s="519"/>
      <c r="BVH50" s="519"/>
      <c r="BVI50" s="519"/>
      <c r="BVJ50" s="519"/>
      <c r="BVK50" s="519"/>
      <c r="BVL50" s="519"/>
      <c r="BVM50" s="519"/>
      <c r="BVN50" s="519"/>
      <c r="BVO50" s="519"/>
      <c r="BVP50" s="519"/>
      <c r="BVQ50" s="519"/>
      <c r="BVR50" s="519"/>
      <c r="BVS50" s="519"/>
      <c r="BVT50" s="519"/>
      <c r="BVU50" s="519"/>
      <c r="BVV50" s="519"/>
      <c r="BVW50" s="519"/>
      <c r="BVX50" s="519"/>
      <c r="BVY50" s="519"/>
      <c r="BVZ50" s="519"/>
      <c r="BWA50" s="519"/>
      <c r="BWB50" s="519"/>
      <c r="BWC50" s="519"/>
      <c r="BWD50" s="519"/>
      <c r="BWE50" s="519"/>
      <c r="BWF50" s="519"/>
      <c r="BWG50" s="519"/>
      <c r="BWH50" s="519"/>
      <c r="BWI50" s="519"/>
      <c r="BWJ50" s="519"/>
      <c r="BWK50" s="519"/>
      <c r="BWL50" s="519"/>
      <c r="BWM50" s="519"/>
      <c r="BWN50" s="519"/>
      <c r="BWO50" s="519"/>
      <c r="BWP50" s="519"/>
      <c r="BWQ50" s="519"/>
      <c r="BWR50" s="519"/>
      <c r="BWS50" s="519"/>
      <c r="BWT50" s="519"/>
      <c r="BWU50" s="519"/>
      <c r="BWV50" s="519"/>
      <c r="BWW50" s="519"/>
      <c r="BWX50" s="519"/>
      <c r="BWY50" s="519"/>
      <c r="BWZ50" s="519"/>
      <c r="BXA50" s="519"/>
      <c r="BXB50" s="519"/>
      <c r="BXC50" s="519"/>
      <c r="BXD50" s="519"/>
      <c r="BXE50" s="519"/>
      <c r="BXF50" s="519"/>
      <c r="BXG50" s="519"/>
      <c r="BXH50" s="519"/>
      <c r="BXI50" s="519"/>
      <c r="BXJ50" s="519"/>
      <c r="BXK50" s="519"/>
      <c r="BXL50" s="519"/>
      <c r="BXM50" s="519"/>
      <c r="BXN50" s="519"/>
      <c r="BXO50" s="519"/>
      <c r="BXP50" s="519"/>
      <c r="BXQ50" s="519"/>
      <c r="BXR50" s="519"/>
      <c r="BXS50" s="519"/>
      <c r="BXT50" s="519"/>
      <c r="BXU50" s="519"/>
      <c r="BXV50" s="519"/>
      <c r="BXW50" s="519"/>
      <c r="BXX50" s="519"/>
      <c r="BXY50" s="519"/>
      <c r="BXZ50" s="519"/>
      <c r="BYA50" s="519"/>
      <c r="BYB50" s="519"/>
      <c r="BYC50" s="519"/>
      <c r="BYD50" s="519"/>
      <c r="BYE50" s="519"/>
      <c r="BYF50" s="519"/>
      <c r="BYG50" s="519"/>
      <c r="BYH50" s="519"/>
      <c r="BYI50" s="519"/>
      <c r="BYJ50" s="519"/>
      <c r="BYK50" s="519"/>
      <c r="BYL50" s="519"/>
      <c r="BYM50" s="519"/>
      <c r="BYN50" s="519"/>
      <c r="BYO50" s="519"/>
      <c r="BYP50" s="519"/>
      <c r="BYQ50" s="519"/>
      <c r="BYR50" s="519"/>
      <c r="BYS50" s="519"/>
      <c r="BYT50" s="519"/>
      <c r="BYU50" s="519"/>
      <c r="BYV50" s="519"/>
      <c r="BYW50" s="519"/>
      <c r="BYX50" s="519"/>
      <c r="BYY50" s="519"/>
      <c r="BYZ50" s="519"/>
      <c r="BZA50" s="519"/>
      <c r="BZB50" s="519"/>
      <c r="BZC50" s="519"/>
      <c r="BZD50" s="519"/>
      <c r="BZE50" s="519"/>
      <c r="BZF50" s="519"/>
      <c r="BZG50" s="519"/>
      <c r="BZH50" s="519"/>
      <c r="BZI50" s="519"/>
      <c r="BZJ50" s="519"/>
      <c r="BZK50" s="519"/>
      <c r="BZL50" s="519"/>
      <c r="BZM50" s="519"/>
      <c r="BZN50" s="519"/>
      <c r="BZO50" s="519"/>
      <c r="BZP50" s="519"/>
      <c r="BZQ50" s="519"/>
      <c r="BZR50" s="519"/>
      <c r="BZS50" s="519"/>
      <c r="BZT50" s="519"/>
      <c r="BZU50" s="519"/>
      <c r="BZV50" s="519"/>
      <c r="BZW50" s="519"/>
      <c r="BZX50" s="519"/>
      <c r="BZY50" s="519"/>
      <c r="BZZ50" s="519"/>
      <c r="CAA50" s="519"/>
      <c r="CAB50" s="519"/>
      <c r="CAC50" s="519"/>
      <c r="CAD50" s="519"/>
      <c r="CAE50" s="519"/>
      <c r="CAF50" s="519"/>
      <c r="CAG50" s="519"/>
      <c r="CAH50" s="519"/>
      <c r="CAI50" s="519"/>
      <c r="CAJ50" s="519"/>
      <c r="CAK50" s="519"/>
      <c r="CAL50" s="519"/>
      <c r="CAM50" s="519"/>
      <c r="CAN50" s="519"/>
      <c r="CAO50" s="519"/>
      <c r="CAP50" s="519"/>
      <c r="CAQ50" s="519"/>
      <c r="CAR50" s="519"/>
      <c r="CAS50" s="519"/>
      <c r="CAT50" s="519"/>
      <c r="CAU50" s="519"/>
      <c r="CAV50" s="519"/>
      <c r="CAW50" s="519"/>
      <c r="CAX50" s="519"/>
      <c r="CAY50" s="519"/>
      <c r="CAZ50" s="519"/>
      <c r="CBA50" s="519"/>
      <c r="CBB50" s="519"/>
      <c r="CBC50" s="519"/>
      <c r="CBD50" s="519"/>
      <c r="CBE50" s="519"/>
      <c r="CBF50" s="519"/>
      <c r="CBG50" s="519"/>
      <c r="CBH50" s="519"/>
      <c r="CBI50" s="519"/>
      <c r="CBJ50" s="519"/>
      <c r="CBK50" s="519"/>
      <c r="CBL50" s="519"/>
      <c r="CBM50" s="519"/>
      <c r="CBN50" s="519"/>
      <c r="CBO50" s="519"/>
      <c r="CBP50" s="519"/>
      <c r="CBQ50" s="519"/>
      <c r="CBR50" s="519"/>
      <c r="CBS50" s="519"/>
      <c r="CBT50" s="519"/>
      <c r="CBU50" s="519"/>
      <c r="CBV50" s="519"/>
      <c r="CBW50" s="519"/>
      <c r="CBX50" s="519"/>
      <c r="CBY50" s="519"/>
      <c r="CBZ50" s="519"/>
      <c r="CCA50" s="519"/>
      <c r="CCB50" s="519"/>
      <c r="CCC50" s="519"/>
      <c r="CCD50" s="519"/>
      <c r="CCE50" s="519"/>
      <c r="CCF50" s="519"/>
      <c r="CCG50" s="519"/>
      <c r="CCH50" s="519"/>
      <c r="CCI50" s="519"/>
      <c r="CCJ50" s="519"/>
      <c r="CCK50" s="519"/>
      <c r="CCL50" s="519"/>
      <c r="CCM50" s="519"/>
      <c r="CCN50" s="519"/>
      <c r="CCO50" s="519"/>
      <c r="CCP50" s="519"/>
      <c r="CCQ50" s="519"/>
      <c r="CCR50" s="519"/>
      <c r="CCS50" s="519"/>
      <c r="CCT50" s="519"/>
      <c r="CCU50" s="519"/>
      <c r="CCV50" s="519"/>
      <c r="CCW50" s="519"/>
      <c r="CCX50" s="519"/>
      <c r="CCY50" s="519"/>
      <c r="CCZ50" s="519"/>
      <c r="CDA50" s="519"/>
      <c r="CDB50" s="519"/>
      <c r="CDC50" s="519"/>
      <c r="CDD50" s="519"/>
      <c r="CDE50" s="519"/>
      <c r="CDF50" s="519"/>
      <c r="CDG50" s="519"/>
      <c r="CDH50" s="519"/>
      <c r="CDI50" s="519"/>
      <c r="CDJ50" s="519"/>
      <c r="CDK50" s="519"/>
      <c r="CDL50" s="519"/>
      <c r="CDM50" s="519"/>
      <c r="CDN50" s="519"/>
      <c r="CDO50" s="519"/>
      <c r="CDP50" s="519"/>
      <c r="CDQ50" s="519"/>
      <c r="CDR50" s="519"/>
      <c r="CDS50" s="519"/>
      <c r="CDT50" s="519"/>
      <c r="CDU50" s="519"/>
      <c r="CDV50" s="519"/>
      <c r="CDW50" s="519"/>
      <c r="CDX50" s="519"/>
      <c r="CDY50" s="519"/>
      <c r="CDZ50" s="519"/>
      <c r="CEA50" s="519"/>
      <c r="CEB50" s="519"/>
      <c r="CEC50" s="519"/>
      <c r="CED50" s="519"/>
      <c r="CEE50" s="519"/>
      <c r="CEF50" s="519"/>
      <c r="CEG50" s="519"/>
      <c r="CEH50" s="519"/>
      <c r="CEI50" s="519"/>
      <c r="CEJ50" s="519"/>
      <c r="CEK50" s="519"/>
      <c r="CEL50" s="519"/>
      <c r="CEM50" s="519"/>
      <c r="CEN50" s="519"/>
      <c r="CEO50" s="519"/>
      <c r="CEP50" s="519"/>
      <c r="CEQ50" s="519"/>
      <c r="CER50" s="519"/>
      <c r="CES50" s="519"/>
      <c r="CET50" s="519"/>
      <c r="CEU50" s="519"/>
      <c r="CEV50" s="519"/>
      <c r="CEW50" s="519"/>
      <c r="CEX50" s="519"/>
      <c r="CEY50" s="519"/>
      <c r="CEZ50" s="519"/>
      <c r="CFA50" s="519"/>
      <c r="CFB50" s="519"/>
      <c r="CFC50" s="519"/>
      <c r="CFD50" s="519"/>
      <c r="CFE50" s="519"/>
      <c r="CFF50" s="519"/>
      <c r="CFG50" s="519"/>
      <c r="CFH50" s="519"/>
      <c r="CFI50" s="519"/>
      <c r="CFJ50" s="519"/>
      <c r="CFK50" s="519"/>
      <c r="CFL50" s="519"/>
      <c r="CFM50" s="519"/>
      <c r="CFN50" s="519"/>
      <c r="CFO50" s="519"/>
      <c r="CFP50" s="519"/>
      <c r="CFQ50" s="519"/>
      <c r="CFR50" s="519"/>
      <c r="CFS50" s="519"/>
      <c r="CFT50" s="519"/>
      <c r="CFU50" s="519"/>
      <c r="CFV50" s="519"/>
      <c r="CFW50" s="519"/>
      <c r="CFX50" s="519"/>
      <c r="CFY50" s="519"/>
      <c r="CFZ50" s="519"/>
      <c r="CGA50" s="519"/>
      <c r="CGB50" s="519"/>
      <c r="CGC50" s="519"/>
      <c r="CGD50" s="519"/>
      <c r="CGE50" s="519"/>
      <c r="CGF50" s="519"/>
      <c r="CGG50" s="519"/>
      <c r="CGH50" s="519"/>
      <c r="CGI50" s="519"/>
      <c r="CGJ50" s="519"/>
      <c r="CGK50" s="519"/>
      <c r="CGL50" s="519"/>
      <c r="CGM50" s="519"/>
      <c r="CGN50" s="519"/>
      <c r="CGO50" s="519"/>
      <c r="CGP50" s="519"/>
      <c r="CGQ50" s="519"/>
      <c r="CGR50" s="519"/>
      <c r="CGS50" s="519"/>
      <c r="CGT50" s="519"/>
      <c r="CGU50" s="519"/>
      <c r="CGV50" s="519"/>
      <c r="CGW50" s="519"/>
      <c r="CGX50" s="519"/>
      <c r="CGY50" s="519"/>
      <c r="CGZ50" s="519"/>
      <c r="CHA50" s="519"/>
      <c r="CHB50" s="519"/>
      <c r="CHC50" s="519"/>
      <c r="CHD50" s="519"/>
      <c r="CHE50" s="519"/>
      <c r="CHF50" s="519"/>
      <c r="CHG50" s="519"/>
      <c r="CHH50" s="519"/>
      <c r="CHI50" s="519"/>
      <c r="CHJ50" s="519"/>
      <c r="CHK50" s="519"/>
      <c r="CHL50" s="519"/>
      <c r="CHM50" s="519"/>
      <c r="CHN50" s="519"/>
      <c r="CHO50" s="519"/>
      <c r="CHP50" s="519"/>
      <c r="CHQ50" s="519"/>
      <c r="CHR50" s="519"/>
      <c r="CHS50" s="519"/>
      <c r="CHT50" s="519"/>
      <c r="CHU50" s="519"/>
      <c r="CHV50" s="519"/>
      <c r="CHW50" s="519"/>
      <c r="CHX50" s="519"/>
      <c r="CHY50" s="519"/>
      <c r="CHZ50" s="519"/>
      <c r="CIA50" s="519"/>
      <c r="CIB50" s="519"/>
      <c r="CIC50" s="519"/>
      <c r="CID50" s="519"/>
      <c r="CIE50" s="519"/>
      <c r="CIF50" s="519"/>
      <c r="CIG50" s="519"/>
      <c r="CIH50" s="519"/>
      <c r="CII50" s="519"/>
      <c r="CIJ50" s="519"/>
      <c r="CIK50" s="519"/>
      <c r="CIL50" s="519"/>
      <c r="CIM50" s="519"/>
      <c r="CIN50" s="519"/>
      <c r="CIO50" s="519"/>
      <c r="CIP50" s="519"/>
      <c r="CIQ50" s="519"/>
      <c r="CIR50" s="519"/>
      <c r="CIS50" s="519"/>
      <c r="CIT50" s="519"/>
      <c r="CIU50" s="519"/>
      <c r="CIV50" s="519"/>
      <c r="CIW50" s="519"/>
      <c r="CIX50" s="519"/>
      <c r="CIY50" s="519"/>
      <c r="CIZ50" s="519"/>
      <c r="CJA50" s="519"/>
      <c r="CJB50" s="519"/>
      <c r="CJC50" s="519"/>
      <c r="CJD50" s="519"/>
      <c r="CJE50" s="519"/>
      <c r="CJF50" s="519"/>
      <c r="CJG50" s="519"/>
      <c r="CJH50" s="519"/>
      <c r="CJI50" s="519"/>
      <c r="CJJ50" s="519"/>
      <c r="CJK50" s="519"/>
      <c r="CJL50" s="519"/>
      <c r="CJM50" s="519"/>
      <c r="CJN50" s="519"/>
      <c r="CJO50" s="519"/>
      <c r="CJP50" s="519"/>
      <c r="CJQ50" s="519"/>
      <c r="CJR50" s="519"/>
      <c r="CJS50" s="519"/>
      <c r="CJT50" s="519"/>
      <c r="CJU50" s="519"/>
      <c r="CJV50" s="519"/>
      <c r="CJW50" s="519"/>
      <c r="CJX50" s="519"/>
      <c r="CJY50" s="519"/>
      <c r="CJZ50" s="519"/>
      <c r="CKA50" s="519"/>
      <c r="CKB50" s="519"/>
      <c r="CKC50" s="519"/>
      <c r="CKD50" s="519"/>
      <c r="CKE50" s="519"/>
      <c r="CKF50" s="519"/>
      <c r="CKG50" s="519"/>
      <c r="CKH50" s="519"/>
      <c r="CKI50" s="519"/>
      <c r="CKJ50" s="519"/>
      <c r="CKK50" s="519"/>
      <c r="CKL50" s="519"/>
      <c r="CKM50" s="519"/>
      <c r="CKN50" s="519"/>
      <c r="CKO50" s="519"/>
      <c r="CKP50" s="519"/>
      <c r="CKQ50" s="519"/>
      <c r="CKR50" s="519"/>
      <c r="CKS50" s="519"/>
      <c r="CKT50" s="519"/>
      <c r="CKU50" s="519"/>
      <c r="CKV50" s="519"/>
      <c r="CKW50" s="519"/>
      <c r="CKX50" s="519"/>
      <c r="CKY50" s="519"/>
      <c r="CKZ50" s="519"/>
      <c r="CLA50" s="519"/>
      <c r="CLB50" s="519"/>
      <c r="CLC50" s="519"/>
      <c r="CLD50" s="519"/>
      <c r="CLE50" s="519"/>
      <c r="CLF50" s="519"/>
      <c r="CLG50" s="519"/>
      <c r="CLH50" s="519"/>
      <c r="CLI50" s="519"/>
      <c r="CLJ50" s="519"/>
      <c r="CLK50" s="519"/>
      <c r="CLL50" s="519"/>
      <c r="CLM50" s="519"/>
      <c r="CLN50" s="519"/>
      <c r="CLO50" s="519"/>
      <c r="CLP50" s="519"/>
      <c r="CLQ50" s="519"/>
      <c r="CLR50" s="519"/>
      <c r="CLS50" s="519"/>
      <c r="CLT50" s="519"/>
      <c r="CLU50" s="519"/>
      <c r="CLV50" s="519"/>
      <c r="CLW50" s="519"/>
      <c r="CLX50" s="519"/>
      <c r="CLY50" s="519"/>
      <c r="CLZ50" s="519"/>
      <c r="CMA50" s="519"/>
      <c r="CMB50" s="519"/>
      <c r="CMC50" s="519"/>
      <c r="CMD50" s="519"/>
      <c r="CME50" s="519"/>
      <c r="CMF50" s="519"/>
      <c r="CMG50" s="519"/>
      <c r="CMH50" s="519"/>
      <c r="CMI50" s="519"/>
      <c r="CMJ50" s="519"/>
      <c r="CMK50" s="519"/>
      <c r="CML50" s="519"/>
      <c r="CMM50" s="519"/>
      <c r="CMN50" s="519"/>
      <c r="CMO50" s="519"/>
      <c r="CMP50" s="519"/>
      <c r="CMQ50" s="519"/>
      <c r="CMR50" s="519"/>
      <c r="CMS50" s="519"/>
      <c r="CMT50" s="519"/>
      <c r="CMU50" s="519"/>
      <c r="CMV50" s="519"/>
      <c r="CMW50" s="519"/>
      <c r="CMX50" s="519"/>
      <c r="CMY50" s="519"/>
      <c r="CMZ50" s="519"/>
      <c r="CNA50" s="519"/>
      <c r="CNB50" s="519"/>
      <c r="CNC50" s="519"/>
      <c r="CND50" s="519"/>
      <c r="CNE50" s="519"/>
      <c r="CNF50" s="519"/>
      <c r="CNG50" s="519"/>
      <c r="CNH50" s="519"/>
      <c r="CNI50" s="519"/>
      <c r="CNJ50" s="519"/>
      <c r="CNK50" s="519"/>
      <c r="CNL50" s="519"/>
      <c r="CNM50" s="519"/>
      <c r="CNN50" s="519"/>
      <c r="CNO50" s="519"/>
      <c r="CNP50" s="519"/>
      <c r="CNQ50" s="519"/>
      <c r="CNR50" s="519"/>
      <c r="CNS50" s="519"/>
      <c r="CNT50" s="519"/>
      <c r="CNU50" s="519"/>
      <c r="CNV50" s="519"/>
      <c r="CNW50" s="519"/>
      <c r="CNX50" s="519"/>
      <c r="CNY50" s="519"/>
      <c r="CNZ50" s="519"/>
      <c r="COA50" s="519"/>
      <c r="COB50" s="519"/>
      <c r="COC50" s="519"/>
      <c r="COD50" s="519"/>
      <c r="COE50" s="519"/>
      <c r="COF50" s="519"/>
      <c r="COG50" s="519"/>
      <c r="COH50" s="519"/>
      <c r="COI50" s="519"/>
      <c r="COJ50" s="519"/>
      <c r="COK50" s="519"/>
      <c r="COL50" s="519"/>
      <c r="COM50" s="519"/>
      <c r="CON50" s="519"/>
      <c r="COO50" s="519"/>
      <c r="COP50" s="519"/>
      <c r="COQ50" s="519"/>
      <c r="COR50" s="519"/>
      <c r="COS50" s="519"/>
      <c r="COT50" s="519"/>
      <c r="COU50" s="519"/>
      <c r="COV50" s="519"/>
      <c r="COW50" s="519"/>
      <c r="COX50" s="519"/>
      <c r="COY50" s="519"/>
      <c r="COZ50" s="519"/>
      <c r="CPA50" s="519"/>
      <c r="CPB50" s="519"/>
      <c r="CPC50" s="519"/>
      <c r="CPD50" s="519"/>
      <c r="CPE50" s="519"/>
      <c r="CPF50" s="519"/>
      <c r="CPG50" s="519"/>
      <c r="CPH50" s="519"/>
      <c r="CPI50" s="519"/>
      <c r="CPJ50" s="519"/>
      <c r="CPK50" s="519"/>
      <c r="CPL50" s="519"/>
      <c r="CPM50" s="519"/>
      <c r="CPN50" s="519"/>
      <c r="CPO50" s="519"/>
      <c r="CPP50" s="519"/>
      <c r="CPQ50" s="519"/>
      <c r="CPR50" s="519"/>
      <c r="CPS50" s="519"/>
      <c r="CPT50" s="519"/>
      <c r="CPU50" s="519"/>
      <c r="CPV50" s="519"/>
      <c r="CPW50" s="519"/>
      <c r="CPX50" s="519"/>
      <c r="CPY50" s="519"/>
      <c r="CPZ50" s="519"/>
      <c r="CQA50" s="519"/>
      <c r="CQB50" s="519"/>
      <c r="CQC50" s="519"/>
      <c r="CQD50" s="519"/>
      <c r="CQE50" s="519"/>
      <c r="CQF50" s="519"/>
      <c r="CQG50" s="519"/>
      <c r="CQH50" s="519"/>
      <c r="CQI50" s="519"/>
      <c r="CQJ50" s="519"/>
      <c r="CQK50" s="519"/>
      <c r="CQL50" s="519"/>
      <c r="CQM50" s="519"/>
      <c r="CQN50" s="519"/>
      <c r="CQO50" s="519"/>
      <c r="CQP50" s="519"/>
      <c r="CQQ50" s="519"/>
      <c r="CQR50" s="519"/>
      <c r="CQS50" s="519"/>
      <c r="CQT50" s="519"/>
      <c r="CQU50" s="519"/>
      <c r="CQV50" s="519"/>
      <c r="CQW50" s="519"/>
      <c r="CQX50" s="519"/>
      <c r="CQY50" s="519"/>
      <c r="CQZ50" s="519"/>
      <c r="CRA50" s="519"/>
      <c r="CRB50" s="519"/>
      <c r="CRC50" s="519"/>
      <c r="CRD50" s="519"/>
      <c r="CRE50" s="519"/>
      <c r="CRF50" s="519"/>
      <c r="CRG50" s="519"/>
      <c r="CRH50" s="519"/>
      <c r="CRI50" s="519"/>
      <c r="CRJ50" s="519"/>
      <c r="CRK50" s="519"/>
      <c r="CRL50" s="519"/>
      <c r="CRM50" s="519"/>
      <c r="CRN50" s="519"/>
      <c r="CRO50" s="519"/>
      <c r="CRP50" s="519"/>
      <c r="CRQ50" s="519"/>
      <c r="CRR50" s="519"/>
      <c r="CRS50" s="519"/>
      <c r="CRT50" s="519"/>
      <c r="CRU50" s="519"/>
      <c r="CRV50" s="519"/>
      <c r="CRW50" s="519"/>
      <c r="CRX50" s="519"/>
      <c r="CRY50" s="519"/>
      <c r="CRZ50" s="519"/>
      <c r="CSA50" s="519"/>
      <c r="CSB50" s="519"/>
      <c r="CSC50" s="519"/>
      <c r="CSD50" s="519"/>
      <c r="CSE50" s="519"/>
      <c r="CSF50" s="519"/>
      <c r="CSG50" s="519"/>
      <c r="CSH50" s="519"/>
      <c r="CSI50" s="519"/>
      <c r="CSJ50" s="519"/>
      <c r="CSK50" s="519"/>
      <c r="CSL50" s="519"/>
      <c r="CSM50" s="519"/>
      <c r="CSN50" s="519"/>
      <c r="CSO50" s="519"/>
      <c r="CSP50" s="519"/>
      <c r="CSQ50" s="519"/>
      <c r="CSR50" s="519"/>
      <c r="CSS50" s="519"/>
      <c r="CST50" s="519"/>
      <c r="CSU50" s="519"/>
      <c r="CSV50" s="519"/>
      <c r="CSW50" s="519"/>
      <c r="CSX50" s="519"/>
      <c r="CSY50" s="519"/>
      <c r="CSZ50" s="519"/>
      <c r="CTA50" s="519"/>
      <c r="CTB50" s="519"/>
      <c r="CTC50" s="519"/>
      <c r="CTD50" s="519"/>
      <c r="CTE50" s="519"/>
      <c r="CTF50" s="519"/>
      <c r="CTG50" s="519"/>
      <c r="CTH50" s="519"/>
      <c r="CTI50" s="519"/>
      <c r="CTJ50" s="519"/>
      <c r="CTK50" s="519"/>
      <c r="CTL50" s="519"/>
      <c r="CTM50" s="519"/>
      <c r="CTN50" s="519"/>
      <c r="CTO50" s="519"/>
      <c r="CTP50" s="519"/>
      <c r="CTQ50" s="519"/>
      <c r="CTR50" s="519"/>
      <c r="CTS50" s="519"/>
      <c r="CTT50" s="519"/>
      <c r="CTU50" s="519"/>
      <c r="CTV50" s="519"/>
      <c r="CTW50" s="519"/>
      <c r="CTX50" s="519"/>
      <c r="CTY50" s="519"/>
      <c r="CTZ50" s="519"/>
      <c r="CUA50" s="519"/>
      <c r="CUB50" s="519"/>
      <c r="CUC50" s="519"/>
      <c r="CUD50" s="519"/>
      <c r="CUE50" s="519"/>
      <c r="CUF50" s="519"/>
      <c r="CUG50" s="519"/>
      <c r="CUH50" s="519"/>
      <c r="CUI50" s="519"/>
      <c r="CUJ50" s="519"/>
      <c r="CUK50" s="519"/>
      <c r="CUL50" s="519"/>
      <c r="CUM50" s="519"/>
      <c r="CUN50" s="519"/>
      <c r="CUO50" s="519"/>
      <c r="CUP50" s="519"/>
      <c r="CUQ50" s="519"/>
      <c r="CUR50" s="519"/>
      <c r="CUS50" s="519"/>
      <c r="CUT50" s="519"/>
      <c r="CUU50" s="519"/>
      <c r="CUV50" s="519"/>
      <c r="CUW50" s="519"/>
      <c r="CUX50" s="519"/>
      <c r="CUY50" s="519"/>
      <c r="CUZ50" s="519"/>
      <c r="CVA50" s="519"/>
      <c r="CVB50" s="519"/>
      <c r="CVC50" s="519"/>
      <c r="CVD50" s="519"/>
      <c r="CVE50" s="519"/>
      <c r="CVF50" s="519"/>
      <c r="CVG50" s="519"/>
      <c r="CVH50" s="519"/>
      <c r="CVI50" s="519"/>
      <c r="CVJ50" s="519"/>
      <c r="CVK50" s="519"/>
      <c r="CVL50" s="519"/>
      <c r="CVM50" s="519"/>
      <c r="CVN50" s="519"/>
      <c r="CVO50" s="519"/>
      <c r="CVP50" s="519"/>
      <c r="CVQ50" s="519"/>
      <c r="CVR50" s="519"/>
      <c r="CVS50" s="519"/>
      <c r="CVT50" s="519"/>
      <c r="CVU50" s="519"/>
      <c r="CVV50" s="519"/>
      <c r="CVW50" s="519"/>
      <c r="CVX50" s="519"/>
      <c r="CVY50" s="519"/>
      <c r="CVZ50" s="519"/>
      <c r="CWA50" s="519"/>
      <c r="CWB50" s="519"/>
      <c r="CWC50" s="519"/>
      <c r="CWD50" s="519"/>
      <c r="CWE50" s="519"/>
      <c r="CWF50" s="519"/>
      <c r="CWG50" s="519"/>
      <c r="CWH50" s="519"/>
      <c r="CWI50" s="519"/>
      <c r="CWJ50" s="519"/>
      <c r="CWK50" s="519"/>
      <c r="CWL50" s="519"/>
      <c r="CWM50" s="519"/>
      <c r="CWN50" s="519"/>
      <c r="CWO50" s="519"/>
      <c r="CWP50" s="519"/>
      <c r="CWQ50" s="519"/>
      <c r="CWR50" s="519"/>
      <c r="CWS50" s="519"/>
      <c r="CWT50" s="519"/>
      <c r="CWU50" s="519"/>
      <c r="CWV50" s="519"/>
      <c r="CWW50" s="519"/>
      <c r="CWX50" s="519"/>
      <c r="CWY50" s="519"/>
      <c r="CWZ50" s="519"/>
      <c r="CXA50" s="519"/>
      <c r="CXB50" s="519"/>
      <c r="CXC50" s="519"/>
      <c r="CXD50" s="519"/>
      <c r="CXE50" s="519"/>
      <c r="CXF50" s="519"/>
      <c r="CXG50" s="519"/>
      <c r="CXH50" s="519"/>
      <c r="CXI50" s="519"/>
      <c r="CXJ50" s="519"/>
      <c r="CXK50" s="519"/>
      <c r="CXL50" s="519"/>
      <c r="CXM50" s="519"/>
      <c r="CXN50" s="519"/>
      <c r="CXO50" s="519"/>
      <c r="CXP50" s="519"/>
      <c r="CXQ50" s="519"/>
      <c r="CXR50" s="519"/>
      <c r="CXS50" s="519"/>
      <c r="CXT50" s="519"/>
      <c r="CXU50" s="519"/>
      <c r="CXV50" s="519"/>
      <c r="CXW50" s="519"/>
      <c r="CXX50" s="519"/>
      <c r="CXY50" s="519"/>
      <c r="CXZ50" s="519"/>
      <c r="CYA50" s="519"/>
      <c r="CYB50" s="519"/>
      <c r="CYC50" s="519"/>
      <c r="CYD50" s="519"/>
      <c r="CYE50" s="519"/>
      <c r="CYF50" s="519"/>
      <c r="CYG50" s="519"/>
      <c r="CYH50" s="519"/>
      <c r="CYI50" s="519"/>
      <c r="CYJ50" s="519"/>
      <c r="CYK50" s="519"/>
      <c r="CYL50" s="519"/>
      <c r="CYM50" s="519"/>
      <c r="CYN50" s="519"/>
      <c r="CYO50" s="519"/>
      <c r="CYP50" s="519"/>
      <c r="CYQ50" s="519"/>
      <c r="CYR50" s="519"/>
      <c r="CYS50" s="519"/>
      <c r="CYT50" s="519"/>
      <c r="CYU50" s="519"/>
      <c r="CYV50" s="519"/>
      <c r="CYW50" s="519"/>
      <c r="CYX50" s="519"/>
      <c r="CYY50" s="519"/>
      <c r="CYZ50" s="519"/>
      <c r="CZA50" s="519"/>
      <c r="CZB50" s="519"/>
      <c r="CZC50" s="519"/>
      <c r="CZD50" s="519"/>
      <c r="CZE50" s="519"/>
      <c r="CZF50" s="519"/>
      <c r="CZG50" s="519"/>
      <c r="CZH50" s="519"/>
      <c r="CZI50" s="519"/>
      <c r="CZJ50" s="519"/>
      <c r="CZK50" s="519"/>
      <c r="CZL50" s="519"/>
      <c r="CZM50" s="519"/>
      <c r="CZN50" s="519"/>
      <c r="CZO50" s="519"/>
      <c r="CZP50" s="519"/>
      <c r="CZQ50" s="519"/>
      <c r="CZR50" s="519"/>
      <c r="CZS50" s="519"/>
      <c r="CZT50" s="519"/>
      <c r="CZU50" s="519"/>
      <c r="CZV50" s="519"/>
      <c r="CZW50" s="519"/>
      <c r="CZX50" s="519"/>
      <c r="CZY50" s="519"/>
      <c r="CZZ50" s="519"/>
      <c r="DAA50" s="519"/>
      <c r="DAB50" s="519"/>
      <c r="DAC50" s="519"/>
      <c r="DAD50" s="519"/>
      <c r="DAE50" s="519"/>
      <c r="DAF50" s="519"/>
      <c r="DAG50" s="519"/>
      <c r="DAH50" s="519"/>
      <c r="DAI50" s="519"/>
      <c r="DAJ50" s="519"/>
      <c r="DAK50" s="519"/>
      <c r="DAL50" s="519"/>
      <c r="DAM50" s="519"/>
      <c r="DAN50" s="519"/>
      <c r="DAO50" s="519"/>
      <c r="DAP50" s="519"/>
      <c r="DAQ50" s="519"/>
      <c r="DAR50" s="519"/>
      <c r="DAS50" s="519"/>
      <c r="DAT50" s="519"/>
      <c r="DAU50" s="519"/>
      <c r="DAV50" s="519"/>
      <c r="DAW50" s="519"/>
      <c r="DAX50" s="519"/>
      <c r="DAY50" s="519"/>
      <c r="DAZ50" s="519"/>
      <c r="DBA50" s="519"/>
      <c r="DBB50" s="519"/>
      <c r="DBC50" s="519"/>
      <c r="DBD50" s="519"/>
      <c r="DBE50" s="519"/>
      <c r="DBF50" s="519"/>
      <c r="DBG50" s="519"/>
      <c r="DBH50" s="519"/>
      <c r="DBI50" s="519"/>
      <c r="DBJ50" s="519"/>
      <c r="DBK50" s="519"/>
      <c r="DBL50" s="519"/>
      <c r="DBM50" s="519"/>
      <c r="DBN50" s="519"/>
      <c r="DBO50" s="519"/>
      <c r="DBP50" s="519"/>
      <c r="DBQ50" s="519"/>
      <c r="DBR50" s="519"/>
      <c r="DBS50" s="519"/>
      <c r="DBT50" s="519"/>
      <c r="DBU50" s="519"/>
      <c r="DBV50" s="519"/>
      <c r="DBW50" s="519"/>
      <c r="DBX50" s="519"/>
      <c r="DBY50" s="519"/>
      <c r="DBZ50" s="519"/>
      <c r="DCA50" s="519"/>
      <c r="DCB50" s="519"/>
      <c r="DCC50" s="519"/>
      <c r="DCD50" s="519"/>
      <c r="DCE50" s="519"/>
      <c r="DCF50" s="519"/>
      <c r="DCG50" s="519"/>
      <c r="DCH50" s="519"/>
      <c r="DCI50" s="519"/>
      <c r="DCJ50" s="519"/>
      <c r="DCK50" s="519"/>
      <c r="DCL50" s="519"/>
      <c r="DCM50" s="519"/>
      <c r="DCN50" s="519"/>
      <c r="DCO50" s="519"/>
      <c r="DCP50" s="519"/>
      <c r="DCQ50" s="519"/>
      <c r="DCR50" s="519"/>
      <c r="DCS50" s="519"/>
      <c r="DCT50" s="519"/>
      <c r="DCU50" s="519"/>
      <c r="DCV50" s="519"/>
      <c r="DCW50" s="519"/>
      <c r="DCX50" s="519"/>
      <c r="DCY50" s="519"/>
      <c r="DCZ50" s="519"/>
      <c r="DDA50" s="519"/>
      <c r="DDB50" s="519"/>
      <c r="DDC50" s="519"/>
      <c r="DDD50" s="519"/>
      <c r="DDE50" s="519"/>
      <c r="DDF50" s="519"/>
      <c r="DDG50" s="519"/>
      <c r="DDH50" s="519"/>
      <c r="DDI50" s="519"/>
      <c r="DDJ50" s="519"/>
      <c r="DDK50" s="519"/>
      <c r="DDL50" s="519"/>
      <c r="DDM50" s="519"/>
      <c r="DDN50" s="519"/>
      <c r="DDO50" s="519"/>
      <c r="DDP50" s="519"/>
      <c r="DDQ50" s="519"/>
      <c r="DDR50" s="519"/>
      <c r="DDS50" s="519"/>
      <c r="DDT50" s="519"/>
      <c r="DDU50" s="519"/>
      <c r="DDV50" s="519"/>
      <c r="DDW50" s="519"/>
      <c r="DDX50" s="519"/>
      <c r="DDY50" s="519"/>
      <c r="DDZ50" s="519"/>
      <c r="DEA50" s="519"/>
      <c r="DEB50" s="519"/>
      <c r="DEC50" s="519"/>
      <c r="DED50" s="519"/>
      <c r="DEE50" s="519"/>
      <c r="DEF50" s="519"/>
      <c r="DEG50" s="519"/>
      <c r="DEH50" s="519"/>
      <c r="DEI50" s="519"/>
      <c r="DEJ50" s="519"/>
      <c r="DEK50" s="519"/>
      <c r="DEL50" s="519"/>
      <c r="DEM50" s="519"/>
      <c r="DEN50" s="519"/>
      <c r="DEO50" s="519"/>
      <c r="DEP50" s="519"/>
      <c r="DEQ50" s="519"/>
      <c r="DER50" s="519"/>
      <c r="DES50" s="519"/>
      <c r="DET50" s="519"/>
      <c r="DEU50" s="519"/>
      <c r="DEV50" s="519"/>
      <c r="DEW50" s="519"/>
      <c r="DEX50" s="519"/>
      <c r="DEY50" s="519"/>
      <c r="DEZ50" s="519"/>
      <c r="DFA50" s="519"/>
      <c r="DFB50" s="519"/>
      <c r="DFC50" s="519"/>
      <c r="DFD50" s="519"/>
      <c r="DFE50" s="519"/>
      <c r="DFF50" s="519"/>
      <c r="DFG50" s="519"/>
      <c r="DFH50" s="519"/>
      <c r="DFI50" s="519"/>
      <c r="DFJ50" s="519"/>
      <c r="DFK50" s="519"/>
      <c r="DFL50" s="519"/>
      <c r="DFM50" s="519"/>
      <c r="DFN50" s="519"/>
      <c r="DFO50" s="519"/>
      <c r="DFP50" s="519"/>
      <c r="DFQ50" s="519"/>
      <c r="DFR50" s="519"/>
      <c r="DFS50" s="519"/>
      <c r="DFT50" s="519"/>
      <c r="DFU50" s="519"/>
      <c r="DFV50" s="519"/>
      <c r="DFW50" s="519"/>
      <c r="DFX50" s="519"/>
      <c r="DFY50" s="519"/>
      <c r="DFZ50" s="519"/>
      <c r="DGA50" s="519"/>
      <c r="DGB50" s="519"/>
      <c r="DGC50" s="519"/>
      <c r="DGD50" s="519"/>
      <c r="DGE50" s="519"/>
      <c r="DGF50" s="519"/>
      <c r="DGG50" s="519"/>
      <c r="DGH50" s="519"/>
      <c r="DGI50" s="519"/>
      <c r="DGJ50" s="519"/>
      <c r="DGK50" s="519"/>
      <c r="DGL50" s="519"/>
      <c r="DGM50" s="519"/>
      <c r="DGN50" s="519"/>
      <c r="DGO50" s="519"/>
      <c r="DGP50" s="519"/>
      <c r="DGQ50" s="519"/>
      <c r="DGR50" s="519"/>
      <c r="DGS50" s="519"/>
      <c r="DGT50" s="519"/>
      <c r="DGU50" s="519"/>
      <c r="DGV50" s="519"/>
      <c r="DGW50" s="519"/>
      <c r="DGX50" s="519"/>
      <c r="DGY50" s="519"/>
      <c r="DGZ50" s="519"/>
      <c r="DHA50" s="519"/>
      <c r="DHB50" s="519"/>
      <c r="DHC50" s="519"/>
      <c r="DHD50" s="519"/>
      <c r="DHE50" s="519"/>
      <c r="DHF50" s="519"/>
      <c r="DHG50" s="519"/>
      <c r="DHH50" s="519"/>
      <c r="DHI50" s="519"/>
      <c r="DHJ50" s="519"/>
      <c r="DHK50" s="519"/>
      <c r="DHL50" s="519"/>
      <c r="DHM50" s="519"/>
      <c r="DHN50" s="519"/>
      <c r="DHO50" s="519"/>
      <c r="DHP50" s="519"/>
      <c r="DHQ50" s="519"/>
      <c r="DHR50" s="519"/>
      <c r="DHS50" s="519"/>
      <c r="DHT50" s="519"/>
      <c r="DHU50" s="519"/>
      <c r="DHV50" s="519"/>
      <c r="DHW50" s="519"/>
      <c r="DHX50" s="519"/>
      <c r="DHY50" s="519"/>
      <c r="DHZ50" s="519"/>
      <c r="DIA50" s="519"/>
      <c r="DIB50" s="519"/>
      <c r="DIC50" s="519"/>
      <c r="DID50" s="519"/>
      <c r="DIE50" s="519"/>
      <c r="DIF50" s="519"/>
      <c r="DIG50" s="519"/>
      <c r="DIH50" s="519"/>
      <c r="DII50" s="519"/>
      <c r="DIJ50" s="519"/>
      <c r="DIK50" s="519"/>
      <c r="DIL50" s="519"/>
      <c r="DIM50" s="519"/>
      <c r="DIN50" s="519"/>
      <c r="DIO50" s="519"/>
      <c r="DIP50" s="519"/>
      <c r="DIQ50" s="519"/>
      <c r="DIR50" s="519"/>
      <c r="DIS50" s="519"/>
      <c r="DIT50" s="519"/>
      <c r="DIU50" s="519"/>
      <c r="DIV50" s="519"/>
      <c r="DIW50" s="519"/>
      <c r="DIX50" s="519"/>
      <c r="DIY50" s="519"/>
      <c r="DIZ50" s="519"/>
      <c r="DJA50" s="519"/>
      <c r="DJB50" s="519"/>
      <c r="DJC50" s="519"/>
      <c r="DJD50" s="519"/>
      <c r="DJE50" s="519"/>
      <c r="DJF50" s="519"/>
      <c r="DJG50" s="519"/>
      <c r="DJH50" s="519"/>
      <c r="DJI50" s="519"/>
      <c r="DJJ50" s="519"/>
      <c r="DJK50" s="519"/>
      <c r="DJL50" s="519"/>
      <c r="DJM50" s="519"/>
      <c r="DJN50" s="519"/>
      <c r="DJO50" s="519"/>
      <c r="DJP50" s="519"/>
      <c r="DJQ50" s="519"/>
      <c r="DJR50" s="519"/>
      <c r="DJS50" s="519"/>
      <c r="DJT50" s="519"/>
      <c r="DJU50" s="519"/>
      <c r="DJV50" s="519"/>
      <c r="DJW50" s="519"/>
      <c r="DJX50" s="519"/>
      <c r="DJY50" s="519"/>
      <c r="DJZ50" s="519"/>
      <c r="DKA50" s="519"/>
      <c r="DKB50" s="519"/>
      <c r="DKC50" s="519"/>
      <c r="DKD50" s="519"/>
      <c r="DKE50" s="519"/>
      <c r="DKF50" s="519"/>
      <c r="DKG50" s="519"/>
      <c r="DKH50" s="519"/>
      <c r="DKI50" s="519"/>
      <c r="DKJ50" s="519"/>
      <c r="DKK50" s="519"/>
      <c r="DKL50" s="519"/>
      <c r="DKM50" s="519"/>
      <c r="DKN50" s="519"/>
      <c r="DKO50" s="519"/>
      <c r="DKP50" s="519"/>
      <c r="DKQ50" s="519"/>
      <c r="DKR50" s="519"/>
      <c r="DKS50" s="519"/>
      <c r="DKT50" s="519"/>
      <c r="DKU50" s="519"/>
      <c r="DKV50" s="519"/>
      <c r="DKW50" s="519"/>
      <c r="DKX50" s="519"/>
      <c r="DKY50" s="519"/>
      <c r="DKZ50" s="519"/>
      <c r="DLA50" s="519"/>
      <c r="DLB50" s="519"/>
      <c r="DLC50" s="519"/>
      <c r="DLD50" s="519"/>
      <c r="DLE50" s="519"/>
      <c r="DLF50" s="519"/>
      <c r="DLG50" s="519"/>
      <c r="DLH50" s="519"/>
      <c r="DLI50" s="519"/>
      <c r="DLJ50" s="519"/>
      <c r="DLK50" s="519"/>
      <c r="DLL50" s="519"/>
      <c r="DLM50" s="519"/>
      <c r="DLN50" s="519"/>
      <c r="DLO50" s="519"/>
      <c r="DLP50" s="519"/>
      <c r="DLQ50" s="519"/>
      <c r="DLR50" s="519"/>
      <c r="DLS50" s="519"/>
      <c r="DLT50" s="519"/>
      <c r="DLU50" s="519"/>
      <c r="DLV50" s="519"/>
      <c r="DLW50" s="519"/>
      <c r="DLX50" s="519"/>
      <c r="DLY50" s="519"/>
      <c r="DLZ50" s="519"/>
      <c r="DMA50" s="519"/>
      <c r="DMB50" s="519"/>
      <c r="DMC50" s="519"/>
      <c r="DMD50" s="519"/>
      <c r="DME50" s="519"/>
      <c r="DMF50" s="519"/>
      <c r="DMG50" s="519"/>
      <c r="DMH50" s="519"/>
      <c r="DMI50" s="519"/>
      <c r="DMJ50" s="519"/>
      <c r="DMK50" s="519"/>
      <c r="DML50" s="519"/>
      <c r="DMM50" s="519"/>
      <c r="DMN50" s="519"/>
      <c r="DMO50" s="519"/>
      <c r="DMP50" s="519"/>
      <c r="DMQ50" s="519"/>
      <c r="DMR50" s="519"/>
      <c r="DMS50" s="519"/>
      <c r="DMT50" s="519"/>
      <c r="DMU50" s="519"/>
      <c r="DMV50" s="519"/>
      <c r="DMW50" s="519"/>
      <c r="DMX50" s="519"/>
      <c r="DMY50" s="519"/>
      <c r="DMZ50" s="519"/>
      <c r="DNA50" s="519"/>
      <c r="DNB50" s="519"/>
      <c r="DNC50" s="519"/>
      <c r="DND50" s="519"/>
      <c r="DNE50" s="519"/>
      <c r="DNF50" s="519"/>
      <c r="DNG50" s="519"/>
      <c r="DNH50" s="519"/>
      <c r="DNI50" s="519"/>
      <c r="DNJ50" s="519"/>
      <c r="DNK50" s="519"/>
      <c r="DNL50" s="519"/>
      <c r="DNM50" s="519"/>
      <c r="DNN50" s="519"/>
      <c r="DNO50" s="519"/>
      <c r="DNP50" s="519"/>
      <c r="DNQ50" s="519"/>
      <c r="DNR50" s="519"/>
      <c r="DNS50" s="519"/>
      <c r="DNT50" s="519"/>
      <c r="DNU50" s="519"/>
      <c r="DNV50" s="519"/>
      <c r="DNW50" s="519"/>
      <c r="DNX50" s="519"/>
      <c r="DNY50" s="519"/>
      <c r="DNZ50" s="519"/>
      <c r="DOA50" s="519"/>
      <c r="DOB50" s="519"/>
      <c r="DOC50" s="519"/>
      <c r="DOD50" s="519"/>
      <c r="DOE50" s="519"/>
      <c r="DOF50" s="519"/>
      <c r="DOG50" s="519"/>
      <c r="DOH50" s="519"/>
      <c r="DOI50" s="519"/>
      <c r="DOJ50" s="519"/>
      <c r="DOK50" s="519"/>
      <c r="DOL50" s="519"/>
      <c r="DOM50" s="519"/>
      <c r="DON50" s="519"/>
      <c r="DOO50" s="519"/>
      <c r="DOP50" s="519"/>
      <c r="DOQ50" s="519"/>
      <c r="DOR50" s="519"/>
      <c r="DOS50" s="519"/>
      <c r="DOT50" s="519"/>
      <c r="DOU50" s="519"/>
      <c r="DOV50" s="519"/>
      <c r="DOW50" s="519"/>
      <c r="DOX50" s="519"/>
      <c r="DOY50" s="519"/>
      <c r="DOZ50" s="519"/>
      <c r="DPA50" s="519"/>
      <c r="DPB50" s="519"/>
      <c r="DPC50" s="519"/>
      <c r="DPD50" s="519"/>
      <c r="DPE50" s="519"/>
      <c r="DPF50" s="519"/>
      <c r="DPG50" s="519"/>
      <c r="DPH50" s="519"/>
      <c r="DPI50" s="519"/>
      <c r="DPJ50" s="519"/>
      <c r="DPK50" s="519"/>
      <c r="DPL50" s="519"/>
      <c r="DPM50" s="519"/>
      <c r="DPN50" s="519"/>
      <c r="DPO50" s="519"/>
      <c r="DPP50" s="519"/>
      <c r="DPQ50" s="519"/>
      <c r="DPR50" s="519"/>
      <c r="DPS50" s="519"/>
      <c r="DPT50" s="519"/>
      <c r="DPU50" s="519"/>
      <c r="DPV50" s="519"/>
      <c r="DPW50" s="519"/>
      <c r="DPX50" s="519"/>
      <c r="DPY50" s="519"/>
      <c r="DPZ50" s="519"/>
      <c r="DQA50" s="519"/>
      <c r="DQB50" s="519"/>
      <c r="DQC50" s="519"/>
      <c r="DQD50" s="519"/>
      <c r="DQE50" s="519"/>
      <c r="DQF50" s="519"/>
      <c r="DQG50" s="519"/>
      <c r="DQH50" s="519"/>
      <c r="DQI50" s="519"/>
      <c r="DQJ50" s="519"/>
      <c r="DQK50" s="519"/>
      <c r="DQL50" s="519"/>
      <c r="DQM50" s="519"/>
      <c r="DQN50" s="519"/>
      <c r="DQO50" s="519"/>
      <c r="DQP50" s="519"/>
      <c r="DQQ50" s="519"/>
      <c r="DQR50" s="519"/>
      <c r="DQS50" s="519"/>
      <c r="DQT50" s="519"/>
      <c r="DQU50" s="519"/>
      <c r="DQV50" s="519"/>
      <c r="DQW50" s="519"/>
      <c r="DQX50" s="519"/>
      <c r="DQY50" s="519"/>
      <c r="DQZ50" s="519"/>
      <c r="DRA50" s="519"/>
      <c r="DRB50" s="519"/>
      <c r="DRC50" s="519"/>
      <c r="DRD50" s="519"/>
      <c r="DRE50" s="519"/>
      <c r="DRF50" s="519"/>
      <c r="DRG50" s="519"/>
      <c r="DRH50" s="519"/>
      <c r="DRI50" s="519"/>
      <c r="DRJ50" s="519"/>
      <c r="DRK50" s="519"/>
      <c r="DRL50" s="519"/>
      <c r="DRM50" s="519"/>
      <c r="DRN50" s="519"/>
      <c r="DRO50" s="519"/>
      <c r="DRP50" s="519"/>
      <c r="DRQ50" s="519"/>
      <c r="DRR50" s="519"/>
      <c r="DRS50" s="519"/>
      <c r="DRT50" s="519"/>
      <c r="DRU50" s="519"/>
      <c r="DRV50" s="519"/>
      <c r="DRW50" s="519"/>
      <c r="DRX50" s="519"/>
      <c r="DRY50" s="519"/>
      <c r="DRZ50" s="519"/>
      <c r="DSA50" s="519"/>
      <c r="DSB50" s="519"/>
      <c r="DSC50" s="519"/>
      <c r="DSD50" s="519"/>
      <c r="DSE50" s="519"/>
      <c r="DSF50" s="519"/>
      <c r="DSG50" s="519"/>
      <c r="DSH50" s="519"/>
      <c r="DSI50" s="519"/>
      <c r="DSJ50" s="519"/>
      <c r="DSK50" s="519"/>
      <c r="DSL50" s="519"/>
      <c r="DSM50" s="519"/>
      <c r="DSN50" s="519"/>
      <c r="DSO50" s="519"/>
      <c r="DSP50" s="519"/>
      <c r="DSQ50" s="519"/>
      <c r="DSR50" s="519"/>
      <c r="DSS50" s="519"/>
      <c r="DST50" s="519"/>
      <c r="DSU50" s="519"/>
      <c r="DSV50" s="519"/>
      <c r="DSW50" s="519"/>
      <c r="DSX50" s="519"/>
      <c r="DSY50" s="519"/>
      <c r="DSZ50" s="519"/>
      <c r="DTA50" s="519"/>
      <c r="DTB50" s="519"/>
      <c r="DTC50" s="519"/>
      <c r="DTD50" s="519"/>
      <c r="DTE50" s="519"/>
      <c r="DTF50" s="519"/>
      <c r="DTG50" s="519"/>
      <c r="DTH50" s="519"/>
      <c r="DTI50" s="519"/>
      <c r="DTJ50" s="519"/>
      <c r="DTK50" s="519"/>
      <c r="DTL50" s="519"/>
      <c r="DTM50" s="519"/>
      <c r="DTN50" s="519"/>
      <c r="DTO50" s="519"/>
      <c r="DTP50" s="519"/>
      <c r="DTQ50" s="519"/>
      <c r="DTR50" s="519"/>
      <c r="DTS50" s="519"/>
      <c r="DTT50" s="519"/>
      <c r="DTU50" s="519"/>
      <c r="DTV50" s="519"/>
      <c r="DTW50" s="519"/>
      <c r="DTX50" s="519"/>
      <c r="DTY50" s="519"/>
      <c r="DTZ50" s="519"/>
      <c r="DUA50" s="519"/>
      <c r="DUB50" s="519"/>
      <c r="DUC50" s="519"/>
      <c r="DUD50" s="519"/>
      <c r="DUE50" s="519"/>
      <c r="DUF50" s="519"/>
      <c r="DUG50" s="519"/>
      <c r="DUH50" s="519"/>
      <c r="DUI50" s="519"/>
      <c r="DUJ50" s="519"/>
      <c r="DUK50" s="519"/>
      <c r="DUL50" s="519"/>
      <c r="DUM50" s="519"/>
      <c r="DUN50" s="519"/>
      <c r="DUO50" s="519"/>
      <c r="DUP50" s="519"/>
      <c r="DUQ50" s="519"/>
      <c r="DUR50" s="519"/>
      <c r="DUS50" s="519"/>
      <c r="DUT50" s="519"/>
      <c r="DUU50" s="519"/>
      <c r="DUV50" s="519"/>
      <c r="DUW50" s="519"/>
      <c r="DUX50" s="519"/>
      <c r="DUY50" s="519"/>
      <c r="DUZ50" s="519"/>
      <c r="DVA50" s="519"/>
      <c r="DVB50" s="519"/>
      <c r="DVC50" s="519"/>
      <c r="DVD50" s="519"/>
      <c r="DVE50" s="519"/>
      <c r="DVF50" s="519"/>
      <c r="DVG50" s="519"/>
      <c r="DVH50" s="519"/>
      <c r="DVI50" s="519"/>
      <c r="DVJ50" s="519"/>
      <c r="DVK50" s="519"/>
      <c r="DVL50" s="519"/>
      <c r="DVM50" s="519"/>
      <c r="DVN50" s="519"/>
      <c r="DVO50" s="519"/>
      <c r="DVP50" s="519"/>
      <c r="DVQ50" s="519"/>
      <c r="DVR50" s="519"/>
      <c r="DVS50" s="519"/>
      <c r="DVT50" s="519"/>
      <c r="DVU50" s="519"/>
      <c r="DVV50" s="519"/>
      <c r="DVW50" s="519"/>
      <c r="DVX50" s="519"/>
      <c r="DVY50" s="519"/>
      <c r="DVZ50" s="519"/>
      <c r="DWA50" s="519"/>
      <c r="DWB50" s="519"/>
      <c r="DWC50" s="519"/>
      <c r="DWD50" s="519"/>
      <c r="DWE50" s="519"/>
      <c r="DWF50" s="519"/>
      <c r="DWG50" s="519"/>
      <c r="DWH50" s="519"/>
      <c r="DWI50" s="519"/>
      <c r="DWJ50" s="519"/>
      <c r="DWK50" s="519"/>
      <c r="DWL50" s="519"/>
      <c r="DWM50" s="519"/>
      <c r="DWN50" s="519"/>
      <c r="DWO50" s="519"/>
      <c r="DWP50" s="519"/>
      <c r="DWQ50" s="519"/>
      <c r="DWR50" s="519"/>
      <c r="DWS50" s="519"/>
      <c r="DWT50" s="519"/>
      <c r="DWU50" s="519"/>
      <c r="DWV50" s="519"/>
      <c r="DWW50" s="519"/>
      <c r="DWX50" s="519"/>
      <c r="DWY50" s="519"/>
      <c r="DWZ50" s="519"/>
      <c r="DXA50" s="519"/>
      <c r="DXB50" s="519"/>
      <c r="DXC50" s="519"/>
      <c r="DXD50" s="519"/>
      <c r="DXE50" s="519"/>
      <c r="DXF50" s="519"/>
      <c r="DXG50" s="519"/>
      <c r="DXH50" s="519"/>
      <c r="DXI50" s="519"/>
      <c r="DXJ50" s="519"/>
      <c r="DXK50" s="519"/>
      <c r="DXL50" s="519"/>
      <c r="DXM50" s="519"/>
      <c r="DXN50" s="519"/>
      <c r="DXO50" s="519"/>
      <c r="DXP50" s="519"/>
      <c r="DXQ50" s="519"/>
      <c r="DXR50" s="519"/>
      <c r="DXS50" s="519"/>
      <c r="DXT50" s="519"/>
      <c r="DXU50" s="519"/>
      <c r="DXV50" s="519"/>
      <c r="DXW50" s="519"/>
      <c r="DXX50" s="519"/>
      <c r="DXY50" s="519"/>
      <c r="DXZ50" s="519"/>
      <c r="DYA50" s="519"/>
      <c r="DYB50" s="519"/>
      <c r="DYC50" s="519"/>
      <c r="DYD50" s="519"/>
      <c r="DYE50" s="519"/>
      <c r="DYF50" s="519"/>
      <c r="DYG50" s="519"/>
      <c r="DYH50" s="519"/>
      <c r="DYI50" s="519"/>
      <c r="DYJ50" s="519"/>
      <c r="DYK50" s="519"/>
      <c r="DYL50" s="519"/>
      <c r="DYM50" s="519"/>
      <c r="DYN50" s="519"/>
      <c r="DYO50" s="519"/>
      <c r="DYP50" s="519"/>
      <c r="DYQ50" s="519"/>
      <c r="DYR50" s="519"/>
      <c r="DYS50" s="519"/>
      <c r="DYT50" s="519"/>
      <c r="DYU50" s="519"/>
      <c r="DYV50" s="519"/>
      <c r="DYW50" s="519"/>
      <c r="DYX50" s="519"/>
      <c r="DYY50" s="519"/>
      <c r="DYZ50" s="519"/>
      <c r="DZA50" s="519"/>
      <c r="DZB50" s="519"/>
      <c r="DZC50" s="519"/>
      <c r="DZD50" s="519"/>
      <c r="DZE50" s="519"/>
      <c r="DZF50" s="519"/>
      <c r="DZG50" s="519"/>
      <c r="DZH50" s="519"/>
      <c r="DZI50" s="519"/>
      <c r="DZJ50" s="519"/>
      <c r="DZK50" s="519"/>
      <c r="DZL50" s="519"/>
      <c r="DZM50" s="519"/>
      <c r="DZN50" s="519"/>
      <c r="DZO50" s="519"/>
      <c r="DZP50" s="519"/>
      <c r="DZQ50" s="519"/>
      <c r="DZR50" s="519"/>
      <c r="DZS50" s="519"/>
      <c r="DZT50" s="519"/>
      <c r="DZU50" s="519"/>
      <c r="DZV50" s="519"/>
      <c r="DZW50" s="519"/>
      <c r="DZX50" s="519"/>
      <c r="DZY50" s="519"/>
      <c r="DZZ50" s="519"/>
      <c r="EAA50" s="519"/>
      <c r="EAB50" s="519"/>
      <c r="EAC50" s="519"/>
      <c r="EAD50" s="519"/>
      <c r="EAE50" s="519"/>
      <c r="EAF50" s="519"/>
      <c r="EAG50" s="519"/>
      <c r="EAH50" s="519"/>
      <c r="EAI50" s="519"/>
      <c r="EAJ50" s="519"/>
      <c r="EAK50" s="519"/>
      <c r="EAL50" s="519"/>
      <c r="EAM50" s="519"/>
      <c r="EAN50" s="519"/>
      <c r="EAO50" s="519"/>
      <c r="EAP50" s="519"/>
      <c r="EAQ50" s="519"/>
      <c r="EAR50" s="519"/>
      <c r="EAS50" s="519"/>
      <c r="EAT50" s="519"/>
      <c r="EAU50" s="519"/>
      <c r="EAV50" s="519"/>
      <c r="EAW50" s="519"/>
      <c r="EAX50" s="519"/>
      <c r="EAY50" s="519"/>
      <c r="EAZ50" s="519"/>
      <c r="EBA50" s="519"/>
      <c r="EBB50" s="519"/>
      <c r="EBC50" s="519"/>
      <c r="EBD50" s="519"/>
      <c r="EBE50" s="519"/>
      <c r="EBF50" s="519"/>
      <c r="EBG50" s="519"/>
      <c r="EBH50" s="519"/>
      <c r="EBI50" s="519"/>
      <c r="EBJ50" s="519"/>
      <c r="EBK50" s="519"/>
      <c r="EBL50" s="519"/>
      <c r="EBM50" s="519"/>
      <c r="EBN50" s="519"/>
      <c r="EBO50" s="519"/>
      <c r="EBP50" s="519"/>
      <c r="EBQ50" s="519"/>
      <c r="EBR50" s="519"/>
      <c r="EBS50" s="519"/>
      <c r="EBT50" s="519"/>
      <c r="EBU50" s="519"/>
      <c r="EBV50" s="519"/>
      <c r="EBW50" s="519"/>
      <c r="EBX50" s="519"/>
      <c r="EBY50" s="519"/>
      <c r="EBZ50" s="519"/>
      <c r="ECA50" s="519"/>
      <c r="ECB50" s="519"/>
      <c r="ECC50" s="519"/>
      <c r="ECD50" s="519"/>
      <c r="ECE50" s="519"/>
      <c r="ECF50" s="519"/>
      <c r="ECG50" s="519"/>
      <c r="ECH50" s="519"/>
      <c r="ECI50" s="519"/>
      <c r="ECJ50" s="519"/>
      <c r="ECK50" s="519"/>
      <c r="ECL50" s="519"/>
      <c r="ECM50" s="519"/>
      <c r="ECN50" s="519"/>
      <c r="ECO50" s="519"/>
      <c r="ECP50" s="519"/>
      <c r="ECQ50" s="519"/>
      <c r="ECR50" s="519"/>
      <c r="ECS50" s="519"/>
      <c r="ECT50" s="519"/>
      <c r="ECU50" s="519"/>
      <c r="ECV50" s="519"/>
      <c r="ECW50" s="519"/>
      <c r="ECX50" s="519"/>
      <c r="ECY50" s="519"/>
      <c r="ECZ50" s="519"/>
      <c r="EDA50" s="519"/>
      <c r="EDB50" s="519"/>
      <c r="EDC50" s="519"/>
      <c r="EDD50" s="519"/>
      <c r="EDE50" s="519"/>
      <c r="EDF50" s="519"/>
      <c r="EDG50" s="519"/>
      <c r="EDH50" s="519"/>
      <c r="EDI50" s="519"/>
      <c r="EDJ50" s="519"/>
      <c r="EDK50" s="519"/>
      <c r="EDL50" s="519"/>
      <c r="EDM50" s="519"/>
      <c r="EDN50" s="519"/>
      <c r="EDO50" s="519"/>
      <c r="EDP50" s="519"/>
      <c r="EDQ50" s="519"/>
      <c r="EDR50" s="519"/>
      <c r="EDS50" s="519"/>
      <c r="EDT50" s="519"/>
      <c r="EDU50" s="519"/>
      <c r="EDV50" s="519"/>
      <c r="EDW50" s="519"/>
      <c r="EDX50" s="519"/>
      <c r="EDY50" s="519"/>
      <c r="EDZ50" s="519"/>
      <c r="EEA50" s="519"/>
      <c r="EEB50" s="519"/>
      <c r="EEC50" s="519"/>
      <c r="EED50" s="519"/>
      <c r="EEE50" s="519"/>
      <c r="EEF50" s="519"/>
      <c r="EEG50" s="519"/>
      <c r="EEH50" s="519"/>
      <c r="EEI50" s="519"/>
      <c r="EEJ50" s="519"/>
      <c r="EEK50" s="519"/>
      <c r="EEL50" s="519"/>
      <c r="EEM50" s="519"/>
      <c r="EEN50" s="519"/>
      <c r="EEO50" s="519"/>
      <c r="EEP50" s="519"/>
      <c r="EEQ50" s="519"/>
      <c r="EER50" s="519"/>
      <c r="EES50" s="519"/>
      <c r="EET50" s="519"/>
      <c r="EEU50" s="519"/>
      <c r="EEV50" s="519"/>
      <c r="EEW50" s="519"/>
      <c r="EEX50" s="519"/>
      <c r="EEY50" s="519"/>
      <c r="EEZ50" s="519"/>
      <c r="EFA50" s="519"/>
      <c r="EFB50" s="519"/>
      <c r="EFC50" s="519"/>
      <c r="EFD50" s="519"/>
      <c r="EFE50" s="519"/>
      <c r="EFF50" s="519"/>
      <c r="EFG50" s="519"/>
      <c r="EFH50" s="519"/>
      <c r="EFI50" s="519"/>
      <c r="EFJ50" s="519"/>
      <c r="EFK50" s="519"/>
      <c r="EFL50" s="519"/>
      <c r="EFM50" s="519"/>
      <c r="EFN50" s="519"/>
      <c r="EFO50" s="519"/>
      <c r="EFP50" s="519"/>
      <c r="EFQ50" s="519"/>
      <c r="EFR50" s="519"/>
      <c r="EFS50" s="519"/>
      <c r="EFT50" s="519"/>
      <c r="EFU50" s="519"/>
      <c r="EFV50" s="519"/>
      <c r="EFW50" s="519"/>
      <c r="EFX50" s="519"/>
      <c r="EFY50" s="519"/>
      <c r="EFZ50" s="519"/>
      <c r="EGA50" s="519"/>
      <c r="EGB50" s="519"/>
      <c r="EGC50" s="519"/>
      <c r="EGD50" s="519"/>
      <c r="EGE50" s="519"/>
      <c r="EGF50" s="519"/>
      <c r="EGG50" s="519"/>
      <c r="EGH50" s="519"/>
      <c r="EGI50" s="519"/>
      <c r="EGJ50" s="519"/>
      <c r="EGK50" s="519"/>
      <c r="EGL50" s="519"/>
      <c r="EGM50" s="519"/>
      <c r="EGN50" s="519"/>
      <c r="EGO50" s="519"/>
      <c r="EGP50" s="519"/>
      <c r="EGQ50" s="519"/>
      <c r="EGR50" s="519"/>
      <c r="EGS50" s="519"/>
      <c r="EGT50" s="519"/>
      <c r="EGU50" s="519"/>
      <c r="EGV50" s="519"/>
      <c r="EGW50" s="519"/>
      <c r="EGX50" s="519"/>
      <c r="EGY50" s="519"/>
      <c r="EGZ50" s="519"/>
      <c r="EHA50" s="519"/>
      <c r="EHB50" s="519"/>
      <c r="EHC50" s="519"/>
      <c r="EHD50" s="519"/>
      <c r="EHE50" s="519"/>
      <c r="EHF50" s="519"/>
      <c r="EHG50" s="519"/>
      <c r="EHH50" s="519"/>
      <c r="EHI50" s="519"/>
      <c r="EHJ50" s="519"/>
      <c r="EHK50" s="519"/>
      <c r="EHL50" s="519"/>
      <c r="EHM50" s="519"/>
      <c r="EHN50" s="519"/>
      <c r="EHO50" s="519"/>
      <c r="EHP50" s="519"/>
      <c r="EHQ50" s="519"/>
      <c r="EHR50" s="519"/>
      <c r="EHS50" s="519"/>
      <c r="EHT50" s="519"/>
      <c r="EHU50" s="519"/>
      <c r="EHV50" s="519"/>
      <c r="EHW50" s="519"/>
      <c r="EHX50" s="519"/>
      <c r="EHY50" s="519"/>
      <c r="EHZ50" s="519"/>
      <c r="EIA50" s="519"/>
      <c r="EIB50" s="519"/>
      <c r="EIC50" s="519"/>
      <c r="EID50" s="519"/>
      <c r="EIE50" s="519"/>
      <c r="EIF50" s="519"/>
      <c r="EIG50" s="519"/>
      <c r="EIH50" s="519"/>
      <c r="EII50" s="519"/>
      <c r="EIJ50" s="519"/>
      <c r="EIK50" s="519"/>
      <c r="EIL50" s="519"/>
      <c r="EIM50" s="519"/>
      <c r="EIN50" s="519"/>
      <c r="EIO50" s="519"/>
      <c r="EIP50" s="519"/>
      <c r="EIQ50" s="519"/>
      <c r="EIR50" s="519"/>
      <c r="EIS50" s="519"/>
      <c r="EIT50" s="519"/>
      <c r="EIU50" s="519"/>
      <c r="EIV50" s="519"/>
      <c r="EIW50" s="519"/>
      <c r="EIX50" s="519"/>
      <c r="EIY50" s="519"/>
      <c r="EIZ50" s="519"/>
      <c r="EJA50" s="519"/>
      <c r="EJB50" s="519"/>
      <c r="EJC50" s="519"/>
      <c r="EJD50" s="519"/>
      <c r="EJE50" s="519"/>
      <c r="EJF50" s="519"/>
      <c r="EJG50" s="519"/>
      <c r="EJH50" s="519"/>
      <c r="EJI50" s="519"/>
      <c r="EJJ50" s="519"/>
      <c r="EJK50" s="519"/>
      <c r="EJL50" s="519"/>
      <c r="EJM50" s="519"/>
      <c r="EJN50" s="519"/>
      <c r="EJO50" s="519"/>
      <c r="EJP50" s="519"/>
      <c r="EJQ50" s="519"/>
      <c r="EJR50" s="519"/>
      <c r="EJS50" s="519"/>
      <c r="EJT50" s="519"/>
      <c r="EJU50" s="519"/>
      <c r="EJV50" s="519"/>
      <c r="EJW50" s="519"/>
      <c r="EJX50" s="519"/>
      <c r="EJY50" s="519"/>
      <c r="EJZ50" s="519"/>
      <c r="EKA50" s="519"/>
      <c r="EKB50" s="519"/>
      <c r="EKC50" s="519"/>
      <c r="EKD50" s="519"/>
      <c r="EKE50" s="519"/>
      <c r="EKF50" s="519"/>
      <c r="EKG50" s="519"/>
      <c r="EKH50" s="519"/>
      <c r="EKI50" s="519"/>
      <c r="EKJ50" s="519"/>
      <c r="EKK50" s="519"/>
      <c r="EKL50" s="519"/>
      <c r="EKM50" s="519"/>
      <c r="EKN50" s="519"/>
      <c r="EKO50" s="519"/>
      <c r="EKP50" s="519"/>
      <c r="EKQ50" s="519"/>
      <c r="EKR50" s="519"/>
      <c r="EKS50" s="519"/>
      <c r="EKT50" s="519"/>
      <c r="EKU50" s="519"/>
      <c r="EKV50" s="519"/>
      <c r="EKW50" s="519"/>
      <c r="EKX50" s="519"/>
      <c r="EKY50" s="519"/>
      <c r="EKZ50" s="519"/>
      <c r="ELA50" s="519"/>
      <c r="ELB50" s="519"/>
      <c r="ELC50" s="519"/>
      <c r="ELD50" s="519"/>
      <c r="ELE50" s="519"/>
      <c r="ELF50" s="519"/>
      <c r="ELG50" s="519"/>
      <c r="ELH50" s="519"/>
      <c r="ELI50" s="519"/>
      <c r="ELJ50" s="519"/>
      <c r="ELK50" s="519"/>
      <c r="ELL50" s="519"/>
      <c r="ELM50" s="519"/>
      <c r="ELN50" s="519"/>
      <c r="ELO50" s="519"/>
      <c r="ELP50" s="519"/>
      <c r="ELQ50" s="519"/>
      <c r="ELR50" s="519"/>
      <c r="ELS50" s="519"/>
      <c r="ELT50" s="519"/>
      <c r="ELU50" s="519"/>
      <c r="ELV50" s="519"/>
      <c r="ELW50" s="519"/>
      <c r="ELX50" s="519"/>
      <c r="ELY50" s="519"/>
      <c r="ELZ50" s="519"/>
      <c r="EMA50" s="519"/>
      <c r="EMB50" s="519"/>
      <c r="EMC50" s="519"/>
      <c r="EMD50" s="519"/>
      <c r="EME50" s="519"/>
      <c r="EMF50" s="519"/>
      <c r="EMG50" s="519"/>
      <c r="EMH50" s="519"/>
      <c r="EMI50" s="519"/>
      <c r="EMJ50" s="519"/>
      <c r="EMK50" s="519"/>
      <c r="EML50" s="519"/>
      <c r="EMM50" s="519"/>
      <c r="EMN50" s="519"/>
      <c r="EMO50" s="519"/>
      <c r="EMP50" s="519"/>
      <c r="EMQ50" s="519"/>
      <c r="EMR50" s="519"/>
      <c r="EMS50" s="519"/>
      <c r="EMT50" s="519"/>
      <c r="EMU50" s="519"/>
      <c r="EMV50" s="519"/>
      <c r="EMW50" s="519"/>
      <c r="EMX50" s="519"/>
      <c r="EMY50" s="519"/>
      <c r="EMZ50" s="519"/>
      <c r="ENA50" s="519"/>
      <c r="ENB50" s="519"/>
      <c r="ENC50" s="519"/>
      <c r="END50" s="519"/>
      <c r="ENE50" s="519"/>
      <c r="ENF50" s="519"/>
      <c r="ENG50" s="519"/>
      <c r="ENH50" s="519"/>
      <c r="ENI50" s="519"/>
      <c r="ENJ50" s="519"/>
      <c r="ENK50" s="519"/>
      <c r="ENL50" s="519"/>
      <c r="ENM50" s="519"/>
      <c r="ENN50" s="519"/>
      <c r="ENO50" s="519"/>
      <c r="ENP50" s="519"/>
      <c r="ENQ50" s="519"/>
      <c r="ENR50" s="519"/>
      <c r="ENS50" s="519"/>
      <c r="ENT50" s="519"/>
      <c r="ENU50" s="519"/>
      <c r="ENV50" s="519"/>
      <c r="ENW50" s="519"/>
      <c r="ENX50" s="519"/>
      <c r="ENY50" s="519"/>
      <c r="ENZ50" s="519"/>
      <c r="EOA50" s="519"/>
      <c r="EOB50" s="519"/>
      <c r="EOC50" s="519"/>
      <c r="EOD50" s="519"/>
      <c r="EOE50" s="519"/>
      <c r="EOF50" s="519"/>
      <c r="EOG50" s="519"/>
      <c r="EOH50" s="519"/>
      <c r="EOI50" s="519"/>
      <c r="EOJ50" s="519"/>
      <c r="EOK50" s="519"/>
      <c r="EOL50" s="519"/>
      <c r="EOM50" s="519"/>
      <c r="EON50" s="519"/>
      <c r="EOO50" s="519"/>
      <c r="EOP50" s="519"/>
      <c r="EOQ50" s="519"/>
      <c r="EOR50" s="519"/>
      <c r="EOS50" s="519"/>
      <c r="EOT50" s="519"/>
      <c r="EOU50" s="519"/>
      <c r="EOV50" s="519"/>
      <c r="EOW50" s="519"/>
      <c r="EOX50" s="519"/>
      <c r="EOY50" s="519"/>
      <c r="EOZ50" s="519"/>
      <c r="EPA50" s="519"/>
      <c r="EPB50" s="519"/>
      <c r="EPC50" s="519"/>
      <c r="EPD50" s="519"/>
      <c r="EPE50" s="519"/>
      <c r="EPF50" s="519"/>
      <c r="EPG50" s="519"/>
      <c r="EPH50" s="519"/>
      <c r="EPI50" s="519"/>
      <c r="EPJ50" s="519"/>
      <c r="EPK50" s="519"/>
      <c r="EPL50" s="519"/>
      <c r="EPM50" s="519"/>
      <c r="EPN50" s="519"/>
      <c r="EPO50" s="519"/>
      <c r="EPP50" s="519"/>
      <c r="EPQ50" s="519"/>
      <c r="EPR50" s="519"/>
      <c r="EPS50" s="519"/>
      <c r="EPT50" s="519"/>
      <c r="EPU50" s="519"/>
      <c r="EPV50" s="519"/>
      <c r="EPW50" s="519"/>
      <c r="EPX50" s="519"/>
      <c r="EPY50" s="519"/>
      <c r="EPZ50" s="519"/>
      <c r="EQA50" s="519"/>
      <c r="EQB50" s="519"/>
      <c r="EQC50" s="519"/>
      <c r="EQD50" s="519"/>
      <c r="EQE50" s="519"/>
      <c r="EQF50" s="519"/>
      <c r="EQG50" s="519"/>
      <c r="EQH50" s="519"/>
      <c r="EQI50" s="519"/>
      <c r="EQJ50" s="519"/>
      <c r="EQK50" s="519"/>
      <c r="EQL50" s="519"/>
      <c r="EQM50" s="519"/>
      <c r="EQN50" s="519"/>
      <c r="EQO50" s="519"/>
      <c r="EQP50" s="519"/>
      <c r="EQQ50" s="519"/>
      <c r="EQR50" s="519"/>
      <c r="EQS50" s="519"/>
      <c r="EQT50" s="519"/>
      <c r="EQU50" s="519"/>
      <c r="EQV50" s="519"/>
      <c r="EQW50" s="519"/>
      <c r="EQX50" s="519"/>
      <c r="EQY50" s="519"/>
      <c r="EQZ50" s="519"/>
      <c r="ERA50" s="519"/>
      <c r="ERB50" s="519"/>
      <c r="ERC50" s="519"/>
      <c r="ERD50" s="519"/>
      <c r="ERE50" s="519"/>
      <c r="ERF50" s="519"/>
      <c r="ERG50" s="519"/>
      <c r="ERH50" s="519"/>
      <c r="ERI50" s="519"/>
      <c r="ERJ50" s="519"/>
      <c r="ERK50" s="519"/>
      <c r="ERL50" s="519"/>
      <c r="ERM50" s="519"/>
      <c r="ERN50" s="519"/>
      <c r="ERO50" s="519"/>
      <c r="ERP50" s="519"/>
      <c r="ERQ50" s="519"/>
      <c r="ERR50" s="519"/>
      <c r="ERS50" s="519"/>
      <c r="ERT50" s="519"/>
      <c r="ERU50" s="519"/>
      <c r="ERV50" s="519"/>
      <c r="ERW50" s="519"/>
      <c r="ERX50" s="519"/>
      <c r="ERY50" s="519"/>
      <c r="ERZ50" s="519"/>
      <c r="ESA50" s="519"/>
      <c r="ESB50" s="519"/>
      <c r="ESC50" s="519"/>
      <c r="ESD50" s="519"/>
      <c r="ESE50" s="519"/>
      <c r="ESF50" s="519"/>
      <c r="ESG50" s="519"/>
      <c r="ESH50" s="519"/>
      <c r="ESI50" s="519"/>
      <c r="ESJ50" s="519"/>
      <c r="ESK50" s="519"/>
      <c r="ESL50" s="519"/>
      <c r="ESM50" s="519"/>
      <c r="ESN50" s="519"/>
      <c r="ESO50" s="519"/>
      <c r="ESP50" s="519"/>
      <c r="ESQ50" s="519"/>
      <c r="ESR50" s="519"/>
      <c r="ESS50" s="519"/>
      <c r="EST50" s="519"/>
      <c r="ESU50" s="519"/>
      <c r="ESV50" s="519"/>
      <c r="ESW50" s="519"/>
      <c r="ESX50" s="519"/>
      <c r="ESY50" s="519"/>
      <c r="ESZ50" s="519"/>
      <c r="ETA50" s="519"/>
      <c r="ETB50" s="519"/>
      <c r="ETC50" s="519"/>
      <c r="ETD50" s="519"/>
      <c r="ETE50" s="519"/>
      <c r="ETF50" s="519"/>
      <c r="ETG50" s="519"/>
      <c r="ETH50" s="519"/>
      <c r="ETI50" s="519"/>
      <c r="ETJ50" s="519"/>
      <c r="ETK50" s="519"/>
      <c r="ETL50" s="519"/>
      <c r="ETM50" s="519"/>
      <c r="ETN50" s="519"/>
      <c r="ETO50" s="519"/>
      <c r="ETP50" s="519"/>
      <c r="ETQ50" s="519"/>
      <c r="ETR50" s="519"/>
      <c r="ETS50" s="519"/>
      <c r="ETT50" s="519"/>
      <c r="ETU50" s="519"/>
      <c r="ETV50" s="519"/>
      <c r="ETW50" s="519"/>
      <c r="ETX50" s="519"/>
      <c r="ETY50" s="519"/>
      <c r="ETZ50" s="519"/>
      <c r="EUA50" s="519"/>
      <c r="EUB50" s="519"/>
      <c r="EUC50" s="519"/>
      <c r="EUD50" s="519"/>
      <c r="EUE50" s="519"/>
      <c r="EUF50" s="519"/>
      <c r="EUG50" s="519"/>
      <c r="EUH50" s="519"/>
      <c r="EUI50" s="519"/>
      <c r="EUJ50" s="519"/>
      <c r="EUK50" s="519"/>
      <c r="EUL50" s="519"/>
      <c r="EUM50" s="519"/>
      <c r="EUN50" s="519"/>
      <c r="EUO50" s="519"/>
      <c r="EUP50" s="519"/>
      <c r="EUQ50" s="519"/>
      <c r="EUR50" s="519"/>
      <c r="EUS50" s="519"/>
      <c r="EUT50" s="519"/>
      <c r="EUU50" s="519"/>
      <c r="EUV50" s="519"/>
      <c r="EUW50" s="519"/>
      <c r="EUX50" s="519"/>
      <c r="EUY50" s="519"/>
      <c r="EUZ50" s="519"/>
      <c r="EVA50" s="519"/>
      <c r="EVB50" s="519"/>
      <c r="EVC50" s="519"/>
      <c r="EVD50" s="519"/>
      <c r="EVE50" s="519"/>
      <c r="EVF50" s="519"/>
      <c r="EVG50" s="519"/>
      <c r="EVH50" s="519"/>
      <c r="EVI50" s="519"/>
      <c r="EVJ50" s="519"/>
      <c r="EVK50" s="519"/>
      <c r="EVL50" s="519"/>
      <c r="EVM50" s="519"/>
      <c r="EVN50" s="519"/>
      <c r="EVO50" s="519"/>
      <c r="EVP50" s="519"/>
      <c r="EVQ50" s="519"/>
      <c r="EVR50" s="519"/>
      <c r="EVS50" s="519"/>
      <c r="EVT50" s="519"/>
      <c r="EVU50" s="519"/>
      <c r="EVV50" s="519"/>
      <c r="EVW50" s="519"/>
      <c r="EVX50" s="519"/>
      <c r="EVY50" s="519"/>
      <c r="EVZ50" s="519"/>
      <c r="EWA50" s="519"/>
      <c r="EWB50" s="519"/>
      <c r="EWC50" s="519"/>
      <c r="EWD50" s="519"/>
      <c r="EWE50" s="519"/>
      <c r="EWF50" s="519"/>
      <c r="EWG50" s="519"/>
      <c r="EWH50" s="519"/>
      <c r="EWI50" s="519"/>
      <c r="EWJ50" s="519"/>
      <c r="EWK50" s="519"/>
      <c r="EWL50" s="519"/>
      <c r="EWM50" s="519"/>
      <c r="EWN50" s="519"/>
      <c r="EWO50" s="519"/>
      <c r="EWP50" s="519"/>
      <c r="EWQ50" s="519"/>
      <c r="EWR50" s="519"/>
      <c r="EWS50" s="519"/>
      <c r="EWT50" s="519"/>
      <c r="EWU50" s="519"/>
      <c r="EWV50" s="519"/>
      <c r="EWW50" s="519"/>
      <c r="EWX50" s="519"/>
      <c r="EWY50" s="519"/>
      <c r="EWZ50" s="519"/>
      <c r="EXA50" s="519"/>
      <c r="EXB50" s="519"/>
      <c r="EXC50" s="519"/>
      <c r="EXD50" s="519"/>
      <c r="EXE50" s="519"/>
      <c r="EXF50" s="519"/>
      <c r="EXG50" s="519"/>
      <c r="EXH50" s="519"/>
      <c r="EXI50" s="519"/>
      <c r="EXJ50" s="519"/>
      <c r="EXK50" s="519"/>
      <c r="EXL50" s="519"/>
      <c r="EXM50" s="519"/>
      <c r="EXN50" s="519"/>
      <c r="EXO50" s="519"/>
      <c r="EXP50" s="519"/>
      <c r="EXQ50" s="519"/>
      <c r="EXR50" s="519"/>
      <c r="EXS50" s="519"/>
      <c r="EXT50" s="519"/>
      <c r="EXU50" s="519"/>
      <c r="EXV50" s="519"/>
      <c r="EXW50" s="519"/>
      <c r="EXX50" s="519"/>
      <c r="EXY50" s="519"/>
      <c r="EXZ50" s="519"/>
      <c r="EYA50" s="519"/>
      <c r="EYB50" s="519"/>
      <c r="EYC50" s="519"/>
      <c r="EYD50" s="519"/>
      <c r="EYE50" s="519"/>
      <c r="EYF50" s="519"/>
      <c r="EYG50" s="519"/>
      <c r="EYH50" s="519"/>
      <c r="EYI50" s="519"/>
      <c r="EYJ50" s="519"/>
      <c r="EYK50" s="519"/>
      <c r="EYL50" s="519"/>
      <c r="EYM50" s="519"/>
      <c r="EYN50" s="519"/>
      <c r="EYO50" s="519"/>
      <c r="EYP50" s="519"/>
      <c r="EYQ50" s="519"/>
      <c r="EYR50" s="519"/>
      <c r="EYS50" s="519"/>
      <c r="EYT50" s="519"/>
      <c r="EYU50" s="519"/>
      <c r="EYV50" s="519"/>
      <c r="EYW50" s="519"/>
      <c r="EYX50" s="519"/>
      <c r="EYY50" s="519"/>
      <c r="EYZ50" s="519"/>
      <c r="EZA50" s="519"/>
      <c r="EZB50" s="519"/>
      <c r="EZC50" s="519"/>
      <c r="EZD50" s="519"/>
      <c r="EZE50" s="519"/>
      <c r="EZF50" s="519"/>
      <c r="EZG50" s="519"/>
      <c r="EZH50" s="519"/>
      <c r="EZI50" s="519"/>
      <c r="EZJ50" s="519"/>
      <c r="EZK50" s="519"/>
      <c r="EZL50" s="519"/>
      <c r="EZM50" s="519"/>
      <c r="EZN50" s="519"/>
      <c r="EZO50" s="519"/>
      <c r="EZP50" s="519"/>
      <c r="EZQ50" s="519"/>
      <c r="EZR50" s="519"/>
      <c r="EZS50" s="519"/>
      <c r="EZT50" s="519"/>
      <c r="EZU50" s="519"/>
      <c r="EZV50" s="519"/>
      <c r="EZW50" s="519"/>
      <c r="EZX50" s="519"/>
      <c r="EZY50" s="519"/>
      <c r="EZZ50" s="519"/>
      <c r="FAA50" s="519"/>
      <c r="FAB50" s="519"/>
      <c r="FAC50" s="519"/>
      <c r="FAD50" s="519"/>
      <c r="FAE50" s="519"/>
      <c r="FAF50" s="519"/>
      <c r="FAG50" s="519"/>
      <c r="FAH50" s="519"/>
      <c r="FAI50" s="519"/>
      <c r="FAJ50" s="519"/>
      <c r="FAK50" s="519"/>
      <c r="FAL50" s="519"/>
      <c r="FAM50" s="519"/>
      <c r="FAN50" s="519"/>
      <c r="FAO50" s="519"/>
      <c r="FAP50" s="519"/>
      <c r="FAQ50" s="519"/>
      <c r="FAR50" s="519"/>
      <c r="FAS50" s="519"/>
      <c r="FAT50" s="519"/>
      <c r="FAU50" s="519"/>
      <c r="FAV50" s="519"/>
      <c r="FAW50" s="519"/>
      <c r="FAX50" s="519"/>
      <c r="FAY50" s="519"/>
      <c r="FAZ50" s="519"/>
      <c r="FBA50" s="519"/>
      <c r="FBB50" s="519"/>
      <c r="FBC50" s="519"/>
      <c r="FBD50" s="519"/>
      <c r="FBE50" s="519"/>
      <c r="FBF50" s="519"/>
      <c r="FBG50" s="519"/>
      <c r="FBH50" s="519"/>
      <c r="FBI50" s="519"/>
      <c r="FBJ50" s="519"/>
      <c r="FBK50" s="519"/>
      <c r="FBL50" s="519"/>
      <c r="FBM50" s="519"/>
      <c r="FBN50" s="519"/>
      <c r="FBO50" s="519"/>
      <c r="FBP50" s="519"/>
      <c r="FBQ50" s="519"/>
      <c r="FBR50" s="519"/>
      <c r="FBS50" s="519"/>
      <c r="FBT50" s="519"/>
      <c r="FBU50" s="519"/>
      <c r="FBV50" s="519"/>
      <c r="FBW50" s="519"/>
      <c r="FBX50" s="519"/>
      <c r="FBY50" s="519"/>
      <c r="FBZ50" s="519"/>
      <c r="FCA50" s="519"/>
      <c r="FCB50" s="519"/>
      <c r="FCC50" s="519"/>
      <c r="FCD50" s="519"/>
      <c r="FCE50" s="519"/>
      <c r="FCF50" s="519"/>
      <c r="FCG50" s="519"/>
      <c r="FCH50" s="519"/>
      <c r="FCI50" s="519"/>
      <c r="FCJ50" s="519"/>
      <c r="FCK50" s="519"/>
      <c r="FCL50" s="519"/>
      <c r="FCM50" s="519"/>
      <c r="FCN50" s="519"/>
      <c r="FCO50" s="519"/>
      <c r="FCP50" s="519"/>
      <c r="FCQ50" s="519"/>
      <c r="FCR50" s="519"/>
      <c r="FCS50" s="519"/>
      <c r="FCT50" s="519"/>
      <c r="FCU50" s="519"/>
      <c r="FCV50" s="519"/>
      <c r="FCW50" s="519"/>
      <c r="FCX50" s="519"/>
      <c r="FCY50" s="519"/>
      <c r="FCZ50" s="519"/>
      <c r="FDA50" s="519"/>
      <c r="FDB50" s="519"/>
      <c r="FDC50" s="519"/>
      <c r="FDD50" s="519"/>
      <c r="FDE50" s="519"/>
      <c r="FDF50" s="519"/>
      <c r="FDG50" s="519"/>
      <c r="FDH50" s="519"/>
      <c r="FDI50" s="519"/>
      <c r="FDJ50" s="519"/>
      <c r="FDK50" s="519"/>
      <c r="FDL50" s="519"/>
      <c r="FDM50" s="519"/>
      <c r="FDN50" s="519"/>
      <c r="FDO50" s="519"/>
      <c r="FDP50" s="519"/>
      <c r="FDQ50" s="519"/>
      <c r="FDR50" s="519"/>
      <c r="FDS50" s="519"/>
      <c r="FDT50" s="519"/>
      <c r="FDU50" s="519"/>
      <c r="FDV50" s="519"/>
      <c r="FDW50" s="519"/>
      <c r="FDX50" s="519"/>
      <c r="FDY50" s="519"/>
      <c r="FDZ50" s="519"/>
      <c r="FEA50" s="519"/>
      <c r="FEB50" s="519"/>
      <c r="FEC50" s="519"/>
      <c r="FED50" s="519"/>
      <c r="FEE50" s="519"/>
      <c r="FEF50" s="519"/>
      <c r="FEG50" s="519"/>
      <c r="FEH50" s="519"/>
      <c r="FEI50" s="519"/>
      <c r="FEJ50" s="519"/>
      <c r="FEK50" s="519"/>
      <c r="FEL50" s="519"/>
      <c r="FEM50" s="519"/>
      <c r="FEN50" s="519"/>
      <c r="FEO50" s="519"/>
      <c r="FEP50" s="519"/>
      <c r="FEQ50" s="519"/>
      <c r="FER50" s="519"/>
      <c r="FES50" s="519"/>
      <c r="FET50" s="519"/>
      <c r="FEU50" s="519"/>
      <c r="FEV50" s="519"/>
      <c r="FEW50" s="519"/>
      <c r="FEX50" s="519"/>
      <c r="FEY50" s="519"/>
      <c r="FEZ50" s="519"/>
      <c r="FFA50" s="519"/>
      <c r="FFB50" s="519"/>
      <c r="FFC50" s="519"/>
      <c r="FFD50" s="519"/>
      <c r="FFE50" s="519"/>
      <c r="FFF50" s="519"/>
      <c r="FFG50" s="519"/>
      <c r="FFH50" s="519"/>
      <c r="FFI50" s="519"/>
      <c r="FFJ50" s="519"/>
      <c r="FFK50" s="519"/>
      <c r="FFL50" s="519"/>
      <c r="FFM50" s="519"/>
      <c r="FFN50" s="519"/>
      <c r="FFO50" s="519"/>
      <c r="FFP50" s="519"/>
      <c r="FFQ50" s="519"/>
      <c r="FFR50" s="519"/>
      <c r="FFS50" s="519"/>
      <c r="FFT50" s="519"/>
      <c r="FFU50" s="519"/>
      <c r="FFV50" s="519"/>
      <c r="FFW50" s="519"/>
      <c r="FFX50" s="519"/>
      <c r="FFY50" s="519"/>
      <c r="FFZ50" s="519"/>
      <c r="FGA50" s="519"/>
      <c r="FGB50" s="519"/>
      <c r="FGC50" s="519"/>
      <c r="FGD50" s="519"/>
      <c r="FGE50" s="519"/>
      <c r="FGF50" s="519"/>
      <c r="FGG50" s="519"/>
      <c r="FGH50" s="519"/>
      <c r="FGI50" s="519"/>
      <c r="FGJ50" s="519"/>
      <c r="FGK50" s="519"/>
      <c r="FGL50" s="519"/>
      <c r="FGM50" s="519"/>
      <c r="FGN50" s="519"/>
      <c r="FGO50" s="519"/>
      <c r="FGP50" s="519"/>
      <c r="FGQ50" s="519"/>
      <c r="FGR50" s="519"/>
      <c r="FGS50" s="519"/>
      <c r="FGT50" s="519"/>
      <c r="FGU50" s="519"/>
      <c r="FGV50" s="519"/>
      <c r="FGW50" s="519"/>
      <c r="FGX50" s="519"/>
      <c r="FGY50" s="519"/>
      <c r="FGZ50" s="519"/>
      <c r="FHA50" s="519"/>
      <c r="FHB50" s="519"/>
      <c r="FHC50" s="519"/>
      <c r="FHD50" s="519"/>
      <c r="FHE50" s="519"/>
      <c r="FHF50" s="519"/>
      <c r="FHG50" s="519"/>
      <c r="FHH50" s="519"/>
      <c r="FHI50" s="519"/>
      <c r="FHJ50" s="519"/>
      <c r="FHK50" s="519"/>
      <c r="FHL50" s="519"/>
      <c r="FHM50" s="519"/>
      <c r="FHN50" s="519"/>
      <c r="FHO50" s="519"/>
      <c r="FHP50" s="519"/>
      <c r="FHQ50" s="519"/>
      <c r="FHR50" s="519"/>
      <c r="FHS50" s="519"/>
      <c r="FHT50" s="519"/>
      <c r="FHU50" s="519"/>
      <c r="FHV50" s="519"/>
      <c r="FHW50" s="519"/>
      <c r="FHX50" s="519"/>
      <c r="FHY50" s="519"/>
      <c r="FHZ50" s="519"/>
      <c r="FIA50" s="519"/>
      <c r="FIB50" s="519"/>
      <c r="FIC50" s="519"/>
      <c r="FID50" s="519"/>
      <c r="FIE50" s="519"/>
      <c r="FIF50" s="519"/>
      <c r="FIG50" s="519"/>
      <c r="FIH50" s="519"/>
      <c r="FII50" s="519"/>
      <c r="FIJ50" s="519"/>
      <c r="FIK50" s="519"/>
      <c r="FIL50" s="519"/>
      <c r="FIM50" s="519"/>
      <c r="FIN50" s="519"/>
      <c r="FIO50" s="519"/>
      <c r="FIP50" s="519"/>
      <c r="FIQ50" s="519"/>
      <c r="FIR50" s="519"/>
      <c r="FIS50" s="519"/>
      <c r="FIT50" s="519"/>
      <c r="FIU50" s="519"/>
      <c r="FIV50" s="519"/>
      <c r="FIW50" s="519"/>
      <c r="FIX50" s="519"/>
      <c r="FIY50" s="519"/>
      <c r="FIZ50" s="519"/>
      <c r="FJA50" s="519"/>
      <c r="FJB50" s="519"/>
      <c r="FJC50" s="519"/>
      <c r="FJD50" s="519"/>
      <c r="FJE50" s="519"/>
      <c r="FJF50" s="519"/>
      <c r="FJG50" s="519"/>
      <c r="FJH50" s="519"/>
      <c r="FJI50" s="519"/>
      <c r="FJJ50" s="519"/>
      <c r="FJK50" s="519"/>
      <c r="FJL50" s="519"/>
      <c r="FJM50" s="519"/>
      <c r="FJN50" s="519"/>
      <c r="FJO50" s="519"/>
      <c r="FJP50" s="519"/>
      <c r="FJQ50" s="519"/>
      <c r="FJR50" s="519"/>
      <c r="FJS50" s="519"/>
      <c r="FJT50" s="519"/>
      <c r="FJU50" s="519"/>
      <c r="FJV50" s="519"/>
      <c r="FJW50" s="519"/>
      <c r="FJX50" s="519"/>
      <c r="FJY50" s="519"/>
      <c r="FJZ50" s="519"/>
      <c r="FKA50" s="519"/>
      <c r="FKB50" s="519"/>
      <c r="FKC50" s="519"/>
      <c r="FKD50" s="519"/>
      <c r="FKE50" s="519"/>
      <c r="FKF50" s="519"/>
      <c r="FKG50" s="519"/>
      <c r="FKH50" s="519"/>
      <c r="FKI50" s="519"/>
      <c r="FKJ50" s="519"/>
      <c r="FKK50" s="519"/>
      <c r="FKL50" s="519"/>
      <c r="FKM50" s="519"/>
      <c r="FKN50" s="519"/>
      <c r="FKO50" s="519"/>
      <c r="FKP50" s="519"/>
      <c r="FKQ50" s="519"/>
      <c r="FKR50" s="519"/>
      <c r="FKS50" s="519"/>
      <c r="FKT50" s="519"/>
      <c r="FKU50" s="519"/>
      <c r="FKV50" s="519"/>
      <c r="FKW50" s="519"/>
      <c r="FKX50" s="519"/>
      <c r="FKY50" s="519"/>
      <c r="FKZ50" s="519"/>
      <c r="FLA50" s="519"/>
      <c r="FLB50" s="519"/>
      <c r="FLC50" s="519"/>
      <c r="FLD50" s="519"/>
      <c r="FLE50" s="519"/>
      <c r="FLF50" s="519"/>
      <c r="FLG50" s="519"/>
      <c r="FLH50" s="519"/>
      <c r="FLI50" s="519"/>
      <c r="FLJ50" s="519"/>
      <c r="FLK50" s="519"/>
      <c r="FLL50" s="519"/>
      <c r="FLM50" s="519"/>
      <c r="FLN50" s="519"/>
      <c r="FLO50" s="519"/>
      <c r="FLP50" s="519"/>
      <c r="FLQ50" s="519"/>
      <c r="FLR50" s="519"/>
      <c r="FLS50" s="519"/>
      <c r="FLT50" s="519"/>
      <c r="FLU50" s="519"/>
      <c r="FLV50" s="519"/>
      <c r="FLW50" s="519"/>
      <c r="FLX50" s="519"/>
      <c r="FLY50" s="519"/>
      <c r="FLZ50" s="519"/>
      <c r="FMA50" s="519"/>
      <c r="FMB50" s="519"/>
      <c r="FMC50" s="519"/>
      <c r="FMD50" s="519"/>
      <c r="FME50" s="519"/>
      <c r="FMF50" s="519"/>
      <c r="FMG50" s="519"/>
      <c r="FMH50" s="519"/>
      <c r="FMI50" s="519"/>
      <c r="FMJ50" s="519"/>
      <c r="FMK50" s="519"/>
      <c r="FML50" s="519"/>
      <c r="FMM50" s="519"/>
      <c r="FMN50" s="519"/>
      <c r="FMO50" s="519"/>
      <c r="FMP50" s="519"/>
      <c r="FMQ50" s="519"/>
      <c r="FMR50" s="519"/>
      <c r="FMS50" s="519"/>
      <c r="FMT50" s="519"/>
      <c r="FMU50" s="519"/>
      <c r="FMV50" s="519"/>
      <c r="FMW50" s="519"/>
      <c r="FMX50" s="519"/>
      <c r="FMY50" s="519"/>
      <c r="FMZ50" s="519"/>
      <c r="FNA50" s="519"/>
      <c r="FNB50" s="519"/>
      <c r="FNC50" s="519"/>
      <c r="FND50" s="519"/>
      <c r="FNE50" s="519"/>
      <c r="FNF50" s="519"/>
      <c r="FNG50" s="519"/>
      <c r="FNH50" s="519"/>
      <c r="FNI50" s="519"/>
      <c r="FNJ50" s="519"/>
      <c r="FNK50" s="519"/>
      <c r="FNL50" s="519"/>
      <c r="FNM50" s="519"/>
      <c r="FNN50" s="519"/>
      <c r="FNO50" s="519"/>
      <c r="FNP50" s="519"/>
      <c r="FNQ50" s="519"/>
      <c r="FNR50" s="519"/>
      <c r="FNS50" s="519"/>
      <c r="FNT50" s="519"/>
      <c r="FNU50" s="519"/>
      <c r="FNV50" s="519"/>
      <c r="FNW50" s="519"/>
      <c r="FNX50" s="519"/>
      <c r="FNY50" s="519"/>
      <c r="FNZ50" s="519"/>
      <c r="FOA50" s="519"/>
      <c r="FOB50" s="519"/>
      <c r="FOC50" s="519"/>
      <c r="FOD50" s="519"/>
      <c r="FOE50" s="519"/>
      <c r="FOF50" s="519"/>
      <c r="FOG50" s="519"/>
      <c r="FOH50" s="519"/>
      <c r="FOI50" s="519"/>
      <c r="FOJ50" s="519"/>
      <c r="FOK50" s="519"/>
      <c r="FOL50" s="519"/>
      <c r="FOM50" s="519"/>
      <c r="FON50" s="519"/>
      <c r="FOO50" s="519"/>
      <c r="FOP50" s="519"/>
      <c r="FOQ50" s="519"/>
      <c r="FOR50" s="519"/>
      <c r="FOS50" s="519"/>
      <c r="FOT50" s="519"/>
      <c r="FOU50" s="519"/>
      <c r="FOV50" s="519"/>
      <c r="FOW50" s="519"/>
      <c r="FOX50" s="519"/>
      <c r="FOY50" s="519"/>
      <c r="FOZ50" s="519"/>
      <c r="FPA50" s="519"/>
      <c r="FPB50" s="519"/>
      <c r="FPC50" s="519"/>
      <c r="FPD50" s="519"/>
      <c r="FPE50" s="519"/>
      <c r="FPF50" s="519"/>
      <c r="FPG50" s="519"/>
      <c r="FPH50" s="519"/>
      <c r="FPI50" s="519"/>
      <c r="FPJ50" s="519"/>
      <c r="FPK50" s="519"/>
      <c r="FPL50" s="519"/>
      <c r="FPM50" s="519"/>
      <c r="FPN50" s="519"/>
      <c r="FPO50" s="519"/>
      <c r="FPP50" s="519"/>
      <c r="FPQ50" s="519"/>
      <c r="FPR50" s="519"/>
      <c r="FPS50" s="519"/>
      <c r="FPT50" s="519"/>
      <c r="FPU50" s="519"/>
      <c r="FPV50" s="519"/>
      <c r="FPW50" s="519"/>
      <c r="FPX50" s="519"/>
      <c r="FPY50" s="519"/>
      <c r="FPZ50" s="519"/>
      <c r="FQA50" s="519"/>
      <c r="FQB50" s="519"/>
      <c r="FQC50" s="519"/>
      <c r="FQD50" s="519"/>
      <c r="FQE50" s="519"/>
      <c r="FQF50" s="519"/>
      <c r="FQG50" s="519"/>
      <c r="FQH50" s="519"/>
      <c r="FQI50" s="519"/>
      <c r="FQJ50" s="519"/>
      <c r="FQK50" s="519"/>
      <c r="FQL50" s="519"/>
      <c r="FQM50" s="519"/>
      <c r="FQN50" s="519"/>
      <c r="FQO50" s="519"/>
      <c r="FQP50" s="519"/>
      <c r="FQQ50" s="519"/>
      <c r="FQR50" s="519"/>
      <c r="FQS50" s="519"/>
      <c r="FQT50" s="519"/>
      <c r="FQU50" s="519"/>
      <c r="FQV50" s="519"/>
      <c r="FQW50" s="519"/>
      <c r="FQX50" s="519"/>
      <c r="FQY50" s="519"/>
      <c r="FQZ50" s="519"/>
      <c r="FRA50" s="519"/>
      <c r="FRB50" s="519"/>
      <c r="FRC50" s="519"/>
      <c r="FRD50" s="519"/>
      <c r="FRE50" s="519"/>
      <c r="FRF50" s="519"/>
      <c r="FRG50" s="519"/>
      <c r="FRH50" s="519"/>
      <c r="FRI50" s="519"/>
      <c r="FRJ50" s="519"/>
      <c r="FRK50" s="519"/>
      <c r="FRL50" s="519"/>
      <c r="FRM50" s="519"/>
      <c r="FRN50" s="519"/>
      <c r="FRO50" s="519"/>
      <c r="FRP50" s="519"/>
      <c r="FRQ50" s="519"/>
      <c r="FRR50" s="519"/>
      <c r="FRS50" s="519"/>
      <c r="FRT50" s="519"/>
      <c r="FRU50" s="519"/>
      <c r="FRV50" s="519"/>
      <c r="FRW50" s="519"/>
      <c r="FRX50" s="519"/>
      <c r="FRY50" s="519"/>
      <c r="FRZ50" s="519"/>
      <c r="FSA50" s="519"/>
      <c r="FSB50" s="519"/>
      <c r="FSC50" s="519"/>
      <c r="FSD50" s="519"/>
      <c r="FSE50" s="519"/>
      <c r="FSF50" s="519"/>
      <c r="FSG50" s="519"/>
      <c r="FSH50" s="519"/>
      <c r="FSI50" s="519"/>
      <c r="FSJ50" s="519"/>
      <c r="FSK50" s="519"/>
      <c r="FSL50" s="519"/>
      <c r="FSM50" s="519"/>
      <c r="FSN50" s="519"/>
      <c r="FSO50" s="519"/>
      <c r="FSP50" s="519"/>
      <c r="FSQ50" s="519"/>
      <c r="FSR50" s="519"/>
      <c r="FSS50" s="519"/>
      <c r="FST50" s="519"/>
      <c r="FSU50" s="519"/>
      <c r="FSV50" s="519"/>
      <c r="FSW50" s="519"/>
      <c r="FSX50" s="519"/>
      <c r="FSY50" s="519"/>
      <c r="FSZ50" s="519"/>
      <c r="FTA50" s="519"/>
      <c r="FTB50" s="519"/>
      <c r="FTC50" s="519"/>
      <c r="FTD50" s="519"/>
      <c r="FTE50" s="519"/>
      <c r="FTF50" s="519"/>
      <c r="FTG50" s="519"/>
      <c r="FTH50" s="519"/>
      <c r="FTI50" s="519"/>
      <c r="FTJ50" s="519"/>
      <c r="FTK50" s="519"/>
      <c r="FTL50" s="519"/>
      <c r="FTM50" s="519"/>
      <c r="FTN50" s="519"/>
      <c r="FTO50" s="519"/>
      <c r="FTP50" s="519"/>
      <c r="FTQ50" s="519"/>
      <c r="FTR50" s="519"/>
      <c r="FTS50" s="519"/>
      <c r="FTT50" s="519"/>
      <c r="FTU50" s="519"/>
      <c r="FTV50" s="519"/>
      <c r="FTW50" s="519"/>
      <c r="FTX50" s="519"/>
      <c r="FTY50" s="519"/>
      <c r="FTZ50" s="519"/>
      <c r="FUA50" s="519"/>
      <c r="FUB50" s="519"/>
      <c r="FUC50" s="519"/>
      <c r="FUD50" s="519"/>
      <c r="FUE50" s="519"/>
      <c r="FUF50" s="519"/>
      <c r="FUG50" s="519"/>
      <c r="FUH50" s="519"/>
      <c r="FUI50" s="519"/>
      <c r="FUJ50" s="519"/>
      <c r="FUK50" s="519"/>
      <c r="FUL50" s="519"/>
      <c r="FUM50" s="519"/>
      <c r="FUN50" s="519"/>
      <c r="FUO50" s="519"/>
      <c r="FUP50" s="519"/>
      <c r="FUQ50" s="519"/>
      <c r="FUR50" s="519"/>
      <c r="FUS50" s="519"/>
      <c r="FUT50" s="519"/>
      <c r="FUU50" s="519"/>
      <c r="FUV50" s="519"/>
      <c r="FUW50" s="519"/>
      <c r="FUX50" s="519"/>
      <c r="FUY50" s="519"/>
      <c r="FUZ50" s="519"/>
      <c r="FVA50" s="519"/>
      <c r="FVB50" s="519"/>
      <c r="FVC50" s="519"/>
      <c r="FVD50" s="519"/>
      <c r="FVE50" s="519"/>
      <c r="FVF50" s="519"/>
      <c r="FVG50" s="519"/>
      <c r="FVH50" s="519"/>
      <c r="FVI50" s="519"/>
      <c r="FVJ50" s="519"/>
      <c r="FVK50" s="519"/>
      <c r="FVL50" s="519"/>
      <c r="FVM50" s="519"/>
      <c r="FVN50" s="519"/>
      <c r="FVO50" s="519"/>
      <c r="FVP50" s="519"/>
      <c r="FVQ50" s="519"/>
      <c r="FVR50" s="519"/>
      <c r="FVS50" s="519"/>
      <c r="FVT50" s="519"/>
      <c r="FVU50" s="519"/>
      <c r="FVV50" s="519"/>
      <c r="FVW50" s="519"/>
      <c r="FVX50" s="519"/>
      <c r="FVY50" s="519"/>
      <c r="FVZ50" s="519"/>
      <c r="FWA50" s="519"/>
      <c r="FWB50" s="519"/>
      <c r="FWC50" s="519"/>
      <c r="FWD50" s="519"/>
      <c r="FWE50" s="519"/>
      <c r="FWF50" s="519"/>
      <c r="FWG50" s="519"/>
      <c r="FWH50" s="519"/>
      <c r="FWI50" s="519"/>
      <c r="FWJ50" s="519"/>
      <c r="FWK50" s="519"/>
      <c r="FWL50" s="519"/>
      <c r="FWM50" s="519"/>
      <c r="FWN50" s="519"/>
      <c r="FWO50" s="519"/>
      <c r="FWP50" s="519"/>
      <c r="FWQ50" s="519"/>
      <c r="FWR50" s="519"/>
      <c r="FWS50" s="519"/>
      <c r="FWT50" s="519"/>
      <c r="FWU50" s="519"/>
      <c r="FWV50" s="519"/>
      <c r="FWW50" s="519"/>
      <c r="FWX50" s="519"/>
      <c r="FWY50" s="519"/>
      <c r="FWZ50" s="519"/>
      <c r="FXA50" s="519"/>
      <c r="FXB50" s="519"/>
      <c r="FXC50" s="519"/>
      <c r="FXD50" s="519"/>
      <c r="FXE50" s="519"/>
      <c r="FXF50" s="519"/>
      <c r="FXG50" s="519"/>
      <c r="FXH50" s="519"/>
      <c r="FXI50" s="519"/>
      <c r="FXJ50" s="519"/>
      <c r="FXK50" s="519"/>
      <c r="FXL50" s="519"/>
      <c r="FXM50" s="519"/>
      <c r="FXN50" s="519"/>
      <c r="FXO50" s="519"/>
      <c r="FXP50" s="519"/>
      <c r="FXQ50" s="519"/>
      <c r="FXR50" s="519"/>
      <c r="FXS50" s="519"/>
      <c r="FXT50" s="519"/>
      <c r="FXU50" s="519"/>
      <c r="FXV50" s="519"/>
      <c r="FXW50" s="519"/>
      <c r="FXX50" s="519"/>
      <c r="FXY50" s="519"/>
      <c r="FXZ50" s="519"/>
      <c r="FYA50" s="519"/>
      <c r="FYB50" s="519"/>
      <c r="FYC50" s="519"/>
      <c r="FYD50" s="519"/>
      <c r="FYE50" s="519"/>
      <c r="FYF50" s="519"/>
      <c r="FYG50" s="519"/>
      <c r="FYH50" s="519"/>
      <c r="FYI50" s="519"/>
      <c r="FYJ50" s="519"/>
      <c r="FYK50" s="519"/>
      <c r="FYL50" s="519"/>
      <c r="FYM50" s="519"/>
      <c r="FYN50" s="519"/>
      <c r="FYO50" s="519"/>
      <c r="FYP50" s="519"/>
      <c r="FYQ50" s="519"/>
      <c r="FYR50" s="519"/>
      <c r="FYS50" s="519"/>
      <c r="FYT50" s="519"/>
      <c r="FYU50" s="519"/>
      <c r="FYV50" s="519"/>
      <c r="FYW50" s="519"/>
      <c r="FYX50" s="519"/>
      <c r="FYY50" s="519"/>
      <c r="FYZ50" s="519"/>
      <c r="FZA50" s="519"/>
      <c r="FZB50" s="519"/>
      <c r="FZC50" s="519"/>
      <c r="FZD50" s="519"/>
      <c r="FZE50" s="519"/>
      <c r="FZF50" s="519"/>
      <c r="FZG50" s="519"/>
      <c r="FZH50" s="519"/>
      <c r="FZI50" s="519"/>
      <c r="FZJ50" s="519"/>
      <c r="FZK50" s="519"/>
      <c r="FZL50" s="519"/>
      <c r="FZM50" s="519"/>
      <c r="FZN50" s="519"/>
      <c r="FZO50" s="519"/>
      <c r="FZP50" s="519"/>
      <c r="FZQ50" s="519"/>
      <c r="FZR50" s="519"/>
      <c r="FZS50" s="519"/>
      <c r="FZT50" s="519"/>
      <c r="FZU50" s="519"/>
      <c r="FZV50" s="519"/>
      <c r="FZW50" s="519"/>
      <c r="FZX50" s="519"/>
      <c r="FZY50" s="519"/>
      <c r="FZZ50" s="519"/>
      <c r="GAA50" s="519"/>
      <c r="GAB50" s="519"/>
      <c r="GAC50" s="519"/>
      <c r="GAD50" s="519"/>
      <c r="GAE50" s="519"/>
      <c r="GAF50" s="519"/>
      <c r="GAG50" s="519"/>
      <c r="GAH50" s="519"/>
      <c r="GAI50" s="519"/>
      <c r="GAJ50" s="519"/>
      <c r="GAK50" s="519"/>
      <c r="GAL50" s="519"/>
      <c r="GAM50" s="519"/>
      <c r="GAN50" s="519"/>
      <c r="GAO50" s="519"/>
      <c r="GAP50" s="519"/>
      <c r="GAQ50" s="519"/>
      <c r="GAR50" s="519"/>
      <c r="GAS50" s="519"/>
      <c r="GAT50" s="519"/>
      <c r="GAU50" s="519"/>
      <c r="GAV50" s="519"/>
      <c r="GAW50" s="519"/>
      <c r="GAX50" s="519"/>
      <c r="GAY50" s="519"/>
      <c r="GAZ50" s="519"/>
      <c r="GBA50" s="519"/>
      <c r="GBB50" s="519"/>
      <c r="GBC50" s="519"/>
      <c r="GBD50" s="519"/>
      <c r="GBE50" s="519"/>
      <c r="GBF50" s="519"/>
      <c r="GBG50" s="519"/>
      <c r="GBH50" s="519"/>
      <c r="GBI50" s="519"/>
      <c r="GBJ50" s="519"/>
      <c r="GBK50" s="519"/>
      <c r="GBL50" s="519"/>
      <c r="GBM50" s="519"/>
      <c r="GBN50" s="519"/>
      <c r="GBO50" s="519"/>
      <c r="GBP50" s="519"/>
      <c r="GBQ50" s="519"/>
      <c r="GBR50" s="519"/>
      <c r="GBS50" s="519"/>
      <c r="GBT50" s="519"/>
      <c r="GBU50" s="519"/>
      <c r="GBV50" s="519"/>
      <c r="GBW50" s="519"/>
      <c r="GBX50" s="519"/>
      <c r="GBY50" s="519"/>
      <c r="GBZ50" s="519"/>
      <c r="GCA50" s="519"/>
      <c r="GCB50" s="519"/>
      <c r="GCC50" s="519"/>
      <c r="GCD50" s="519"/>
      <c r="GCE50" s="519"/>
      <c r="GCF50" s="519"/>
      <c r="GCG50" s="519"/>
      <c r="GCH50" s="519"/>
      <c r="GCI50" s="519"/>
      <c r="GCJ50" s="519"/>
      <c r="GCK50" s="519"/>
      <c r="GCL50" s="519"/>
      <c r="GCM50" s="519"/>
      <c r="GCN50" s="519"/>
      <c r="GCO50" s="519"/>
      <c r="GCP50" s="519"/>
      <c r="GCQ50" s="519"/>
      <c r="GCR50" s="519"/>
      <c r="GCS50" s="519"/>
      <c r="GCT50" s="519"/>
      <c r="GCU50" s="519"/>
      <c r="GCV50" s="519"/>
      <c r="GCW50" s="519"/>
      <c r="GCX50" s="519"/>
      <c r="GCY50" s="519"/>
      <c r="GCZ50" s="519"/>
      <c r="GDA50" s="519"/>
      <c r="GDB50" s="519"/>
      <c r="GDC50" s="519"/>
      <c r="GDD50" s="519"/>
      <c r="GDE50" s="519"/>
      <c r="GDF50" s="519"/>
      <c r="GDG50" s="519"/>
      <c r="GDH50" s="519"/>
      <c r="GDI50" s="519"/>
      <c r="GDJ50" s="519"/>
      <c r="GDK50" s="519"/>
      <c r="GDL50" s="519"/>
      <c r="GDM50" s="519"/>
      <c r="GDN50" s="519"/>
      <c r="GDO50" s="519"/>
      <c r="GDP50" s="519"/>
      <c r="GDQ50" s="519"/>
      <c r="GDR50" s="519"/>
      <c r="GDS50" s="519"/>
      <c r="GDT50" s="519"/>
      <c r="GDU50" s="519"/>
      <c r="GDV50" s="519"/>
      <c r="GDW50" s="519"/>
      <c r="GDX50" s="519"/>
      <c r="GDY50" s="519"/>
      <c r="GDZ50" s="519"/>
      <c r="GEA50" s="519"/>
      <c r="GEB50" s="519"/>
      <c r="GEC50" s="519"/>
      <c r="GED50" s="519"/>
      <c r="GEE50" s="519"/>
      <c r="GEF50" s="519"/>
      <c r="GEG50" s="519"/>
      <c r="GEH50" s="519"/>
      <c r="GEI50" s="519"/>
      <c r="GEJ50" s="519"/>
      <c r="GEK50" s="519"/>
      <c r="GEL50" s="519"/>
      <c r="GEM50" s="519"/>
      <c r="GEN50" s="519"/>
      <c r="GEO50" s="519"/>
      <c r="GEP50" s="519"/>
      <c r="GEQ50" s="519"/>
      <c r="GER50" s="519"/>
      <c r="GES50" s="519"/>
      <c r="GET50" s="519"/>
      <c r="GEU50" s="519"/>
      <c r="GEV50" s="519"/>
      <c r="GEW50" s="519"/>
      <c r="GEX50" s="519"/>
      <c r="GEY50" s="519"/>
      <c r="GEZ50" s="519"/>
      <c r="GFA50" s="519"/>
      <c r="GFB50" s="519"/>
      <c r="GFC50" s="519"/>
      <c r="GFD50" s="519"/>
      <c r="GFE50" s="519"/>
      <c r="GFF50" s="519"/>
      <c r="GFG50" s="519"/>
      <c r="GFH50" s="519"/>
      <c r="GFI50" s="519"/>
      <c r="GFJ50" s="519"/>
      <c r="GFK50" s="519"/>
      <c r="GFL50" s="519"/>
      <c r="GFM50" s="519"/>
      <c r="GFN50" s="519"/>
      <c r="GFO50" s="519"/>
      <c r="GFP50" s="519"/>
      <c r="GFQ50" s="519"/>
      <c r="GFR50" s="519"/>
      <c r="GFS50" s="519"/>
      <c r="GFT50" s="519"/>
      <c r="GFU50" s="519"/>
      <c r="GFV50" s="519"/>
      <c r="GFW50" s="519"/>
      <c r="GFX50" s="519"/>
      <c r="GFY50" s="519"/>
      <c r="GFZ50" s="519"/>
      <c r="GGA50" s="519"/>
      <c r="GGB50" s="519"/>
      <c r="GGC50" s="519"/>
      <c r="GGD50" s="519"/>
      <c r="GGE50" s="519"/>
      <c r="GGF50" s="519"/>
      <c r="GGG50" s="519"/>
      <c r="GGH50" s="519"/>
      <c r="GGI50" s="519"/>
      <c r="GGJ50" s="519"/>
      <c r="GGK50" s="519"/>
      <c r="GGL50" s="519"/>
      <c r="GGM50" s="519"/>
      <c r="GGN50" s="519"/>
      <c r="GGO50" s="519"/>
      <c r="GGP50" s="519"/>
      <c r="GGQ50" s="519"/>
      <c r="GGR50" s="519"/>
      <c r="GGS50" s="519"/>
      <c r="GGT50" s="519"/>
      <c r="GGU50" s="519"/>
      <c r="GGV50" s="519"/>
      <c r="GGW50" s="519"/>
      <c r="GGX50" s="519"/>
      <c r="GGY50" s="519"/>
      <c r="GGZ50" s="519"/>
      <c r="GHA50" s="519"/>
      <c r="GHB50" s="519"/>
      <c r="GHC50" s="519"/>
      <c r="GHD50" s="519"/>
      <c r="GHE50" s="519"/>
      <c r="GHF50" s="519"/>
      <c r="GHG50" s="519"/>
      <c r="GHH50" s="519"/>
      <c r="GHI50" s="519"/>
      <c r="GHJ50" s="519"/>
      <c r="GHK50" s="519"/>
      <c r="GHL50" s="519"/>
      <c r="GHM50" s="519"/>
      <c r="GHN50" s="519"/>
      <c r="GHO50" s="519"/>
      <c r="GHP50" s="519"/>
      <c r="GHQ50" s="519"/>
      <c r="GHR50" s="519"/>
      <c r="GHS50" s="519"/>
      <c r="GHT50" s="519"/>
      <c r="GHU50" s="519"/>
      <c r="GHV50" s="519"/>
      <c r="GHW50" s="519"/>
      <c r="GHX50" s="519"/>
      <c r="GHY50" s="519"/>
      <c r="GHZ50" s="519"/>
      <c r="GIA50" s="519"/>
      <c r="GIB50" s="519"/>
      <c r="GIC50" s="519"/>
      <c r="GID50" s="519"/>
      <c r="GIE50" s="519"/>
      <c r="GIF50" s="519"/>
      <c r="GIG50" s="519"/>
      <c r="GIH50" s="519"/>
      <c r="GII50" s="519"/>
      <c r="GIJ50" s="519"/>
      <c r="GIK50" s="519"/>
      <c r="GIL50" s="519"/>
      <c r="GIM50" s="519"/>
      <c r="GIN50" s="519"/>
      <c r="GIO50" s="519"/>
      <c r="GIP50" s="519"/>
      <c r="GIQ50" s="519"/>
      <c r="GIR50" s="519"/>
      <c r="GIS50" s="519"/>
      <c r="GIT50" s="519"/>
      <c r="GIU50" s="519"/>
      <c r="GIV50" s="519"/>
      <c r="GIW50" s="519"/>
      <c r="GIX50" s="519"/>
      <c r="GIY50" s="519"/>
      <c r="GIZ50" s="519"/>
      <c r="GJA50" s="519"/>
      <c r="GJB50" s="519"/>
      <c r="GJC50" s="519"/>
      <c r="GJD50" s="519"/>
      <c r="GJE50" s="519"/>
      <c r="GJF50" s="519"/>
      <c r="GJG50" s="519"/>
      <c r="GJH50" s="519"/>
      <c r="GJI50" s="519"/>
      <c r="GJJ50" s="519"/>
      <c r="GJK50" s="519"/>
      <c r="GJL50" s="519"/>
      <c r="GJM50" s="519"/>
      <c r="GJN50" s="519"/>
      <c r="GJO50" s="519"/>
      <c r="GJP50" s="519"/>
      <c r="GJQ50" s="519"/>
      <c r="GJR50" s="519"/>
      <c r="GJS50" s="519"/>
      <c r="GJT50" s="519"/>
      <c r="GJU50" s="519"/>
      <c r="GJV50" s="519"/>
      <c r="GJW50" s="519"/>
      <c r="GJX50" s="519"/>
      <c r="GJY50" s="519"/>
      <c r="GJZ50" s="519"/>
      <c r="GKA50" s="519"/>
      <c r="GKB50" s="519"/>
      <c r="GKC50" s="519"/>
      <c r="GKD50" s="519"/>
      <c r="GKE50" s="519"/>
      <c r="GKF50" s="519"/>
      <c r="GKG50" s="519"/>
      <c r="GKH50" s="519"/>
      <c r="GKI50" s="519"/>
      <c r="GKJ50" s="519"/>
      <c r="GKK50" s="519"/>
      <c r="GKL50" s="519"/>
      <c r="GKM50" s="519"/>
      <c r="GKN50" s="519"/>
      <c r="GKO50" s="519"/>
      <c r="GKP50" s="519"/>
      <c r="GKQ50" s="519"/>
      <c r="GKR50" s="519"/>
      <c r="GKS50" s="519"/>
      <c r="GKT50" s="519"/>
      <c r="GKU50" s="519"/>
      <c r="GKV50" s="519"/>
      <c r="GKW50" s="519"/>
      <c r="GKX50" s="519"/>
      <c r="GKY50" s="519"/>
      <c r="GKZ50" s="519"/>
      <c r="GLA50" s="519"/>
      <c r="GLB50" s="519"/>
      <c r="GLC50" s="519"/>
      <c r="GLD50" s="519"/>
      <c r="GLE50" s="519"/>
      <c r="GLF50" s="519"/>
      <c r="GLG50" s="519"/>
      <c r="GLH50" s="519"/>
      <c r="GLI50" s="519"/>
      <c r="GLJ50" s="519"/>
      <c r="GLK50" s="519"/>
      <c r="GLL50" s="519"/>
      <c r="GLM50" s="519"/>
      <c r="GLN50" s="519"/>
      <c r="GLO50" s="519"/>
      <c r="GLP50" s="519"/>
      <c r="GLQ50" s="519"/>
      <c r="GLR50" s="519"/>
      <c r="GLS50" s="519"/>
      <c r="GLT50" s="519"/>
      <c r="GLU50" s="519"/>
      <c r="GLV50" s="519"/>
      <c r="GLW50" s="519"/>
      <c r="GLX50" s="519"/>
      <c r="GLY50" s="519"/>
      <c r="GLZ50" s="519"/>
      <c r="GMA50" s="519"/>
      <c r="GMB50" s="519"/>
      <c r="GMC50" s="519"/>
      <c r="GMD50" s="519"/>
      <c r="GME50" s="519"/>
      <c r="GMF50" s="519"/>
      <c r="GMG50" s="519"/>
      <c r="GMH50" s="519"/>
      <c r="GMI50" s="519"/>
      <c r="GMJ50" s="519"/>
      <c r="GMK50" s="519"/>
      <c r="GML50" s="519"/>
      <c r="GMM50" s="519"/>
      <c r="GMN50" s="519"/>
      <c r="GMO50" s="519"/>
      <c r="GMP50" s="519"/>
      <c r="GMQ50" s="519"/>
      <c r="GMR50" s="519"/>
      <c r="GMS50" s="519"/>
      <c r="GMT50" s="519"/>
      <c r="GMU50" s="519"/>
      <c r="GMV50" s="519"/>
      <c r="GMW50" s="519"/>
      <c r="GMX50" s="519"/>
      <c r="GMY50" s="519"/>
      <c r="GMZ50" s="519"/>
      <c r="GNA50" s="519"/>
      <c r="GNB50" s="519"/>
      <c r="GNC50" s="519"/>
      <c r="GND50" s="519"/>
      <c r="GNE50" s="519"/>
      <c r="GNF50" s="519"/>
      <c r="GNG50" s="519"/>
      <c r="GNH50" s="519"/>
      <c r="GNI50" s="519"/>
      <c r="GNJ50" s="519"/>
      <c r="GNK50" s="519"/>
      <c r="GNL50" s="519"/>
      <c r="GNM50" s="519"/>
      <c r="GNN50" s="519"/>
      <c r="GNO50" s="519"/>
      <c r="GNP50" s="519"/>
      <c r="GNQ50" s="519"/>
      <c r="GNR50" s="519"/>
      <c r="GNS50" s="519"/>
      <c r="GNT50" s="519"/>
      <c r="GNU50" s="519"/>
      <c r="GNV50" s="519"/>
      <c r="GNW50" s="519"/>
      <c r="GNX50" s="519"/>
      <c r="GNY50" s="519"/>
      <c r="GNZ50" s="519"/>
      <c r="GOA50" s="519"/>
      <c r="GOB50" s="519"/>
      <c r="GOC50" s="519"/>
      <c r="GOD50" s="519"/>
      <c r="GOE50" s="519"/>
      <c r="GOF50" s="519"/>
      <c r="GOG50" s="519"/>
      <c r="GOH50" s="519"/>
      <c r="GOI50" s="519"/>
      <c r="GOJ50" s="519"/>
      <c r="GOK50" s="519"/>
      <c r="GOL50" s="519"/>
      <c r="GOM50" s="519"/>
      <c r="GON50" s="519"/>
      <c r="GOO50" s="519"/>
      <c r="GOP50" s="519"/>
      <c r="GOQ50" s="519"/>
      <c r="GOR50" s="519"/>
      <c r="GOS50" s="519"/>
      <c r="GOT50" s="519"/>
      <c r="GOU50" s="519"/>
      <c r="GOV50" s="519"/>
      <c r="GOW50" s="519"/>
      <c r="GOX50" s="519"/>
      <c r="GOY50" s="519"/>
      <c r="GOZ50" s="519"/>
      <c r="GPA50" s="519"/>
      <c r="GPB50" s="519"/>
      <c r="GPC50" s="519"/>
      <c r="GPD50" s="519"/>
      <c r="GPE50" s="519"/>
      <c r="GPF50" s="519"/>
      <c r="GPG50" s="519"/>
      <c r="GPH50" s="519"/>
      <c r="GPI50" s="519"/>
      <c r="GPJ50" s="519"/>
      <c r="GPK50" s="519"/>
      <c r="GPL50" s="519"/>
      <c r="GPM50" s="519"/>
      <c r="GPN50" s="519"/>
      <c r="GPO50" s="519"/>
      <c r="GPP50" s="519"/>
      <c r="GPQ50" s="519"/>
      <c r="GPR50" s="519"/>
      <c r="GPS50" s="519"/>
      <c r="GPT50" s="519"/>
      <c r="GPU50" s="519"/>
      <c r="GPV50" s="519"/>
      <c r="GPW50" s="519"/>
      <c r="GPX50" s="519"/>
      <c r="GPY50" s="519"/>
      <c r="GPZ50" s="519"/>
      <c r="GQA50" s="519"/>
      <c r="GQB50" s="519"/>
      <c r="GQC50" s="519"/>
      <c r="GQD50" s="519"/>
      <c r="GQE50" s="519"/>
      <c r="GQF50" s="519"/>
      <c r="GQG50" s="519"/>
      <c r="GQH50" s="519"/>
      <c r="GQI50" s="519"/>
      <c r="GQJ50" s="519"/>
      <c r="GQK50" s="519"/>
      <c r="GQL50" s="519"/>
      <c r="GQM50" s="519"/>
      <c r="GQN50" s="519"/>
      <c r="GQO50" s="519"/>
      <c r="GQP50" s="519"/>
      <c r="GQQ50" s="519"/>
      <c r="GQR50" s="519"/>
      <c r="GQS50" s="519"/>
      <c r="GQT50" s="519"/>
      <c r="GQU50" s="519"/>
      <c r="GQV50" s="519"/>
      <c r="GQW50" s="519"/>
      <c r="GQX50" s="519"/>
      <c r="GQY50" s="519"/>
      <c r="GQZ50" s="519"/>
      <c r="GRA50" s="519"/>
      <c r="GRB50" s="519"/>
      <c r="GRC50" s="519"/>
      <c r="GRD50" s="519"/>
      <c r="GRE50" s="519"/>
      <c r="GRF50" s="519"/>
      <c r="GRG50" s="519"/>
      <c r="GRH50" s="519"/>
      <c r="GRI50" s="519"/>
      <c r="GRJ50" s="519"/>
      <c r="GRK50" s="519"/>
      <c r="GRL50" s="519"/>
      <c r="GRM50" s="519"/>
      <c r="GRN50" s="519"/>
      <c r="GRO50" s="519"/>
      <c r="GRP50" s="519"/>
      <c r="GRQ50" s="519"/>
      <c r="GRR50" s="519"/>
      <c r="GRS50" s="519"/>
      <c r="GRT50" s="519"/>
      <c r="GRU50" s="519"/>
      <c r="GRV50" s="519"/>
      <c r="GRW50" s="519"/>
      <c r="GRX50" s="519"/>
      <c r="GRY50" s="519"/>
      <c r="GRZ50" s="519"/>
      <c r="GSA50" s="519"/>
      <c r="GSB50" s="519"/>
      <c r="GSC50" s="519"/>
      <c r="GSD50" s="519"/>
      <c r="GSE50" s="519"/>
      <c r="GSF50" s="519"/>
      <c r="GSG50" s="519"/>
      <c r="GSH50" s="519"/>
      <c r="GSI50" s="519"/>
      <c r="GSJ50" s="519"/>
      <c r="GSK50" s="519"/>
      <c r="GSL50" s="519"/>
      <c r="GSM50" s="519"/>
      <c r="GSN50" s="519"/>
      <c r="GSO50" s="519"/>
      <c r="GSP50" s="519"/>
      <c r="GSQ50" s="519"/>
      <c r="GSR50" s="519"/>
      <c r="GSS50" s="519"/>
      <c r="GST50" s="519"/>
      <c r="GSU50" s="519"/>
      <c r="GSV50" s="519"/>
      <c r="GSW50" s="519"/>
      <c r="GSX50" s="519"/>
      <c r="GSY50" s="519"/>
      <c r="GSZ50" s="519"/>
      <c r="GTA50" s="519"/>
      <c r="GTB50" s="519"/>
      <c r="GTC50" s="519"/>
      <c r="GTD50" s="519"/>
      <c r="GTE50" s="519"/>
      <c r="GTF50" s="519"/>
      <c r="GTG50" s="519"/>
      <c r="GTH50" s="519"/>
      <c r="GTI50" s="519"/>
      <c r="GTJ50" s="519"/>
      <c r="GTK50" s="519"/>
      <c r="GTL50" s="519"/>
      <c r="GTM50" s="519"/>
      <c r="GTN50" s="519"/>
      <c r="GTO50" s="519"/>
      <c r="GTP50" s="519"/>
      <c r="GTQ50" s="519"/>
      <c r="GTR50" s="519"/>
      <c r="GTS50" s="519"/>
      <c r="GTT50" s="519"/>
      <c r="GTU50" s="519"/>
      <c r="GTV50" s="519"/>
      <c r="GTW50" s="519"/>
      <c r="GTX50" s="519"/>
      <c r="GTY50" s="519"/>
      <c r="GTZ50" s="519"/>
      <c r="GUA50" s="519"/>
      <c r="GUB50" s="519"/>
      <c r="GUC50" s="519"/>
      <c r="GUD50" s="519"/>
      <c r="GUE50" s="519"/>
      <c r="GUF50" s="519"/>
      <c r="GUG50" s="519"/>
      <c r="GUH50" s="519"/>
      <c r="GUI50" s="519"/>
      <c r="GUJ50" s="519"/>
      <c r="GUK50" s="519"/>
      <c r="GUL50" s="519"/>
      <c r="GUM50" s="519"/>
      <c r="GUN50" s="519"/>
      <c r="GUO50" s="519"/>
      <c r="GUP50" s="519"/>
      <c r="GUQ50" s="519"/>
      <c r="GUR50" s="519"/>
      <c r="GUS50" s="519"/>
      <c r="GUT50" s="519"/>
      <c r="GUU50" s="519"/>
      <c r="GUV50" s="519"/>
      <c r="GUW50" s="519"/>
      <c r="GUX50" s="519"/>
      <c r="GUY50" s="519"/>
      <c r="GUZ50" s="519"/>
      <c r="GVA50" s="519"/>
      <c r="GVB50" s="519"/>
      <c r="GVC50" s="519"/>
      <c r="GVD50" s="519"/>
      <c r="GVE50" s="519"/>
      <c r="GVF50" s="519"/>
      <c r="GVG50" s="519"/>
      <c r="GVH50" s="519"/>
      <c r="GVI50" s="519"/>
      <c r="GVJ50" s="519"/>
      <c r="GVK50" s="519"/>
      <c r="GVL50" s="519"/>
      <c r="GVM50" s="519"/>
      <c r="GVN50" s="519"/>
      <c r="GVO50" s="519"/>
      <c r="GVP50" s="519"/>
      <c r="GVQ50" s="519"/>
      <c r="GVR50" s="519"/>
      <c r="GVS50" s="519"/>
      <c r="GVT50" s="519"/>
      <c r="GVU50" s="519"/>
      <c r="GVV50" s="519"/>
      <c r="GVW50" s="519"/>
      <c r="GVX50" s="519"/>
      <c r="GVY50" s="519"/>
      <c r="GVZ50" s="519"/>
      <c r="GWA50" s="519"/>
      <c r="GWB50" s="519"/>
      <c r="GWC50" s="519"/>
      <c r="GWD50" s="519"/>
      <c r="GWE50" s="519"/>
      <c r="GWF50" s="519"/>
      <c r="GWG50" s="519"/>
      <c r="GWH50" s="519"/>
      <c r="GWI50" s="519"/>
      <c r="GWJ50" s="519"/>
      <c r="GWK50" s="519"/>
      <c r="GWL50" s="519"/>
      <c r="GWM50" s="519"/>
      <c r="GWN50" s="519"/>
      <c r="GWO50" s="519"/>
      <c r="GWP50" s="519"/>
      <c r="GWQ50" s="519"/>
      <c r="GWR50" s="519"/>
      <c r="GWS50" s="519"/>
      <c r="GWT50" s="519"/>
      <c r="GWU50" s="519"/>
      <c r="GWV50" s="519"/>
      <c r="GWW50" s="519"/>
      <c r="GWX50" s="519"/>
      <c r="GWY50" s="519"/>
      <c r="GWZ50" s="519"/>
      <c r="GXA50" s="519"/>
      <c r="GXB50" s="519"/>
      <c r="GXC50" s="519"/>
      <c r="GXD50" s="519"/>
      <c r="GXE50" s="519"/>
      <c r="GXF50" s="519"/>
      <c r="GXG50" s="519"/>
      <c r="GXH50" s="519"/>
      <c r="GXI50" s="519"/>
      <c r="GXJ50" s="519"/>
      <c r="GXK50" s="519"/>
      <c r="GXL50" s="519"/>
      <c r="GXM50" s="519"/>
      <c r="GXN50" s="519"/>
      <c r="GXO50" s="519"/>
      <c r="GXP50" s="519"/>
      <c r="GXQ50" s="519"/>
      <c r="GXR50" s="519"/>
      <c r="GXS50" s="519"/>
      <c r="GXT50" s="519"/>
      <c r="GXU50" s="519"/>
      <c r="GXV50" s="519"/>
      <c r="GXW50" s="519"/>
      <c r="GXX50" s="519"/>
      <c r="GXY50" s="519"/>
      <c r="GXZ50" s="519"/>
      <c r="GYA50" s="519"/>
      <c r="GYB50" s="519"/>
      <c r="GYC50" s="519"/>
      <c r="GYD50" s="519"/>
      <c r="GYE50" s="519"/>
      <c r="GYF50" s="519"/>
      <c r="GYG50" s="519"/>
      <c r="GYH50" s="519"/>
      <c r="GYI50" s="519"/>
      <c r="GYJ50" s="519"/>
      <c r="GYK50" s="519"/>
      <c r="GYL50" s="519"/>
      <c r="GYM50" s="519"/>
      <c r="GYN50" s="519"/>
      <c r="GYO50" s="519"/>
      <c r="GYP50" s="519"/>
      <c r="GYQ50" s="519"/>
      <c r="GYR50" s="519"/>
      <c r="GYS50" s="519"/>
      <c r="GYT50" s="519"/>
      <c r="GYU50" s="519"/>
      <c r="GYV50" s="519"/>
      <c r="GYW50" s="519"/>
      <c r="GYX50" s="519"/>
      <c r="GYY50" s="519"/>
      <c r="GYZ50" s="519"/>
      <c r="GZA50" s="519"/>
      <c r="GZB50" s="519"/>
      <c r="GZC50" s="519"/>
      <c r="GZD50" s="519"/>
      <c r="GZE50" s="519"/>
      <c r="GZF50" s="519"/>
      <c r="GZG50" s="519"/>
      <c r="GZH50" s="519"/>
      <c r="GZI50" s="519"/>
      <c r="GZJ50" s="519"/>
      <c r="GZK50" s="519"/>
      <c r="GZL50" s="519"/>
      <c r="GZM50" s="519"/>
      <c r="GZN50" s="519"/>
      <c r="GZO50" s="519"/>
      <c r="GZP50" s="519"/>
      <c r="GZQ50" s="519"/>
      <c r="GZR50" s="519"/>
      <c r="GZS50" s="519"/>
      <c r="GZT50" s="519"/>
      <c r="GZU50" s="519"/>
      <c r="GZV50" s="519"/>
      <c r="GZW50" s="519"/>
      <c r="GZX50" s="519"/>
      <c r="GZY50" s="519"/>
      <c r="GZZ50" s="519"/>
      <c r="HAA50" s="519"/>
      <c r="HAB50" s="519"/>
      <c r="HAC50" s="519"/>
      <c r="HAD50" s="519"/>
      <c r="HAE50" s="519"/>
      <c r="HAF50" s="519"/>
      <c r="HAG50" s="519"/>
      <c r="HAH50" s="519"/>
      <c r="HAI50" s="519"/>
      <c r="HAJ50" s="519"/>
      <c r="HAK50" s="519"/>
      <c r="HAL50" s="519"/>
      <c r="HAM50" s="519"/>
      <c r="HAN50" s="519"/>
      <c r="HAO50" s="519"/>
      <c r="HAP50" s="519"/>
      <c r="HAQ50" s="519"/>
      <c r="HAR50" s="519"/>
      <c r="HAS50" s="519"/>
      <c r="HAT50" s="519"/>
      <c r="HAU50" s="519"/>
      <c r="HAV50" s="519"/>
      <c r="HAW50" s="519"/>
      <c r="HAX50" s="519"/>
      <c r="HAY50" s="519"/>
      <c r="HAZ50" s="519"/>
      <c r="HBA50" s="519"/>
      <c r="HBB50" s="519"/>
      <c r="HBC50" s="519"/>
      <c r="HBD50" s="519"/>
      <c r="HBE50" s="519"/>
      <c r="HBF50" s="519"/>
      <c r="HBG50" s="519"/>
      <c r="HBH50" s="519"/>
      <c r="HBI50" s="519"/>
      <c r="HBJ50" s="519"/>
      <c r="HBK50" s="519"/>
      <c r="HBL50" s="519"/>
      <c r="HBM50" s="519"/>
      <c r="HBN50" s="519"/>
      <c r="HBO50" s="519"/>
      <c r="HBP50" s="519"/>
      <c r="HBQ50" s="519"/>
      <c r="HBR50" s="519"/>
      <c r="HBS50" s="519"/>
      <c r="HBT50" s="519"/>
      <c r="HBU50" s="519"/>
      <c r="HBV50" s="519"/>
      <c r="HBW50" s="519"/>
      <c r="HBX50" s="519"/>
      <c r="HBY50" s="519"/>
      <c r="HBZ50" s="519"/>
      <c r="HCA50" s="519"/>
      <c r="HCB50" s="519"/>
      <c r="HCC50" s="519"/>
      <c r="HCD50" s="519"/>
      <c r="HCE50" s="519"/>
      <c r="HCF50" s="519"/>
      <c r="HCG50" s="519"/>
      <c r="HCH50" s="519"/>
      <c r="HCI50" s="519"/>
      <c r="HCJ50" s="519"/>
      <c r="HCK50" s="519"/>
      <c r="HCL50" s="519"/>
      <c r="HCM50" s="519"/>
      <c r="HCN50" s="519"/>
      <c r="HCO50" s="519"/>
      <c r="HCP50" s="519"/>
      <c r="HCQ50" s="519"/>
      <c r="HCR50" s="519"/>
      <c r="HCS50" s="519"/>
      <c r="HCT50" s="519"/>
      <c r="HCU50" s="519"/>
      <c r="HCV50" s="519"/>
      <c r="HCW50" s="519"/>
      <c r="HCX50" s="519"/>
      <c r="HCY50" s="519"/>
      <c r="HCZ50" s="519"/>
      <c r="HDA50" s="519"/>
      <c r="HDB50" s="519"/>
      <c r="HDC50" s="519"/>
      <c r="HDD50" s="519"/>
      <c r="HDE50" s="519"/>
      <c r="HDF50" s="519"/>
      <c r="HDG50" s="519"/>
      <c r="HDH50" s="519"/>
      <c r="HDI50" s="519"/>
      <c r="HDJ50" s="519"/>
      <c r="HDK50" s="519"/>
      <c r="HDL50" s="519"/>
      <c r="HDM50" s="519"/>
      <c r="HDN50" s="519"/>
      <c r="HDO50" s="519"/>
      <c r="HDP50" s="519"/>
      <c r="HDQ50" s="519"/>
      <c r="HDR50" s="519"/>
      <c r="HDS50" s="519"/>
      <c r="HDT50" s="519"/>
      <c r="HDU50" s="519"/>
      <c r="HDV50" s="519"/>
      <c r="HDW50" s="519"/>
      <c r="HDX50" s="519"/>
      <c r="HDY50" s="519"/>
      <c r="HDZ50" s="519"/>
      <c r="HEA50" s="519"/>
      <c r="HEB50" s="519"/>
      <c r="HEC50" s="519"/>
      <c r="HED50" s="519"/>
      <c r="HEE50" s="519"/>
      <c r="HEF50" s="519"/>
      <c r="HEG50" s="519"/>
      <c r="HEH50" s="519"/>
      <c r="HEI50" s="519"/>
      <c r="HEJ50" s="519"/>
      <c r="HEK50" s="519"/>
      <c r="HEL50" s="519"/>
      <c r="HEM50" s="519"/>
      <c r="HEN50" s="519"/>
      <c r="HEO50" s="519"/>
      <c r="HEP50" s="519"/>
      <c r="HEQ50" s="519"/>
      <c r="HER50" s="519"/>
      <c r="HES50" s="519"/>
      <c r="HET50" s="519"/>
      <c r="HEU50" s="519"/>
      <c r="HEV50" s="519"/>
      <c r="HEW50" s="519"/>
      <c r="HEX50" s="519"/>
      <c r="HEY50" s="519"/>
      <c r="HEZ50" s="519"/>
      <c r="HFA50" s="519"/>
      <c r="HFB50" s="519"/>
      <c r="HFC50" s="519"/>
      <c r="HFD50" s="519"/>
      <c r="HFE50" s="519"/>
      <c r="HFF50" s="519"/>
      <c r="HFG50" s="519"/>
      <c r="HFH50" s="519"/>
      <c r="HFI50" s="519"/>
      <c r="HFJ50" s="519"/>
      <c r="HFK50" s="519"/>
      <c r="HFL50" s="519"/>
      <c r="HFM50" s="519"/>
      <c r="HFN50" s="519"/>
      <c r="HFO50" s="519"/>
      <c r="HFP50" s="519"/>
      <c r="HFQ50" s="519"/>
      <c r="HFR50" s="519"/>
      <c r="HFS50" s="519"/>
      <c r="HFT50" s="519"/>
      <c r="HFU50" s="519"/>
      <c r="HFV50" s="519"/>
      <c r="HFW50" s="519"/>
      <c r="HFX50" s="519"/>
      <c r="HFY50" s="519"/>
      <c r="HFZ50" s="519"/>
      <c r="HGA50" s="519"/>
      <c r="HGB50" s="519"/>
      <c r="HGC50" s="519"/>
      <c r="HGD50" s="519"/>
      <c r="HGE50" s="519"/>
      <c r="HGF50" s="519"/>
      <c r="HGG50" s="519"/>
      <c r="HGH50" s="519"/>
      <c r="HGI50" s="519"/>
      <c r="HGJ50" s="519"/>
      <c r="HGK50" s="519"/>
      <c r="HGL50" s="519"/>
      <c r="HGM50" s="519"/>
      <c r="HGN50" s="519"/>
      <c r="HGO50" s="519"/>
      <c r="HGP50" s="519"/>
      <c r="HGQ50" s="519"/>
      <c r="HGR50" s="519"/>
      <c r="HGS50" s="519"/>
      <c r="HGT50" s="519"/>
      <c r="HGU50" s="519"/>
      <c r="HGV50" s="519"/>
      <c r="HGW50" s="519"/>
      <c r="HGX50" s="519"/>
      <c r="HGY50" s="519"/>
      <c r="HGZ50" s="519"/>
      <c r="HHA50" s="519"/>
      <c r="HHB50" s="519"/>
      <c r="HHC50" s="519"/>
      <c r="HHD50" s="519"/>
      <c r="HHE50" s="519"/>
      <c r="HHF50" s="519"/>
      <c r="HHG50" s="519"/>
      <c r="HHH50" s="519"/>
      <c r="HHI50" s="519"/>
      <c r="HHJ50" s="519"/>
      <c r="HHK50" s="519"/>
      <c r="HHL50" s="519"/>
      <c r="HHM50" s="519"/>
      <c r="HHN50" s="519"/>
      <c r="HHO50" s="519"/>
      <c r="HHP50" s="519"/>
      <c r="HHQ50" s="519"/>
      <c r="HHR50" s="519"/>
      <c r="HHS50" s="519"/>
      <c r="HHT50" s="519"/>
      <c r="HHU50" s="519"/>
      <c r="HHV50" s="519"/>
      <c r="HHW50" s="519"/>
      <c r="HHX50" s="519"/>
      <c r="HHY50" s="519"/>
      <c r="HHZ50" s="519"/>
      <c r="HIA50" s="519"/>
      <c r="HIB50" s="519"/>
      <c r="HIC50" s="519"/>
      <c r="HID50" s="519"/>
      <c r="HIE50" s="519"/>
      <c r="HIF50" s="519"/>
      <c r="HIG50" s="519"/>
      <c r="HIH50" s="519"/>
      <c r="HII50" s="519"/>
      <c r="HIJ50" s="519"/>
      <c r="HIK50" s="519"/>
      <c r="HIL50" s="519"/>
      <c r="HIM50" s="519"/>
      <c r="HIN50" s="519"/>
      <c r="HIO50" s="519"/>
      <c r="HIP50" s="519"/>
      <c r="HIQ50" s="519"/>
      <c r="HIR50" s="519"/>
      <c r="HIS50" s="519"/>
      <c r="HIT50" s="519"/>
      <c r="HIU50" s="519"/>
      <c r="HIV50" s="519"/>
      <c r="HIW50" s="519"/>
      <c r="HIX50" s="519"/>
      <c r="HIY50" s="519"/>
      <c r="HIZ50" s="519"/>
      <c r="HJA50" s="519"/>
      <c r="HJB50" s="519"/>
      <c r="HJC50" s="519"/>
      <c r="HJD50" s="519"/>
      <c r="HJE50" s="519"/>
      <c r="HJF50" s="519"/>
      <c r="HJG50" s="519"/>
      <c r="HJH50" s="519"/>
      <c r="HJI50" s="519"/>
      <c r="HJJ50" s="519"/>
      <c r="HJK50" s="519"/>
      <c r="HJL50" s="519"/>
      <c r="HJM50" s="519"/>
      <c r="HJN50" s="519"/>
      <c r="HJO50" s="519"/>
      <c r="HJP50" s="519"/>
      <c r="HJQ50" s="519"/>
      <c r="HJR50" s="519"/>
      <c r="HJS50" s="519"/>
      <c r="HJT50" s="519"/>
      <c r="HJU50" s="519"/>
      <c r="HJV50" s="519"/>
      <c r="HJW50" s="519"/>
      <c r="HJX50" s="519"/>
      <c r="HJY50" s="519"/>
      <c r="HJZ50" s="519"/>
      <c r="HKA50" s="519"/>
      <c r="HKB50" s="519"/>
      <c r="HKC50" s="519"/>
      <c r="HKD50" s="519"/>
      <c r="HKE50" s="519"/>
      <c r="HKF50" s="519"/>
      <c r="HKG50" s="519"/>
      <c r="HKH50" s="519"/>
      <c r="HKI50" s="519"/>
      <c r="HKJ50" s="519"/>
      <c r="HKK50" s="519"/>
      <c r="HKL50" s="519"/>
      <c r="HKM50" s="519"/>
      <c r="HKN50" s="519"/>
      <c r="HKO50" s="519"/>
      <c r="HKP50" s="519"/>
      <c r="HKQ50" s="519"/>
      <c r="HKR50" s="519"/>
      <c r="HKS50" s="519"/>
      <c r="HKT50" s="519"/>
      <c r="HKU50" s="519"/>
      <c r="HKV50" s="519"/>
      <c r="HKW50" s="519"/>
      <c r="HKX50" s="519"/>
      <c r="HKY50" s="519"/>
      <c r="HKZ50" s="519"/>
      <c r="HLA50" s="519"/>
      <c r="HLB50" s="519"/>
      <c r="HLC50" s="519"/>
      <c r="HLD50" s="519"/>
      <c r="HLE50" s="519"/>
      <c r="HLF50" s="519"/>
      <c r="HLG50" s="519"/>
      <c r="HLH50" s="519"/>
      <c r="HLI50" s="519"/>
      <c r="HLJ50" s="519"/>
      <c r="HLK50" s="519"/>
      <c r="HLL50" s="519"/>
      <c r="HLM50" s="519"/>
      <c r="HLN50" s="519"/>
      <c r="HLO50" s="519"/>
      <c r="HLP50" s="519"/>
      <c r="HLQ50" s="519"/>
      <c r="HLR50" s="519"/>
      <c r="HLS50" s="519"/>
      <c r="HLT50" s="519"/>
      <c r="HLU50" s="519"/>
      <c r="HLV50" s="519"/>
      <c r="HLW50" s="519"/>
      <c r="HLX50" s="519"/>
      <c r="HLY50" s="519"/>
      <c r="HLZ50" s="519"/>
      <c r="HMA50" s="519"/>
      <c r="HMB50" s="519"/>
      <c r="HMC50" s="519"/>
      <c r="HMD50" s="519"/>
      <c r="HME50" s="519"/>
      <c r="HMF50" s="519"/>
      <c r="HMG50" s="519"/>
      <c r="HMH50" s="519"/>
      <c r="HMI50" s="519"/>
      <c r="HMJ50" s="519"/>
      <c r="HMK50" s="519"/>
      <c r="HML50" s="519"/>
      <c r="HMM50" s="519"/>
      <c r="HMN50" s="519"/>
      <c r="HMO50" s="519"/>
      <c r="HMP50" s="519"/>
      <c r="HMQ50" s="519"/>
      <c r="HMR50" s="519"/>
      <c r="HMS50" s="519"/>
      <c r="HMT50" s="519"/>
      <c r="HMU50" s="519"/>
      <c r="HMV50" s="519"/>
      <c r="HMW50" s="519"/>
      <c r="HMX50" s="519"/>
      <c r="HMY50" s="519"/>
      <c r="HMZ50" s="519"/>
      <c r="HNA50" s="519"/>
      <c r="HNB50" s="519"/>
      <c r="HNC50" s="519"/>
      <c r="HND50" s="519"/>
      <c r="HNE50" s="519"/>
      <c r="HNF50" s="519"/>
      <c r="HNG50" s="519"/>
      <c r="HNH50" s="519"/>
      <c r="HNI50" s="519"/>
      <c r="HNJ50" s="519"/>
      <c r="HNK50" s="519"/>
      <c r="HNL50" s="519"/>
      <c r="HNM50" s="519"/>
      <c r="HNN50" s="519"/>
      <c r="HNO50" s="519"/>
      <c r="HNP50" s="519"/>
      <c r="HNQ50" s="519"/>
      <c r="HNR50" s="519"/>
      <c r="HNS50" s="519"/>
      <c r="HNT50" s="519"/>
      <c r="HNU50" s="519"/>
      <c r="HNV50" s="519"/>
      <c r="HNW50" s="519"/>
      <c r="HNX50" s="519"/>
      <c r="HNY50" s="519"/>
      <c r="HNZ50" s="519"/>
      <c r="HOA50" s="519"/>
      <c r="HOB50" s="519"/>
      <c r="HOC50" s="519"/>
      <c r="HOD50" s="519"/>
      <c r="HOE50" s="519"/>
      <c r="HOF50" s="519"/>
      <c r="HOG50" s="519"/>
      <c r="HOH50" s="519"/>
      <c r="HOI50" s="519"/>
      <c r="HOJ50" s="519"/>
      <c r="HOK50" s="519"/>
      <c r="HOL50" s="519"/>
      <c r="HOM50" s="519"/>
      <c r="HON50" s="519"/>
      <c r="HOO50" s="519"/>
      <c r="HOP50" s="519"/>
      <c r="HOQ50" s="519"/>
      <c r="HOR50" s="519"/>
      <c r="HOS50" s="519"/>
      <c r="HOT50" s="519"/>
      <c r="HOU50" s="519"/>
      <c r="HOV50" s="519"/>
      <c r="HOW50" s="519"/>
      <c r="HOX50" s="519"/>
      <c r="HOY50" s="519"/>
      <c r="HOZ50" s="519"/>
      <c r="HPA50" s="519"/>
      <c r="HPB50" s="519"/>
      <c r="HPC50" s="519"/>
      <c r="HPD50" s="519"/>
      <c r="HPE50" s="519"/>
      <c r="HPF50" s="519"/>
      <c r="HPG50" s="519"/>
      <c r="HPH50" s="519"/>
      <c r="HPI50" s="519"/>
      <c r="HPJ50" s="519"/>
      <c r="HPK50" s="519"/>
      <c r="HPL50" s="519"/>
      <c r="HPM50" s="519"/>
      <c r="HPN50" s="519"/>
      <c r="HPO50" s="519"/>
      <c r="HPP50" s="519"/>
      <c r="HPQ50" s="519"/>
      <c r="HPR50" s="519"/>
      <c r="HPS50" s="519"/>
      <c r="HPT50" s="519"/>
      <c r="HPU50" s="519"/>
      <c r="HPV50" s="519"/>
      <c r="HPW50" s="519"/>
      <c r="HPX50" s="519"/>
      <c r="HPY50" s="519"/>
      <c r="HPZ50" s="519"/>
      <c r="HQA50" s="519"/>
      <c r="HQB50" s="519"/>
      <c r="HQC50" s="519"/>
      <c r="HQD50" s="519"/>
      <c r="HQE50" s="519"/>
      <c r="HQF50" s="519"/>
      <c r="HQG50" s="519"/>
      <c r="HQH50" s="519"/>
      <c r="HQI50" s="519"/>
      <c r="HQJ50" s="519"/>
      <c r="HQK50" s="519"/>
      <c r="HQL50" s="519"/>
      <c r="HQM50" s="519"/>
      <c r="HQN50" s="519"/>
      <c r="HQO50" s="519"/>
      <c r="HQP50" s="519"/>
      <c r="HQQ50" s="519"/>
      <c r="HQR50" s="519"/>
      <c r="HQS50" s="519"/>
      <c r="HQT50" s="519"/>
      <c r="HQU50" s="519"/>
      <c r="HQV50" s="519"/>
      <c r="HQW50" s="519"/>
      <c r="HQX50" s="519"/>
      <c r="HQY50" s="519"/>
      <c r="HQZ50" s="519"/>
      <c r="HRA50" s="519"/>
      <c r="HRB50" s="519"/>
      <c r="HRC50" s="519"/>
      <c r="HRD50" s="519"/>
      <c r="HRE50" s="519"/>
      <c r="HRF50" s="519"/>
      <c r="HRG50" s="519"/>
      <c r="HRH50" s="519"/>
      <c r="HRI50" s="519"/>
      <c r="HRJ50" s="519"/>
      <c r="HRK50" s="519"/>
      <c r="HRL50" s="519"/>
      <c r="HRM50" s="519"/>
      <c r="HRN50" s="519"/>
      <c r="HRO50" s="519"/>
      <c r="HRP50" s="519"/>
      <c r="HRQ50" s="519"/>
      <c r="HRR50" s="519"/>
      <c r="HRS50" s="519"/>
      <c r="HRT50" s="519"/>
      <c r="HRU50" s="519"/>
      <c r="HRV50" s="519"/>
      <c r="HRW50" s="519"/>
      <c r="HRX50" s="519"/>
      <c r="HRY50" s="519"/>
      <c r="HRZ50" s="519"/>
      <c r="HSA50" s="519"/>
      <c r="HSB50" s="519"/>
      <c r="HSC50" s="519"/>
      <c r="HSD50" s="519"/>
      <c r="HSE50" s="519"/>
      <c r="HSF50" s="519"/>
      <c r="HSG50" s="519"/>
      <c r="HSH50" s="519"/>
      <c r="HSI50" s="519"/>
      <c r="HSJ50" s="519"/>
      <c r="HSK50" s="519"/>
      <c r="HSL50" s="519"/>
      <c r="HSM50" s="519"/>
      <c r="HSN50" s="519"/>
      <c r="HSO50" s="519"/>
      <c r="HSP50" s="519"/>
      <c r="HSQ50" s="519"/>
      <c r="HSR50" s="519"/>
      <c r="HSS50" s="519"/>
      <c r="HST50" s="519"/>
      <c r="HSU50" s="519"/>
      <c r="HSV50" s="519"/>
      <c r="HSW50" s="519"/>
      <c r="HSX50" s="519"/>
      <c r="HSY50" s="519"/>
      <c r="HSZ50" s="519"/>
      <c r="HTA50" s="519"/>
      <c r="HTB50" s="519"/>
      <c r="HTC50" s="519"/>
      <c r="HTD50" s="519"/>
      <c r="HTE50" s="519"/>
      <c r="HTF50" s="519"/>
      <c r="HTG50" s="519"/>
      <c r="HTH50" s="519"/>
      <c r="HTI50" s="519"/>
      <c r="HTJ50" s="519"/>
      <c r="HTK50" s="519"/>
      <c r="HTL50" s="519"/>
      <c r="HTM50" s="519"/>
      <c r="HTN50" s="519"/>
      <c r="HTO50" s="519"/>
      <c r="HTP50" s="519"/>
      <c r="HTQ50" s="519"/>
      <c r="HTR50" s="519"/>
      <c r="HTS50" s="519"/>
      <c r="HTT50" s="519"/>
      <c r="HTU50" s="519"/>
      <c r="HTV50" s="519"/>
      <c r="HTW50" s="519"/>
      <c r="HTX50" s="519"/>
      <c r="HTY50" s="519"/>
      <c r="HTZ50" s="519"/>
      <c r="HUA50" s="519"/>
      <c r="HUB50" s="519"/>
      <c r="HUC50" s="519"/>
      <c r="HUD50" s="519"/>
      <c r="HUE50" s="519"/>
      <c r="HUF50" s="519"/>
      <c r="HUG50" s="519"/>
      <c r="HUH50" s="519"/>
      <c r="HUI50" s="519"/>
      <c r="HUJ50" s="519"/>
      <c r="HUK50" s="519"/>
      <c r="HUL50" s="519"/>
      <c r="HUM50" s="519"/>
      <c r="HUN50" s="519"/>
      <c r="HUO50" s="519"/>
      <c r="HUP50" s="519"/>
      <c r="HUQ50" s="519"/>
      <c r="HUR50" s="519"/>
      <c r="HUS50" s="519"/>
      <c r="HUT50" s="519"/>
      <c r="HUU50" s="519"/>
      <c r="HUV50" s="519"/>
      <c r="HUW50" s="519"/>
      <c r="HUX50" s="519"/>
      <c r="HUY50" s="519"/>
      <c r="HUZ50" s="519"/>
      <c r="HVA50" s="519"/>
      <c r="HVB50" s="519"/>
      <c r="HVC50" s="519"/>
      <c r="HVD50" s="519"/>
      <c r="HVE50" s="519"/>
      <c r="HVF50" s="519"/>
      <c r="HVG50" s="519"/>
      <c r="HVH50" s="519"/>
      <c r="HVI50" s="519"/>
      <c r="HVJ50" s="519"/>
      <c r="HVK50" s="519"/>
      <c r="HVL50" s="519"/>
      <c r="HVM50" s="519"/>
      <c r="HVN50" s="519"/>
      <c r="HVO50" s="519"/>
      <c r="HVP50" s="519"/>
      <c r="HVQ50" s="519"/>
      <c r="HVR50" s="519"/>
      <c r="HVS50" s="519"/>
      <c r="HVT50" s="519"/>
      <c r="HVU50" s="519"/>
      <c r="HVV50" s="519"/>
      <c r="HVW50" s="519"/>
      <c r="HVX50" s="519"/>
      <c r="HVY50" s="519"/>
      <c r="HVZ50" s="519"/>
      <c r="HWA50" s="519"/>
      <c r="HWB50" s="519"/>
      <c r="HWC50" s="519"/>
      <c r="HWD50" s="519"/>
      <c r="HWE50" s="519"/>
      <c r="HWF50" s="519"/>
      <c r="HWG50" s="519"/>
      <c r="HWH50" s="519"/>
      <c r="HWI50" s="519"/>
      <c r="HWJ50" s="519"/>
      <c r="HWK50" s="519"/>
      <c r="HWL50" s="519"/>
      <c r="HWM50" s="519"/>
      <c r="HWN50" s="519"/>
      <c r="HWO50" s="519"/>
      <c r="HWP50" s="519"/>
      <c r="HWQ50" s="519"/>
      <c r="HWR50" s="519"/>
      <c r="HWS50" s="519"/>
      <c r="HWT50" s="519"/>
      <c r="HWU50" s="519"/>
      <c r="HWV50" s="519"/>
      <c r="HWW50" s="519"/>
      <c r="HWX50" s="519"/>
      <c r="HWY50" s="519"/>
      <c r="HWZ50" s="519"/>
      <c r="HXA50" s="519"/>
      <c r="HXB50" s="519"/>
      <c r="HXC50" s="519"/>
      <c r="HXD50" s="519"/>
      <c r="HXE50" s="519"/>
      <c r="HXF50" s="519"/>
      <c r="HXG50" s="519"/>
      <c r="HXH50" s="519"/>
      <c r="HXI50" s="519"/>
      <c r="HXJ50" s="519"/>
      <c r="HXK50" s="519"/>
      <c r="HXL50" s="519"/>
      <c r="HXM50" s="519"/>
      <c r="HXN50" s="519"/>
      <c r="HXO50" s="519"/>
      <c r="HXP50" s="519"/>
      <c r="HXQ50" s="519"/>
      <c r="HXR50" s="519"/>
      <c r="HXS50" s="519"/>
      <c r="HXT50" s="519"/>
      <c r="HXU50" s="519"/>
      <c r="HXV50" s="519"/>
      <c r="HXW50" s="519"/>
      <c r="HXX50" s="519"/>
      <c r="HXY50" s="519"/>
      <c r="HXZ50" s="519"/>
      <c r="HYA50" s="519"/>
      <c r="HYB50" s="519"/>
      <c r="HYC50" s="519"/>
      <c r="HYD50" s="519"/>
      <c r="HYE50" s="519"/>
      <c r="HYF50" s="519"/>
      <c r="HYG50" s="519"/>
      <c r="HYH50" s="519"/>
      <c r="HYI50" s="519"/>
      <c r="HYJ50" s="519"/>
      <c r="HYK50" s="519"/>
      <c r="HYL50" s="519"/>
      <c r="HYM50" s="519"/>
      <c r="HYN50" s="519"/>
      <c r="HYO50" s="519"/>
      <c r="HYP50" s="519"/>
      <c r="HYQ50" s="519"/>
      <c r="HYR50" s="519"/>
      <c r="HYS50" s="519"/>
      <c r="HYT50" s="519"/>
      <c r="HYU50" s="519"/>
      <c r="HYV50" s="519"/>
      <c r="HYW50" s="519"/>
      <c r="HYX50" s="519"/>
      <c r="HYY50" s="519"/>
      <c r="HYZ50" s="519"/>
      <c r="HZA50" s="519"/>
      <c r="HZB50" s="519"/>
      <c r="HZC50" s="519"/>
      <c r="HZD50" s="519"/>
      <c r="HZE50" s="519"/>
      <c r="HZF50" s="519"/>
      <c r="HZG50" s="519"/>
      <c r="HZH50" s="519"/>
      <c r="HZI50" s="519"/>
      <c r="HZJ50" s="519"/>
      <c r="HZK50" s="519"/>
      <c r="HZL50" s="519"/>
      <c r="HZM50" s="519"/>
      <c r="HZN50" s="519"/>
      <c r="HZO50" s="519"/>
      <c r="HZP50" s="519"/>
      <c r="HZQ50" s="519"/>
      <c r="HZR50" s="519"/>
      <c r="HZS50" s="519"/>
      <c r="HZT50" s="519"/>
      <c r="HZU50" s="519"/>
      <c r="HZV50" s="519"/>
      <c r="HZW50" s="519"/>
      <c r="HZX50" s="519"/>
      <c r="HZY50" s="519"/>
      <c r="HZZ50" s="519"/>
      <c r="IAA50" s="519"/>
      <c r="IAB50" s="519"/>
      <c r="IAC50" s="519"/>
      <c r="IAD50" s="519"/>
      <c r="IAE50" s="519"/>
      <c r="IAF50" s="519"/>
      <c r="IAG50" s="519"/>
      <c r="IAH50" s="519"/>
      <c r="IAI50" s="519"/>
      <c r="IAJ50" s="519"/>
      <c r="IAK50" s="519"/>
      <c r="IAL50" s="519"/>
      <c r="IAM50" s="519"/>
      <c r="IAN50" s="519"/>
      <c r="IAO50" s="519"/>
      <c r="IAP50" s="519"/>
      <c r="IAQ50" s="519"/>
      <c r="IAR50" s="519"/>
      <c r="IAS50" s="519"/>
      <c r="IAT50" s="519"/>
      <c r="IAU50" s="519"/>
      <c r="IAV50" s="519"/>
      <c r="IAW50" s="519"/>
      <c r="IAX50" s="519"/>
      <c r="IAY50" s="519"/>
      <c r="IAZ50" s="519"/>
      <c r="IBA50" s="519"/>
      <c r="IBB50" s="519"/>
      <c r="IBC50" s="519"/>
      <c r="IBD50" s="519"/>
      <c r="IBE50" s="519"/>
      <c r="IBF50" s="519"/>
      <c r="IBG50" s="519"/>
      <c r="IBH50" s="519"/>
      <c r="IBI50" s="519"/>
      <c r="IBJ50" s="519"/>
      <c r="IBK50" s="519"/>
      <c r="IBL50" s="519"/>
      <c r="IBM50" s="519"/>
      <c r="IBN50" s="519"/>
      <c r="IBO50" s="519"/>
      <c r="IBP50" s="519"/>
      <c r="IBQ50" s="519"/>
      <c r="IBR50" s="519"/>
      <c r="IBS50" s="519"/>
      <c r="IBT50" s="519"/>
      <c r="IBU50" s="519"/>
      <c r="IBV50" s="519"/>
      <c r="IBW50" s="519"/>
      <c r="IBX50" s="519"/>
      <c r="IBY50" s="519"/>
      <c r="IBZ50" s="519"/>
      <c r="ICA50" s="519"/>
      <c r="ICB50" s="519"/>
      <c r="ICC50" s="519"/>
      <c r="ICD50" s="519"/>
      <c r="ICE50" s="519"/>
      <c r="ICF50" s="519"/>
      <c r="ICG50" s="519"/>
      <c r="ICH50" s="519"/>
      <c r="ICI50" s="519"/>
      <c r="ICJ50" s="519"/>
      <c r="ICK50" s="519"/>
      <c r="ICL50" s="519"/>
      <c r="ICM50" s="519"/>
      <c r="ICN50" s="519"/>
      <c r="ICO50" s="519"/>
      <c r="ICP50" s="519"/>
      <c r="ICQ50" s="519"/>
      <c r="ICR50" s="519"/>
      <c r="ICS50" s="519"/>
      <c r="ICT50" s="519"/>
      <c r="ICU50" s="519"/>
      <c r="ICV50" s="519"/>
      <c r="ICW50" s="519"/>
      <c r="ICX50" s="519"/>
      <c r="ICY50" s="519"/>
      <c r="ICZ50" s="519"/>
      <c r="IDA50" s="519"/>
      <c r="IDB50" s="519"/>
      <c r="IDC50" s="519"/>
      <c r="IDD50" s="519"/>
      <c r="IDE50" s="519"/>
      <c r="IDF50" s="519"/>
      <c r="IDG50" s="519"/>
      <c r="IDH50" s="519"/>
      <c r="IDI50" s="519"/>
      <c r="IDJ50" s="519"/>
      <c r="IDK50" s="519"/>
      <c r="IDL50" s="519"/>
      <c r="IDM50" s="519"/>
      <c r="IDN50" s="519"/>
      <c r="IDO50" s="519"/>
      <c r="IDP50" s="519"/>
      <c r="IDQ50" s="519"/>
      <c r="IDR50" s="519"/>
      <c r="IDS50" s="519"/>
      <c r="IDT50" s="519"/>
      <c r="IDU50" s="519"/>
      <c r="IDV50" s="519"/>
      <c r="IDW50" s="519"/>
      <c r="IDX50" s="519"/>
      <c r="IDY50" s="519"/>
      <c r="IDZ50" s="519"/>
      <c r="IEA50" s="519"/>
      <c r="IEB50" s="519"/>
      <c r="IEC50" s="519"/>
      <c r="IED50" s="519"/>
      <c r="IEE50" s="519"/>
      <c r="IEF50" s="519"/>
      <c r="IEG50" s="519"/>
      <c r="IEH50" s="519"/>
      <c r="IEI50" s="519"/>
      <c r="IEJ50" s="519"/>
      <c r="IEK50" s="519"/>
      <c r="IEL50" s="519"/>
      <c r="IEM50" s="519"/>
      <c r="IEN50" s="519"/>
      <c r="IEO50" s="519"/>
      <c r="IEP50" s="519"/>
      <c r="IEQ50" s="519"/>
      <c r="IER50" s="519"/>
      <c r="IES50" s="519"/>
      <c r="IET50" s="519"/>
      <c r="IEU50" s="519"/>
      <c r="IEV50" s="519"/>
      <c r="IEW50" s="519"/>
      <c r="IEX50" s="519"/>
      <c r="IEY50" s="519"/>
      <c r="IEZ50" s="519"/>
      <c r="IFA50" s="519"/>
      <c r="IFB50" s="519"/>
      <c r="IFC50" s="519"/>
      <c r="IFD50" s="519"/>
      <c r="IFE50" s="519"/>
      <c r="IFF50" s="519"/>
      <c r="IFG50" s="519"/>
      <c r="IFH50" s="519"/>
      <c r="IFI50" s="519"/>
      <c r="IFJ50" s="519"/>
      <c r="IFK50" s="519"/>
      <c r="IFL50" s="519"/>
      <c r="IFM50" s="519"/>
      <c r="IFN50" s="519"/>
      <c r="IFO50" s="519"/>
      <c r="IFP50" s="519"/>
      <c r="IFQ50" s="519"/>
      <c r="IFR50" s="519"/>
      <c r="IFS50" s="519"/>
      <c r="IFT50" s="519"/>
      <c r="IFU50" s="519"/>
      <c r="IFV50" s="519"/>
      <c r="IFW50" s="519"/>
      <c r="IFX50" s="519"/>
      <c r="IFY50" s="519"/>
      <c r="IFZ50" s="519"/>
      <c r="IGA50" s="519"/>
      <c r="IGB50" s="519"/>
      <c r="IGC50" s="519"/>
      <c r="IGD50" s="519"/>
      <c r="IGE50" s="519"/>
      <c r="IGF50" s="519"/>
      <c r="IGG50" s="519"/>
      <c r="IGH50" s="519"/>
      <c r="IGI50" s="519"/>
      <c r="IGJ50" s="519"/>
      <c r="IGK50" s="519"/>
      <c r="IGL50" s="519"/>
      <c r="IGM50" s="519"/>
      <c r="IGN50" s="519"/>
      <c r="IGO50" s="519"/>
      <c r="IGP50" s="519"/>
      <c r="IGQ50" s="519"/>
      <c r="IGR50" s="519"/>
      <c r="IGS50" s="519"/>
      <c r="IGT50" s="519"/>
      <c r="IGU50" s="519"/>
      <c r="IGV50" s="519"/>
      <c r="IGW50" s="519"/>
      <c r="IGX50" s="519"/>
      <c r="IGY50" s="519"/>
      <c r="IGZ50" s="519"/>
      <c r="IHA50" s="519"/>
      <c r="IHB50" s="519"/>
      <c r="IHC50" s="519"/>
      <c r="IHD50" s="519"/>
      <c r="IHE50" s="519"/>
      <c r="IHF50" s="519"/>
      <c r="IHG50" s="519"/>
      <c r="IHH50" s="519"/>
      <c r="IHI50" s="519"/>
      <c r="IHJ50" s="519"/>
      <c r="IHK50" s="519"/>
      <c r="IHL50" s="519"/>
      <c r="IHM50" s="519"/>
      <c r="IHN50" s="519"/>
      <c r="IHO50" s="519"/>
      <c r="IHP50" s="519"/>
      <c r="IHQ50" s="519"/>
      <c r="IHR50" s="519"/>
      <c r="IHS50" s="519"/>
      <c r="IHT50" s="519"/>
      <c r="IHU50" s="519"/>
      <c r="IHV50" s="519"/>
      <c r="IHW50" s="519"/>
      <c r="IHX50" s="519"/>
      <c r="IHY50" s="519"/>
      <c r="IHZ50" s="519"/>
      <c r="IIA50" s="519"/>
      <c r="IIB50" s="519"/>
      <c r="IIC50" s="519"/>
      <c r="IID50" s="519"/>
      <c r="IIE50" s="519"/>
      <c r="IIF50" s="519"/>
      <c r="IIG50" s="519"/>
      <c r="IIH50" s="519"/>
      <c r="III50" s="519"/>
      <c r="IIJ50" s="519"/>
      <c r="IIK50" s="519"/>
      <c r="IIL50" s="519"/>
      <c r="IIM50" s="519"/>
      <c r="IIN50" s="519"/>
      <c r="IIO50" s="519"/>
      <c r="IIP50" s="519"/>
      <c r="IIQ50" s="519"/>
      <c r="IIR50" s="519"/>
      <c r="IIS50" s="519"/>
      <c r="IIT50" s="519"/>
      <c r="IIU50" s="519"/>
      <c r="IIV50" s="519"/>
      <c r="IIW50" s="519"/>
      <c r="IIX50" s="519"/>
      <c r="IIY50" s="519"/>
      <c r="IIZ50" s="519"/>
      <c r="IJA50" s="519"/>
      <c r="IJB50" s="519"/>
      <c r="IJC50" s="519"/>
      <c r="IJD50" s="519"/>
      <c r="IJE50" s="519"/>
      <c r="IJF50" s="519"/>
      <c r="IJG50" s="519"/>
      <c r="IJH50" s="519"/>
      <c r="IJI50" s="519"/>
      <c r="IJJ50" s="519"/>
      <c r="IJK50" s="519"/>
      <c r="IJL50" s="519"/>
      <c r="IJM50" s="519"/>
      <c r="IJN50" s="519"/>
      <c r="IJO50" s="519"/>
      <c r="IJP50" s="519"/>
      <c r="IJQ50" s="519"/>
      <c r="IJR50" s="519"/>
      <c r="IJS50" s="519"/>
      <c r="IJT50" s="519"/>
      <c r="IJU50" s="519"/>
      <c r="IJV50" s="519"/>
      <c r="IJW50" s="519"/>
      <c r="IJX50" s="519"/>
      <c r="IJY50" s="519"/>
      <c r="IJZ50" s="519"/>
      <c r="IKA50" s="519"/>
      <c r="IKB50" s="519"/>
      <c r="IKC50" s="519"/>
      <c r="IKD50" s="519"/>
      <c r="IKE50" s="519"/>
      <c r="IKF50" s="519"/>
      <c r="IKG50" s="519"/>
      <c r="IKH50" s="519"/>
      <c r="IKI50" s="519"/>
      <c r="IKJ50" s="519"/>
      <c r="IKK50" s="519"/>
      <c r="IKL50" s="519"/>
      <c r="IKM50" s="519"/>
      <c r="IKN50" s="519"/>
      <c r="IKO50" s="519"/>
      <c r="IKP50" s="519"/>
      <c r="IKQ50" s="519"/>
      <c r="IKR50" s="519"/>
      <c r="IKS50" s="519"/>
      <c r="IKT50" s="519"/>
      <c r="IKU50" s="519"/>
      <c r="IKV50" s="519"/>
      <c r="IKW50" s="519"/>
      <c r="IKX50" s="519"/>
      <c r="IKY50" s="519"/>
      <c r="IKZ50" s="519"/>
      <c r="ILA50" s="519"/>
      <c r="ILB50" s="519"/>
      <c r="ILC50" s="519"/>
      <c r="ILD50" s="519"/>
      <c r="ILE50" s="519"/>
      <c r="ILF50" s="519"/>
      <c r="ILG50" s="519"/>
      <c r="ILH50" s="519"/>
      <c r="ILI50" s="519"/>
      <c r="ILJ50" s="519"/>
      <c r="ILK50" s="519"/>
      <c r="ILL50" s="519"/>
      <c r="ILM50" s="519"/>
      <c r="ILN50" s="519"/>
      <c r="ILO50" s="519"/>
      <c r="ILP50" s="519"/>
      <c r="ILQ50" s="519"/>
      <c r="ILR50" s="519"/>
      <c r="ILS50" s="519"/>
      <c r="ILT50" s="519"/>
      <c r="ILU50" s="519"/>
      <c r="ILV50" s="519"/>
      <c r="ILW50" s="519"/>
      <c r="ILX50" s="519"/>
      <c r="ILY50" s="519"/>
      <c r="ILZ50" s="519"/>
      <c r="IMA50" s="519"/>
      <c r="IMB50" s="519"/>
      <c r="IMC50" s="519"/>
      <c r="IMD50" s="519"/>
      <c r="IME50" s="519"/>
      <c r="IMF50" s="519"/>
      <c r="IMG50" s="519"/>
      <c r="IMH50" s="519"/>
      <c r="IMI50" s="519"/>
      <c r="IMJ50" s="519"/>
      <c r="IMK50" s="519"/>
      <c r="IML50" s="519"/>
      <c r="IMM50" s="519"/>
      <c r="IMN50" s="519"/>
      <c r="IMO50" s="519"/>
      <c r="IMP50" s="519"/>
      <c r="IMQ50" s="519"/>
      <c r="IMR50" s="519"/>
      <c r="IMS50" s="519"/>
      <c r="IMT50" s="519"/>
      <c r="IMU50" s="519"/>
      <c r="IMV50" s="519"/>
      <c r="IMW50" s="519"/>
      <c r="IMX50" s="519"/>
      <c r="IMY50" s="519"/>
      <c r="IMZ50" s="519"/>
      <c r="INA50" s="519"/>
      <c r="INB50" s="519"/>
      <c r="INC50" s="519"/>
      <c r="IND50" s="519"/>
      <c r="INE50" s="519"/>
      <c r="INF50" s="519"/>
      <c r="ING50" s="519"/>
      <c r="INH50" s="519"/>
      <c r="INI50" s="519"/>
      <c r="INJ50" s="519"/>
      <c r="INK50" s="519"/>
      <c r="INL50" s="519"/>
      <c r="INM50" s="519"/>
      <c r="INN50" s="519"/>
      <c r="INO50" s="519"/>
      <c r="INP50" s="519"/>
      <c r="INQ50" s="519"/>
      <c r="INR50" s="519"/>
      <c r="INS50" s="519"/>
      <c r="INT50" s="519"/>
      <c r="INU50" s="519"/>
      <c r="INV50" s="519"/>
      <c r="INW50" s="519"/>
      <c r="INX50" s="519"/>
      <c r="INY50" s="519"/>
      <c r="INZ50" s="519"/>
      <c r="IOA50" s="519"/>
      <c r="IOB50" s="519"/>
      <c r="IOC50" s="519"/>
      <c r="IOD50" s="519"/>
      <c r="IOE50" s="519"/>
      <c r="IOF50" s="519"/>
      <c r="IOG50" s="519"/>
      <c r="IOH50" s="519"/>
      <c r="IOI50" s="519"/>
      <c r="IOJ50" s="519"/>
      <c r="IOK50" s="519"/>
      <c r="IOL50" s="519"/>
      <c r="IOM50" s="519"/>
      <c r="ION50" s="519"/>
      <c r="IOO50" s="519"/>
      <c r="IOP50" s="519"/>
      <c r="IOQ50" s="519"/>
      <c r="IOR50" s="519"/>
      <c r="IOS50" s="519"/>
      <c r="IOT50" s="519"/>
      <c r="IOU50" s="519"/>
      <c r="IOV50" s="519"/>
      <c r="IOW50" s="519"/>
      <c r="IOX50" s="519"/>
      <c r="IOY50" s="519"/>
      <c r="IOZ50" s="519"/>
      <c r="IPA50" s="519"/>
      <c r="IPB50" s="519"/>
      <c r="IPC50" s="519"/>
      <c r="IPD50" s="519"/>
      <c r="IPE50" s="519"/>
      <c r="IPF50" s="519"/>
      <c r="IPG50" s="519"/>
      <c r="IPH50" s="519"/>
      <c r="IPI50" s="519"/>
      <c r="IPJ50" s="519"/>
      <c r="IPK50" s="519"/>
      <c r="IPL50" s="519"/>
      <c r="IPM50" s="519"/>
      <c r="IPN50" s="519"/>
      <c r="IPO50" s="519"/>
      <c r="IPP50" s="519"/>
      <c r="IPQ50" s="519"/>
      <c r="IPR50" s="519"/>
      <c r="IPS50" s="519"/>
      <c r="IPT50" s="519"/>
      <c r="IPU50" s="519"/>
      <c r="IPV50" s="519"/>
      <c r="IPW50" s="519"/>
      <c r="IPX50" s="519"/>
      <c r="IPY50" s="519"/>
      <c r="IPZ50" s="519"/>
      <c r="IQA50" s="519"/>
      <c r="IQB50" s="519"/>
      <c r="IQC50" s="519"/>
      <c r="IQD50" s="519"/>
      <c r="IQE50" s="519"/>
      <c r="IQF50" s="519"/>
      <c r="IQG50" s="519"/>
      <c r="IQH50" s="519"/>
      <c r="IQI50" s="519"/>
      <c r="IQJ50" s="519"/>
      <c r="IQK50" s="519"/>
      <c r="IQL50" s="519"/>
      <c r="IQM50" s="519"/>
      <c r="IQN50" s="519"/>
      <c r="IQO50" s="519"/>
      <c r="IQP50" s="519"/>
      <c r="IQQ50" s="519"/>
      <c r="IQR50" s="519"/>
      <c r="IQS50" s="519"/>
      <c r="IQT50" s="519"/>
      <c r="IQU50" s="519"/>
      <c r="IQV50" s="519"/>
      <c r="IQW50" s="519"/>
      <c r="IQX50" s="519"/>
      <c r="IQY50" s="519"/>
      <c r="IQZ50" s="519"/>
      <c r="IRA50" s="519"/>
      <c r="IRB50" s="519"/>
      <c r="IRC50" s="519"/>
      <c r="IRD50" s="519"/>
      <c r="IRE50" s="519"/>
      <c r="IRF50" s="519"/>
      <c r="IRG50" s="519"/>
      <c r="IRH50" s="519"/>
      <c r="IRI50" s="519"/>
      <c r="IRJ50" s="519"/>
      <c r="IRK50" s="519"/>
      <c r="IRL50" s="519"/>
      <c r="IRM50" s="519"/>
      <c r="IRN50" s="519"/>
      <c r="IRO50" s="519"/>
      <c r="IRP50" s="519"/>
      <c r="IRQ50" s="519"/>
      <c r="IRR50" s="519"/>
      <c r="IRS50" s="519"/>
      <c r="IRT50" s="519"/>
      <c r="IRU50" s="519"/>
      <c r="IRV50" s="519"/>
      <c r="IRW50" s="519"/>
      <c r="IRX50" s="519"/>
      <c r="IRY50" s="519"/>
      <c r="IRZ50" s="519"/>
      <c r="ISA50" s="519"/>
      <c r="ISB50" s="519"/>
      <c r="ISC50" s="519"/>
      <c r="ISD50" s="519"/>
      <c r="ISE50" s="519"/>
      <c r="ISF50" s="519"/>
      <c r="ISG50" s="519"/>
      <c r="ISH50" s="519"/>
      <c r="ISI50" s="519"/>
      <c r="ISJ50" s="519"/>
      <c r="ISK50" s="519"/>
      <c r="ISL50" s="519"/>
      <c r="ISM50" s="519"/>
      <c r="ISN50" s="519"/>
      <c r="ISO50" s="519"/>
      <c r="ISP50" s="519"/>
      <c r="ISQ50" s="519"/>
      <c r="ISR50" s="519"/>
      <c r="ISS50" s="519"/>
      <c r="IST50" s="519"/>
      <c r="ISU50" s="519"/>
      <c r="ISV50" s="519"/>
      <c r="ISW50" s="519"/>
      <c r="ISX50" s="519"/>
      <c r="ISY50" s="519"/>
      <c r="ISZ50" s="519"/>
      <c r="ITA50" s="519"/>
      <c r="ITB50" s="519"/>
      <c r="ITC50" s="519"/>
      <c r="ITD50" s="519"/>
      <c r="ITE50" s="519"/>
      <c r="ITF50" s="519"/>
      <c r="ITG50" s="519"/>
      <c r="ITH50" s="519"/>
      <c r="ITI50" s="519"/>
      <c r="ITJ50" s="519"/>
      <c r="ITK50" s="519"/>
      <c r="ITL50" s="519"/>
      <c r="ITM50" s="519"/>
      <c r="ITN50" s="519"/>
      <c r="ITO50" s="519"/>
      <c r="ITP50" s="519"/>
      <c r="ITQ50" s="519"/>
      <c r="ITR50" s="519"/>
      <c r="ITS50" s="519"/>
      <c r="ITT50" s="519"/>
      <c r="ITU50" s="519"/>
      <c r="ITV50" s="519"/>
      <c r="ITW50" s="519"/>
      <c r="ITX50" s="519"/>
      <c r="ITY50" s="519"/>
      <c r="ITZ50" s="519"/>
      <c r="IUA50" s="519"/>
      <c r="IUB50" s="519"/>
      <c r="IUC50" s="519"/>
      <c r="IUD50" s="519"/>
      <c r="IUE50" s="519"/>
      <c r="IUF50" s="519"/>
      <c r="IUG50" s="519"/>
      <c r="IUH50" s="519"/>
      <c r="IUI50" s="519"/>
      <c r="IUJ50" s="519"/>
      <c r="IUK50" s="519"/>
      <c r="IUL50" s="519"/>
      <c r="IUM50" s="519"/>
      <c r="IUN50" s="519"/>
      <c r="IUO50" s="519"/>
      <c r="IUP50" s="519"/>
      <c r="IUQ50" s="519"/>
      <c r="IUR50" s="519"/>
      <c r="IUS50" s="519"/>
      <c r="IUT50" s="519"/>
      <c r="IUU50" s="519"/>
      <c r="IUV50" s="519"/>
      <c r="IUW50" s="519"/>
      <c r="IUX50" s="519"/>
      <c r="IUY50" s="519"/>
      <c r="IUZ50" s="519"/>
      <c r="IVA50" s="519"/>
      <c r="IVB50" s="519"/>
      <c r="IVC50" s="519"/>
      <c r="IVD50" s="519"/>
      <c r="IVE50" s="519"/>
      <c r="IVF50" s="519"/>
      <c r="IVG50" s="519"/>
      <c r="IVH50" s="519"/>
      <c r="IVI50" s="519"/>
      <c r="IVJ50" s="519"/>
      <c r="IVK50" s="519"/>
      <c r="IVL50" s="519"/>
      <c r="IVM50" s="519"/>
      <c r="IVN50" s="519"/>
      <c r="IVO50" s="519"/>
      <c r="IVP50" s="519"/>
      <c r="IVQ50" s="519"/>
      <c r="IVR50" s="519"/>
      <c r="IVS50" s="519"/>
      <c r="IVT50" s="519"/>
      <c r="IVU50" s="519"/>
      <c r="IVV50" s="519"/>
      <c r="IVW50" s="519"/>
      <c r="IVX50" s="519"/>
      <c r="IVY50" s="519"/>
      <c r="IVZ50" s="519"/>
      <c r="IWA50" s="519"/>
      <c r="IWB50" s="519"/>
      <c r="IWC50" s="519"/>
      <c r="IWD50" s="519"/>
      <c r="IWE50" s="519"/>
      <c r="IWF50" s="519"/>
      <c r="IWG50" s="519"/>
      <c r="IWH50" s="519"/>
      <c r="IWI50" s="519"/>
      <c r="IWJ50" s="519"/>
      <c r="IWK50" s="519"/>
      <c r="IWL50" s="519"/>
      <c r="IWM50" s="519"/>
      <c r="IWN50" s="519"/>
      <c r="IWO50" s="519"/>
      <c r="IWP50" s="519"/>
      <c r="IWQ50" s="519"/>
      <c r="IWR50" s="519"/>
      <c r="IWS50" s="519"/>
      <c r="IWT50" s="519"/>
      <c r="IWU50" s="519"/>
      <c r="IWV50" s="519"/>
      <c r="IWW50" s="519"/>
      <c r="IWX50" s="519"/>
      <c r="IWY50" s="519"/>
      <c r="IWZ50" s="519"/>
      <c r="IXA50" s="519"/>
      <c r="IXB50" s="519"/>
      <c r="IXC50" s="519"/>
      <c r="IXD50" s="519"/>
      <c r="IXE50" s="519"/>
      <c r="IXF50" s="519"/>
      <c r="IXG50" s="519"/>
      <c r="IXH50" s="519"/>
      <c r="IXI50" s="519"/>
      <c r="IXJ50" s="519"/>
      <c r="IXK50" s="519"/>
      <c r="IXL50" s="519"/>
      <c r="IXM50" s="519"/>
      <c r="IXN50" s="519"/>
      <c r="IXO50" s="519"/>
      <c r="IXP50" s="519"/>
      <c r="IXQ50" s="519"/>
      <c r="IXR50" s="519"/>
      <c r="IXS50" s="519"/>
      <c r="IXT50" s="519"/>
      <c r="IXU50" s="519"/>
      <c r="IXV50" s="519"/>
      <c r="IXW50" s="519"/>
      <c r="IXX50" s="519"/>
      <c r="IXY50" s="519"/>
      <c r="IXZ50" s="519"/>
      <c r="IYA50" s="519"/>
      <c r="IYB50" s="519"/>
      <c r="IYC50" s="519"/>
      <c r="IYD50" s="519"/>
      <c r="IYE50" s="519"/>
      <c r="IYF50" s="519"/>
      <c r="IYG50" s="519"/>
      <c r="IYH50" s="519"/>
      <c r="IYI50" s="519"/>
      <c r="IYJ50" s="519"/>
      <c r="IYK50" s="519"/>
      <c r="IYL50" s="519"/>
      <c r="IYM50" s="519"/>
      <c r="IYN50" s="519"/>
      <c r="IYO50" s="519"/>
      <c r="IYP50" s="519"/>
      <c r="IYQ50" s="519"/>
      <c r="IYR50" s="519"/>
      <c r="IYS50" s="519"/>
      <c r="IYT50" s="519"/>
      <c r="IYU50" s="519"/>
      <c r="IYV50" s="519"/>
      <c r="IYW50" s="519"/>
      <c r="IYX50" s="519"/>
      <c r="IYY50" s="519"/>
      <c r="IYZ50" s="519"/>
      <c r="IZA50" s="519"/>
      <c r="IZB50" s="519"/>
      <c r="IZC50" s="519"/>
      <c r="IZD50" s="519"/>
      <c r="IZE50" s="519"/>
      <c r="IZF50" s="519"/>
      <c r="IZG50" s="519"/>
      <c r="IZH50" s="519"/>
      <c r="IZI50" s="519"/>
      <c r="IZJ50" s="519"/>
      <c r="IZK50" s="519"/>
      <c r="IZL50" s="519"/>
      <c r="IZM50" s="519"/>
      <c r="IZN50" s="519"/>
      <c r="IZO50" s="519"/>
      <c r="IZP50" s="519"/>
      <c r="IZQ50" s="519"/>
      <c r="IZR50" s="519"/>
      <c r="IZS50" s="519"/>
      <c r="IZT50" s="519"/>
      <c r="IZU50" s="519"/>
      <c r="IZV50" s="519"/>
      <c r="IZW50" s="519"/>
      <c r="IZX50" s="519"/>
      <c r="IZY50" s="519"/>
      <c r="IZZ50" s="519"/>
      <c r="JAA50" s="519"/>
      <c r="JAB50" s="519"/>
      <c r="JAC50" s="519"/>
      <c r="JAD50" s="519"/>
      <c r="JAE50" s="519"/>
      <c r="JAF50" s="519"/>
      <c r="JAG50" s="519"/>
      <c r="JAH50" s="519"/>
      <c r="JAI50" s="519"/>
      <c r="JAJ50" s="519"/>
      <c r="JAK50" s="519"/>
      <c r="JAL50" s="519"/>
      <c r="JAM50" s="519"/>
      <c r="JAN50" s="519"/>
      <c r="JAO50" s="519"/>
      <c r="JAP50" s="519"/>
      <c r="JAQ50" s="519"/>
      <c r="JAR50" s="519"/>
      <c r="JAS50" s="519"/>
      <c r="JAT50" s="519"/>
      <c r="JAU50" s="519"/>
      <c r="JAV50" s="519"/>
      <c r="JAW50" s="519"/>
      <c r="JAX50" s="519"/>
      <c r="JAY50" s="519"/>
      <c r="JAZ50" s="519"/>
      <c r="JBA50" s="519"/>
      <c r="JBB50" s="519"/>
      <c r="JBC50" s="519"/>
      <c r="JBD50" s="519"/>
      <c r="JBE50" s="519"/>
      <c r="JBF50" s="519"/>
      <c r="JBG50" s="519"/>
      <c r="JBH50" s="519"/>
      <c r="JBI50" s="519"/>
      <c r="JBJ50" s="519"/>
      <c r="JBK50" s="519"/>
      <c r="JBL50" s="519"/>
      <c r="JBM50" s="519"/>
      <c r="JBN50" s="519"/>
      <c r="JBO50" s="519"/>
      <c r="JBP50" s="519"/>
      <c r="JBQ50" s="519"/>
      <c r="JBR50" s="519"/>
      <c r="JBS50" s="519"/>
      <c r="JBT50" s="519"/>
      <c r="JBU50" s="519"/>
      <c r="JBV50" s="519"/>
      <c r="JBW50" s="519"/>
      <c r="JBX50" s="519"/>
      <c r="JBY50" s="519"/>
      <c r="JBZ50" s="519"/>
      <c r="JCA50" s="519"/>
      <c r="JCB50" s="519"/>
      <c r="JCC50" s="519"/>
      <c r="JCD50" s="519"/>
      <c r="JCE50" s="519"/>
      <c r="JCF50" s="519"/>
      <c r="JCG50" s="519"/>
      <c r="JCH50" s="519"/>
      <c r="JCI50" s="519"/>
      <c r="JCJ50" s="519"/>
      <c r="JCK50" s="519"/>
      <c r="JCL50" s="519"/>
      <c r="JCM50" s="519"/>
      <c r="JCN50" s="519"/>
      <c r="JCO50" s="519"/>
      <c r="JCP50" s="519"/>
      <c r="JCQ50" s="519"/>
      <c r="JCR50" s="519"/>
      <c r="JCS50" s="519"/>
      <c r="JCT50" s="519"/>
      <c r="JCU50" s="519"/>
      <c r="JCV50" s="519"/>
      <c r="JCW50" s="519"/>
      <c r="JCX50" s="519"/>
      <c r="JCY50" s="519"/>
      <c r="JCZ50" s="519"/>
      <c r="JDA50" s="519"/>
      <c r="JDB50" s="519"/>
      <c r="JDC50" s="519"/>
      <c r="JDD50" s="519"/>
      <c r="JDE50" s="519"/>
      <c r="JDF50" s="519"/>
      <c r="JDG50" s="519"/>
      <c r="JDH50" s="519"/>
      <c r="JDI50" s="519"/>
      <c r="JDJ50" s="519"/>
      <c r="JDK50" s="519"/>
      <c r="JDL50" s="519"/>
      <c r="JDM50" s="519"/>
      <c r="JDN50" s="519"/>
      <c r="JDO50" s="519"/>
      <c r="JDP50" s="519"/>
      <c r="JDQ50" s="519"/>
      <c r="JDR50" s="519"/>
      <c r="JDS50" s="519"/>
      <c r="JDT50" s="519"/>
      <c r="JDU50" s="519"/>
      <c r="JDV50" s="519"/>
      <c r="JDW50" s="519"/>
      <c r="JDX50" s="519"/>
      <c r="JDY50" s="519"/>
      <c r="JDZ50" s="519"/>
      <c r="JEA50" s="519"/>
      <c r="JEB50" s="519"/>
      <c r="JEC50" s="519"/>
      <c r="JED50" s="519"/>
      <c r="JEE50" s="519"/>
      <c r="JEF50" s="519"/>
      <c r="JEG50" s="519"/>
      <c r="JEH50" s="519"/>
      <c r="JEI50" s="519"/>
      <c r="JEJ50" s="519"/>
      <c r="JEK50" s="519"/>
      <c r="JEL50" s="519"/>
      <c r="JEM50" s="519"/>
      <c r="JEN50" s="519"/>
      <c r="JEO50" s="519"/>
      <c r="JEP50" s="519"/>
      <c r="JEQ50" s="519"/>
      <c r="JER50" s="519"/>
      <c r="JES50" s="519"/>
      <c r="JET50" s="519"/>
      <c r="JEU50" s="519"/>
      <c r="JEV50" s="519"/>
      <c r="JEW50" s="519"/>
      <c r="JEX50" s="519"/>
      <c r="JEY50" s="519"/>
      <c r="JEZ50" s="519"/>
      <c r="JFA50" s="519"/>
      <c r="JFB50" s="519"/>
      <c r="JFC50" s="519"/>
      <c r="JFD50" s="519"/>
      <c r="JFE50" s="519"/>
      <c r="JFF50" s="519"/>
      <c r="JFG50" s="519"/>
      <c r="JFH50" s="519"/>
      <c r="JFI50" s="519"/>
      <c r="JFJ50" s="519"/>
      <c r="JFK50" s="519"/>
      <c r="JFL50" s="519"/>
      <c r="JFM50" s="519"/>
      <c r="JFN50" s="519"/>
      <c r="JFO50" s="519"/>
      <c r="JFP50" s="519"/>
      <c r="JFQ50" s="519"/>
      <c r="JFR50" s="519"/>
      <c r="JFS50" s="519"/>
      <c r="JFT50" s="519"/>
      <c r="JFU50" s="519"/>
      <c r="JFV50" s="519"/>
      <c r="JFW50" s="519"/>
      <c r="JFX50" s="519"/>
      <c r="JFY50" s="519"/>
      <c r="JFZ50" s="519"/>
      <c r="JGA50" s="519"/>
      <c r="JGB50" s="519"/>
      <c r="JGC50" s="519"/>
      <c r="JGD50" s="519"/>
      <c r="JGE50" s="519"/>
      <c r="JGF50" s="519"/>
      <c r="JGG50" s="519"/>
      <c r="JGH50" s="519"/>
      <c r="JGI50" s="519"/>
      <c r="JGJ50" s="519"/>
      <c r="JGK50" s="519"/>
      <c r="JGL50" s="519"/>
      <c r="JGM50" s="519"/>
      <c r="JGN50" s="519"/>
      <c r="JGO50" s="519"/>
      <c r="JGP50" s="519"/>
      <c r="JGQ50" s="519"/>
      <c r="JGR50" s="519"/>
      <c r="JGS50" s="519"/>
      <c r="JGT50" s="519"/>
      <c r="JGU50" s="519"/>
      <c r="JGV50" s="519"/>
      <c r="JGW50" s="519"/>
      <c r="JGX50" s="519"/>
      <c r="JGY50" s="519"/>
      <c r="JGZ50" s="519"/>
      <c r="JHA50" s="519"/>
      <c r="JHB50" s="519"/>
      <c r="JHC50" s="519"/>
      <c r="JHD50" s="519"/>
      <c r="JHE50" s="519"/>
      <c r="JHF50" s="519"/>
      <c r="JHG50" s="519"/>
      <c r="JHH50" s="519"/>
      <c r="JHI50" s="519"/>
      <c r="JHJ50" s="519"/>
      <c r="JHK50" s="519"/>
      <c r="JHL50" s="519"/>
      <c r="JHM50" s="519"/>
      <c r="JHN50" s="519"/>
      <c r="JHO50" s="519"/>
      <c r="JHP50" s="519"/>
      <c r="JHQ50" s="519"/>
      <c r="JHR50" s="519"/>
      <c r="JHS50" s="519"/>
      <c r="JHT50" s="519"/>
      <c r="JHU50" s="519"/>
      <c r="JHV50" s="519"/>
      <c r="JHW50" s="519"/>
      <c r="JHX50" s="519"/>
      <c r="JHY50" s="519"/>
      <c r="JHZ50" s="519"/>
      <c r="JIA50" s="519"/>
      <c r="JIB50" s="519"/>
      <c r="JIC50" s="519"/>
      <c r="JID50" s="519"/>
      <c r="JIE50" s="519"/>
      <c r="JIF50" s="519"/>
      <c r="JIG50" s="519"/>
      <c r="JIH50" s="519"/>
      <c r="JII50" s="519"/>
      <c r="JIJ50" s="519"/>
      <c r="JIK50" s="519"/>
      <c r="JIL50" s="519"/>
      <c r="JIM50" s="519"/>
      <c r="JIN50" s="519"/>
      <c r="JIO50" s="519"/>
      <c r="JIP50" s="519"/>
      <c r="JIQ50" s="519"/>
      <c r="JIR50" s="519"/>
      <c r="JIS50" s="519"/>
      <c r="JIT50" s="519"/>
      <c r="JIU50" s="519"/>
      <c r="JIV50" s="519"/>
      <c r="JIW50" s="519"/>
      <c r="JIX50" s="519"/>
      <c r="JIY50" s="519"/>
      <c r="JIZ50" s="519"/>
      <c r="JJA50" s="519"/>
      <c r="JJB50" s="519"/>
      <c r="JJC50" s="519"/>
      <c r="JJD50" s="519"/>
      <c r="JJE50" s="519"/>
      <c r="JJF50" s="519"/>
      <c r="JJG50" s="519"/>
      <c r="JJH50" s="519"/>
      <c r="JJI50" s="519"/>
      <c r="JJJ50" s="519"/>
      <c r="JJK50" s="519"/>
      <c r="JJL50" s="519"/>
      <c r="JJM50" s="519"/>
      <c r="JJN50" s="519"/>
      <c r="JJO50" s="519"/>
      <c r="JJP50" s="519"/>
      <c r="JJQ50" s="519"/>
      <c r="JJR50" s="519"/>
      <c r="JJS50" s="519"/>
      <c r="JJT50" s="519"/>
      <c r="JJU50" s="519"/>
      <c r="JJV50" s="519"/>
      <c r="JJW50" s="519"/>
      <c r="JJX50" s="519"/>
      <c r="JJY50" s="519"/>
      <c r="JJZ50" s="519"/>
      <c r="JKA50" s="519"/>
      <c r="JKB50" s="519"/>
      <c r="JKC50" s="519"/>
      <c r="JKD50" s="519"/>
      <c r="JKE50" s="519"/>
      <c r="JKF50" s="519"/>
      <c r="JKG50" s="519"/>
      <c r="JKH50" s="519"/>
      <c r="JKI50" s="519"/>
      <c r="JKJ50" s="519"/>
      <c r="JKK50" s="519"/>
      <c r="JKL50" s="519"/>
      <c r="JKM50" s="519"/>
      <c r="JKN50" s="519"/>
      <c r="JKO50" s="519"/>
      <c r="JKP50" s="519"/>
      <c r="JKQ50" s="519"/>
      <c r="JKR50" s="519"/>
      <c r="JKS50" s="519"/>
      <c r="JKT50" s="519"/>
      <c r="JKU50" s="519"/>
      <c r="JKV50" s="519"/>
      <c r="JKW50" s="519"/>
      <c r="JKX50" s="519"/>
      <c r="JKY50" s="519"/>
      <c r="JKZ50" s="519"/>
      <c r="JLA50" s="519"/>
      <c r="JLB50" s="519"/>
      <c r="JLC50" s="519"/>
      <c r="JLD50" s="519"/>
      <c r="JLE50" s="519"/>
      <c r="JLF50" s="519"/>
      <c r="JLG50" s="519"/>
      <c r="JLH50" s="519"/>
      <c r="JLI50" s="519"/>
      <c r="JLJ50" s="519"/>
      <c r="JLK50" s="519"/>
      <c r="JLL50" s="519"/>
      <c r="JLM50" s="519"/>
      <c r="JLN50" s="519"/>
      <c r="JLO50" s="519"/>
      <c r="JLP50" s="519"/>
      <c r="JLQ50" s="519"/>
      <c r="JLR50" s="519"/>
      <c r="JLS50" s="519"/>
      <c r="JLT50" s="519"/>
      <c r="JLU50" s="519"/>
      <c r="JLV50" s="519"/>
      <c r="JLW50" s="519"/>
      <c r="JLX50" s="519"/>
      <c r="JLY50" s="519"/>
      <c r="JLZ50" s="519"/>
      <c r="JMA50" s="519"/>
      <c r="JMB50" s="519"/>
      <c r="JMC50" s="519"/>
      <c r="JMD50" s="519"/>
      <c r="JME50" s="519"/>
      <c r="JMF50" s="519"/>
      <c r="JMG50" s="519"/>
      <c r="JMH50" s="519"/>
      <c r="JMI50" s="519"/>
      <c r="JMJ50" s="519"/>
      <c r="JMK50" s="519"/>
      <c r="JML50" s="519"/>
      <c r="JMM50" s="519"/>
      <c r="JMN50" s="519"/>
      <c r="JMO50" s="519"/>
      <c r="JMP50" s="519"/>
      <c r="JMQ50" s="519"/>
      <c r="JMR50" s="519"/>
      <c r="JMS50" s="519"/>
      <c r="JMT50" s="519"/>
      <c r="JMU50" s="519"/>
      <c r="JMV50" s="519"/>
      <c r="JMW50" s="519"/>
      <c r="JMX50" s="519"/>
      <c r="JMY50" s="519"/>
      <c r="JMZ50" s="519"/>
      <c r="JNA50" s="519"/>
      <c r="JNB50" s="519"/>
      <c r="JNC50" s="519"/>
      <c r="JND50" s="519"/>
      <c r="JNE50" s="519"/>
      <c r="JNF50" s="519"/>
      <c r="JNG50" s="519"/>
      <c r="JNH50" s="519"/>
      <c r="JNI50" s="519"/>
      <c r="JNJ50" s="519"/>
      <c r="JNK50" s="519"/>
      <c r="JNL50" s="519"/>
      <c r="JNM50" s="519"/>
      <c r="JNN50" s="519"/>
      <c r="JNO50" s="519"/>
      <c r="JNP50" s="519"/>
      <c r="JNQ50" s="519"/>
      <c r="JNR50" s="519"/>
      <c r="JNS50" s="519"/>
      <c r="JNT50" s="519"/>
      <c r="JNU50" s="519"/>
      <c r="JNV50" s="519"/>
      <c r="JNW50" s="519"/>
      <c r="JNX50" s="519"/>
      <c r="JNY50" s="519"/>
      <c r="JNZ50" s="519"/>
      <c r="JOA50" s="519"/>
      <c r="JOB50" s="519"/>
      <c r="JOC50" s="519"/>
      <c r="JOD50" s="519"/>
      <c r="JOE50" s="519"/>
      <c r="JOF50" s="519"/>
      <c r="JOG50" s="519"/>
      <c r="JOH50" s="519"/>
      <c r="JOI50" s="519"/>
      <c r="JOJ50" s="519"/>
      <c r="JOK50" s="519"/>
      <c r="JOL50" s="519"/>
      <c r="JOM50" s="519"/>
      <c r="JON50" s="519"/>
      <c r="JOO50" s="519"/>
      <c r="JOP50" s="519"/>
      <c r="JOQ50" s="519"/>
      <c r="JOR50" s="519"/>
      <c r="JOS50" s="519"/>
      <c r="JOT50" s="519"/>
      <c r="JOU50" s="519"/>
      <c r="JOV50" s="519"/>
      <c r="JOW50" s="519"/>
      <c r="JOX50" s="519"/>
      <c r="JOY50" s="519"/>
      <c r="JOZ50" s="519"/>
      <c r="JPA50" s="519"/>
      <c r="JPB50" s="519"/>
      <c r="JPC50" s="519"/>
      <c r="JPD50" s="519"/>
      <c r="JPE50" s="519"/>
      <c r="JPF50" s="519"/>
      <c r="JPG50" s="519"/>
      <c r="JPH50" s="519"/>
      <c r="JPI50" s="519"/>
      <c r="JPJ50" s="519"/>
      <c r="JPK50" s="519"/>
      <c r="JPL50" s="519"/>
      <c r="JPM50" s="519"/>
      <c r="JPN50" s="519"/>
      <c r="JPO50" s="519"/>
      <c r="JPP50" s="519"/>
      <c r="JPQ50" s="519"/>
      <c r="JPR50" s="519"/>
      <c r="JPS50" s="519"/>
      <c r="JPT50" s="519"/>
      <c r="JPU50" s="519"/>
      <c r="JPV50" s="519"/>
      <c r="JPW50" s="519"/>
      <c r="JPX50" s="519"/>
      <c r="JPY50" s="519"/>
      <c r="JPZ50" s="519"/>
      <c r="JQA50" s="519"/>
      <c r="JQB50" s="519"/>
      <c r="JQC50" s="519"/>
      <c r="JQD50" s="519"/>
      <c r="JQE50" s="519"/>
      <c r="JQF50" s="519"/>
      <c r="JQG50" s="519"/>
      <c r="JQH50" s="519"/>
      <c r="JQI50" s="519"/>
      <c r="JQJ50" s="519"/>
      <c r="JQK50" s="519"/>
      <c r="JQL50" s="519"/>
      <c r="JQM50" s="519"/>
      <c r="JQN50" s="519"/>
      <c r="JQO50" s="519"/>
      <c r="JQP50" s="519"/>
      <c r="JQQ50" s="519"/>
      <c r="JQR50" s="519"/>
      <c r="JQS50" s="519"/>
      <c r="JQT50" s="519"/>
      <c r="JQU50" s="519"/>
      <c r="JQV50" s="519"/>
      <c r="JQW50" s="519"/>
      <c r="JQX50" s="519"/>
      <c r="JQY50" s="519"/>
      <c r="JQZ50" s="519"/>
      <c r="JRA50" s="519"/>
      <c r="JRB50" s="519"/>
      <c r="JRC50" s="519"/>
      <c r="JRD50" s="519"/>
      <c r="JRE50" s="519"/>
      <c r="JRF50" s="519"/>
      <c r="JRG50" s="519"/>
      <c r="JRH50" s="519"/>
      <c r="JRI50" s="519"/>
      <c r="JRJ50" s="519"/>
      <c r="JRK50" s="519"/>
      <c r="JRL50" s="519"/>
      <c r="JRM50" s="519"/>
      <c r="JRN50" s="519"/>
      <c r="JRO50" s="519"/>
      <c r="JRP50" s="519"/>
      <c r="JRQ50" s="519"/>
      <c r="JRR50" s="519"/>
      <c r="JRS50" s="519"/>
      <c r="JRT50" s="519"/>
      <c r="JRU50" s="519"/>
      <c r="JRV50" s="519"/>
      <c r="JRW50" s="519"/>
      <c r="JRX50" s="519"/>
      <c r="JRY50" s="519"/>
      <c r="JRZ50" s="519"/>
      <c r="JSA50" s="519"/>
      <c r="JSB50" s="519"/>
      <c r="JSC50" s="519"/>
      <c r="JSD50" s="519"/>
      <c r="JSE50" s="519"/>
      <c r="JSF50" s="519"/>
      <c r="JSG50" s="519"/>
      <c r="JSH50" s="519"/>
      <c r="JSI50" s="519"/>
      <c r="JSJ50" s="519"/>
      <c r="JSK50" s="519"/>
      <c r="JSL50" s="519"/>
      <c r="JSM50" s="519"/>
      <c r="JSN50" s="519"/>
      <c r="JSO50" s="519"/>
      <c r="JSP50" s="519"/>
      <c r="JSQ50" s="519"/>
      <c r="JSR50" s="519"/>
      <c r="JSS50" s="519"/>
      <c r="JST50" s="519"/>
      <c r="JSU50" s="519"/>
      <c r="JSV50" s="519"/>
      <c r="JSW50" s="519"/>
      <c r="JSX50" s="519"/>
      <c r="JSY50" s="519"/>
      <c r="JSZ50" s="519"/>
      <c r="JTA50" s="519"/>
      <c r="JTB50" s="519"/>
      <c r="JTC50" s="519"/>
      <c r="JTD50" s="519"/>
      <c r="JTE50" s="519"/>
      <c r="JTF50" s="519"/>
      <c r="JTG50" s="519"/>
      <c r="JTH50" s="519"/>
      <c r="JTI50" s="519"/>
      <c r="JTJ50" s="519"/>
      <c r="JTK50" s="519"/>
      <c r="JTL50" s="519"/>
      <c r="JTM50" s="519"/>
      <c r="JTN50" s="519"/>
      <c r="JTO50" s="519"/>
      <c r="JTP50" s="519"/>
      <c r="JTQ50" s="519"/>
      <c r="JTR50" s="519"/>
      <c r="JTS50" s="519"/>
      <c r="JTT50" s="519"/>
      <c r="JTU50" s="519"/>
      <c r="JTV50" s="519"/>
      <c r="JTW50" s="519"/>
      <c r="JTX50" s="519"/>
      <c r="JTY50" s="519"/>
      <c r="JTZ50" s="519"/>
      <c r="JUA50" s="519"/>
      <c r="JUB50" s="519"/>
      <c r="JUC50" s="519"/>
      <c r="JUD50" s="519"/>
      <c r="JUE50" s="519"/>
      <c r="JUF50" s="519"/>
      <c r="JUG50" s="519"/>
      <c r="JUH50" s="519"/>
      <c r="JUI50" s="519"/>
      <c r="JUJ50" s="519"/>
      <c r="JUK50" s="519"/>
      <c r="JUL50" s="519"/>
      <c r="JUM50" s="519"/>
      <c r="JUN50" s="519"/>
      <c r="JUO50" s="519"/>
      <c r="JUP50" s="519"/>
      <c r="JUQ50" s="519"/>
      <c r="JUR50" s="519"/>
      <c r="JUS50" s="519"/>
      <c r="JUT50" s="519"/>
      <c r="JUU50" s="519"/>
      <c r="JUV50" s="519"/>
      <c r="JUW50" s="519"/>
      <c r="JUX50" s="519"/>
      <c r="JUY50" s="519"/>
      <c r="JUZ50" s="519"/>
      <c r="JVA50" s="519"/>
      <c r="JVB50" s="519"/>
      <c r="JVC50" s="519"/>
      <c r="JVD50" s="519"/>
      <c r="JVE50" s="519"/>
      <c r="JVF50" s="519"/>
      <c r="JVG50" s="519"/>
      <c r="JVH50" s="519"/>
      <c r="JVI50" s="519"/>
      <c r="JVJ50" s="519"/>
      <c r="JVK50" s="519"/>
      <c r="JVL50" s="519"/>
      <c r="JVM50" s="519"/>
      <c r="JVN50" s="519"/>
      <c r="JVO50" s="519"/>
      <c r="JVP50" s="519"/>
      <c r="JVQ50" s="519"/>
      <c r="JVR50" s="519"/>
      <c r="JVS50" s="519"/>
      <c r="JVT50" s="519"/>
      <c r="JVU50" s="519"/>
      <c r="JVV50" s="519"/>
      <c r="JVW50" s="519"/>
      <c r="JVX50" s="519"/>
      <c r="JVY50" s="519"/>
      <c r="JVZ50" s="519"/>
      <c r="JWA50" s="519"/>
      <c r="JWB50" s="519"/>
      <c r="JWC50" s="519"/>
      <c r="JWD50" s="519"/>
      <c r="JWE50" s="519"/>
      <c r="JWF50" s="519"/>
      <c r="JWG50" s="519"/>
      <c r="JWH50" s="519"/>
      <c r="JWI50" s="519"/>
      <c r="JWJ50" s="519"/>
      <c r="JWK50" s="519"/>
      <c r="JWL50" s="519"/>
      <c r="JWM50" s="519"/>
      <c r="JWN50" s="519"/>
      <c r="JWO50" s="519"/>
      <c r="JWP50" s="519"/>
      <c r="JWQ50" s="519"/>
      <c r="JWR50" s="519"/>
      <c r="JWS50" s="519"/>
      <c r="JWT50" s="519"/>
      <c r="JWU50" s="519"/>
      <c r="JWV50" s="519"/>
      <c r="JWW50" s="519"/>
      <c r="JWX50" s="519"/>
      <c r="JWY50" s="519"/>
      <c r="JWZ50" s="519"/>
      <c r="JXA50" s="519"/>
      <c r="JXB50" s="519"/>
      <c r="JXC50" s="519"/>
      <c r="JXD50" s="519"/>
      <c r="JXE50" s="519"/>
      <c r="JXF50" s="519"/>
      <c r="JXG50" s="519"/>
      <c r="JXH50" s="519"/>
      <c r="JXI50" s="519"/>
      <c r="JXJ50" s="519"/>
      <c r="JXK50" s="519"/>
      <c r="JXL50" s="519"/>
      <c r="JXM50" s="519"/>
      <c r="JXN50" s="519"/>
      <c r="JXO50" s="519"/>
      <c r="JXP50" s="519"/>
      <c r="JXQ50" s="519"/>
      <c r="JXR50" s="519"/>
      <c r="JXS50" s="519"/>
      <c r="JXT50" s="519"/>
      <c r="JXU50" s="519"/>
      <c r="JXV50" s="519"/>
      <c r="JXW50" s="519"/>
      <c r="JXX50" s="519"/>
      <c r="JXY50" s="519"/>
      <c r="JXZ50" s="519"/>
      <c r="JYA50" s="519"/>
      <c r="JYB50" s="519"/>
      <c r="JYC50" s="519"/>
      <c r="JYD50" s="519"/>
      <c r="JYE50" s="519"/>
      <c r="JYF50" s="519"/>
      <c r="JYG50" s="519"/>
      <c r="JYH50" s="519"/>
      <c r="JYI50" s="519"/>
      <c r="JYJ50" s="519"/>
      <c r="JYK50" s="519"/>
      <c r="JYL50" s="519"/>
      <c r="JYM50" s="519"/>
      <c r="JYN50" s="519"/>
      <c r="JYO50" s="519"/>
      <c r="JYP50" s="519"/>
      <c r="JYQ50" s="519"/>
      <c r="JYR50" s="519"/>
      <c r="JYS50" s="519"/>
      <c r="JYT50" s="519"/>
      <c r="JYU50" s="519"/>
      <c r="JYV50" s="519"/>
      <c r="JYW50" s="519"/>
      <c r="JYX50" s="519"/>
      <c r="JYY50" s="519"/>
      <c r="JYZ50" s="519"/>
      <c r="JZA50" s="519"/>
      <c r="JZB50" s="519"/>
      <c r="JZC50" s="519"/>
      <c r="JZD50" s="519"/>
      <c r="JZE50" s="519"/>
      <c r="JZF50" s="519"/>
      <c r="JZG50" s="519"/>
      <c r="JZH50" s="519"/>
      <c r="JZI50" s="519"/>
      <c r="JZJ50" s="519"/>
      <c r="JZK50" s="519"/>
      <c r="JZL50" s="519"/>
      <c r="JZM50" s="519"/>
      <c r="JZN50" s="519"/>
      <c r="JZO50" s="519"/>
      <c r="JZP50" s="519"/>
      <c r="JZQ50" s="519"/>
      <c r="JZR50" s="519"/>
      <c r="JZS50" s="519"/>
      <c r="JZT50" s="519"/>
      <c r="JZU50" s="519"/>
      <c r="JZV50" s="519"/>
      <c r="JZW50" s="519"/>
      <c r="JZX50" s="519"/>
      <c r="JZY50" s="519"/>
      <c r="JZZ50" s="519"/>
      <c r="KAA50" s="519"/>
      <c r="KAB50" s="519"/>
      <c r="KAC50" s="519"/>
      <c r="KAD50" s="519"/>
      <c r="KAE50" s="519"/>
      <c r="KAF50" s="519"/>
      <c r="KAG50" s="519"/>
      <c r="KAH50" s="519"/>
      <c r="KAI50" s="519"/>
      <c r="KAJ50" s="519"/>
      <c r="KAK50" s="519"/>
      <c r="KAL50" s="519"/>
      <c r="KAM50" s="519"/>
      <c r="KAN50" s="519"/>
      <c r="KAO50" s="519"/>
      <c r="KAP50" s="519"/>
      <c r="KAQ50" s="519"/>
      <c r="KAR50" s="519"/>
      <c r="KAS50" s="519"/>
      <c r="KAT50" s="519"/>
      <c r="KAU50" s="519"/>
      <c r="KAV50" s="519"/>
      <c r="KAW50" s="519"/>
      <c r="KAX50" s="519"/>
      <c r="KAY50" s="519"/>
      <c r="KAZ50" s="519"/>
      <c r="KBA50" s="519"/>
      <c r="KBB50" s="519"/>
      <c r="KBC50" s="519"/>
      <c r="KBD50" s="519"/>
      <c r="KBE50" s="519"/>
      <c r="KBF50" s="519"/>
      <c r="KBG50" s="519"/>
      <c r="KBH50" s="519"/>
      <c r="KBI50" s="519"/>
      <c r="KBJ50" s="519"/>
      <c r="KBK50" s="519"/>
      <c r="KBL50" s="519"/>
      <c r="KBM50" s="519"/>
      <c r="KBN50" s="519"/>
      <c r="KBO50" s="519"/>
      <c r="KBP50" s="519"/>
      <c r="KBQ50" s="519"/>
      <c r="KBR50" s="519"/>
      <c r="KBS50" s="519"/>
      <c r="KBT50" s="519"/>
      <c r="KBU50" s="519"/>
      <c r="KBV50" s="519"/>
      <c r="KBW50" s="519"/>
      <c r="KBX50" s="519"/>
      <c r="KBY50" s="519"/>
      <c r="KBZ50" s="519"/>
      <c r="KCA50" s="519"/>
      <c r="KCB50" s="519"/>
      <c r="KCC50" s="519"/>
      <c r="KCD50" s="519"/>
      <c r="KCE50" s="519"/>
      <c r="KCF50" s="519"/>
      <c r="KCG50" s="519"/>
      <c r="KCH50" s="519"/>
      <c r="KCI50" s="519"/>
      <c r="KCJ50" s="519"/>
      <c r="KCK50" s="519"/>
      <c r="KCL50" s="519"/>
      <c r="KCM50" s="519"/>
      <c r="KCN50" s="519"/>
      <c r="KCO50" s="519"/>
      <c r="KCP50" s="519"/>
      <c r="KCQ50" s="519"/>
      <c r="KCR50" s="519"/>
      <c r="KCS50" s="519"/>
      <c r="KCT50" s="519"/>
      <c r="KCU50" s="519"/>
      <c r="KCV50" s="519"/>
      <c r="KCW50" s="519"/>
      <c r="KCX50" s="519"/>
      <c r="KCY50" s="519"/>
      <c r="KCZ50" s="519"/>
      <c r="KDA50" s="519"/>
      <c r="KDB50" s="519"/>
      <c r="KDC50" s="519"/>
      <c r="KDD50" s="519"/>
      <c r="KDE50" s="519"/>
      <c r="KDF50" s="519"/>
      <c r="KDG50" s="519"/>
      <c r="KDH50" s="519"/>
      <c r="KDI50" s="519"/>
      <c r="KDJ50" s="519"/>
      <c r="KDK50" s="519"/>
      <c r="KDL50" s="519"/>
      <c r="KDM50" s="519"/>
      <c r="KDN50" s="519"/>
      <c r="KDO50" s="519"/>
      <c r="KDP50" s="519"/>
      <c r="KDQ50" s="519"/>
      <c r="KDR50" s="519"/>
      <c r="KDS50" s="519"/>
      <c r="KDT50" s="519"/>
      <c r="KDU50" s="519"/>
      <c r="KDV50" s="519"/>
      <c r="KDW50" s="519"/>
      <c r="KDX50" s="519"/>
      <c r="KDY50" s="519"/>
      <c r="KDZ50" s="519"/>
      <c r="KEA50" s="519"/>
      <c r="KEB50" s="519"/>
      <c r="KEC50" s="519"/>
      <c r="KED50" s="519"/>
      <c r="KEE50" s="519"/>
      <c r="KEF50" s="519"/>
      <c r="KEG50" s="519"/>
      <c r="KEH50" s="519"/>
      <c r="KEI50" s="519"/>
      <c r="KEJ50" s="519"/>
      <c r="KEK50" s="519"/>
      <c r="KEL50" s="519"/>
      <c r="KEM50" s="519"/>
      <c r="KEN50" s="519"/>
      <c r="KEO50" s="519"/>
      <c r="KEP50" s="519"/>
      <c r="KEQ50" s="519"/>
      <c r="KER50" s="519"/>
      <c r="KES50" s="519"/>
      <c r="KET50" s="519"/>
      <c r="KEU50" s="519"/>
      <c r="KEV50" s="519"/>
      <c r="KEW50" s="519"/>
      <c r="KEX50" s="519"/>
      <c r="KEY50" s="519"/>
      <c r="KEZ50" s="519"/>
      <c r="KFA50" s="519"/>
      <c r="KFB50" s="519"/>
      <c r="KFC50" s="519"/>
      <c r="KFD50" s="519"/>
      <c r="KFE50" s="519"/>
      <c r="KFF50" s="519"/>
      <c r="KFG50" s="519"/>
      <c r="KFH50" s="519"/>
      <c r="KFI50" s="519"/>
      <c r="KFJ50" s="519"/>
      <c r="KFK50" s="519"/>
      <c r="KFL50" s="519"/>
      <c r="KFM50" s="519"/>
      <c r="KFN50" s="519"/>
      <c r="KFO50" s="519"/>
      <c r="KFP50" s="519"/>
      <c r="KFQ50" s="519"/>
      <c r="KFR50" s="519"/>
      <c r="KFS50" s="519"/>
      <c r="KFT50" s="519"/>
      <c r="KFU50" s="519"/>
      <c r="KFV50" s="519"/>
      <c r="KFW50" s="519"/>
      <c r="KFX50" s="519"/>
      <c r="KFY50" s="519"/>
      <c r="KFZ50" s="519"/>
      <c r="KGA50" s="519"/>
      <c r="KGB50" s="519"/>
      <c r="KGC50" s="519"/>
      <c r="KGD50" s="519"/>
      <c r="KGE50" s="519"/>
      <c r="KGF50" s="519"/>
      <c r="KGG50" s="519"/>
      <c r="KGH50" s="519"/>
      <c r="KGI50" s="519"/>
      <c r="KGJ50" s="519"/>
      <c r="KGK50" s="519"/>
      <c r="KGL50" s="519"/>
      <c r="KGM50" s="519"/>
      <c r="KGN50" s="519"/>
      <c r="KGO50" s="519"/>
      <c r="KGP50" s="519"/>
      <c r="KGQ50" s="519"/>
      <c r="KGR50" s="519"/>
      <c r="KGS50" s="519"/>
      <c r="KGT50" s="519"/>
      <c r="KGU50" s="519"/>
      <c r="KGV50" s="519"/>
      <c r="KGW50" s="519"/>
      <c r="KGX50" s="519"/>
      <c r="KGY50" s="519"/>
      <c r="KGZ50" s="519"/>
      <c r="KHA50" s="519"/>
      <c r="KHB50" s="519"/>
      <c r="KHC50" s="519"/>
      <c r="KHD50" s="519"/>
      <c r="KHE50" s="519"/>
      <c r="KHF50" s="519"/>
      <c r="KHG50" s="519"/>
      <c r="KHH50" s="519"/>
      <c r="KHI50" s="519"/>
      <c r="KHJ50" s="519"/>
      <c r="KHK50" s="519"/>
      <c r="KHL50" s="519"/>
      <c r="KHM50" s="519"/>
      <c r="KHN50" s="519"/>
      <c r="KHO50" s="519"/>
      <c r="KHP50" s="519"/>
      <c r="KHQ50" s="519"/>
      <c r="KHR50" s="519"/>
      <c r="KHS50" s="519"/>
      <c r="KHT50" s="519"/>
      <c r="KHU50" s="519"/>
      <c r="KHV50" s="519"/>
      <c r="KHW50" s="519"/>
      <c r="KHX50" s="519"/>
      <c r="KHY50" s="519"/>
      <c r="KHZ50" s="519"/>
      <c r="KIA50" s="519"/>
      <c r="KIB50" s="519"/>
      <c r="KIC50" s="519"/>
      <c r="KID50" s="519"/>
      <c r="KIE50" s="519"/>
      <c r="KIF50" s="519"/>
      <c r="KIG50" s="519"/>
      <c r="KIH50" s="519"/>
      <c r="KII50" s="519"/>
      <c r="KIJ50" s="519"/>
      <c r="KIK50" s="519"/>
      <c r="KIL50" s="519"/>
      <c r="KIM50" s="519"/>
      <c r="KIN50" s="519"/>
      <c r="KIO50" s="519"/>
      <c r="KIP50" s="519"/>
      <c r="KIQ50" s="519"/>
      <c r="KIR50" s="519"/>
      <c r="KIS50" s="519"/>
      <c r="KIT50" s="519"/>
      <c r="KIU50" s="519"/>
      <c r="KIV50" s="519"/>
      <c r="KIW50" s="519"/>
      <c r="KIX50" s="519"/>
      <c r="KIY50" s="519"/>
      <c r="KIZ50" s="519"/>
      <c r="KJA50" s="519"/>
      <c r="KJB50" s="519"/>
      <c r="KJC50" s="519"/>
      <c r="KJD50" s="519"/>
      <c r="KJE50" s="519"/>
      <c r="KJF50" s="519"/>
      <c r="KJG50" s="519"/>
      <c r="KJH50" s="519"/>
      <c r="KJI50" s="519"/>
      <c r="KJJ50" s="519"/>
      <c r="KJK50" s="519"/>
      <c r="KJL50" s="519"/>
      <c r="KJM50" s="519"/>
      <c r="KJN50" s="519"/>
      <c r="KJO50" s="519"/>
      <c r="KJP50" s="519"/>
      <c r="KJQ50" s="519"/>
      <c r="KJR50" s="519"/>
      <c r="KJS50" s="519"/>
      <c r="KJT50" s="519"/>
      <c r="KJU50" s="519"/>
      <c r="KJV50" s="519"/>
      <c r="KJW50" s="519"/>
      <c r="KJX50" s="519"/>
      <c r="KJY50" s="519"/>
      <c r="KJZ50" s="519"/>
      <c r="KKA50" s="519"/>
      <c r="KKB50" s="519"/>
      <c r="KKC50" s="519"/>
      <c r="KKD50" s="519"/>
      <c r="KKE50" s="519"/>
      <c r="KKF50" s="519"/>
      <c r="KKG50" s="519"/>
      <c r="KKH50" s="519"/>
      <c r="KKI50" s="519"/>
      <c r="KKJ50" s="519"/>
      <c r="KKK50" s="519"/>
      <c r="KKL50" s="519"/>
      <c r="KKM50" s="519"/>
      <c r="KKN50" s="519"/>
      <c r="KKO50" s="519"/>
      <c r="KKP50" s="519"/>
      <c r="KKQ50" s="519"/>
      <c r="KKR50" s="519"/>
      <c r="KKS50" s="519"/>
      <c r="KKT50" s="519"/>
      <c r="KKU50" s="519"/>
      <c r="KKV50" s="519"/>
      <c r="KKW50" s="519"/>
      <c r="KKX50" s="519"/>
      <c r="KKY50" s="519"/>
      <c r="KKZ50" s="519"/>
      <c r="KLA50" s="519"/>
      <c r="KLB50" s="519"/>
      <c r="KLC50" s="519"/>
      <c r="KLD50" s="519"/>
      <c r="KLE50" s="519"/>
      <c r="KLF50" s="519"/>
      <c r="KLG50" s="519"/>
      <c r="KLH50" s="519"/>
      <c r="KLI50" s="519"/>
      <c r="KLJ50" s="519"/>
      <c r="KLK50" s="519"/>
      <c r="KLL50" s="519"/>
      <c r="KLM50" s="519"/>
      <c r="KLN50" s="519"/>
      <c r="KLO50" s="519"/>
      <c r="KLP50" s="519"/>
      <c r="KLQ50" s="519"/>
      <c r="KLR50" s="519"/>
      <c r="KLS50" s="519"/>
      <c r="KLT50" s="519"/>
      <c r="KLU50" s="519"/>
      <c r="KLV50" s="519"/>
      <c r="KLW50" s="519"/>
      <c r="KLX50" s="519"/>
      <c r="KLY50" s="519"/>
      <c r="KLZ50" s="519"/>
      <c r="KMA50" s="519"/>
      <c r="KMB50" s="519"/>
      <c r="KMC50" s="519"/>
      <c r="KMD50" s="519"/>
      <c r="KME50" s="519"/>
      <c r="KMF50" s="519"/>
      <c r="KMG50" s="519"/>
      <c r="KMH50" s="519"/>
      <c r="KMI50" s="519"/>
      <c r="KMJ50" s="519"/>
      <c r="KMK50" s="519"/>
      <c r="KML50" s="519"/>
      <c r="KMM50" s="519"/>
      <c r="KMN50" s="519"/>
      <c r="KMO50" s="519"/>
      <c r="KMP50" s="519"/>
      <c r="KMQ50" s="519"/>
      <c r="KMR50" s="519"/>
      <c r="KMS50" s="519"/>
      <c r="KMT50" s="519"/>
      <c r="KMU50" s="519"/>
      <c r="KMV50" s="519"/>
      <c r="KMW50" s="519"/>
      <c r="KMX50" s="519"/>
      <c r="KMY50" s="519"/>
      <c r="KMZ50" s="519"/>
      <c r="KNA50" s="519"/>
      <c r="KNB50" s="519"/>
      <c r="KNC50" s="519"/>
      <c r="KND50" s="519"/>
      <c r="KNE50" s="519"/>
      <c r="KNF50" s="519"/>
      <c r="KNG50" s="519"/>
      <c r="KNH50" s="519"/>
      <c r="KNI50" s="519"/>
      <c r="KNJ50" s="519"/>
      <c r="KNK50" s="519"/>
      <c r="KNL50" s="519"/>
      <c r="KNM50" s="519"/>
      <c r="KNN50" s="519"/>
      <c r="KNO50" s="519"/>
      <c r="KNP50" s="519"/>
      <c r="KNQ50" s="519"/>
      <c r="KNR50" s="519"/>
      <c r="KNS50" s="519"/>
      <c r="KNT50" s="519"/>
      <c r="KNU50" s="519"/>
      <c r="KNV50" s="519"/>
      <c r="KNW50" s="519"/>
      <c r="KNX50" s="519"/>
      <c r="KNY50" s="519"/>
      <c r="KNZ50" s="519"/>
      <c r="KOA50" s="519"/>
      <c r="KOB50" s="519"/>
      <c r="KOC50" s="519"/>
      <c r="KOD50" s="519"/>
      <c r="KOE50" s="519"/>
      <c r="KOF50" s="519"/>
      <c r="KOG50" s="519"/>
      <c r="KOH50" s="519"/>
      <c r="KOI50" s="519"/>
      <c r="KOJ50" s="519"/>
      <c r="KOK50" s="519"/>
      <c r="KOL50" s="519"/>
      <c r="KOM50" s="519"/>
      <c r="KON50" s="519"/>
      <c r="KOO50" s="519"/>
      <c r="KOP50" s="519"/>
      <c r="KOQ50" s="519"/>
      <c r="KOR50" s="519"/>
      <c r="KOS50" s="519"/>
      <c r="KOT50" s="519"/>
      <c r="KOU50" s="519"/>
      <c r="KOV50" s="519"/>
      <c r="KOW50" s="519"/>
      <c r="KOX50" s="519"/>
      <c r="KOY50" s="519"/>
      <c r="KOZ50" s="519"/>
      <c r="KPA50" s="519"/>
      <c r="KPB50" s="519"/>
      <c r="KPC50" s="519"/>
      <c r="KPD50" s="519"/>
      <c r="KPE50" s="519"/>
      <c r="KPF50" s="519"/>
      <c r="KPG50" s="519"/>
      <c r="KPH50" s="519"/>
      <c r="KPI50" s="519"/>
      <c r="KPJ50" s="519"/>
      <c r="KPK50" s="519"/>
      <c r="KPL50" s="519"/>
      <c r="KPM50" s="519"/>
      <c r="KPN50" s="519"/>
      <c r="KPO50" s="519"/>
      <c r="KPP50" s="519"/>
      <c r="KPQ50" s="519"/>
      <c r="KPR50" s="519"/>
      <c r="KPS50" s="519"/>
      <c r="KPT50" s="519"/>
      <c r="KPU50" s="519"/>
      <c r="KPV50" s="519"/>
      <c r="KPW50" s="519"/>
      <c r="KPX50" s="519"/>
      <c r="KPY50" s="519"/>
      <c r="KPZ50" s="519"/>
      <c r="KQA50" s="519"/>
      <c r="KQB50" s="519"/>
      <c r="KQC50" s="519"/>
      <c r="KQD50" s="519"/>
      <c r="KQE50" s="519"/>
      <c r="KQF50" s="519"/>
      <c r="KQG50" s="519"/>
      <c r="KQH50" s="519"/>
      <c r="KQI50" s="519"/>
      <c r="KQJ50" s="519"/>
      <c r="KQK50" s="519"/>
      <c r="KQL50" s="519"/>
      <c r="KQM50" s="519"/>
      <c r="KQN50" s="519"/>
      <c r="KQO50" s="519"/>
      <c r="KQP50" s="519"/>
      <c r="KQQ50" s="519"/>
      <c r="KQR50" s="519"/>
      <c r="KQS50" s="519"/>
      <c r="KQT50" s="519"/>
      <c r="KQU50" s="519"/>
      <c r="KQV50" s="519"/>
      <c r="KQW50" s="519"/>
      <c r="KQX50" s="519"/>
      <c r="KQY50" s="519"/>
      <c r="KQZ50" s="519"/>
      <c r="KRA50" s="519"/>
      <c r="KRB50" s="519"/>
      <c r="KRC50" s="519"/>
      <c r="KRD50" s="519"/>
      <c r="KRE50" s="519"/>
      <c r="KRF50" s="519"/>
      <c r="KRG50" s="519"/>
      <c r="KRH50" s="519"/>
      <c r="KRI50" s="519"/>
      <c r="KRJ50" s="519"/>
      <c r="KRK50" s="519"/>
      <c r="KRL50" s="519"/>
      <c r="KRM50" s="519"/>
      <c r="KRN50" s="519"/>
      <c r="KRO50" s="519"/>
      <c r="KRP50" s="519"/>
      <c r="KRQ50" s="519"/>
      <c r="KRR50" s="519"/>
      <c r="KRS50" s="519"/>
      <c r="KRT50" s="519"/>
      <c r="KRU50" s="519"/>
      <c r="KRV50" s="519"/>
      <c r="KRW50" s="519"/>
      <c r="KRX50" s="519"/>
      <c r="KRY50" s="519"/>
      <c r="KRZ50" s="519"/>
      <c r="KSA50" s="519"/>
      <c r="KSB50" s="519"/>
      <c r="KSC50" s="519"/>
      <c r="KSD50" s="519"/>
      <c r="KSE50" s="519"/>
      <c r="KSF50" s="519"/>
      <c r="KSG50" s="519"/>
      <c r="KSH50" s="519"/>
      <c r="KSI50" s="519"/>
      <c r="KSJ50" s="519"/>
      <c r="KSK50" s="519"/>
      <c r="KSL50" s="519"/>
      <c r="KSM50" s="519"/>
      <c r="KSN50" s="519"/>
      <c r="KSO50" s="519"/>
      <c r="KSP50" s="519"/>
      <c r="KSQ50" s="519"/>
      <c r="KSR50" s="519"/>
      <c r="KSS50" s="519"/>
      <c r="KST50" s="519"/>
      <c r="KSU50" s="519"/>
      <c r="KSV50" s="519"/>
      <c r="KSW50" s="519"/>
      <c r="KSX50" s="519"/>
      <c r="KSY50" s="519"/>
      <c r="KSZ50" s="519"/>
      <c r="KTA50" s="519"/>
      <c r="KTB50" s="519"/>
      <c r="KTC50" s="519"/>
      <c r="KTD50" s="519"/>
      <c r="KTE50" s="519"/>
      <c r="KTF50" s="519"/>
      <c r="KTG50" s="519"/>
      <c r="KTH50" s="519"/>
      <c r="KTI50" s="519"/>
      <c r="KTJ50" s="519"/>
      <c r="KTK50" s="519"/>
      <c r="KTL50" s="519"/>
      <c r="KTM50" s="519"/>
      <c r="KTN50" s="519"/>
      <c r="KTO50" s="519"/>
      <c r="KTP50" s="519"/>
      <c r="KTQ50" s="519"/>
      <c r="KTR50" s="519"/>
      <c r="KTS50" s="519"/>
      <c r="KTT50" s="519"/>
      <c r="KTU50" s="519"/>
      <c r="KTV50" s="519"/>
      <c r="KTW50" s="519"/>
      <c r="KTX50" s="519"/>
      <c r="KTY50" s="519"/>
      <c r="KTZ50" s="519"/>
      <c r="KUA50" s="519"/>
      <c r="KUB50" s="519"/>
      <c r="KUC50" s="519"/>
      <c r="KUD50" s="519"/>
      <c r="KUE50" s="519"/>
      <c r="KUF50" s="519"/>
      <c r="KUG50" s="519"/>
      <c r="KUH50" s="519"/>
      <c r="KUI50" s="519"/>
      <c r="KUJ50" s="519"/>
      <c r="KUK50" s="519"/>
      <c r="KUL50" s="519"/>
      <c r="KUM50" s="519"/>
      <c r="KUN50" s="519"/>
      <c r="KUO50" s="519"/>
      <c r="KUP50" s="519"/>
      <c r="KUQ50" s="519"/>
      <c r="KUR50" s="519"/>
      <c r="KUS50" s="519"/>
      <c r="KUT50" s="519"/>
      <c r="KUU50" s="519"/>
      <c r="KUV50" s="519"/>
      <c r="KUW50" s="519"/>
      <c r="KUX50" s="519"/>
      <c r="KUY50" s="519"/>
      <c r="KUZ50" s="519"/>
      <c r="KVA50" s="519"/>
      <c r="KVB50" s="519"/>
      <c r="KVC50" s="519"/>
      <c r="KVD50" s="519"/>
      <c r="KVE50" s="519"/>
      <c r="KVF50" s="519"/>
      <c r="KVG50" s="519"/>
      <c r="KVH50" s="519"/>
      <c r="KVI50" s="519"/>
      <c r="KVJ50" s="519"/>
      <c r="KVK50" s="519"/>
      <c r="KVL50" s="519"/>
      <c r="KVM50" s="519"/>
      <c r="KVN50" s="519"/>
      <c r="KVO50" s="519"/>
      <c r="KVP50" s="519"/>
      <c r="KVQ50" s="519"/>
      <c r="KVR50" s="519"/>
      <c r="KVS50" s="519"/>
      <c r="KVT50" s="519"/>
      <c r="KVU50" s="519"/>
      <c r="KVV50" s="519"/>
      <c r="KVW50" s="519"/>
      <c r="KVX50" s="519"/>
      <c r="KVY50" s="519"/>
      <c r="KVZ50" s="519"/>
      <c r="KWA50" s="519"/>
      <c r="KWB50" s="519"/>
      <c r="KWC50" s="519"/>
      <c r="KWD50" s="519"/>
      <c r="KWE50" s="519"/>
      <c r="KWF50" s="519"/>
      <c r="KWG50" s="519"/>
      <c r="KWH50" s="519"/>
      <c r="KWI50" s="519"/>
      <c r="KWJ50" s="519"/>
      <c r="KWK50" s="519"/>
      <c r="KWL50" s="519"/>
      <c r="KWM50" s="519"/>
      <c r="KWN50" s="519"/>
      <c r="KWO50" s="519"/>
      <c r="KWP50" s="519"/>
      <c r="KWQ50" s="519"/>
      <c r="KWR50" s="519"/>
      <c r="KWS50" s="519"/>
      <c r="KWT50" s="519"/>
      <c r="KWU50" s="519"/>
      <c r="KWV50" s="519"/>
      <c r="KWW50" s="519"/>
      <c r="KWX50" s="519"/>
      <c r="KWY50" s="519"/>
      <c r="KWZ50" s="519"/>
      <c r="KXA50" s="519"/>
      <c r="KXB50" s="519"/>
      <c r="KXC50" s="519"/>
      <c r="KXD50" s="519"/>
      <c r="KXE50" s="519"/>
      <c r="KXF50" s="519"/>
      <c r="KXG50" s="519"/>
      <c r="KXH50" s="519"/>
      <c r="KXI50" s="519"/>
      <c r="KXJ50" s="519"/>
      <c r="KXK50" s="519"/>
      <c r="KXL50" s="519"/>
      <c r="KXM50" s="519"/>
      <c r="KXN50" s="519"/>
      <c r="KXO50" s="519"/>
      <c r="KXP50" s="519"/>
      <c r="KXQ50" s="519"/>
      <c r="KXR50" s="519"/>
      <c r="KXS50" s="519"/>
      <c r="KXT50" s="519"/>
      <c r="KXU50" s="519"/>
      <c r="KXV50" s="519"/>
      <c r="KXW50" s="519"/>
      <c r="KXX50" s="519"/>
      <c r="KXY50" s="519"/>
      <c r="KXZ50" s="519"/>
      <c r="KYA50" s="519"/>
      <c r="KYB50" s="519"/>
      <c r="KYC50" s="519"/>
      <c r="KYD50" s="519"/>
      <c r="KYE50" s="519"/>
      <c r="KYF50" s="519"/>
      <c r="KYG50" s="519"/>
      <c r="KYH50" s="519"/>
      <c r="KYI50" s="519"/>
      <c r="KYJ50" s="519"/>
      <c r="KYK50" s="519"/>
      <c r="KYL50" s="519"/>
      <c r="KYM50" s="519"/>
      <c r="KYN50" s="519"/>
      <c r="KYO50" s="519"/>
      <c r="KYP50" s="519"/>
      <c r="KYQ50" s="519"/>
      <c r="KYR50" s="519"/>
      <c r="KYS50" s="519"/>
      <c r="KYT50" s="519"/>
      <c r="KYU50" s="519"/>
      <c r="KYV50" s="519"/>
      <c r="KYW50" s="519"/>
      <c r="KYX50" s="519"/>
      <c r="KYY50" s="519"/>
      <c r="KYZ50" s="519"/>
      <c r="KZA50" s="519"/>
      <c r="KZB50" s="519"/>
      <c r="KZC50" s="519"/>
      <c r="KZD50" s="519"/>
      <c r="KZE50" s="519"/>
      <c r="KZF50" s="519"/>
      <c r="KZG50" s="519"/>
      <c r="KZH50" s="519"/>
      <c r="KZI50" s="519"/>
      <c r="KZJ50" s="519"/>
      <c r="KZK50" s="519"/>
      <c r="KZL50" s="519"/>
      <c r="KZM50" s="519"/>
      <c r="KZN50" s="519"/>
      <c r="KZO50" s="519"/>
      <c r="KZP50" s="519"/>
      <c r="KZQ50" s="519"/>
      <c r="KZR50" s="519"/>
      <c r="KZS50" s="519"/>
      <c r="KZT50" s="519"/>
      <c r="KZU50" s="519"/>
      <c r="KZV50" s="519"/>
      <c r="KZW50" s="519"/>
      <c r="KZX50" s="519"/>
      <c r="KZY50" s="519"/>
      <c r="KZZ50" s="519"/>
      <c r="LAA50" s="519"/>
      <c r="LAB50" s="519"/>
      <c r="LAC50" s="519"/>
      <c r="LAD50" s="519"/>
      <c r="LAE50" s="519"/>
      <c r="LAF50" s="519"/>
      <c r="LAG50" s="519"/>
      <c r="LAH50" s="519"/>
      <c r="LAI50" s="519"/>
      <c r="LAJ50" s="519"/>
      <c r="LAK50" s="519"/>
      <c r="LAL50" s="519"/>
      <c r="LAM50" s="519"/>
      <c r="LAN50" s="519"/>
      <c r="LAO50" s="519"/>
      <c r="LAP50" s="519"/>
      <c r="LAQ50" s="519"/>
      <c r="LAR50" s="519"/>
      <c r="LAS50" s="519"/>
      <c r="LAT50" s="519"/>
      <c r="LAU50" s="519"/>
      <c r="LAV50" s="519"/>
      <c r="LAW50" s="519"/>
      <c r="LAX50" s="519"/>
      <c r="LAY50" s="519"/>
      <c r="LAZ50" s="519"/>
      <c r="LBA50" s="519"/>
      <c r="LBB50" s="519"/>
      <c r="LBC50" s="519"/>
      <c r="LBD50" s="519"/>
      <c r="LBE50" s="519"/>
      <c r="LBF50" s="519"/>
      <c r="LBG50" s="519"/>
      <c r="LBH50" s="519"/>
      <c r="LBI50" s="519"/>
      <c r="LBJ50" s="519"/>
      <c r="LBK50" s="519"/>
      <c r="LBL50" s="519"/>
      <c r="LBM50" s="519"/>
      <c r="LBN50" s="519"/>
      <c r="LBO50" s="519"/>
      <c r="LBP50" s="519"/>
      <c r="LBQ50" s="519"/>
      <c r="LBR50" s="519"/>
      <c r="LBS50" s="519"/>
      <c r="LBT50" s="519"/>
      <c r="LBU50" s="519"/>
      <c r="LBV50" s="519"/>
      <c r="LBW50" s="519"/>
      <c r="LBX50" s="519"/>
      <c r="LBY50" s="519"/>
      <c r="LBZ50" s="519"/>
      <c r="LCA50" s="519"/>
      <c r="LCB50" s="519"/>
      <c r="LCC50" s="519"/>
      <c r="LCD50" s="519"/>
      <c r="LCE50" s="519"/>
      <c r="LCF50" s="519"/>
      <c r="LCG50" s="519"/>
      <c r="LCH50" s="519"/>
      <c r="LCI50" s="519"/>
      <c r="LCJ50" s="519"/>
      <c r="LCK50" s="519"/>
      <c r="LCL50" s="519"/>
      <c r="LCM50" s="519"/>
      <c r="LCN50" s="519"/>
      <c r="LCO50" s="519"/>
      <c r="LCP50" s="519"/>
      <c r="LCQ50" s="519"/>
      <c r="LCR50" s="519"/>
      <c r="LCS50" s="519"/>
      <c r="LCT50" s="519"/>
      <c r="LCU50" s="519"/>
      <c r="LCV50" s="519"/>
      <c r="LCW50" s="519"/>
      <c r="LCX50" s="519"/>
      <c r="LCY50" s="519"/>
      <c r="LCZ50" s="519"/>
      <c r="LDA50" s="519"/>
      <c r="LDB50" s="519"/>
      <c r="LDC50" s="519"/>
      <c r="LDD50" s="519"/>
      <c r="LDE50" s="519"/>
      <c r="LDF50" s="519"/>
      <c r="LDG50" s="519"/>
      <c r="LDH50" s="519"/>
      <c r="LDI50" s="519"/>
      <c r="LDJ50" s="519"/>
      <c r="LDK50" s="519"/>
      <c r="LDL50" s="519"/>
      <c r="LDM50" s="519"/>
      <c r="LDN50" s="519"/>
      <c r="LDO50" s="519"/>
      <c r="LDP50" s="519"/>
      <c r="LDQ50" s="519"/>
      <c r="LDR50" s="519"/>
      <c r="LDS50" s="519"/>
      <c r="LDT50" s="519"/>
      <c r="LDU50" s="519"/>
      <c r="LDV50" s="519"/>
      <c r="LDW50" s="519"/>
      <c r="LDX50" s="519"/>
      <c r="LDY50" s="519"/>
      <c r="LDZ50" s="519"/>
      <c r="LEA50" s="519"/>
      <c r="LEB50" s="519"/>
      <c r="LEC50" s="519"/>
      <c r="LED50" s="519"/>
      <c r="LEE50" s="519"/>
      <c r="LEF50" s="519"/>
      <c r="LEG50" s="519"/>
      <c r="LEH50" s="519"/>
      <c r="LEI50" s="519"/>
      <c r="LEJ50" s="519"/>
      <c r="LEK50" s="519"/>
      <c r="LEL50" s="519"/>
      <c r="LEM50" s="519"/>
      <c r="LEN50" s="519"/>
      <c r="LEO50" s="519"/>
      <c r="LEP50" s="519"/>
      <c r="LEQ50" s="519"/>
      <c r="LER50" s="519"/>
      <c r="LES50" s="519"/>
      <c r="LET50" s="519"/>
      <c r="LEU50" s="519"/>
      <c r="LEV50" s="519"/>
      <c r="LEW50" s="519"/>
      <c r="LEX50" s="519"/>
      <c r="LEY50" s="519"/>
      <c r="LEZ50" s="519"/>
      <c r="LFA50" s="519"/>
      <c r="LFB50" s="519"/>
      <c r="LFC50" s="519"/>
      <c r="LFD50" s="519"/>
      <c r="LFE50" s="519"/>
      <c r="LFF50" s="519"/>
      <c r="LFG50" s="519"/>
      <c r="LFH50" s="519"/>
      <c r="LFI50" s="519"/>
      <c r="LFJ50" s="519"/>
      <c r="LFK50" s="519"/>
      <c r="LFL50" s="519"/>
      <c r="LFM50" s="519"/>
      <c r="LFN50" s="519"/>
      <c r="LFO50" s="519"/>
      <c r="LFP50" s="519"/>
      <c r="LFQ50" s="519"/>
      <c r="LFR50" s="519"/>
      <c r="LFS50" s="519"/>
      <c r="LFT50" s="519"/>
      <c r="LFU50" s="519"/>
      <c r="LFV50" s="519"/>
      <c r="LFW50" s="519"/>
      <c r="LFX50" s="519"/>
      <c r="LFY50" s="519"/>
      <c r="LFZ50" s="519"/>
      <c r="LGA50" s="519"/>
      <c r="LGB50" s="519"/>
      <c r="LGC50" s="519"/>
      <c r="LGD50" s="519"/>
      <c r="LGE50" s="519"/>
      <c r="LGF50" s="519"/>
      <c r="LGG50" s="519"/>
      <c r="LGH50" s="519"/>
      <c r="LGI50" s="519"/>
      <c r="LGJ50" s="519"/>
      <c r="LGK50" s="519"/>
      <c r="LGL50" s="519"/>
      <c r="LGM50" s="519"/>
      <c r="LGN50" s="519"/>
      <c r="LGO50" s="519"/>
      <c r="LGP50" s="519"/>
      <c r="LGQ50" s="519"/>
      <c r="LGR50" s="519"/>
      <c r="LGS50" s="519"/>
      <c r="LGT50" s="519"/>
      <c r="LGU50" s="519"/>
      <c r="LGV50" s="519"/>
      <c r="LGW50" s="519"/>
      <c r="LGX50" s="519"/>
      <c r="LGY50" s="519"/>
      <c r="LGZ50" s="519"/>
      <c r="LHA50" s="519"/>
      <c r="LHB50" s="519"/>
      <c r="LHC50" s="519"/>
      <c r="LHD50" s="519"/>
      <c r="LHE50" s="519"/>
      <c r="LHF50" s="519"/>
      <c r="LHG50" s="519"/>
      <c r="LHH50" s="519"/>
      <c r="LHI50" s="519"/>
      <c r="LHJ50" s="519"/>
      <c r="LHK50" s="519"/>
      <c r="LHL50" s="519"/>
      <c r="LHM50" s="519"/>
      <c r="LHN50" s="519"/>
      <c r="LHO50" s="519"/>
      <c r="LHP50" s="519"/>
      <c r="LHQ50" s="519"/>
      <c r="LHR50" s="519"/>
      <c r="LHS50" s="519"/>
      <c r="LHT50" s="519"/>
      <c r="LHU50" s="519"/>
      <c r="LHV50" s="519"/>
      <c r="LHW50" s="519"/>
      <c r="LHX50" s="519"/>
      <c r="LHY50" s="519"/>
      <c r="LHZ50" s="519"/>
      <c r="LIA50" s="519"/>
      <c r="LIB50" s="519"/>
      <c r="LIC50" s="519"/>
      <c r="LID50" s="519"/>
      <c r="LIE50" s="519"/>
      <c r="LIF50" s="519"/>
      <c r="LIG50" s="519"/>
      <c r="LIH50" s="519"/>
      <c r="LII50" s="519"/>
      <c r="LIJ50" s="519"/>
      <c r="LIK50" s="519"/>
      <c r="LIL50" s="519"/>
      <c r="LIM50" s="519"/>
      <c r="LIN50" s="519"/>
      <c r="LIO50" s="519"/>
      <c r="LIP50" s="519"/>
      <c r="LIQ50" s="519"/>
      <c r="LIR50" s="519"/>
      <c r="LIS50" s="519"/>
      <c r="LIT50" s="519"/>
      <c r="LIU50" s="519"/>
      <c r="LIV50" s="519"/>
      <c r="LIW50" s="519"/>
      <c r="LIX50" s="519"/>
      <c r="LIY50" s="519"/>
      <c r="LIZ50" s="519"/>
      <c r="LJA50" s="519"/>
      <c r="LJB50" s="519"/>
      <c r="LJC50" s="519"/>
      <c r="LJD50" s="519"/>
      <c r="LJE50" s="519"/>
      <c r="LJF50" s="519"/>
      <c r="LJG50" s="519"/>
      <c r="LJH50" s="519"/>
      <c r="LJI50" s="519"/>
      <c r="LJJ50" s="519"/>
      <c r="LJK50" s="519"/>
      <c r="LJL50" s="519"/>
      <c r="LJM50" s="519"/>
      <c r="LJN50" s="519"/>
      <c r="LJO50" s="519"/>
      <c r="LJP50" s="519"/>
      <c r="LJQ50" s="519"/>
      <c r="LJR50" s="519"/>
      <c r="LJS50" s="519"/>
      <c r="LJT50" s="519"/>
      <c r="LJU50" s="519"/>
      <c r="LJV50" s="519"/>
      <c r="LJW50" s="519"/>
      <c r="LJX50" s="519"/>
      <c r="LJY50" s="519"/>
      <c r="LJZ50" s="519"/>
      <c r="LKA50" s="519"/>
      <c r="LKB50" s="519"/>
      <c r="LKC50" s="519"/>
      <c r="LKD50" s="519"/>
      <c r="LKE50" s="519"/>
      <c r="LKF50" s="519"/>
      <c r="LKG50" s="519"/>
      <c r="LKH50" s="519"/>
      <c r="LKI50" s="519"/>
      <c r="LKJ50" s="519"/>
      <c r="LKK50" s="519"/>
      <c r="LKL50" s="519"/>
      <c r="LKM50" s="519"/>
      <c r="LKN50" s="519"/>
      <c r="LKO50" s="519"/>
      <c r="LKP50" s="519"/>
      <c r="LKQ50" s="519"/>
      <c r="LKR50" s="519"/>
      <c r="LKS50" s="519"/>
      <c r="LKT50" s="519"/>
      <c r="LKU50" s="519"/>
      <c r="LKV50" s="519"/>
      <c r="LKW50" s="519"/>
      <c r="LKX50" s="519"/>
      <c r="LKY50" s="519"/>
      <c r="LKZ50" s="519"/>
      <c r="LLA50" s="519"/>
      <c r="LLB50" s="519"/>
      <c r="LLC50" s="519"/>
      <c r="LLD50" s="519"/>
      <c r="LLE50" s="519"/>
      <c r="LLF50" s="519"/>
      <c r="LLG50" s="519"/>
      <c r="LLH50" s="519"/>
      <c r="LLI50" s="519"/>
      <c r="LLJ50" s="519"/>
      <c r="LLK50" s="519"/>
      <c r="LLL50" s="519"/>
      <c r="LLM50" s="519"/>
      <c r="LLN50" s="519"/>
      <c r="LLO50" s="519"/>
      <c r="LLP50" s="519"/>
      <c r="LLQ50" s="519"/>
      <c r="LLR50" s="519"/>
      <c r="LLS50" s="519"/>
      <c r="LLT50" s="519"/>
      <c r="LLU50" s="519"/>
      <c r="LLV50" s="519"/>
      <c r="LLW50" s="519"/>
      <c r="LLX50" s="519"/>
      <c r="LLY50" s="519"/>
      <c r="LLZ50" s="519"/>
      <c r="LMA50" s="519"/>
      <c r="LMB50" s="519"/>
      <c r="LMC50" s="519"/>
      <c r="LMD50" s="519"/>
      <c r="LME50" s="519"/>
      <c r="LMF50" s="519"/>
      <c r="LMG50" s="519"/>
      <c r="LMH50" s="519"/>
      <c r="LMI50" s="519"/>
      <c r="LMJ50" s="519"/>
      <c r="LMK50" s="519"/>
      <c r="LML50" s="519"/>
      <c r="LMM50" s="519"/>
      <c r="LMN50" s="519"/>
      <c r="LMO50" s="519"/>
      <c r="LMP50" s="519"/>
      <c r="LMQ50" s="519"/>
      <c r="LMR50" s="519"/>
      <c r="LMS50" s="519"/>
      <c r="LMT50" s="519"/>
      <c r="LMU50" s="519"/>
      <c r="LMV50" s="519"/>
      <c r="LMW50" s="519"/>
      <c r="LMX50" s="519"/>
      <c r="LMY50" s="519"/>
      <c r="LMZ50" s="519"/>
      <c r="LNA50" s="519"/>
      <c r="LNB50" s="519"/>
      <c r="LNC50" s="519"/>
      <c r="LND50" s="519"/>
      <c r="LNE50" s="519"/>
      <c r="LNF50" s="519"/>
      <c r="LNG50" s="519"/>
      <c r="LNH50" s="519"/>
      <c r="LNI50" s="519"/>
      <c r="LNJ50" s="519"/>
      <c r="LNK50" s="519"/>
      <c r="LNL50" s="519"/>
      <c r="LNM50" s="519"/>
      <c r="LNN50" s="519"/>
      <c r="LNO50" s="519"/>
      <c r="LNP50" s="519"/>
      <c r="LNQ50" s="519"/>
      <c r="LNR50" s="519"/>
      <c r="LNS50" s="519"/>
      <c r="LNT50" s="519"/>
      <c r="LNU50" s="519"/>
      <c r="LNV50" s="519"/>
      <c r="LNW50" s="519"/>
      <c r="LNX50" s="519"/>
      <c r="LNY50" s="519"/>
      <c r="LNZ50" s="519"/>
      <c r="LOA50" s="519"/>
      <c r="LOB50" s="519"/>
      <c r="LOC50" s="519"/>
      <c r="LOD50" s="519"/>
      <c r="LOE50" s="519"/>
      <c r="LOF50" s="519"/>
      <c r="LOG50" s="519"/>
      <c r="LOH50" s="519"/>
      <c r="LOI50" s="519"/>
      <c r="LOJ50" s="519"/>
      <c r="LOK50" s="519"/>
      <c r="LOL50" s="519"/>
      <c r="LOM50" s="519"/>
      <c r="LON50" s="519"/>
      <c r="LOO50" s="519"/>
      <c r="LOP50" s="519"/>
      <c r="LOQ50" s="519"/>
      <c r="LOR50" s="519"/>
      <c r="LOS50" s="519"/>
      <c r="LOT50" s="519"/>
      <c r="LOU50" s="519"/>
      <c r="LOV50" s="519"/>
      <c r="LOW50" s="519"/>
      <c r="LOX50" s="519"/>
      <c r="LOY50" s="519"/>
      <c r="LOZ50" s="519"/>
      <c r="LPA50" s="519"/>
      <c r="LPB50" s="519"/>
      <c r="LPC50" s="519"/>
      <c r="LPD50" s="519"/>
      <c r="LPE50" s="519"/>
      <c r="LPF50" s="519"/>
      <c r="LPG50" s="519"/>
      <c r="LPH50" s="519"/>
      <c r="LPI50" s="519"/>
      <c r="LPJ50" s="519"/>
      <c r="LPK50" s="519"/>
      <c r="LPL50" s="519"/>
      <c r="LPM50" s="519"/>
      <c r="LPN50" s="519"/>
      <c r="LPO50" s="519"/>
      <c r="LPP50" s="519"/>
      <c r="LPQ50" s="519"/>
      <c r="LPR50" s="519"/>
      <c r="LPS50" s="519"/>
      <c r="LPT50" s="519"/>
      <c r="LPU50" s="519"/>
      <c r="LPV50" s="519"/>
      <c r="LPW50" s="519"/>
      <c r="LPX50" s="519"/>
      <c r="LPY50" s="519"/>
      <c r="LPZ50" s="519"/>
      <c r="LQA50" s="519"/>
      <c r="LQB50" s="519"/>
      <c r="LQC50" s="519"/>
      <c r="LQD50" s="519"/>
      <c r="LQE50" s="519"/>
      <c r="LQF50" s="519"/>
      <c r="LQG50" s="519"/>
      <c r="LQH50" s="519"/>
      <c r="LQI50" s="519"/>
      <c r="LQJ50" s="519"/>
      <c r="LQK50" s="519"/>
      <c r="LQL50" s="519"/>
      <c r="LQM50" s="519"/>
      <c r="LQN50" s="519"/>
      <c r="LQO50" s="519"/>
      <c r="LQP50" s="519"/>
      <c r="LQQ50" s="519"/>
      <c r="LQR50" s="519"/>
      <c r="LQS50" s="519"/>
      <c r="LQT50" s="519"/>
      <c r="LQU50" s="519"/>
      <c r="LQV50" s="519"/>
      <c r="LQW50" s="519"/>
      <c r="LQX50" s="519"/>
      <c r="LQY50" s="519"/>
      <c r="LQZ50" s="519"/>
      <c r="LRA50" s="519"/>
      <c r="LRB50" s="519"/>
      <c r="LRC50" s="519"/>
      <c r="LRD50" s="519"/>
      <c r="LRE50" s="519"/>
      <c r="LRF50" s="519"/>
      <c r="LRG50" s="519"/>
      <c r="LRH50" s="519"/>
      <c r="LRI50" s="519"/>
      <c r="LRJ50" s="519"/>
      <c r="LRK50" s="519"/>
      <c r="LRL50" s="519"/>
      <c r="LRM50" s="519"/>
      <c r="LRN50" s="519"/>
      <c r="LRO50" s="519"/>
      <c r="LRP50" s="519"/>
      <c r="LRQ50" s="519"/>
      <c r="LRR50" s="519"/>
      <c r="LRS50" s="519"/>
      <c r="LRT50" s="519"/>
      <c r="LRU50" s="519"/>
      <c r="LRV50" s="519"/>
      <c r="LRW50" s="519"/>
      <c r="LRX50" s="519"/>
      <c r="LRY50" s="519"/>
      <c r="LRZ50" s="519"/>
      <c r="LSA50" s="519"/>
      <c r="LSB50" s="519"/>
      <c r="LSC50" s="519"/>
      <c r="LSD50" s="519"/>
      <c r="LSE50" s="519"/>
      <c r="LSF50" s="519"/>
      <c r="LSG50" s="519"/>
      <c r="LSH50" s="519"/>
      <c r="LSI50" s="519"/>
      <c r="LSJ50" s="519"/>
      <c r="LSK50" s="519"/>
      <c r="LSL50" s="519"/>
      <c r="LSM50" s="519"/>
      <c r="LSN50" s="519"/>
      <c r="LSO50" s="519"/>
      <c r="LSP50" s="519"/>
      <c r="LSQ50" s="519"/>
      <c r="LSR50" s="519"/>
      <c r="LSS50" s="519"/>
      <c r="LST50" s="519"/>
      <c r="LSU50" s="519"/>
      <c r="LSV50" s="519"/>
      <c r="LSW50" s="519"/>
      <c r="LSX50" s="519"/>
      <c r="LSY50" s="519"/>
      <c r="LSZ50" s="519"/>
      <c r="LTA50" s="519"/>
      <c r="LTB50" s="519"/>
      <c r="LTC50" s="519"/>
      <c r="LTD50" s="519"/>
      <c r="LTE50" s="519"/>
      <c r="LTF50" s="519"/>
      <c r="LTG50" s="519"/>
      <c r="LTH50" s="519"/>
      <c r="LTI50" s="519"/>
      <c r="LTJ50" s="519"/>
      <c r="LTK50" s="519"/>
      <c r="LTL50" s="519"/>
      <c r="LTM50" s="519"/>
      <c r="LTN50" s="519"/>
      <c r="LTO50" s="519"/>
      <c r="LTP50" s="519"/>
      <c r="LTQ50" s="519"/>
      <c r="LTR50" s="519"/>
      <c r="LTS50" s="519"/>
      <c r="LTT50" s="519"/>
      <c r="LTU50" s="519"/>
      <c r="LTV50" s="519"/>
      <c r="LTW50" s="519"/>
      <c r="LTX50" s="519"/>
      <c r="LTY50" s="519"/>
      <c r="LTZ50" s="519"/>
      <c r="LUA50" s="519"/>
      <c r="LUB50" s="519"/>
      <c r="LUC50" s="519"/>
      <c r="LUD50" s="519"/>
      <c r="LUE50" s="519"/>
      <c r="LUF50" s="519"/>
      <c r="LUG50" s="519"/>
      <c r="LUH50" s="519"/>
      <c r="LUI50" s="519"/>
      <c r="LUJ50" s="519"/>
      <c r="LUK50" s="519"/>
      <c r="LUL50" s="519"/>
      <c r="LUM50" s="519"/>
      <c r="LUN50" s="519"/>
      <c r="LUO50" s="519"/>
      <c r="LUP50" s="519"/>
      <c r="LUQ50" s="519"/>
      <c r="LUR50" s="519"/>
      <c r="LUS50" s="519"/>
      <c r="LUT50" s="519"/>
      <c r="LUU50" s="519"/>
      <c r="LUV50" s="519"/>
      <c r="LUW50" s="519"/>
      <c r="LUX50" s="519"/>
      <c r="LUY50" s="519"/>
      <c r="LUZ50" s="519"/>
      <c r="LVA50" s="519"/>
      <c r="LVB50" s="519"/>
      <c r="LVC50" s="519"/>
      <c r="LVD50" s="519"/>
      <c r="LVE50" s="519"/>
      <c r="LVF50" s="519"/>
      <c r="LVG50" s="519"/>
      <c r="LVH50" s="519"/>
      <c r="LVI50" s="519"/>
      <c r="LVJ50" s="519"/>
      <c r="LVK50" s="519"/>
      <c r="LVL50" s="519"/>
      <c r="LVM50" s="519"/>
      <c r="LVN50" s="519"/>
      <c r="LVO50" s="519"/>
      <c r="LVP50" s="519"/>
      <c r="LVQ50" s="519"/>
      <c r="LVR50" s="519"/>
      <c r="LVS50" s="519"/>
      <c r="LVT50" s="519"/>
      <c r="LVU50" s="519"/>
      <c r="LVV50" s="519"/>
      <c r="LVW50" s="519"/>
      <c r="LVX50" s="519"/>
      <c r="LVY50" s="519"/>
      <c r="LVZ50" s="519"/>
      <c r="LWA50" s="519"/>
      <c r="LWB50" s="519"/>
      <c r="LWC50" s="519"/>
      <c r="LWD50" s="519"/>
      <c r="LWE50" s="519"/>
      <c r="LWF50" s="519"/>
      <c r="LWG50" s="519"/>
      <c r="LWH50" s="519"/>
      <c r="LWI50" s="519"/>
      <c r="LWJ50" s="519"/>
      <c r="LWK50" s="519"/>
      <c r="LWL50" s="519"/>
      <c r="LWM50" s="519"/>
      <c r="LWN50" s="519"/>
      <c r="LWO50" s="519"/>
      <c r="LWP50" s="519"/>
      <c r="LWQ50" s="519"/>
      <c r="LWR50" s="519"/>
      <c r="LWS50" s="519"/>
      <c r="LWT50" s="519"/>
      <c r="LWU50" s="519"/>
      <c r="LWV50" s="519"/>
      <c r="LWW50" s="519"/>
      <c r="LWX50" s="519"/>
      <c r="LWY50" s="519"/>
      <c r="LWZ50" s="519"/>
      <c r="LXA50" s="519"/>
      <c r="LXB50" s="519"/>
      <c r="LXC50" s="519"/>
      <c r="LXD50" s="519"/>
      <c r="LXE50" s="519"/>
      <c r="LXF50" s="519"/>
      <c r="LXG50" s="519"/>
      <c r="LXH50" s="519"/>
      <c r="LXI50" s="519"/>
      <c r="LXJ50" s="519"/>
      <c r="LXK50" s="519"/>
      <c r="LXL50" s="519"/>
      <c r="LXM50" s="519"/>
      <c r="LXN50" s="519"/>
      <c r="LXO50" s="519"/>
      <c r="LXP50" s="519"/>
      <c r="LXQ50" s="519"/>
      <c r="LXR50" s="519"/>
      <c r="LXS50" s="519"/>
      <c r="LXT50" s="519"/>
      <c r="LXU50" s="519"/>
      <c r="LXV50" s="519"/>
      <c r="LXW50" s="519"/>
      <c r="LXX50" s="519"/>
      <c r="LXY50" s="519"/>
      <c r="LXZ50" s="519"/>
      <c r="LYA50" s="519"/>
      <c r="LYB50" s="519"/>
      <c r="LYC50" s="519"/>
      <c r="LYD50" s="519"/>
      <c r="LYE50" s="519"/>
      <c r="LYF50" s="519"/>
      <c r="LYG50" s="519"/>
      <c r="LYH50" s="519"/>
      <c r="LYI50" s="519"/>
      <c r="LYJ50" s="519"/>
      <c r="LYK50" s="519"/>
      <c r="LYL50" s="519"/>
      <c r="LYM50" s="519"/>
      <c r="LYN50" s="519"/>
      <c r="LYO50" s="519"/>
      <c r="LYP50" s="519"/>
      <c r="LYQ50" s="519"/>
      <c r="LYR50" s="519"/>
      <c r="LYS50" s="519"/>
      <c r="LYT50" s="519"/>
      <c r="LYU50" s="519"/>
      <c r="LYV50" s="519"/>
      <c r="LYW50" s="519"/>
      <c r="LYX50" s="519"/>
      <c r="LYY50" s="519"/>
      <c r="LYZ50" s="519"/>
      <c r="LZA50" s="519"/>
      <c r="LZB50" s="519"/>
      <c r="LZC50" s="519"/>
      <c r="LZD50" s="519"/>
      <c r="LZE50" s="519"/>
      <c r="LZF50" s="519"/>
      <c r="LZG50" s="519"/>
      <c r="LZH50" s="519"/>
      <c r="LZI50" s="519"/>
      <c r="LZJ50" s="519"/>
      <c r="LZK50" s="519"/>
      <c r="LZL50" s="519"/>
      <c r="LZM50" s="519"/>
      <c r="LZN50" s="519"/>
      <c r="LZO50" s="519"/>
      <c r="LZP50" s="519"/>
      <c r="LZQ50" s="519"/>
      <c r="LZR50" s="519"/>
      <c r="LZS50" s="519"/>
      <c r="LZT50" s="519"/>
      <c r="LZU50" s="519"/>
      <c r="LZV50" s="519"/>
      <c r="LZW50" s="519"/>
      <c r="LZX50" s="519"/>
      <c r="LZY50" s="519"/>
      <c r="LZZ50" s="519"/>
      <c r="MAA50" s="519"/>
      <c r="MAB50" s="519"/>
      <c r="MAC50" s="519"/>
      <c r="MAD50" s="519"/>
      <c r="MAE50" s="519"/>
      <c r="MAF50" s="519"/>
      <c r="MAG50" s="519"/>
      <c r="MAH50" s="519"/>
      <c r="MAI50" s="519"/>
      <c r="MAJ50" s="519"/>
      <c r="MAK50" s="519"/>
      <c r="MAL50" s="519"/>
      <c r="MAM50" s="519"/>
      <c r="MAN50" s="519"/>
      <c r="MAO50" s="519"/>
      <c r="MAP50" s="519"/>
      <c r="MAQ50" s="519"/>
      <c r="MAR50" s="519"/>
      <c r="MAS50" s="519"/>
      <c r="MAT50" s="519"/>
      <c r="MAU50" s="519"/>
      <c r="MAV50" s="519"/>
      <c r="MAW50" s="519"/>
      <c r="MAX50" s="519"/>
      <c r="MAY50" s="519"/>
      <c r="MAZ50" s="519"/>
      <c r="MBA50" s="519"/>
      <c r="MBB50" s="519"/>
      <c r="MBC50" s="519"/>
      <c r="MBD50" s="519"/>
      <c r="MBE50" s="519"/>
      <c r="MBF50" s="519"/>
      <c r="MBG50" s="519"/>
      <c r="MBH50" s="519"/>
      <c r="MBI50" s="519"/>
      <c r="MBJ50" s="519"/>
      <c r="MBK50" s="519"/>
      <c r="MBL50" s="519"/>
      <c r="MBM50" s="519"/>
      <c r="MBN50" s="519"/>
      <c r="MBO50" s="519"/>
      <c r="MBP50" s="519"/>
      <c r="MBQ50" s="519"/>
      <c r="MBR50" s="519"/>
      <c r="MBS50" s="519"/>
      <c r="MBT50" s="519"/>
      <c r="MBU50" s="519"/>
      <c r="MBV50" s="519"/>
      <c r="MBW50" s="519"/>
      <c r="MBX50" s="519"/>
      <c r="MBY50" s="519"/>
      <c r="MBZ50" s="519"/>
      <c r="MCA50" s="519"/>
      <c r="MCB50" s="519"/>
      <c r="MCC50" s="519"/>
      <c r="MCD50" s="519"/>
      <c r="MCE50" s="519"/>
      <c r="MCF50" s="519"/>
      <c r="MCG50" s="519"/>
      <c r="MCH50" s="519"/>
      <c r="MCI50" s="519"/>
      <c r="MCJ50" s="519"/>
      <c r="MCK50" s="519"/>
      <c r="MCL50" s="519"/>
      <c r="MCM50" s="519"/>
      <c r="MCN50" s="519"/>
      <c r="MCO50" s="519"/>
      <c r="MCP50" s="519"/>
      <c r="MCQ50" s="519"/>
      <c r="MCR50" s="519"/>
      <c r="MCS50" s="519"/>
      <c r="MCT50" s="519"/>
      <c r="MCU50" s="519"/>
      <c r="MCV50" s="519"/>
      <c r="MCW50" s="519"/>
      <c r="MCX50" s="519"/>
      <c r="MCY50" s="519"/>
      <c r="MCZ50" s="519"/>
      <c r="MDA50" s="519"/>
      <c r="MDB50" s="519"/>
      <c r="MDC50" s="519"/>
      <c r="MDD50" s="519"/>
      <c r="MDE50" s="519"/>
      <c r="MDF50" s="519"/>
      <c r="MDG50" s="519"/>
      <c r="MDH50" s="519"/>
      <c r="MDI50" s="519"/>
      <c r="MDJ50" s="519"/>
      <c r="MDK50" s="519"/>
      <c r="MDL50" s="519"/>
      <c r="MDM50" s="519"/>
      <c r="MDN50" s="519"/>
      <c r="MDO50" s="519"/>
      <c r="MDP50" s="519"/>
      <c r="MDQ50" s="519"/>
      <c r="MDR50" s="519"/>
      <c r="MDS50" s="519"/>
      <c r="MDT50" s="519"/>
      <c r="MDU50" s="519"/>
      <c r="MDV50" s="519"/>
      <c r="MDW50" s="519"/>
      <c r="MDX50" s="519"/>
      <c r="MDY50" s="519"/>
      <c r="MDZ50" s="519"/>
      <c r="MEA50" s="519"/>
      <c r="MEB50" s="519"/>
      <c r="MEC50" s="519"/>
      <c r="MED50" s="519"/>
      <c r="MEE50" s="519"/>
      <c r="MEF50" s="519"/>
      <c r="MEG50" s="519"/>
      <c r="MEH50" s="519"/>
      <c r="MEI50" s="519"/>
      <c r="MEJ50" s="519"/>
      <c r="MEK50" s="519"/>
      <c r="MEL50" s="519"/>
      <c r="MEM50" s="519"/>
      <c r="MEN50" s="519"/>
      <c r="MEO50" s="519"/>
      <c r="MEP50" s="519"/>
      <c r="MEQ50" s="519"/>
      <c r="MER50" s="519"/>
      <c r="MES50" s="519"/>
      <c r="MET50" s="519"/>
      <c r="MEU50" s="519"/>
      <c r="MEV50" s="519"/>
      <c r="MEW50" s="519"/>
      <c r="MEX50" s="519"/>
      <c r="MEY50" s="519"/>
      <c r="MEZ50" s="519"/>
      <c r="MFA50" s="519"/>
      <c r="MFB50" s="519"/>
      <c r="MFC50" s="519"/>
      <c r="MFD50" s="519"/>
      <c r="MFE50" s="519"/>
      <c r="MFF50" s="519"/>
      <c r="MFG50" s="519"/>
      <c r="MFH50" s="519"/>
      <c r="MFI50" s="519"/>
      <c r="MFJ50" s="519"/>
      <c r="MFK50" s="519"/>
      <c r="MFL50" s="519"/>
      <c r="MFM50" s="519"/>
      <c r="MFN50" s="519"/>
      <c r="MFO50" s="519"/>
      <c r="MFP50" s="519"/>
      <c r="MFQ50" s="519"/>
      <c r="MFR50" s="519"/>
      <c r="MFS50" s="519"/>
      <c r="MFT50" s="519"/>
      <c r="MFU50" s="519"/>
      <c r="MFV50" s="519"/>
      <c r="MFW50" s="519"/>
      <c r="MFX50" s="519"/>
      <c r="MFY50" s="519"/>
      <c r="MFZ50" s="519"/>
      <c r="MGA50" s="519"/>
      <c r="MGB50" s="519"/>
      <c r="MGC50" s="519"/>
      <c r="MGD50" s="519"/>
      <c r="MGE50" s="519"/>
      <c r="MGF50" s="519"/>
      <c r="MGG50" s="519"/>
      <c r="MGH50" s="519"/>
      <c r="MGI50" s="519"/>
      <c r="MGJ50" s="519"/>
      <c r="MGK50" s="519"/>
      <c r="MGL50" s="519"/>
      <c r="MGM50" s="519"/>
      <c r="MGN50" s="519"/>
      <c r="MGO50" s="519"/>
      <c r="MGP50" s="519"/>
      <c r="MGQ50" s="519"/>
      <c r="MGR50" s="519"/>
      <c r="MGS50" s="519"/>
      <c r="MGT50" s="519"/>
      <c r="MGU50" s="519"/>
      <c r="MGV50" s="519"/>
      <c r="MGW50" s="519"/>
      <c r="MGX50" s="519"/>
      <c r="MGY50" s="519"/>
      <c r="MGZ50" s="519"/>
      <c r="MHA50" s="519"/>
      <c r="MHB50" s="519"/>
      <c r="MHC50" s="519"/>
      <c r="MHD50" s="519"/>
      <c r="MHE50" s="519"/>
      <c r="MHF50" s="519"/>
      <c r="MHG50" s="519"/>
      <c r="MHH50" s="519"/>
      <c r="MHI50" s="519"/>
      <c r="MHJ50" s="519"/>
      <c r="MHK50" s="519"/>
      <c r="MHL50" s="519"/>
      <c r="MHM50" s="519"/>
      <c r="MHN50" s="519"/>
      <c r="MHO50" s="519"/>
      <c r="MHP50" s="519"/>
      <c r="MHQ50" s="519"/>
      <c r="MHR50" s="519"/>
      <c r="MHS50" s="519"/>
      <c r="MHT50" s="519"/>
      <c r="MHU50" s="519"/>
      <c r="MHV50" s="519"/>
      <c r="MHW50" s="519"/>
      <c r="MHX50" s="519"/>
      <c r="MHY50" s="519"/>
      <c r="MHZ50" s="519"/>
      <c r="MIA50" s="519"/>
      <c r="MIB50" s="519"/>
      <c r="MIC50" s="519"/>
      <c r="MID50" s="519"/>
      <c r="MIE50" s="519"/>
      <c r="MIF50" s="519"/>
      <c r="MIG50" s="519"/>
      <c r="MIH50" s="519"/>
      <c r="MII50" s="519"/>
      <c r="MIJ50" s="519"/>
      <c r="MIK50" s="519"/>
      <c r="MIL50" s="519"/>
      <c r="MIM50" s="519"/>
      <c r="MIN50" s="519"/>
      <c r="MIO50" s="519"/>
      <c r="MIP50" s="519"/>
      <c r="MIQ50" s="519"/>
      <c r="MIR50" s="519"/>
      <c r="MIS50" s="519"/>
      <c r="MIT50" s="519"/>
      <c r="MIU50" s="519"/>
      <c r="MIV50" s="519"/>
      <c r="MIW50" s="519"/>
      <c r="MIX50" s="519"/>
      <c r="MIY50" s="519"/>
      <c r="MIZ50" s="519"/>
      <c r="MJA50" s="519"/>
      <c r="MJB50" s="519"/>
      <c r="MJC50" s="519"/>
      <c r="MJD50" s="519"/>
      <c r="MJE50" s="519"/>
      <c r="MJF50" s="519"/>
      <c r="MJG50" s="519"/>
      <c r="MJH50" s="519"/>
      <c r="MJI50" s="519"/>
      <c r="MJJ50" s="519"/>
      <c r="MJK50" s="519"/>
      <c r="MJL50" s="519"/>
      <c r="MJM50" s="519"/>
      <c r="MJN50" s="519"/>
      <c r="MJO50" s="519"/>
      <c r="MJP50" s="519"/>
      <c r="MJQ50" s="519"/>
      <c r="MJR50" s="519"/>
      <c r="MJS50" s="519"/>
      <c r="MJT50" s="519"/>
      <c r="MJU50" s="519"/>
      <c r="MJV50" s="519"/>
      <c r="MJW50" s="519"/>
      <c r="MJX50" s="519"/>
      <c r="MJY50" s="519"/>
      <c r="MJZ50" s="519"/>
      <c r="MKA50" s="519"/>
      <c r="MKB50" s="519"/>
      <c r="MKC50" s="519"/>
      <c r="MKD50" s="519"/>
      <c r="MKE50" s="519"/>
      <c r="MKF50" s="519"/>
      <c r="MKG50" s="519"/>
      <c r="MKH50" s="519"/>
      <c r="MKI50" s="519"/>
      <c r="MKJ50" s="519"/>
      <c r="MKK50" s="519"/>
      <c r="MKL50" s="519"/>
      <c r="MKM50" s="519"/>
      <c r="MKN50" s="519"/>
      <c r="MKO50" s="519"/>
      <c r="MKP50" s="519"/>
      <c r="MKQ50" s="519"/>
      <c r="MKR50" s="519"/>
      <c r="MKS50" s="519"/>
      <c r="MKT50" s="519"/>
      <c r="MKU50" s="519"/>
      <c r="MKV50" s="519"/>
      <c r="MKW50" s="519"/>
      <c r="MKX50" s="519"/>
      <c r="MKY50" s="519"/>
      <c r="MKZ50" s="519"/>
      <c r="MLA50" s="519"/>
      <c r="MLB50" s="519"/>
      <c r="MLC50" s="519"/>
      <c r="MLD50" s="519"/>
      <c r="MLE50" s="519"/>
      <c r="MLF50" s="519"/>
      <c r="MLG50" s="519"/>
      <c r="MLH50" s="519"/>
      <c r="MLI50" s="519"/>
      <c r="MLJ50" s="519"/>
      <c r="MLK50" s="519"/>
      <c r="MLL50" s="519"/>
      <c r="MLM50" s="519"/>
      <c r="MLN50" s="519"/>
      <c r="MLO50" s="519"/>
      <c r="MLP50" s="519"/>
      <c r="MLQ50" s="519"/>
      <c r="MLR50" s="519"/>
      <c r="MLS50" s="519"/>
      <c r="MLT50" s="519"/>
      <c r="MLU50" s="519"/>
      <c r="MLV50" s="519"/>
      <c r="MLW50" s="519"/>
      <c r="MLX50" s="519"/>
      <c r="MLY50" s="519"/>
      <c r="MLZ50" s="519"/>
      <c r="MMA50" s="519"/>
      <c r="MMB50" s="519"/>
      <c r="MMC50" s="519"/>
      <c r="MMD50" s="519"/>
      <c r="MME50" s="519"/>
      <c r="MMF50" s="519"/>
      <c r="MMG50" s="519"/>
      <c r="MMH50" s="519"/>
      <c r="MMI50" s="519"/>
      <c r="MMJ50" s="519"/>
      <c r="MMK50" s="519"/>
      <c r="MML50" s="519"/>
      <c r="MMM50" s="519"/>
      <c r="MMN50" s="519"/>
      <c r="MMO50" s="519"/>
      <c r="MMP50" s="519"/>
      <c r="MMQ50" s="519"/>
      <c r="MMR50" s="519"/>
      <c r="MMS50" s="519"/>
      <c r="MMT50" s="519"/>
      <c r="MMU50" s="519"/>
      <c r="MMV50" s="519"/>
      <c r="MMW50" s="519"/>
      <c r="MMX50" s="519"/>
      <c r="MMY50" s="519"/>
      <c r="MMZ50" s="519"/>
      <c r="MNA50" s="519"/>
      <c r="MNB50" s="519"/>
      <c r="MNC50" s="519"/>
      <c r="MND50" s="519"/>
      <c r="MNE50" s="519"/>
      <c r="MNF50" s="519"/>
      <c r="MNG50" s="519"/>
      <c r="MNH50" s="519"/>
      <c r="MNI50" s="519"/>
      <c r="MNJ50" s="519"/>
      <c r="MNK50" s="519"/>
      <c r="MNL50" s="519"/>
      <c r="MNM50" s="519"/>
      <c r="MNN50" s="519"/>
      <c r="MNO50" s="519"/>
      <c r="MNP50" s="519"/>
      <c r="MNQ50" s="519"/>
      <c r="MNR50" s="519"/>
      <c r="MNS50" s="519"/>
      <c r="MNT50" s="519"/>
      <c r="MNU50" s="519"/>
      <c r="MNV50" s="519"/>
      <c r="MNW50" s="519"/>
      <c r="MNX50" s="519"/>
      <c r="MNY50" s="519"/>
      <c r="MNZ50" s="519"/>
      <c r="MOA50" s="519"/>
      <c r="MOB50" s="519"/>
      <c r="MOC50" s="519"/>
      <c r="MOD50" s="519"/>
      <c r="MOE50" s="519"/>
      <c r="MOF50" s="519"/>
      <c r="MOG50" s="519"/>
      <c r="MOH50" s="519"/>
      <c r="MOI50" s="519"/>
      <c r="MOJ50" s="519"/>
      <c r="MOK50" s="519"/>
      <c r="MOL50" s="519"/>
      <c r="MOM50" s="519"/>
      <c r="MON50" s="519"/>
      <c r="MOO50" s="519"/>
      <c r="MOP50" s="519"/>
      <c r="MOQ50" s="519"/>
      <c r="MOR50" s="519"/>
      <c r="MOS50" s="519"/>
      <c r="MOT50" s="519"/>
      <c r="MOU50" s="519"/>
      <c r="MOV50" s="519"/>
      <c r="MOW50" s="519"/>
      <c r="MOX50" s="519"/>
      <c r="MOY50" s="519"/>
      <c r="MOZ50" s="519"/>
      <c r="MPA50" s="519"/>
      <c r="MPB50" s="519"/>
      <c r="MPC50" s="519"/>
      <c r="MPD50" s="519"/>
      <c r="MPE50" s="519"/>
      <c r="MPF50" s="519"/>
      <c r="MPG50" s="519"/>
      <c r="MPH50" s="519"/>
      <c r="MPI50" s="519"/>
      <c r="MPJ50" s="519"/>
      <c r="MPK50" s="519"/>
      <c r="MPL50" s="519"/>
      <c r="MPM50" s="519"/>
      <c r="MPN50" s="519"/>
      <c r="MPO50" s="519"/>
      <c r="MPP50" s="519"/>
      <c r="MPQ50" s="519"/>
      <c r="MPR50" s="519"/>
      <c r="MPS50" s="519"/>
      <c r="MPT50" s="519"/>
      <c r="MPU50" s="519"/>
      <c r="MPV50" s="519"/>
      <c r="MPW50" s="519"/>
      <c r="MPX50" s="519"/>
      <c r="MPY50" s="519"/>
      <c r="MPZ50" s="519"/>
      <c r="MQA50" s="519"/>
      <c r="MQB50" s="519"/>
      <c r="MQC50" s="519"/>
      <c r="MQD50" s="519"/>
      <c r="MQE50" s="519"/>
      <c r="MQF50" s="519"/>
      <c r="MQG50" s="519"/>
      <c r="MQH50" s="519"/>
      <c r="MQI50" s="519"/>
      <c r="MQJ50" s="519"/>
      <c r="MQK50" s="519"/>
      <c r="MQL50" s="519"/>
      <c r="MQM50" s="519"/>
      <c r="MQN50" s="519"/>
      <c r="MQO50" s="519"/>
      <c r="MQP50" s="519"/>
      <c r="MQQ50" s="519"/>
      <c r="MQR50" s="519"/>
      <c r="MQS50" s="519"/>
      <c r="MQT50" s="519"/>
      <c r="MQU50" s="519"/>
      <c r="MQV50" s="519"/>
      <c r="MQW50" s="519"/>
      <c r="MQX50" s="519"/>
      <c r="MQY50" s="519"/>
      <c r="MQZ50" s="519"/>
      <c r="MRA50" s="519"/>
      <c r="MRB50" s="519"/>
      <c r="MRC50" s="519"/>
      <c r="MRD50" s="519"/>
      <c r="MRE50" s="519"/>
      <c r="MRF50" s="519"/>
      <c r="MRG50" s="519"/>
      <c r="MRH50" s="519"/>
      <c r="MRI50" s="519"/>
      <c r="MRJ50" s="519"/>
      <c r="MRK50" s="519"/>
      <c r="MRL50" s="519"/>
      <c r="MRM50" s="519"/>
      <c r="MRN50" s="519"/>
      <c r="MRO50" s="519"/>
      <c r="MRP50" s="519"/>
      <c r="MRQ50" s="519"/>
      <c r="MRR50" s="519"/>
      <c r="MRS50" s="519"/>
      <c r="MRT50" s="519"/>
      <c r="MRU50" s="519"/>
      <c r="MRV50" s="519"/>
      <c r="MRW50" s="519"/>
      <c r="MRX50" s="519"/>
      <c r="MRY50" s="519"/>
      <c r="MRZ50" s="519"/>
      <c r="MSA50" s="519"/>
      <c r="MSB50" s="519"/>
      <c r="MSC50" s="519"/>
      <c r="MSD50" s="519"/>
      <c r="MSE50" s="519"/>
      <c r="MSF50" s="519"/>
      <c r="MSG50" s="519"/>
      <c r="MSH50" s="519"/>
      <c r="MSI50" s="519"/>
      <c r="MSJ50" s="519"/>
      <c r="MSK50" s="519"/>
      <c r="MSL50" s="519"/>
      <c r="MSM50" s="519"/>
      <c r="MSN50" s="519"/>
      <c r="MSO50" s="519"/>
      <c r="MSP50" s="519"/>
      <c r="MSQ50" s="519"/>
      <c r="MSR50" s="519"/>
      <c r="MSS50" s="519"/>
      <c r="MST50" s="519"/>
      <c r="MSU50" s="519"/>
      <c r="MSV50" s="519"/>
      <c r="MSW50" s="519"/>
      <c r="MSX50" s="519"/>
      <c r="MSY50" s="519"/>
      <c r="MSZ50" s="519"/>
      <c r="MTA50" s="519"/>
      <c r="MTB50" s="519"/>
      <c r="MTC50" s="519"/>
      <c r="MTD50" s="519"/>
      <c r="MTE50" s="519"/>
      <c r="MTF50" s="519"/>
      <c r="MTG50" s="519"/>
      <c r="MTH50" s="519"/>
      <c r="MTI50" s="519"/>
      <c r="MTJ50" s="519"/>
      <c r="MTK50" s="519"/>
      <c r="MTL50" s="519"/>
      <c r="MTM50" s="519"/>
      <c r="MTN50" s="519"/>
      <c r="MTO50" s="519"/>
      <c r="MTP50" s="519"/>
      <c r="MTQ50" s="519"/>
      <c r="MTR50" s="519"/>
      <c r="MTS50" s="519"/>
      <c r="MTT50" s="519"/>
      <c r="MTU50" s="519"/>
      <c r="MTV50" s="519"/>
      <c r="MTW50" s="519"/>
      <c r="MTX50" s="519"/>
      <c r="MTY50" s="519"/>
      <c r="MTZ50" s="519"/>
      <c r="MUA50" s="519"/>
      <c r="MUB50" s="519"/>
      <c r="MUC50" s="519"/>
      <c r="MUD50" s="519"/>
      <c r="MUE50" s="519"/>
      <c r="MUF50" s="519"/>
      <c r="MUG50" s="519"/>
      <c r="MUH50" s="519"/>
      <c r="MUI50" s="519"/>
      <c r="MUJ50" s="519"/>
      <c r="MUK50" s="519"/>
      <c r="MUL50" s="519"/>
      <c r="MUM50" s="519"/>
      <c r="MUN50" s="519"/>
      <c r="MUO50" s="519"/>
      <c r="MUP50" s="519"/>
      <c r="MUQ50" s="519"/>
      <c r="MUR50" s="519"/>
      <c r="MUS50" s="519"/>
      <c r="MUT50" s="519"/>
      <c r="MUU50" s="519"/>
      <c r="MUV50" s="519"/>
      <c r="MUW50" s="519"/>
      <c r="MUX50" s="519"/>
      <c r="MUY50" s="519"/>
      <c r="MUZ50" s="519"/>
      <c r="MVA50" s="519"/>
      <c r="MVB50" s="519"/>
      <c r="MVC50" s="519"/>
      <c r="MVD50" s="519"/>
      <c r="MVE50" s="519"/>
      <c r="MVF50" s="519"/>
      <c r="MVG50" s="519"/>
      <c r="MVH50" s="519"/>
      <c r="MVI50" s="519"/>
      <c r="MVJ50" s="519"/>
      <c r="MVK50" s="519"/>
      <c r="MVL50" s="519"/>
      <c r="MVM50" s="519"/>
      <c r="MVN50" s="519"/>
      <c r="MVO50" s="519"/>
      <c r="MVP50" s="519"/>
      <c r="MVQ50" s="519"/>
      <c r="MVR50" s="519"/>
      <c r="MVS50" s="519"/>
      <c r="MVT50" s="519"/>
      <c r="MVU50" s="519"/>
      <c r="MVV50" s="519"/>
      <c r="MVW50" s="519"/>
      <c r="MVX50" s="519"/>
      <c r="MVY50" s="519"/>
      <c r="MVZ50" s="519"/>
      <c r="MWA50" s="519"/>
      <c r="MWB50" s="519"/>
      <c r="MWC50" s="519"/>
      <c r="MWD50" s="519"/>
      <c r="MWE50" s="519"/>
      <c r="MWF50" s="519"/>
      <c r="MWG50" s="519"/>
      <c r="MWH50" s="519"/>
      <c r="MWI50" s="519"/>
      <c r="MWJ50" s="519"/>
      <c r="MWK50" s="519"/>
      <c r="MWL50" s="519"/>
      <c r="MWM50" s="519"/>
      <c r="MWN50" s="519"/>
      <c r="MWO50" s="519"/>
      <c r="MWP50" s="519"/>
      <c r="MWQ50" s="519"/>
      <c r="MWR50" s="519"/>
      <c r="MWS50" s="519"/>
      <c r="MWT50" s="519"/>
      <c r="MWU50" s="519"/>
      <c r="MWV50" s="519"/>
      <c r="MWW50" s="519"/>
      <c r="MWX50" s="519"/>
      <c r="MWY50" s="519"/>
      <c r="MWZ50" s="519"/>
      <c r="MXA50" s="519"/>
      <c r="MXB50" s="519"/>
      <c r="MXC50" s="519"/>
      <c r="MXD50" s="519"/>
      <c r="MXE50" s="519"/>
      <c r="MXF50" s="519"/>
      <c r="MXG50" s="519"/>
      <c r="MXH50" s="519"/>
      <c r="MXI50" s="519"/>
      <c r="MXJ50" s="519"/>
      <c r="MXK50" s="519"/>
      <c r="MXL50" s="519"/>
      <c r="MXM50" s="519"/>
      <c r="MXN50" s="519"/>
      <c r="MXO50" s="519"/>
      <c r="MXP50" s="519"/>
      <c r="MXQ50" s="519"/>
      <c r="MXR50" s="519"/>
      <c r="MXS50" s="519"/>
      <c r="MXT50" s="519"/>
      <c r="MXU50" s="519"/>
      <c r="MXV50" s="519"/>
      <c r="MXW50" s="519"/>
      <c r="MXX50" s="519"/>
      <c r="MXY50" s="519"/>
      <c r="MXZ50" s="519"/>
      <c r="MYA50" s="519"/>
      <c r="MYB50" s="519"/>
      <c r="MYC50" s="519"/>
      <c r="MYD50" s="519"/>
      <c r="MYE50" s="519"/>
      <c r="MYF50" s="519"/>
      <c r="MYG50" s="519"/>
      <c r="MYH50" s="519"/>
      <c r="MYI50" s="519"/>
      <c r="MYJ50" s="519"/>
      <c r="MYK50" s="519"/>
      <c r="MYL50" s="519"/>
      <c r="MYM50" s="519"/>
      <c r="MYN50" s="519"/>
      <c r="MYO50" s="519"/>
      <c r="MYP50" s="519"/>
      <c r="MYQ50" s="519"/>
      <c r="MYR50" s="519"/>
      <c r="MYS50" s="519"/>
      <c r="MYT50" s="519"/>
      <c r="MYU50" s="519"/>
      <c r="MYV50" s="519"/>
      <c r="MYW50" s="519"/>
      <c r="MYX50" s="519"/>
      <c r="MYY50" s="519"/>
      <c r="MYZ50" s="519"/>
      <c r="MZA50" s="519"/>
      <c r="MZB50" s="519"/>
      <c r="MZC50" s="519"/>
      <c r="MZD50" s="519"/>
      <c r="MZE50" s="519"/>
      <c r="MZF50" s="519"/>
      <c r="MZG50" s="519"/>
      <c r="MZH50" s="519"/>
      <c r="MZI50" s="519"/>
      <c r="MZJ50" s="519"/>
      <c r="MZK50" s="519"/>
      <c r="MZL50" s="519"/>
      <c r="MZM50" s="519"/>
      <c r="MZN50" s="519"/>
      <c r="MZO50" s="519"/>
      <c r="MZP50" s="519"/>
      <c r="MZQ50" s="519"/>
      <c r="MZR50" s="519"/>
      <c r="MZS50" s="519"/>
      <c r="MZT50" s="519"/>
      <c r="MZU50" s="519"/>
      <c r="MZV50" s="519"/>
      <c r="MZW50" s="519"/>
      <c r="MZX50" s="519"/>
      <c r="MZY50" s="519"/>
      <c r="MZZ50" s="519"/>
      <c r="NAA50" s="519"/>
      <c r="NAB50" s="519"/>
      <c r="NAC50" s="519"/>
      <c r="NAD50" s="519"/>
      <c r="NAE50" s="519"/>
      <c r="NAF50" s="519"/>
      <c r="NAG50" s="519"/>
      <c r="NAH50" s="519"/>
      <c r="NAI50" s="519"/>
      <c r="NAJ50" s="519"/>
      <c r="NAK50" s="519"/>
      <c r="NAL50" s="519"/>
      <c r="NAM50" s="519"/>
      <c r="NAN50" s="519"/>
      <c r="NAO50" s="519"/>
      <c r="NAP50" s="519"/>
      <c r="NAQ50" s="519"/>
      <c r="NAR50" s="519"/>
      <c r="NAS50" s="519"/>
      <c r="NAT50" s="519"/>
      <c r="NAU50" s="519"/>
      <c r="NAV50" s="519"/>
      <c r="NAW50" s="519"/>
      <c r="NAX50" s="519"/>
      <c r="NAY50" s="519"/>
      <c r="NAZ50" s="519"/>
      <c r="NBA50" s="519"/>
      <c r="NBB50" s="519"/>
      <c r="NBC50" s="519"/>
      <c r="NBD50" s="519"/>
      <c r="NBE50" s="519"/>
      <c r="NBF50" s="519"/>
      <c r="NBG50" s="519"/>
      <c r="NBH50" s="519"/>
      <c r="NBI50" s="519"/>
      <c r="NBJ50" s="519"/>
      <c r="NBK50" s="519"/>
      <c r="NBL50" s="519"/>
      <c r="NBM50" s="519"/>
      <c r="NBN50" s="519"/>
      <c r="NBO50" s="519"/>
      <c r="NBP50" s="519"/>
      <c r="NBQ50" s="519"/>
      <c r="NBR50" s="519"/>
      <c r="NBS50" s="519"/>
      <c r="NBT50" s="519"/>
      <c r="NBU50" s="519"/>
      <c r="NBV50" s="519"/>
      <c r="NBW50" s="519"/>
      <c r="NBX50" s="519"/>
      <c r="NBY50" s="519"/>
      <c r="NBZ50" s="519"/>
      <c r="NCA50" s="519"/>
      <c r="NCB50" s="519"/>
      <c r="NCC50" s="519"/>
      <c r="NCD50" s="519"/>
      <c r="NCE50" s="519"/>
      <c r="NCF50" s="519"/>
      <c r="NCG50" s="519"/>
      <c r="NCH50" s="519"/>
      <c r="NCI50" s="519"/>
      <c r="NCJ50" s="519"/>
      <c r="NCK50" s="519"/>
      <c r="NCL50" s="519"/>
      <c r="NCM50" s="519"/>
      <c r="NCN50" s="519"/>
      <c r="NCO50" s="519"/>
      <c r="NCP50" s="519"/>
      <c r="NCQ50" s="519"/>
      <c r="NCR50" s="519"/>
      <c r="NCS50" s="519"/>
      <c r="NCT50" s="519"/>
      <c r="NCU50" s="519"/>
      <c r="NCV50" s="519"/>
      <c r="NCW50" s="519"/>
      <c r="NCX50" s="519"/>
      <c r="NCY50" s="519"/>
      <c r="NCZ50" s="519"/>
      <c r="NDA50" s="519"/>
      <c r="NDB50" s="519"/>
      <c r="NDC50" s="519"/>
      <c r="NDD50" s="519"/>
      <c r="NDE50" s="519"/>
      <c r="NDF50" s="519"/>
      <c r="NDG50" s="519"/>
      <c r="NDH50" s="519"/>
      <c r="NDI50" s="519"/>
      <c r="NDJ50" s="519"/>
      <c r="NDK50" s="519"/>
      <c r="NDL50" s="519"/>
      <c r="NDM50" s="519"/>
      <c r="NDN50" s="519"/>
      <c r="NDO50" s="519"/>
      <c r="NDP50" s="519"/>
      <c r="NDQ50" s="519"/>
      <c r="NDR50" s="519"/>
      <c r="NDS50" s="519"/>
      <c r="NDT50" s="519"/>
      <c r="NDU50" s="519"/>
      <c r="NDV50" s="519"/>
      <c r="NDW50" s="519"/>
      <c r="NDX50" s="519"/>
      <c r="NDY50" s="519"/>
      <c r="NDZ50" s="519"/>
      <c r="NEA50" s="519"/>
      <c r="NEB50" s="519"/>
      <c r="NEC50" s="519"/>
      <c r="NED50" s="519"/>
      <c r="NEE50" s="519"/>
      <c r="NEF50" s="519"/>
      <c r="NEG50" s="519"/>
      <c r="NEH50" s="519"/>
      <c r="NEI50" s="519"/>
      <c r="NEJ50" s="519"/>
      <c r="NEK50" s="519"/>
      <c r="NEL50" s="519"/>
      <c r="NEM50" s="519"/>
      <c r="NEN50" s="519"/>
      <c r="NEO50" s="519"/>
      <c r="NEP50" s="519"/>
      <c r="NEQ50" s="519"/>
      <c r="NER50" s="519"/>
      <c r="NES50" s="519"/>
      <c r="NET50" s="519"/>
      <c r="NEU50" s="519"/>
      <c r="NEV50" s="519"/>
      <c r="NEW50" s="519"/>
      <c r="NEX50" s="519"/>
      <c r="NEY50" s="519"/>
      <c r="NEZ50" s="519"/>
      <c r="NFA50" s="519"/>
      <c r="NFB50" s="519"/>
      <c r="NFC50" s="519"/>
      <c r="NFD50" s="519"/>
      <c r="NFE50" s="519"/>
      <c r="NFF50" s="519"/>
      <c r="NFG50" s="519"/>
      <c r="NFH50" s="519"/>
      <c r="NFI50" s="519"/>
      <c r="NFJ50" s="519"/>
      <c r="NFK50" s="519"/>
      <c r="NFL50" s="519"/>
      <c r="NFM50" s="519"/>
      <c r="NFN50" s="519"/>
      <c r="NFO50" s="519"/>
      <c r="NFP50" s="519"/>
      <c r="NFQ50" s="519"/>
      <c r="NFR50" s="519"/>
      <c r="NFS50" s="519"/>
      <c r="NFT50" s="519"/>
      <c r="NFU50" s="519"/>
      <c r="NFV50" s="519"/>
      <c r="NFW50" s="519"/>
      <c r="NFX50" s="519"/>
      <c r="NFY50" s="519"/>
      <c r="NFZ50" s="519"/>
      <c r="NGA50" s="519"/>
      <c r="NGB50" s="519"/>
      <c r="NGC50" s="519"/>
      <c r="NGD50" s="519"/>
      <c r="NGE50" s="519"/>
      <c r="NGF50" s="519"/>
      <c r="NGG50" s="519"/>
      <c r="NGH50" s="519"/>
      <c r="NGI50" s="519"/>
      <c r="NGJ50" s="519"/>
      <c r="NGK50" s="519"/>
      <c r="NGL50" s="519"/>
      <c r="NGM50" s="519"/>
      <c r="NGN50" s="519"/>
      <c r="NGO50" s="519"/>
      <c r="NGP50" s="519"/>
      <c r="NGQ50" s="519"/>
      <c r="NGR50" s="519"/>
      <c r="NGS50" s="519"/>
      <c r="NGT50" s="519"/>
      <c r="NGU50" s="519"/>
      <c r="NGV50" s="519"/>
      <c r="NGW50" s="519"/>
      <c r="NGX50" s="519"/>
      <c r="NGY50" s="519"/>
      <c r="NGZ50" s="519"/>
      <c r="NHA50" s="519"/>
      <c r="NHB50" s="519"/>
      <c r="NHC50" s="519"/>
      <c r="NHD50" s="519"/>
      <c r="NHE50" s="519"/>
      <c r="NHF50" s="519"/>
      <c r="NHG50" s="519"/>
      <c r="NHH50" s="519"/>
      <c r="NHI50" s="519"/>
      <c r="NHJ50" s="519"/>
      <c r="NHK50" s="519"/>
      <c r="NHL50" s="519"/>
      <c r="NHM50" s="519"/>
      <c r="NHN50" s="519"/>
      <c r="NHO50" s="519"/>
      <c r="NHP50" s="519"/>
      <c r="NHQ50" s="519"/>
      <c r="NHR50" s="519"/>
      <c r="NHS50" s="519"/>
      <c r="NHT50" s="519"/>
      <c r="NHU50" s="519"/>
      <c r="NHV50" s="519"/>
      <c r="NHW50" s="519"/>
      <c r="NHX50" s="519"/>
      <c r="NHY50" s="519"/>
      <c r="NHZ50" s="519"/>
      <c r="NIA50" s="519"/>
      <c r="NIB50" s="519"/>
      <c r="NIC50" s="519"/>
      <c r="NID50" s="519"/>
      <c r="NIE50" s="519"/>
      <c r="NIF50" s="519"/>
      <c r="NIG50" s="519"/>
      <c r="NIH50" s="519"/>
      <c r="NII50" s="519"/>
      <c r="NIJ50" s="519"/>
      <c r="NIK50" s="519"/>
      <c r="NIL50" s="519"/>
      <c r="NIM50" s="519"/>
      <c r="NIN50" s="519"/>
      <c r="NIO50" s="519"/>
      <c r="NIP50" s="519"/>
      <c r="NIQ50" s="519"/>
      <c r="NIR50" s="519"/>
      <c r="NIS50" s="519"/>
      <c r="NIT50" s="519"/>
      <c r="NIU50" s="519"/>
      <c r="NIV50" s="519"/>
      <c r="NIW50" s="519"/>
      <c r="NIX50" s="519"/>
      <c r="NIY50" s="519"/>
      <c r="NIZ50" s="519"/>
      <c r="NJA50" s="519"/>
      <c r="NJB50" s="519"/>
      <c r="NJC50" s="519"/>
      <c r="NJD50" s="519"/>
      <c r="NJE50" s="519"/>
      <c r="NJF50" s="519"/>
      <c r="NJG50" s="519"/>
      <c r="NJH50" s="519"/>
      <c r="NJI50" s="519"/>
      <c r="NJJ50" s="519"/>
      <c r="NJK50" s="519"/>
      <c r="NJL50" s="519"/>
      <c r="NJM50" s="519"/>
      <c r="NJN50" s="519"/>
      <c r="NJO50" s="519"/>
      <c r="NJP50" s="519"/>
      <c r="NJQ50" s="519"/>
      <c r="NJR50" s="519"/>
      <c r="NJS50" s="519"/>
      <c r="NJT50" s="519"/>
      <c r="NJU50" s="519"/>
      <c r="NJV50" s="519"/>
      <c r="NJW50" s="519"/>
      <c r="NJX50" s="519"/>
      <c r="NJY50" s="519"/>
      <c r="NJZ50" s="519"/>
      <c r="NKA50" s="519"/>
      <c r="NKB50" s="519"/>
      <c r="NKC50" s="519"/>
      <c r="NKD50" s="519"/>
      <c r="NKE50" s="519"/>
      <c r="NKF50" s="519"/>
      <c r="NKG50" s="519"/>
      <c r="NKH50" s="519"/>
      <c r="NKI50" s="519"/>
      <c r="NKJ50" s="519"/>
      <c r="NKK50" s="519"/>
      <c r="NKL50" s="519"/>
      <c r="NKM50" s="519"/>
      <c r="NKN50" s="519"/>
      <c r="NKO50" s="519"/>
      <c r="NKP50" s="519"/>
      <c r="NKQ50" s="519"/>
      <c r="NKR50" s="519"/>
      <c r="NKS50" s="519"/>
      <c r="NKT50" s="519"/>
      <c r="NKU50" s="519"/>
      <c r="NKV50" s="519"/>
      <c r="NKW50" s="519"/>
      <c r="NKX50" s="519"/>
      <c r="NKY50" s="519"/>
      <c r="NKZ50" s="519"/>
      <c r="NLA50" s="519"/>
      <c r="NLB50" s="519"/>
      <c r="NLC50" s="519"/>
      <c r="NLD50" s="519"/>
      <c r="NLE50" s="519"/>
      <c r="NLF50" s="519"/>
      <c r="NLG50" s="519"/>
      <c r="NLH50" s="519"/>
      <c r="NLI50" s="519"/>
      <c r="NLJ50" s="519"/>
      <c r="NLK50" s="519"/>
      <c r="NLL50" s="519"/>
      <c r="NLM50" s="519"/>
      <c r="NLN50" s="519"/>
      <c r="NLO50" s="519"/>
      <c r="NLP50" s="519"/>
      <c r="NLQ50" s="519"/>
      <c r="NLR50" s="519"/>
      <c r="NLS50" s="519"/>
      <c r="NLT50" s="519"/>
      <c r="NLU50" s="519"/>
      <c r="NLV50" s="519"/>
      <c r="NLW50" s="519"/>
      <c r="NLX50" s="519"/>
      <c r="NLY50" s="519"/>
      <c r="NLZ50" s="519"/>
      <c r="NMA50" s="519"/>
      <c r="NMB50" s="519"/>
      <c r="NMC50" s="519"/>
      <c r="NMD50" s="519"/>
      <c r="NME50" s="519"/>
      <c r="NMF50" s="519"/>
      <c r="NMG50" s="519"/>
      <c r="NMH50" s="519"/>
      <c r="NMI50" s="519"/>
      <c r="NMJ50" s="519"/>
      <c r="NMK50" s="519"/>
      <c r="NML50" s="519"/>
      <c r="NMM50" s="519"/>
      <c r="NMN50" s="519"/>
      <c r="NMO50" s="519"/>
      <c r="NMP50" s="519"/>
      <c r="NMQ50" s="519"/>
      <c r="NMR50" s="519"/>
      <c r="NMS50" s="519"/>
      <c r="NMT50" s="519"/>
      <c r="NMU50" s="519"/>
      <c r="NMV50" s="519"/>
      <c r="NMW50" s="519"/>
      <c r="NMX50" s="519"/>
      <c r="NMY50" s="519"/>
      <c r="NMZ50" s="519"/>
      <c r="NNA50" s="519"/>
      <c r="NNB50" s="519"/>
      <c r="NNC50" s="519"/>
      <c r="NND50" s="519"/>
      <c r="NNE50" s="519"/>
      <c r="NNF50" s="519"/>
      <c r="NNG50" s="519"/>
      <c r="NNH50" s="519"/>
      <c r="NNI50" s="519"/>
      <c r="NNJ50" s="519"/>
      <c r="NNK50" s="519"/>
      <c r="NNL50" s="519"/>
      <c r="NNM50" s="519"/>
      <c r="NNN50" s="519"/>
      <c r="NNO50" s="519"/>
      <c r="NNP50" s="519"/>
      <c r="NNQ50" s="519"/>
      <c r="NNR50" s="519"/>
      <c r="NNS50" s="519"/>
      <c r="NNT50" s="519"/>
      <c r="NNU50" s="519"/>
      <c r="NNV50" s="519"/>
      <c r="NNW50" s="519"/>
      <c r="NNX50" s="519"/>
      <c r="NNY50" s="519"/>
      <c r="NNZ50" s="519"/>
      <c r="NOA50" s="519"/>
      <c r="NOB50" s="519"/>
      <c r="NOC50" s="519"/>
      <c r="NOD50" s="519"/>
      <c r="NOE50" s="519"/>
      <c r="NOF50" s="519"/>
      <c r="NOG50" s="519"/>
      <c r="NOH50" s="519"/>
      <c r="NOI50" s="519"/>
      <c r="NOJ50" s="519"/>
      <c r="NOK50" s="519"/>
      <c r="NOL50" s="519"/>
      <c r="NOM50" s="519"/>
      <c r="NON50" s="519"/>
      <c r="NOO50" s="519"/>
      <c r="NOP50" s="519"/>
      <c r="NOQ50" s="519"/>
      <c r="NOR50" s="519"/>
      <c r="NOS50" s="519"/>
      <c r="NOT50" s="519"/>
      <c r="NOU50" s="519"/>
      <c r="NOV50" s="519"/>
      <c r="NOW50" s="519"/>
      <c r="NOX50" s="519"/>
      <c r="NOY50" s="519"/>
      <c r="NOZ50" s="519"/>
      <c r="NPA50" s="519"/>
      <c r="NPB50" s="519"/>
      <c r="NPC50" s="519"/>
      <c r="NPD50" s="519"/>
      <c r="NPE50" s="519"/>
      <c r="NPF50" s="519"/>
      <c r="NPG50" s="519"/>
      <c r="NPH50" s="519"/>
      <c r="NPI50" s="519"/>
      <c r="NPJ50" s="519"/>
      <c r="NPK50" s="519"/>
      <c r="NPL50" s="519"/>
      <c r="NPM50" s="519"/>
      <c r="NPN50" s="519"/>
      <c r="NPO50" s="519"/>
      <c r="NPP50" s="519"/>
      <c r="NPQ50" s="519"/>
      <c r="NPR50" s="519"/>
      <c r="NPS50" s="519"/>
      <c r="NPT50" s="519"/>
      <c r="NPU50" s="519"/>
      <c r="NPV50" s="519"/>
      <c r="NPW50" s="519"/>
      <c r="NPX50" s="519"/>
      <c r="NPY50" s="519"/>
      <c r="NPZ50" s="519"/>
      <c r="NQA50" s="519"/>
      <c r="NQB50" s="519"/>
      <c r="NQC50" s="519"/>
      <c r="NQD50" s="519"/>
      <c r="NQE50" s="519"/>
      <c r="NQF50" s="519"/>
      <c r="NQG50" s="519"/>
      <c r="NQH50" s="519"/>
      <c r="NQI50" s="519"/>
      <c r="NQJ50" s="519"/>
      <c r="NQK50" s="519"/>
      <c r="NQL50" s="519"/>
      <c r="NQM50" s="519"/>
      <c r="NQN50" s="519"/>
      <c r="NQO50" s="519"/>
      <c r="NQP50" s="519"/>
      <c r="NQQ50" s="519"/>
      <c r="NQR50" s="519"/>
      <c r="NQS50" s="519"/>
      <c r="NQT50" s="519"/>
      <c r="NQU50" s="519"/>
      <c r="NQV50" s="519"/>
      <c r="NQW50" s="519"/>
      <c r="NQX50" s="519"/>
      <c r="NQY50" s="519"/>
      <c r="NQZ50" s="519"/>
      <c r="NRA50" s="519"/>
      <c r="NRB50" s="519"/>
      <c r="NRC50" s="519"/>
      <c r="NRD50" s="519"/>
      <c r="NRE50" s="519"/>
      <c r="NRF50" s="519"/>
      <c r="NRG50" s="519"/>
      <c r="NRH50" s="519"/>
      <c r="NRI50" s="519"/>
      <c r="NRJ50" s="519"/>
      <c r="NRK50" s="519"/>
      <c r="NRL50" s="519"/>
      <c r="NRM50" s="519"/>
      <c r="NRN50" s="519"/>
      <c r="NRO50" s="519"/>
      <c r="NRP50" s="519"/>
      <c r="NRQ50" s="519"/>
      <c r="NRR50" s="519"/>
      <c r="NRS50" s="519"/>
      <c r="NRT50" s="519"/>
      <c r="NRU50" s="519"/>
      <c r="NRV50" s="519"/>
      <c r="NRW50" s="519"/>
      <c r="NRX50" s="519"/>
      <c r="NRY50" s="519"/>
      <c r="NRZ50" s="519"/>
      <c r="NSA50" s="519"/>
      <c r="NSB50" s="519"/>
      <c r="NSC50" s="519"/>
      <c r="NSD50" s="519"/>
      <c r="NSE50" s="519"/>
      <c r="NSF50" s="519"/>
      <c r="NSG50" s="519"/>
      <c r="NSH50" s="519"/>
      <c r="NSI50" s="519"/>
      <c r="NSJ50" s="519"/>
      <c r="NSK50" s="519"/>
      <c r="NSL50" s="519"/>
      <c r="NSM50" s="519"/>
      <c r="NSN50" s="519"/>
      <c r="NSO50" s="519"/>
      <c r="NSP50" s="519"/>
      <c r="NSQ50" s="519"/>
      <c r="NSR50" s="519"/>
      <c r="NSS50" s="519"/>
      <c r="NST50" s="519"/>
      <c r="NSU50" s="519"/>
      <c r="NSV50" s="519"/>
      <c r="NSW50" s="519"/>
      <c r="NSX50" s="519"/>
      <c r="NSY50" s="519"/>
      <c r="NSZ50" s="519"/>
      <c r="NTA50" s="519"/>
      <c r="NTB50" s="519"/>
      <c r="NTC50" s="519"/>
      <c r="NTD50" s="519"/>
      <c r="NTE50" s="519"/>
      <c r="NTF50" s="519"/>
      <c r="NTG50" s="519"/>
      <c r="NTH50" s="519"/>
      <c r="NTI50" s="519"/>
      <c r="NTJ50" s="519"/>
      <c r="NTK50" s="519"/>
      <c r="NTL50" s="519"/>
      <c r="NTM50" s="519"/>
      <c r="NTN50" s="519"/>
      <c r="NTO50" s="519"/>
      <c r="NTP50" s="519"/>
      <c r="NTQ50" s="519"/>
      <c r="NTR50" s="519"/>
      <c r="NTS50" s="519"/>
      <c r="NTT50" s="519"/>
      <c r="NTU50" s="519"/>
      <c r="NTV50" s="519"/>
      <c r="NTW50" s="519"/>
      <c r="NTX50" s="519"/>
      <c r="NTY50" s="519"/>
      <c r="NTZ50" s="519"/>
      <c r="NUA50" s="519"/>
      <c r="NUB50" s="519"/>
      <c r="NUC50" s="519"/>
      <c r="NUD50" s="519"/>
      <c r="NUE50" s="519"/>
      <c r="NUF50" s="519"/>
      <c r="NUG50" s="519"/>
      <c r="NUH50" s="519"/>
      <c r="NUI50" s="519"/>
      <c r="NUJ50" s="519"/>
      <c r="NUK50" s="519"/>
      <c r="NUL50" s="519"/>
      <c r="NUM50" s="519"/>
      <c r="NUN50" s="519"/>
      <c r="NUO50" s="519"/>
      <c r="NUP50" s="519"/>
      <c r="NUQ50" s="519"/>
      <c r="NUR50" s="519"/>
      <c r="NUS50" s="519"/>
      <c r="NUT50" s="519"/>
      <c r="NUU50" s="519"/>
      <c r="NUV50" s="519"/>
      <c r="NUW50" s="519"/>
      <c r="NUX50" s="519"/>
      <c r="NUY50" s="519"/>
      <c r="NUZ50" s="519"/>
      <c r="NVA50" s="519"/>
      <c r="NVB50" s="519"/>
      <c r="NVC50" s="519"/>
      <c r="NVD50" s="519"/>
      <c r="NVE50" s="519"/>
      <c r="NVF50" s="519"/>
      <c r="NVG50" s="519"/>
      <c r="NVH50" s="519"/>
      <c r="NVI50" s="519"/>
      <c r="NVJ50" s="519"/>
      <c r="NVK50" s="519"/>
      <c r="NVL50" s="519"/>
      <c r="NVM50" s="519"/>
      <c r="NVN50" s="519"/>
      <c r="NVO50" s="519"/>
      <c r="NVP50" s="519"/>
      <c r="NVQ50" s="519"/>
      <c r="NVR50" s="519"/>
      <c r="NVS50" s="519"/>
      <c r="NVT50" s="519"/>
      <c r="NVU50" s="519"/>
      <c r="NVV50" s="519"/>
      <c r="NVW50" s="519"/>
      <c r="NVX50" s="519"/>
      <c r="NVY50" s="519"/>
      <c r="NVZ50" s="519"/>
      <c r="NWA50" s="519"/>
      <c r="NWB50" s="519"/>
      <c r="NWC50" s="519"/>
      <c r="NWD50" s="519"/>
      <c r="NWE50" s="519"/>
      <c r="NWF50" s="519"/>
      <c r="NWG50" s="519"/>
      <c r="NWH50" s="519"/>
      <c r="NWI50" s="519"/>
      <c r="NWJ50" s="519"/>
      <c r="NWK50" s="519"/>
      <c r="NWL50" s="519"/>
      <c r="NWM50" s="519"/>
      <c r="NWN50" s="519"/>
      <c r="NWO50" s="519"/>
      <c r="NWP50" s="519"/>
      <c r="NWQ50" s="519"/>
      <c r="NWR50" s="519"/>
      <c r="NWS50" s="519"/>
      <c r="NWT50" s="519"/>
      <c r="NWU50" s="519"/>
      <c r="NWV50" s="519"/>
      <c r="NWW50" s="519"/>
      <c r="NWX50" s="519"/>
      <c r="NWY50" s="519"/>
      <c r="NWZ50" s="519"/>
      <c r="NXA50" s="519"/>
      <c r="NXB50" s="519"/>
      <c r="NXC50" s="519"/>
      <c r="NXD50" s="519"/>
      <c r="NXE50" s="519"/>
      <c r="NXF50" s="519"/>
      <c r="NXG50" s="519"/>
      <c r="NXH50" s="519"/>
      <c r="NXI50" s="519"/>
      <c r="NXJ50" s="519"/>
      <c r="NXK50" s="519"/>
      <c r="NXL50" s="519"/>
      <c r="NXM50" s="519"/>
      <c r="NXN50" s="519"/>
      <c r="NXO50" s="519"/>
      <c r="NXP50" s="519"/>
      <c r="NXQ50" s="519"/>
      <c r="NXR50" s="519"/>
      <c r="NXS50" s="519"/>
      <c r="NXT50" s="519"/>
      <c r="NXU50" s="519"/>
      <c r="NXV50" s="519"/>
      <c r="NXW50" s="519"/>
      <c r="NXX50" s="519"/>
      <c r="NXY50" s="519"/>
      <c r="NXZ50" s="519"/>
      <c r="NYA50" s="519"/>
      <c r="NYB50" s="519"/>
      <c r="NYC50" s="519"/>
      <c r="NYD50" s="519"/>
      <c r="NYE50" s="519"/>
      <c r="NYF50" s="519"/>
      <c r="NYG50" s="519"/>
      <c r="NYH50" s="519"/>
      <c r="NYI50" s="519"/>
      <c r="NYJ50" s="519"/>
      <c r="NYK50" s="519"/>
      <c r="NYL50" s="519"/>
      <c r="NYM50" s="519"/>
      <c r="NYN50" s="519"/>
      <c r="NYO50" s="519"/>
      <c r="NYP50" s="519"/>
      <c r="NYQ50" s="519"/>
      <c r="NYR50" s="519"/>
      <c r="NYS50" s="519"/>
      <c r="NYT50" s="519"/>
      <c r="NYU50" s="519"/>
      <c r="NYV50" s="519"/>
      <c r="NYW50" s="519"/>
      <c r="NYX50" s="519"/>
      <c r="NYY50" s="519"/>
      <c r="NYZ50" s="519"/>
      <c r="NZA50" s="519"/>
      <c r="NZB50" s="519"/>
      <c r="NZC50" s="519"/>
      <c r="NZD50" s="519"/>
      <c r="NZE50" s="519"/>
      <c r="NZF50" s="519"/>
      <c r="NZG50" s="519"/>
      <c r="NZH50" s="519"/>
      <c r="NZI50" s="519"/>
      <c r="NZJ50" s="519"/>
      <c r="NZK50" s="519"/>
      <c r="NZL50" s="519"/>
      <c r="NZM50" s="519"/>
      <c r="NZN50" s="519"/>
      <c r="NZO50" s="519"/>
      <c r="NZP50" s="519"/>
      <c r="NZQ50" s="519"/>
      <c r="NZR50" s="519"/>
      <c r="NZS50" s="519"/>
      <c r="NZT50" s="519"/>
      <c r="NZU50" s="519"/>
      <c r="NZV50" s="519"/>
      <c r="NZW50" s="519"/>
      <c r="NZX50" s="519"/>
      <c r="NZY50" s="519"/>
      <c r="NZZ50" s="519"/>
      <c r="OAA50" s="519"/>
      <c r="OAB50" s="519"/>
      <c r="OAC50" s="519"/>
      <c r="OAD50" s="519"/>
      <c r="OAE50" s="519"/>
      <c r="OAF50" s="519"/>
      <c r="OAG50" s="519"/>
      <c r="OAH50" s="519"/>
      <c r="OAI50" s="519"/>
      <c r="OAJ50" s="519"/>
      <c r="OAK50" s="519"/>
      <c r="OAL50" s="519"/>
      <c r="OAM50" s="519"/>
      <c r="OAN50" s="519"/>
      <c r="OAO50" s="519"/>
      <c r="OAP50" s="519"/>
      <c r="OAQ50" s="519"/>
      <c r="OAR50" s="519"/>
      <c r="OAS50" s="519"/>
      <c r="OAT50" s="519"/>
      <c r="OAU50" s="519"/>
      <c r="OAV50" s="519"/>
      <c r="OAW50" s="519"/>
      <c r="OAX50" s="519"/>
      <c r="OAY50" s="519"/>
      <c r="OAZ50" s="519"/>
      <c r="OBA50" s="519"/>
      <c r="OBB50" s="519"/>
      <c r="OBC50" s="519"/>
      <c r="OBD50" s="519"/>
      <c r="OBE50" s="519"/>
      <c r="OBF50" s="519"/>
      <c r="OBG50" s="519"/>
      <c r="OBH50" s="519"/>
      <c r="OBI50" s="519"/>
      <c r="OBJ50" s="519"/>
      <c r="OBK50" s="519"/>
      <c r="OBL50" s="519"/>
      <c r="OBM50" s="519"/>
      <c r="OBN50" s="519"/>
      <c r="OBO50" s="519"/>
      <c r="OBP50" s="519"/>
      <c r="OBQ50" s="519"/>
      <c r="OBR50" s="519"/>
      <c r="OBS50" s="519"/>
      <c r="OBT50" s="519"/>
      <c r="OBU50" s="519"/>
      <c r="OBV50" s="519"/>
      <c r="OBW50" s="519"/>
      <c r="OBX50" s="519"/>
      <c r="OBY50" s="519"/>
      <c r="OBZ50" s="519"/>
      <c r="OCA50" s="519"/>
      <c r="OCB50" s="519"/>
      <c r="OCC50" s="519"/>
      <c r="OCD50" s="519"/>
      <c r="OCE50" s="519"/>
      <c r="OCF50" s="519"/>
      <c r="OCG50" s="519"/>
      <c r="OCH50" s="519"/>
      <c r="OCI50" s="519"/>
      <c r="OCJ50" s="519"/>
      <c r="OCK50" s="519"/>
      <c r="OCL50" s="519"/>
      <c r="OCM50" s="519"/>
      <c r="OCN50" s="519"/>
      <c r="OCO50" s="519"/>
      <c r="OCP50" s="519"/>
      <c r="OCQ50" s="519"/>
      <c r="OCR50" s="519"/>
      <c r="OCS50" s="519"/>
      <c r="OCT50" s="519"/>
      <c r="OCU50" s="519"/>
      <c r="OCV50" s="519"/>
      <c r="OCW50" s="519"/>
      <c r="OCX50" s="519"/>
      <c r="OCY50" s="519"/>
      <c r="OCZ50" s="519"/>
      <c r="ODA50" s="519"/>
      <c r="ODB50" s="519"/>
      <c r="ODC50" s="519"/>
      <c r="ODD50" s="519"/>
      <c r="ODE50" s="519"/>
      <c r="ODF50" s="519"/>
      <c r="ODG50" s="519"/>
      <c r="ODH50" s="519"/>
      <c r="ODI50" s="519"/>
      <c r="ODJ50" s="519"/>
      <c r="ODK50" s="519"/>
      <c r="ODL50" s="519"/>
      <c r="ODM50" s="519"/>
      <c r="ODN50" s="519"/>
      <c r="ODO50" s="519"/>
      <c r="ODP50" s="519"/>
      <c r="ODQ50" s="519"/>
      <c r="ODR50" s="519"/>
      <c r="ODS50" s="519"/>
      <c r="ODT50" s="519"/>
      <c r="ODU50" s="519"/>
      <c r="ODV50" s="519"/>
      <c r="ODW50" s="519"/>
      <c r="ODX50" s="519"/>
      <c r="ODY50" s="519"/>
      <c r="ODZ50" s="519"/>
      <c r="OEA50" s="519"/>
      <c r="OEB50" s="519"/>
      <c r="OEC50" s="519"/>
      <c r="OED50" s="519"/>
      <c r="OEE50" s="519"/>
      <c r="OEF50" s="519"/>
      <c r="OEG50" s="519"/>
      <c r="OEH50" s="519"/>
      <c r="OEI50" s="519"/>
      <c r="OEJ50" s="519"/>
      <c r="OEK50" s="519"/>
      <c r="OEL50" s="519"/>
      <c r="OEM50" s="519"/>
      <c r="OEN50" s="519"/>
      <c r="OEO50" s="519"/>
      <c r="OEP50" s="519"/>
      <c r="OEQ50" s="519"/>
      <c r="OER50" s="519"/>
      <c r="OES50" s="519"/>
      <c r="OET50" s="519"/>
      <c r="OEU50" s="519"/>
      <c r="OEV50" s="519"/>
      <c r="OEW50" s="519"/>
      <c r="OEX50" s="519"/>
      <c r="OEY50" s="519"/>
      <c r="OEZ50" s="519"/>
      <c r="OFA50" s="519"/>
      <c r="OFB50" s="519"/>
      <c r="OFC50" s="519"/>
      <c r="OFD50" s="519"/>
      <c r="OFE50" s="519"/>
      <c r="OFF50" s="519"/>
      <c r="OFG50" s="519"/>
      <c r="OFH50" s="519"/>
      <c r="OFI50" s="519"/>
      <c r="OFJ50" s="519"/>
      <c r="OFK50" s="519"/>
      <c r="OFL50" s="519"/>
      <c r="OFM50" s="519"/>
      <c r="OFN50" s="519"/>
      <c r="OFO50" s="519"/>
      <c r="OFP50" s="519"/>
      <c r="OFQ50" s="519"/>
      <c r="OFR50" s="519"/>
      <c r="OFS50" s="519"/>
      <c r="OFT50" s="519"/>
      <c r="OFU50" s="519"/>
      <c r="OFV50" s="519"/>
      <c r="OFW50" s="519"/>
      <c r="OFX50" s="519"/>
      <c r="OFY50" s="519"/>
      <c r="OFZ50" s="519"/>
      <c r="OGA50" s="519"/>
      <c r="OGB50" s="519"/>
      <c r="OGC50" s="519"/>
      <c r="OGD50" s="519"/>
      <c r="OGE50" s="519"/>
      <c r="OGF50" s="519"/>
      <c r="OGG50" s="519"/>
      <c r="OGH50" s="519"/>
      <c r="OGI50" s="519"/>
      <c r="OGJ50" s="519"/>
      <c r="OGK50" s="519"/>
      <c r="OGL50" s="519"/>
      <c r="OGM50" s="519"/>
      <c r="OGN50" s="519"/>
      <c r="OGO50" s="519"/>
      <c r="OGP50" s="519"/>
      <c r="OGQ50" s="519"/>
      <c r="OGR50" s="519"/>
      <c r="OGS50" s="519"/>
      <c r="OGT50" s="519"/>
      <c r="OGU50" s="519"/>
      <c r="OGV50" s="519"/>
      <c r="OGW50" s="519"/>
      <c r="OGX50" s="519"/>
      <c r="OGY50" s="519"/>
      <c r="OGZ50" s="519"/>
      <c r="OHA50" s="519"/>
      <c r="OHB50" s="519"/>
      <c r="OHC50" s="519"/>
      <c r="OHD50" s="519"/>
      <c r="OHE50" s="519"/>
      <c r="OHF50" s="519"/>
      <c r="OHG50" s="519"/>
      <c r="OHH50" s="519"/>
      <c r="OHI50" s="519"/>
      <c r="OHJ50" s="519"/>
      <c r="OHK50" s="519"/>
      <c r="OHL50" s="519"/>
      <c r="OHM50" s="519"/>
      <c r="OHN50" s="519"/>
      <c r="OHO50" s="519"/>
      <c r="OHP50" s="519"/>
      <c r="OHQ50" s="519"/>
      <c r="OHR50" s="519"/>
      <c r="OHS50" s="519"/>
      <c r="OHT50" s="519"/>
      <c r="OHU50" s="519"/>
      <c r="OHV50" s="519"/>
      <c r="OHW50" s="519"/>
      <c r="OHX50" s="519"/>
      <c r="OHY50" s="519"/>
      <c r="OHZ50" s="519"/>
      <c r="OIA50" s="519"/>
      <c r="OIB50" s="519"/>
      <c r="OIC50" s="519"/>
      <c r="OID50" s="519"/>
      <c r="OIE50" s="519"/>
      <c r="OIF50" s="519"/>
      <c r="OIG50" s="519"/>
      <c r="OIH50" s="519"/>
      <c r="OII50" s="519"/>
      <c r="OIJ50" s="519"/>
      <c r="OIK50" s="519"/>
      <c r="OIL50" s="519"/>
      <c r="OIM50" s="519"/>
      <c r="OIN50" s="519"/>
      <c r="OIO50" s="519"/>
      <c r="OIP50" s="519"/>
      <c r="OIQ50" s="519"/>
      <c r="OIR50" s="519"/>
      <c r="OIS50" s="519"/>
      <c r="OIT50" s="519"/>
      <c r="OIU50" s="519"/>
      <c r="OIV50" s="519"/>
      <c r="OIW50" s="519"/>
      <c r="OIX50" s="519"/>
      <c r="OIY50" s="519"/>
      <c r="OIZ50" s="519"/>
      <c r="OJA50" s="519"/>
      <c r="OJB50" s="519"/>
      <c r="OJC50" s="519"/>
      <c r="OJD50" s="519"/>
      <c r="OJE50" s="519"/>
      <c r="OJF50" s="519"/>
      <c r="OJG50" s="519"/>
      <c r="OJH50" s="519"/>
      <c r="OJI50" s="519"/>
      <c r="OJJ50" s="519"/>
      <c r="OJK50" s="519"/>
      <c r="OJL50" s="519"/>
      <c r="OJM50" s="519"/>
      <c r="OJN50" s="519"/>
      <c r="OJO50" s="519"/>
      <c r="OJP50" s="519"/>
      <c r="OJQ50" s="519"/>
      <c r="OJR50" s="519"/>
      <c r="OJS50" s="519"/>
      <c r="OJT50" s="519"/>
      <c r="OJU50" s="519"/>
      <c r="OJV50" s="519"/>
      <c r="OJW50" s="519"/>
      <c r="OJX50" s="519"/>
      <c r="OJY50" s="519"/>
      <c r="OJZ50" s="519"/>
      <c r="OKA50" s="519"/>
      <c r="OKB50" s="519"/>
      <c r="OKC50" s="519"/>
      <c r="OKD50" s="519"/>
      <c r="OKE50" s="519"/>
      <c r="OKF50" s="519"/>
      <c r="OKG50" s="519"/>
      <c r="OKH50" s="519"/>
      <c r="OKI50" s="519"/>
      <c r="OKJ50" s="519"/>
      <c r="OKK50" s="519"/>
      <c r="OKL50" s="519"/>
      <c r="OKM50" s="519"/>
      <c r="OKN50" s="519"/>
      <c r="OKO50" s="519"/>
      <c r="OKP50" s="519"/>
      <c r="OKQ50" s="519"/>
      <c r="OKR50" s="519"/>
      <c r="OKS50" s="519"/>
      <c r="OKT50" s="519"/>
      <c r="OKU50" s="519"/>
      <c r="OKV50" s="519"/>
      <c r="OKW50" s="519"/>
      <c r="OKX50" s="519"/>
      <c r="OKY50" s="519"/>
      <c r="OKZ50" s="519"/>
      <c r="OLA50" s="519"/>
      <c r="OLB50" s="519"/>
      <c r="OLC50" s="519"/>
      <c r="OLD50" s="519"/>
      <c r="OLE50" s="519"/>
      <c r="OLF50" s="519"/>
      <c r="OLG50" s="519"/>
      <c r="OLH50" s="519"/>
      <c r="OLI50" s="519"/>
      <c r="OLJ50" s="519"/>
      <c r="OLK50" s="519"/>
      <c r="OLL50" s="519"/>
      <c r="OLM50" s="519"/>
      <c r="OLN50" s="519"/>
      <c r="OLO50" s="519"/>
      <c r="OLP50" s="519"/>
      <c r="OLQ50" s="519"/>
      <c r="OLR50" s="519"/>
      <c r="OLS50" s="519"/>
      <c r="OLT50" s="519"/>
      <c r="OLU50" s="519"/>
      <c r="OLV50" s="519"/>
      <c r="OLW50" s="519"/>
      <c r="OLX50" s="519"/>
      <c r="OLY50" s="519"/>
      <c r="OLZ50" s="519"/>
      <c r="OMA50" s="519"/>
      <c r="OMB50" s="519"/>
      <c r="OMC50" s="519"/>
      <c r="OMD50" s="519"/>
      <c r="OME50" s="519"/>
      <c r="OMF50" s="519"/>
      <c r="OMG50" s="519"/>
      <c r="OMH50" s="519"/>
      <c r="OMI50" s="519"/>
      <c r="OMJ50" s="519"/>
      <c r="OMK50" s="519"/>
      <c r="OML50" s="519"/>
      <c r="OMM50" s="519"/>
      <c r="OMN50" s="519"/>
      <c r="OMO50" s="519"/>
      <c r="OMP50" s="519"/>
      <c r="OMQ50" s="519"/>
      <c r="OMR50" s="519"/>
      <c r="OMS50" s="519"/>
      <c r="OMT50" s="519"/>
      <c r="OMU50" s="519"/>
      <c r="OMV50" s="519"/>
      <c r="OMW50" s="519"/>
      <c r="OMX50" s="519"/>
      <c r="OMY50" s="519"/>
      <c r="OMZ50" s="519"/>
      <c r="ONA50" s="519"/>
      <c r="ONB50" s="519"/>
      <c r="ONC50" s="519"/>
      <c r="OND50" s="519"/>
      <c r="ONE50" s="519"/>
      <c r="ONF50" s="519"/>
      <c r="ONG50" s="519"/>
      <c r="ONH50" s="519"/>
      <c r="ONI50" s="519"/>
      <c r="ONJ50" s="519"/>
      <c r="ONK50" s="519"/>
      <c r="ONL50" s="519"/>
      <c r="ONM50" s="519"/>
      <c r="ONN50" s="519"/>
      <c r="ONO50" s="519"/>
      <c r="ONP50" s="519"/>
      <c r="ONQ50" s="519"/>
      <c r="ONR50" s="519"/>
      <c r="ONS50" s="519"/>
      <c r="ONT50" s="519"/>
      <c r="ONU50" s="519"/>
      <c r="ONV50" s="519"/>
      <c r="ONW50" s="519"/>
      <c r="ONX50" s="519"/>
      <c r="ONY50" s="519"/>
      <c r="ONZ50" s="519"/>
      <c r="OOA50" s="519"/>
      <c r="OOB50" s="519"/>
      <c r="OOC50" s="519"/>
      <c r="OOD50" s="519"/>
      <c r="OOE50" s="519"/>
      <c r="OOF50" s="519"/>
      <c r="OOG50" s="519"/>
      <c r="OOH50" s="519"/>
      <c r="OOI50" s="519"/>
      <c r="OOJ50" s="519"/>
      <c r="OOK50" s="519"/>
      <c r="OOL50" s="519"/>
      <c r="OOM50" s="519"/>
      <c r="OON50" s="519"/>
      <c r="OOO50" s="519"/>
      <c r="OOP50" s="519"/>
      <c r="OOQ50" s="519"/>
      <c r="OOR50" s="519"/>
      <c r="OOS50" s="519"/>
      <c r="OOT50" s="519"/>
      <c r="OOU50" s="519"/>
      <c r="OOV50" s="519"/>
      <c r="OOW50" s="519"/>
      <c r="OOX50" s="519"/>
      <c r="OOY50" s="519"/>
      <c r="OOZ50" s="519"/>
      <c r="OPA50" s="519"/>
      <c r="OPB50" s="519"/>
      <c r="OPC50" s="519"/>
      <c r="OPD50" s="519"/>
      <c r="OPE50" s="519"/>
      <c r="OPF50" s="519"/>
      <c r="OPG50" s="519"/>
      <c r="OPH50" s="519"/>
      <c r="OPI50" s="519"/>
      <c r="OPJ50" s="519"/>
      <c r="OPK50" s="519"/>
      <c r="OPL50" s="519"/>
      <c r="OPM50" s="519"/>
      <c r="OPN50" s="519"/>
      <c r="OPO50" s="519"/>
      <c r="OPP50" s="519"/>
      <c r="OPQ50" s="519"/>
      <c r="OPR50" s="519"/>
      <c r="OPS50" s="519"/>
      <c r="OPT50" s="519"/>
      <c r="OPU50" s="519"/>
      <c r="OPV50" s="519"/>
      <c r="OPW50" s="519"/>
      <c r="OPX50" s="519"/>
      <c r="OPY50" s="519"/>
      <c r="OPZ50" s="519"/>
      <c r="OQA50" s="519"/>
      <c r="OQB50" s="519"/>
      <c r="OQC50" s="519"/>
      <c r="OQD50" s="519"/>
      <c r="OQE50" s="519"/>
      <c r="OQF50" s="519"/>
      <c r="OQG50" s="519"/>
      <c r="OQH50" s="519"/>
      <c r="OQI50" s="519"/>
      <c r="OQJ50" s="519"/>
      <c r="OQK50" s="519"/>
      <c r="OQL50" s="519"/>
      <c r="OQM50" s="519"/>
      <c r="OQN50" s="519"/>
      <c r="OQO50" s="519"/>
      <c r="OQP50" s="519"/>
      <c r="OQQ50" s="519"/>
      <c r="OQR50" s="519"/>
      <c r="OQS50" s="519"/>
      <c r="OQT50" s="519"/>
      <c r="OQU50" s="519"/>
      <c r="OQV50" s="519"/>
      <c r="OQW50" s="519"/>
      <c r="OQX50" s="519"/>
      <c r="OQY50" s="519"/>
      <c r="OQZ50" s="519"/>
      <c r="ORA50" s="519"/>
      <c r="ORB50" s="519"/>
      <c r="ORC50" s="519"/>
      <c r="ORD50" s="519"/>
      <c r="ORE50" s="519"/>
      <c r="ORF50" s="519"/>
      <c r="ORG50" s="519"/>
      <c r="ORH50" s="519"/>
      <c r="ORI50" s="519"/>
      <c r="ORJ50" s="519"/>
      <c r="ORK50" s="519"/>
      <c r="ORL50" s="519"/>
      <c r="ORM50" s="519"/>
      <c r="ORN50" s="519"/>
      <c r="ORO50" s="519"/>
      <c r="ORP50" s="519"/>
      <c r="ORQ50" s="519"/>
      <c r="ORR50" s="519"/>
      <c r="ORS50" s="519"/>
      <c r="ORT50" s="519"/>
      <c r="ORU50" s="519"/>
      <c r="ORV50" s="519"/>
      <c r="ORW50" s="519"/>
      <c r="ORX50" s="519"/>
      <c r="ORY50" s="519"/>
      <c r="ORZ50" s="519"/>
      <c r="OSA50" s="519"/>
      <c r="OSB50" s="519"/>
      <c r="OSC50" s="519"/>
      <c r="OSD50" s="519"/>
      <c r="OSE50" s="519"/>
      <c r="OSF50" s="519"/>
      <c r="OSG50" s="519"/>
      <c r="OSH50" s="519"/>
      <c r="OSI50" s="519"/>
      <c r="OSJ50" s="519"/>
      <c r="OSK50" s="519"/>
      <c r="OSL50" s="519"/>
      <c r="OSM50" s="519"/>
      <c r="OSN50" s="519"/>
      <c r="OSO50" s="519"/>
      <c r="OSP50" s="519"/>
      <c r="OSQ50" s="519"/>
      <c r="OSR50" s="519"/>
      <c r="OSS50" s="519"/>
      <c r="OST50" s="519"/>
      <c r="OSU50" s="519"/>
      <c r="OSV50" s="519"/>
      <c r="OSW50" s="519"/>
      <c r="OSX50" s="519"/>
      <c r="OSY50" s="519"/>
      <c r="OSZ50" s="519"/>
      <c r="OTA50" s="519"/>
      <c r="OTB50" s="519"/>
      <c r="OTC50" s="519"/>
      <c r="OTD50" s="519"/>
      <c r="OTE50" s="519"/>
      <c r="OTF50" s="519"/>
      <c r="OTG50" s="519"/>
      <c r="OTH50" s="519"/>
      <c r="OTI50" s="519"/>
      <c r="OTJ50" s="519"/>
      <c r="OTK50" s="519"/>
      <c r="OTL50" s="519"/>
      <c r="OTM50" s="519"/>
      <c r="OTN50" s="519"/>
      <c r="OTO50" s="519"/>
      <c r="OTP50" s="519"/>
      <c r="OTQ50" s="519"/>
      <c r="OTR50" s="519"/>
      <c r="OTS50" s="519"/>
      <c r="OTT50" s="519"/>
      <c r="OTU50" s="519"/>
      <c r="OTV50" s="519"/>
      <c r="OTW50" s="519"/>
      <c r="OTX50" s="519"/>
      <c r="OTY50" s="519"/>
      <c r="OTZ50" s="519"/>
      <c r="OUA50" s="519"/>
      <c r="OUB50" s="519"/>
      <c r="OUC50" s="519"/>
      <c r="OUD50" s="519"/>
      <c r="OUE50" s="519"/>
      <c r="OUF50" s="519"/>
      <c r="OUG50" s="519"/>
      <c r="OUH50" s="519"/>
      <c r="OUI50" s="519"/>
      <c r="OUJ50" s="519"/>
      <c r="OUK50" s="519"/>
      <c r="OUL50" s="519"/>
      <c r="OUM50" s="519"/>
      <c r="OUN50" s="519"/>
      <c r="OUO50" s="519"/>
      <c r="OUP50" s="519"/>
      <c r="OUQ50" s="519"/>
      <c r="OUR50" s="519"/>
      <c r="OUS50" s="519"/>
      <c r="OUT50" s="519"/>
      <c r="OUU50" s="519"/>
      <c r="OUV50" s="519"/>
      <c r="OUW50" s="519"/>
      <c r="OUX50" s="519"/>
      <c r="OUY50" s="519"/>
      <c r="OUZ50" s="519"/>
      <c r="OVA50" s="519"/>
      <c r="OVB50" s="519"/>
      <c r="OVC50" s="519"/>
      <c r="OVD50" s="519"/>
      <c r="OVE50" s="519"/>
      <c r="OVF50" s="519"/>
      <c r="OVG50" s="519"/>
      <c r="OVH50" s="519"/>
      <c r="OVI50" s="519"/>
      <c r="OVJ50" s="519"/>
      <c r="OVK50" s="519"/>
      <c r="OVL50" s="519"/>
      <c r="OVM50" s="519"/>
      <c r="OVN50" s="519"/>
      <c r="OVO50" s="519"/>
      <c r="OVP50" s="519"/>
      <c r="OVQ50" s="519"/>
      <c r="OVR50" s="519"/>
      <c r="OVS50" s="519"/>
      <c r="OVT50" s="519"/>
      <c r="OVU50" s="519"/>
      <c r="OVV50" s="519"/>
      <c r="OVW50" s="519"/>
      <c r="OVX50" s="519"/>
      <c r="OVY50" s="519"/>
      <c r="OVZ50" s="519"/>
      <c r="OWA50" s="519"/>
      <c r="OWB50" s="519"/>
      <c r="OWC50" s="519"/>
      <c r="OWD50" s="519"/>
      <c r="OWE50" s="519"/>
      <c r="OWF50" s="519"/>
      <c r="OWG50" s="519"/>
      <c r="OWH50" s="519"/>
      <c r="OWI50" s="519"/>
      <c r="OWJ50" s="519"/>
      <c r="OWK50" s="519"/>
      <c r="OWL50" s="519"/>
      <c r="OWM50" s="519"/>
      <c r="OWN50" s="519"/>
      <c r="OWO50" s="519"/>
      <c r="OWP50" s="519"/>
      <c r="OWQ50" s="519"/>
      <c r="OWR50" s="519"/>
      <c r="OWS50" s="519"/>
      <c r="OWT50" s="519"/>
      <c r="OWU50" s="519"/>
      <c r="OWV50" s="519"/>
      <c r="OWW50" s="519"/>
      <c r="OWX50" s="519"/>
      <c r="OWY50" s="519"/>
      <c r="OWZ50" s="519"/>
      <c r="OXA50" s="519"/>
      <c r="OXB50" s="519"/>
      <c r="OXC50" s="519"/>
      <c r="OXD50" s="519"/>
      <c r="OXE50" s="519"/>
      <c r="OXF50" s="519"/>
      <c r="OXG50" s="519"/>
      <c r="OXH50" s="519"/>
      <c r="OXI50" s="519"/>
      <c r="OXJ50" s="519"/>
      <c r="OXK50" s="519"/>
      <c r="OXL50" s="519"/>
      <c r="OXM50" s="519"/>
      <c r="OXN50" s="519"/>
      <c r="OXO50" s="519"/>
      <c r="OXP50" s="519"/>
      <c r="OXQ50" s="519"/>
      <c r="OXR50" s="519"/>
      <c r="OXS50" s="519"/>
      <c r="OXT50" s="519"/>
      <c r="OXU50" s="519"/>
      <c r="OXV50" s="519"/>
      <c r="OXW50" s="519"/>
      <c r="OXX50" s="519"/>
      <c r="OXY50" s="519"/>
      <c r="OXZ50" s="519"/>
      <c r="OYA50" s="519"/>
      <c r="OYB50" s="519"/>
      <c r="OYC50" s="519"/>
      <c r="OYD50" s="519"/>
      <c r="OYE50" s="519"/>
      <c r="OYF50" s="519"/>
      <c r="OYG50" s="519"/>
      <c r="OYH50" s="519"/>
      <c r="OYI50" s="519"/>
      <c r="OYJ50" s="519"/>
      <c r="OYK50" s="519"/>
      <c r="OYL50" s="519"/>
      <c r="OYM50" s="519"/>
      <c r="OYN50" s="519"/>
      <c r="OYO50" s="519"/>
      <c r="OYP50" s="519"/>
      <c r="OYQ50" s="519"/>
      <c r="OYR50" s="519"/>
      <c r="OYS50" s="519"/>
      <c r="OYT50" s="519"/>
      <c r="OYU50" s="519"/>
      <c r="OYV50" s="519"/>
      <c r="OYW50" s="519"/>
      <c r="OYX50" s="519"/>
      <c r="OYY50" s="519"/>
      <c r="OYZ50" s="519"/>
      <c r="OZA50" s="519"/>
      <c r="OZB50" s="519"/>
      <c r="OZC50" s="519"/>
      <c r="OZD50" s="519"/>
      <c r="OZE50" s="519"/>
      <c r="OZF50" s="519"/>
      <c r="OZG50" s="519"/>
      <c r="OZH50" s="519"/>
      <c r="OZI50" s="519"/>
      <c r="OZJ50" s="519"/>
      <c r="OZK50" s="519"/>
      <c r="OZL50" s="519"/>
      <c r="OZM50" s="519"/>
      <c r="OZN50" s="519"/>
      <c r="OZO50" s="519"/>
      <c r="OZP50" s="519"/>
      <c r="OZQ50" s="519"/>
      <c r="OZR50" s="519"/>
      <c r="OZS50" s="519"/>
      <c r="OZT50" s="519"/>
      <c r="OZU50" s="519"/>
      <c r="OZV50" s="519"/>
      <c r="OZW50" s="519"/>
      <c r="OZX50" s="519"/>
      <c r="OZY50" s="519"/>
      <c r="OZZ50" s="519"/>
      <c r="PAA50" s="519"/>
      <c r="PAB50" s="519"/>
      <c r="PAC50" s="519"/>
      <c r="PAD50" s="519"/>
      <c r="PAE50" s="519"/>
      <c r="PAF50" s="519"/>
      <c r="PAG50" s="519"/>
      <c r="PAH50" s="519"/>
      <c r="PAI50" s="519"/>
      <c r="PAJ50" s="519"/>
      <c r="PAK50" s="519"/>
      <c r="PAL50" s="519"/>
      <c r="PAM50" s="519"/>
      <c r="PAN50" s="519"/>
      <c r="PAO50" s="519"/>
      <c r="PAP50" s="519"/>
      <c r="PAQ50" s="519"/>
      <c r="PAR50" s="519"/>
      <c r="PAS50" s="519"/>
      <c r="PAT50" s="519"/>
      <c r="PAU50" s="519"/>
      <c r="PAV50" s="519"/>
      <c r="PAW50" s="519"/>
      <c r="PAX50" s="519"/>
      <c r="PAY50" s="519"/>
      <c r="PAZ50" s="519"/>
      <c r="PBA50" s="519"/>
      <c r="PBB50" s="519"/>
      <c r="PBC50" s="519"/>
      <c r="PBD50" s="519"/>
      <c r="PBE50" s="519"/>
      <c r="PBF50" s="519"/>
      <c r="PBG50" s="519"/>
      <c r="PBH50" s="519"/>
      <c r="PBI50" s="519"/>
      <c r="PBJ50" s="519"/>
      <c r="PBK50" s="519"/>
      <c r="PBL50" s="519"/>
      <c r="PBM50" s="519"/>
      <c r="PBN50" s="519"/>
      <c r="PBO50" s="519"/>
      <c r="PBP50" s="519"/>
      <c r="PBQ50" s="519"/>
      <c r="PBR50" s="519"/>
      <c r="PBS50" s="519"/>
      <c r="PBT50" s="519"/>
      <c r="PBU50" s="519"/>
      <c r="PBV50" s="519"/>
      <c r="PBW50" s="519"/>
      <c r="PBX50" s="519"/>
      <c r="PBY50" s="519"/>
      <c r="PBZ50" s="519"/>
      <c r="PCA50" s="519"/>
      <c r="PCB50" s="519"/>
      <c r="PCC50" s="519"/>
      <c r="PCD50" s="519"/>
      <c r="PCE50" s="519"/>
      <c r="PCF50" s="519"/>
      <c r="PCG50" s="519"/>
      <c r="PCH50" s="519"/>
      <c r="PCI50" s="519"/>
      <c r="PCJ50" s="519"/>
      <c r="PCK50" s="519"/>
      <c r="PCL50" s="519"/>
      <c r="PCM50" s="519"/>
      <c r="PCN50" s="519"/>
      <c r="PCO50" s="519"/>
      <c r="PCP50" s="519"/>
      <c r="PCQ50" s="519"/>
      <c r="PCR50" s="519"/>
      <c r="PCS50" s="519"/>
      <c r="PCT50" s="519"/>
      <c r="PCU50" s="519"/>
      <c r="PCV50" s="519"/>
      <c r="PCW50" s="519"/>
      <c r="PCX50" s="519"/>
      <c r="PCY50" s="519"/>
      <c r="PCZ50" s="519"/>
      <c r="PDA50" s="519"/>
      <c r="PDB50" s="519"/>
      <c r="PDC50" s="519"/>
      <c r="PDD50" s="519"/>
      <c r="PDE50" s="519"/>
      <c r="PDF50" s="519"/>
      <c r="PDG50" s="519"/>
      <c r="PDH50" s="519"/>
      <c r="PDI50" s="519"/>
      <c r="PDJ50" s="519"/>
      <c r="PDK50" s="519"/>
      <c r="PDL50" s="519"/>
      <c r="PDM50" s="519"/>
      <c r="PDN50" s="519"/>
      <c r="PDO50" s="519"/>
      <c r="PDP50" s="519"/>
      <c r="PDQ50" s="519"/>
      <c r="PDR50" s="519"/>
      <c r="PDS50" s="519"/>
      <c r="PDT50" s="519"/>
      <c r="PDU50" s="519"/>
      <c r="PDV50" s="519"/>
      <c r="PDW50" s="519"/>
      <c r="PDX50" s="519"/>
      <c r="PDY50" s="519"/>
      <c r="PDZ50" s="519"/>
      <c r="PEA50" s="519"/>
      <c r="PEB50" s="519"/>
      <c r="PEC50" s="519"/>
      <c r="PED50" s="519"/>
      <c r="PEE50" s="519"/>
      <c r="PEF50" s="519"/>
      <c r="PEG50" s="519"/>
      <c r="PEH50" s="519"/>
      <c r="PEI50" s="519"/>
      <c r="PEJ50" s="519"/>
      <c r="PEK50" s="519"/>
      <c r="PEL50" s="519"/>
      <c r="PEM50" s="519"/>
      <c r="PEN50" s="519"/>
      <c r="PEO50" s="519"/>
      <c r="PEP50" s="519"/>
      <c r="PEQ50" s="519"/>
      <c r="PER50" s="519"/>
      <c r="PES50" s="519"/>
      <c r="PET50" s="519"/>
      <c r="PEU50" s="519"/>
      <c r="PEV50" s="519"/>
      <c r="PEW50" s="519"/>
      <c r="PEX50" s="519"/>
      <c r="PEY50" s="519"/>
      <c r="PEZ50" s="519"/>
      <c r="PFA50" s="519"/>
      <c r="PFB50" s="519"/>
      <c r="PFC50" s="519"/>
      <c r="PFD50" s="519"/>
      <c r="PFE50" s="519"/>
      <c r="PFF50" s="519"/>
      <c r="PFG50" s="519"/>
      <c r="PFH50" s="519"/>
      <c r="PFI50" s="519"/>
      <c r="PFJ50" s="519"/>
      <c r="PFK50" s="519"/>
      <c r="PFL50" s="519"/>
      <c r="PFM50" s="519"/>
      <c r="PFN50" s="519"/>
      <c r="PFO50" s="519"/>
      <c r="PFP50" s="519"/>
      <c r="PFQ50" s="519"/>
      <c r="PFR50" s="519"/>
      <c r="PFS50" s="519"/>
      <c r="PFT50" s="519"/>
      <c r="PFU50" s="519"/>
      <c r="PFV50" s="519"/>
      <c r="PFW50" s="519"/>
      <c r="PFX50" s="519"/>
      <c r="PFY50" s="519"/>
      <c r="PFZ50" s="519"/>
      <c r="PGA50" s="519"/>
      <c r="PGB50" s="519"/>
      <c r="PGC50" s="519"/>
      <c r="PGD50" s="519"/>
      <c r="PGE50" s="519"/>
      <c r="PGF50" s="519"/>
      <c r="PGG50" s="519"/>
      <c r="PGH50" s="519"/>
      <c r="PGI50" s="519"/>
      <c r="PGJ50" s="519"/>
      <c r="PGK50" s="519"/>
      <c r="PGL50" s="519"/>
      <c r="PGM50" s="519"/>
      <c r="PGN50" s="519"/>
      <c r="PGO50" s="519"/>
      <c r="PGP50" s="519"/>
      <c r="PGQ50" s="519"/>
      <c r="PGR50" s="519"/>
      <c r="PGS50" s="519"/>
      <c r="PGT50" s="519"/>
      <c r="PGU50" s="519"/>
      <c r="PGV50" s="519"/>
      <c r="PGW50" s="519"/>
      <c r="PGX50" s="519"/>
      <c r="PGY50" s="519"/>
      <c r="PGZ50" s="519"/>
      <c r="PHA50" s="519"/>
      <c r="PHB50" s="519"/>
      <c r="PHC50" s="519"/>
      <c r="PHD50" s="519"/>
      <c r="PHE50" s="519"/>
      <c r="PHF50" s="519"/>
      <c r="PHG50" s="519"/>
      <c r="PHH50" s="519"/>
      <c r="PHI50" s="519"/>
      <c r="PHJ50" s="519"/>
      <c r="PHK50" s="519"/>
      <c r="PHL50" s="519"/>
      <c r="PHM50" s="519"/>
      <c r="PHN50" s="519"/>
      <c r="PHO50" s="519"/>
      <c r="PHP50" s="519"/>
      <c r="PHQ50" s="519"/>
      <c r="PHR50" s="519"/>
      <c r="PHS50" s="519"/>
      <c r="PHT50" s="519"/>
      <c r="PHU50" s="519"/>
      <c r="PHV50" s="519"/>
      <c r="PHW50" s="519"/>
      <c r="PHX50" s="519"/>
      <c r="PHY50" s="519"/>
      <c r="PHZ50" s="519"/>
      <c r="PIA50" s="519"/>
      <c r="PIB50" s="519"/>
      <c r="PIC50" s="519"/>
      <c r="PID50" s="519"/>
      <c r="PIE50" s="519"/>
      <c r="PIF50" s="519"/>
      <c r="PIG50" s="519"/>
      <c r="PIH50" s="519"/>
      <c r="PII50" s="519"/>
      <c r="PIJ50" s="519"/>
      <c r="PIK50" s="519"/>
      <c r="PIL50" s="519"/>
      <c r="PIM50" s="519"/>
      <c r="PIN50" s="519"/>
      <c r="PIO50" s="519"/>
      <c r="PIP50" s="519"/>
      <c r="PIQ50" s="519"/>
      <c r="PIR50" s="519"/>
      <c r="PIS50" s="519"/>
      <c r="PIT50" s="519"/>
      <c r="PIU50" s="519"/>
      <c r="PIV50" s="519"/>
      <c r="PIW50" s="519"/>
      <c r="PIX50" s="519"/>
      <c r="PIY50" s="519"/>
      <c r="PIZ50" s="519"/>
      <c r="PJA50" s="519"/>
      <c r="PJB50" s="519"/>
      <c r="PJC50" s="519"/>
      <c r="PJD50" s="519"/>
      <c r="PJE50" s="519"/>
      <c r="PJF50" s="519"/>
      <c r="PJG50" s="519"/>
      <c r="PJH50" s="519"/>
      <c r="PJI50" s="519"/>
      <c r="PJJ50" s="519"/>
      <c r="PJK50" s="519"/>
      <c r="PJL50" s="519"/>
      <c r="PJM50" s="519"/>
      <c r="PJN50" s="519"/>
      <c r="PJO50" s="519"/>
      <c r="PJP50" s="519"/>
      <c r="PJQ50" s="519"/>
      <c r="PJR50" s="519"/>
      <c r="PJS50" s="519"/>
      <c r="PJT50" s="519"/>
      <c r="PJU50" s="519"/>
      <c r="PJV50" s="519"/>
      <c r="PJW50" s="519"/>
      <c r="PJX50" s="519"/>
      <c r="PJY50" s="519"/>
      <c r="PJZ50" s="519"/>
      <c r="PKA50" s="519"/>
      <c r="PKB50" s="519"/>
      <c r="PKC50" s="519"/>
      <c r="PKD50" s="519"/>
      <c r="PKE50" s="519"/>
      <c r="PKF50" s="519"/>
      <c r="PKG50" s="519"/>
      <c r="PKH50" s="519"/>
      <c r="PKI50" s="519"/>
      <c r="PKJ50" s="519"/>
      <c r="PKK50" s="519"/>
      <c r="PKL50" s="519"/>
      <c r="PKM50" s="519"/>
      <c r="PKN50" s="519"/>
      <c r="PKO50" s="519"/>
      <c r="PKP50" s="519"/>
      <c r="PKQ50" s="519"/>
      <c r="PKR50" s="519"/>
      <c r="PKS50" s="519"/>
      <c r="PKT50" s="519"/>
      <c r="PKU50" s="519"/>
      <c r="PKV50" s="519"/>
      <c r="PKW50" s="519"/>
      <c r="PKX50" s="519"/>
      <c r="PKY50" s="519"/>
      <c r="PKZ50" s="519"/>
      <c r="PLA50" s="519"/>
      <c r="PLB50" s="519"/>
      <c r="PLC50" s="519"/>
      <c r="PLD50" s="519"/>
      <c r="PLE50" s="519"/>
      <c r="PLF50" s="519"/>
      <c r="PLG50" s="519"/>
      <c r="PLH50" s="519"/>
      <c r="PLI50" s="519"/>
      <c r="PLJ50" s="519"/>
      <c r="PLK50" s="519"/>
      <c r="PLL50" s="519"/>
      <c r="PLM50" s="519"/>
      <c r="PLN50" s="519"/>
      <c r="PLO50" s="519"/>
      <c r="PLP50" s="519"/>
      <c r="PLQ50" s="519"/>
      <c r="PLR50" s="519"/>
      <c r="PLS50" s="519"/>
      <c r="PLT50" s="519"/>
      <c r="PLU50" s="519"/>
      <c r="PLV50" s="519"/>
      <c r="PLW50" s="519"/>
      <c r="PLX50" s="519"/>
      <c r="PLY50" s="519"/>
      <c r="PLZ50" s="519"/>
      <c r="PMA50" s="519"/>
      <c r="PMB50" s="519"/>
      <c r="PMC50" s="519"/>
      <c r="PMD50" s="519"/>
      <c r="PME50" s="519"/>
      <c r="PMF50" s="519"/>
      <c r="PMG50" s="519"/>
      <c r="PMH50" s="519"/>
      <c r="PMI50" s="519"/>
      <c r="PMJ50" s="519"/>
      <c r="PMK50" s="519"/>
      <c r="PML50" s="519"/>
      <c r="PMM50" s="519"/>
      <c r="PMN50" s="519"/>
      <c r="PMO50" s="519"/>
      <c r="PMP50" s="519"/>
      <c r="PMQ50" s="519"/>
      <c r="PMR50" s="519"/>
      <c r="PMS50" s="519"/>
      <c r="PMT50" s="519"/>
      <c r="PMU50" s="519"/>
      <c r="PMV50" s="519"/>
      <c r="PMW50" s="519"/>
      <c r="PMX50" s="519"/>
      <c r="PMY50" s="519"/>
      <c r="PMZ50" s="519"/>
      <c r="PNA50" s="519"/>
      <c r="PNB50" s="519"/>
      <c r="PNC50" s="519"/>
      <c r="PND50" s="519"/>
      <c r="PNE50" s="519"/>
      <c r="PNF50" s="519"/>
      <c r="PNG50" s="519"/>
      <c r="PNH50" s="519"/>
      <c r="PNI50" s="519"/>
      <c r="PNJ50" s="519"/>
      <c r="PNK50" s="519"/>
      <c r="PNL50" s="519"/>
      <c r="PNM50" s="519"/>
      <c r="PNN50" s="519"/>
      <c r="PNO50" s="519"/>
      <c r="PNP50" s="519"/>
      <c r="PNQ50" s="519"/>
      <c r="PNR50" s="519"/>
      <c r="PNS50" s="519"/>
      <c r="PNT50" s="519"/>
      <c r="PNU50" s="519"/>
      <c r="PNV50" s="519"/>
      <c r="PNW50" s="519"/>
      <c r="PNX50" s="519"/>
      <c r="PNY50" s="519"/>
      <c r="PNZ50" s="519"/>
      <c r="POA50" s="519"/>
      <c r="POB50" s="519"/>
      <c r="POC50" s="519"/>
      <c r="POD50" s="519"/>
      <c r="POE50" s="519"/>
      <c r="POF50" s="519"/>
      <c r="POG50" s="519"/>
      <c r="POH50" s="519"/>
      <c r="POI50" s="519"/>
      <c r="POJ50" s="519"/>
      <c r="POK50" s="519"/>
      <c r="POL50" s="519"/>
      <c r="POM50" s="519"/>
      <c r="PON50" s="519"/>
      <c r="POO50" s="519"/>
      <c r="POP50" s="519"/>
      <c r="POQ50" s="519"/>
      <c r="POR50" s="519"/>
      <c r="POS50" s="519"/>
      <c r="POT50" s="519"/>
      <c r="POU50" s="519"/>
      <c r="POV50" s="519"/>
      <c r="POW50" s="519"/>
      <c r="POX50" s="519"/>
      <c r="POY50" s="519"/>
      <c r="POZ50" s="519"/>
      <c r="PPA50" s="519"/>
      <c r="PPB50" s="519"/>
      <c r="PPC50" s="519"/>
      <c r="PPD50" s="519"/>
      <c r="PPE50" s="519"/>
      <c r="PPF50" s="519"/>
      <c r="PPG50" s="519"/>
      <c r="PPH50" s="519"/>
      <c r="PPI50" s="519"/>
      <c r="PPJ50" s="519"/>
      <c r="PPK50" s="519"/>
      <c r="PPL50" s="519"/>
      <c r="PPM50" s="519"/>
      <c r="PPN50" s="519"/>
      <c r="PPO50" s="519"/>
      <c r="PPP50" s="519"/>
      <c r="PPQ50" s="519"/>
      <c r="PPR50" s="519"/>
      <c r="PPS50" s="519"/>
      <c r="PPT50" s="519"/>
      <c r="PPU50" s="519"/>
      <c r="PPV50" s="519"/>
      <c r="PPW50" s="519"/>
      <c r="PPX50" s="519"/>
      <c r="PPY50" s="519"/>
      <c r="PPZ50" s="519"/>
      <c r="PQA50" s="519"/>
      <c r="PQB50" s="519"/>
      <c r="PQC50" s="519"/>
      <c r="PQD50" s="519"/>
      <c r="PQE50" s="519"/>
      <c r="PQF50" s="519"/>
      <c r="PQG50" s="519"/>
      <c r="PQH50" s="519"/>
      <c r="PQI50" s="519"/>
      <c r="PQJ50" s="519"/>
      <c r="PQK50" s="519"/>
      <c r="PQL50" s="519"/>
      <c r="PQM50" s="519"/>
      <c r="PQN50" s="519"/>
      <c r="PQO50" s="519"/>
      <c r="PQP50" s="519"/>
      <c r="PQQ50" s="519"/>
      <c r="PQR50" s="519"/>
      <c r="PQS50" s="519"/>
      <c r="PQT50" s="519"/>
      <c r="PQU50" s="519"/>
      <c r="PQV50" s="519"/>
      <c r="PQW50" s="519"/>
      <c r="PQX50" s="519"/>
      <c r="PQY50" s="519"/>
      <c r="PQZ50" s="519"/>
      <c r="PRA50" s="519"/>
      <c r="PRB50" s="519"/>
      <c r="PRC50" s="519"/>
      <c r="PRD50" s="519"/>
      <c r="PRE50" s="519"/>
      <c r="PRF50" s="519"/>
      <c r="PRG50" s="519"/>
      <c r="PRH50" s="519"/>
      <c r="PRI50" s="519"/>
      <c r="PRJ50" s="519"/>
      <c r="PRK50" s="519"/>
      <c r="PRL50" s="519"/>
      <c r="PRM50" s="519"/>
      <c r="PRN50" s="519"/>
      <c r="PRO50" s="519"/>
      <c r="PRP50" s="519"/>
      <c r="PRQ50" s="519"/>
      <c r="PRR50" s="519"/>
      <c r="PRS50" s="519"/>
      <c r="PRT50" s="519"/>
      <c r="PRU50" s="519"/>
      <c r="PRV50" s="519"/>
      <c r="PRW50" s="519"/>
      <c r="PRX50" s="519"/>
      <c r="PRY50" s="519"/>
      <c r="PRZ50" s="519"/>
      <c r="PSA50" s="519"/>
      <c r="PSB50" s="519"/>
      <c r="PSC50" s="519"/>
      <c r="PSD50" s="519"/>
      <c r="PSE50" s="519"/>
      <c r="PSF50" s="519"/>
      <c r="PSG50" s="519"/>
      <c r="PSH50" s="519"/>
      <c r="PSI50" s="519"/>
      <c r="PSJ50" s="519"/>
      <c r="PSK50" s="519"/>
      <c r="PSL50" s="519"/>
      <c r="PSM50" s="519"/>
      <c r="PSN50" s="519"/>
      <c r="PSO50" s="519"/>
      <c r="PSP50" s="519"/>
      <c r="PSQ50" s="519"/>
      <c r="PSR50" s="519"/>
      <c r="PSS50" s="519"/>
      <c r="PST50" s="519"/>
      <c r="PSU50" s="519"/>
      <c r="PSV50" s="519"/>
      <c r="PSW50" s="519"/>
      <c r="PSX50" s="519"/>
      <c r="PSY50" s="519"/>
      <c r="PSZ50" s="519"/>
      <c r="PTA50" s="519"/>
      <c r="PTB50" s="519"/>
      <c r="PTC50" s="519"/>
      <c r="PTD50" s="519"/>
      <c r="PTE50" s="519"/>
      <c r="PTF50" s="519"/>
      <c r="PTG50" s="519"/>
      <c r="PTH50" s="519"/>
      <c r="PTI50" s="519"/>
      <c r="PTJ50" s="519"/>
      <c r="PTK50" s="519"/>
      <c r="PTL50" s="519"/>
      <c r="PTM50" s="519"/>
      <c r="PTN50" s="519"/>
      <c r="PTO50" s="519"/>
      <c r="PTP50" s="519"/>
      <c r="PTQ50" s="519"/>
      <c r="PTR50" s="519"/>
      <c r="PTS50" s="519"/>
      <c r="PTT50" s="519"/>
      <c r="PTU50" s="519"/>
      <c r="PTV50" s="519"/>
      <c r="PTW50" s="519"/>
      <c r="PTX50" s="519"/>
      <c r="PTY50" s="519"/>
      <c r="PTZ50" s="519"/>
      <c r="PUA50" s="519"/>
      <c r="PUB50" s="519"/>
      <c r="PUC50" s="519"/>
      <c r="PUD50" s="519"/>
      <c r="PUE50" s="519"/>
      <c r="PUF50" s="519"/>
      <c r="PUG50" s="519"/>
      <c r="PUH50" s="519"/>
      <c r="PUI50" s="519"/>
      <c r="PUJ50" s="519"/>
      <c r="PUK50" s="519"/>
      <c r="PUL50" s="519"/>
      <c r="PUM50" s="519"/>
      <c r="PUN50" s="519"/>
      <c r="PUO50" s="519"/>
      <c r="PUP50" s="519"/>
      <c r="PUQ50" s="519"/>
      <c r="PUR50" s="519"/>
      <c r="PUS50" s="519"/>
      <c r="PUT50" s="519"/>
      <c r="PUU50" s="519"/>
      <c r="PUV50" s="519"/>
      <c r="PUW50" s="519"/>
      <c r="PUX50" s="519"/>
      <c r="PUY50" s="519"/>
      <c r="PUZ50" s="519"/>
      <c r="PVA50" s="519"/>
      <c r="PVB50" s="519"/>
      <c r="PVC50" s="519"/>
      <c r="PVD50" s="519"/>
      <c r="PVE50" s="519"/>
      <c r="PVF50" s="519"/>
      <c r="PVG50" s="519"/>
      <c r="PVH50" s="519"/>
      <c r="PVI50" s="519"/>
      <c r="PVJ50" s="519"/>
      <c r="PVK50" s="519"/>
      <c r="PVL50" s="519"/>
      <c r="PVM50" s="519"/>
      <c r="PVN50" s="519"/>
      <c r="PVO50" s="519"/>
      <c r="PVP50" s="519"/>
      <c r="PVQ50" s="519"/>
      <c r="PVR50" s="519"/>
      <c r="PVS50" s="519"/>
      <c r="PVT50" s="519"/>
      <c r="PVU50" s="519"/>
      <c r="PVV50" s="519"/>
      <c r="PVW50" s="519"/>
      <c r="PVX50" s="519"/>
      <c r="PVY50" s="519"/>
      <c r="PVZ50" s="519"/>
      <c r="PWA50" s="519"/>
      <c r="PWB50" s="519"/>
      <c r="PWC50" s="519"/>
      <c r="PWD50" s="519"/>
      <c r="PWE50" s="519"/>
      <c r="PWF50" s="519"/>
      <c r="PWG50" s="519"/>
      <c r="PWH50" s="519"/>
      <c r="PWI50" s="519"/>
      <c r="PWJ50" s="519"/>
      <c r="PWK50" s="519"/>
      <c r="PWL50" s="519"/>
      <c r="PWM50" s="519"/>
      <c r="PWN50" s="519"/>
      <c r="PWO50" s="519"/>
      <c r="PWP50" s="519"/>
      <c r="PWQ50" s="519"/>
      <c r="PWR50" s="519"/>
      <c r="PWS50" s="519"/>
      <c r="PWT50" s="519"/>
      <c r="PWU50" s="519"/>
      <c r="PWV50" s="519"/>
      <c r="PWW50" s="519"/>
      <c r="PWX50" s="519"/>
      <c r="PWY50" s="519"/>
      <c r="PWZ50" s="519"/>
      <c r="PXA50" s="519"/>
      <c r="PXB50" s="519"/>
      <c r="PXC50" s="519"/>
      <c r="PXD50" s="519"/>
      <c r="PXE50" s="519"/>
      <c r="PXF50" s="519"/>
      <c r="PXG50" s="519"/>
      <c r="PXH50" s="519"/>
      <c r="PXI50" s="519"/>
      <c r="PXJ50" s="519"/>
      <c r="PXK50" s="519"/>
      <c r="PXL50" s="519"/>
      <c r="PXM50" s="519"/>
      <c r="PXN50" s="519"/>
      <c r="PXO50" s="519"/>
      <c r="PXP50" s="519"/>
      <c r="PXQ50" s="519"/>
      <c r="PXR50" s="519"/>
      <c r="PXS50" s="519"/>
      <c r="PXT50" s="519"/>
      <c r="PXU50" s="519"/>
      <c r="PXV50" s="519"/>
      <c r="PXW50" s="519"/>
      <c r="PXX50" s="519"/>
      <c r="PXY50" s="519"/>
      <c r="PXZ50" s="519"/>
      <c r="PYA50" s="519"/>
      <c r="PYB50" s="519"/>
      <c r="PYC50" s="519"/>
      <c r="PYD50" s="519"/>
      <c r="PYE50" s="519"/>
      <c r="PYF50" s="519"/>
      <c r="PYG50" s="519"/>
      <c r="PYH50" s="519"/>
      <c r="PYI50" s="519"/>
      <c r="PYJ50" s="519"/>
      <c r="PYK50" s="519"/>
      <c r="PYL50" s="519"/>
      <c r="PYM50" s="519"/>
      <c r="PYN50" s="519"/>
      <c r="PYO50" s="519"/>
      <c r="PYP50" s="519"/>
      <c r="PYQ50" s="519"/>
      <c r="PYR50" s="519"/>
      <c r="PYS50" s="519"/>
      <c r="PYT50" s="519"/>
      <c r="PYU50" s="519"/>
      <c r="PYV50" s="519"/>
      <c r="PYW50" s="519"/>
      <c r="PYX50" s="519"/>
      <c r="PYY50" s="519"/>
      <c r="PYZ50" s="519"/>
      <c r="PZA50" s="519"/>
      <c r="PZB50" s="519"/>
      <c r="PZC50" s="519"/>
      <c r="PZD50" s="519"/>
      <c r="PZE50" s="519"/>
      <c r="PZF50" s="519"/>
      <c r="PZG50" s="519"/>
      <c r="PZH50" s="519"/>
      <c r="PZI50" s="519"/>
      <c r="PZJ50" s="519"/>
      <c r="PZK50" s="519"/>
      <c r="PZL50" s="519"/>
      <c r="PZM50" s="519"/>
      <c r="PZN50" s="519"/>
      <c r="PZO50" s="519"/>
      <c r="PZP50" s="519"/>
      <c r="PZQ50" s="519"/>
      <c r="PZR50" s="519"/>
      <c r="PZS50" s="519"/>
      <c r="PZT50" s="519"/>
      <c r="PZU50" s="519"/>
      <c r="PZV50" s="519"/>
      <c r="PZW50" s="519"/>
      <c r="PZX50" s="519"/>
      <c r="PZY50" s="519"/>
      <c r="PZZ50" s="519"/>
      <c r="QAA50" s="519"/>
      <c r="QAB50" s="519"/>
      <c r="QAC50" s="519"/>
      <c r="QAD50" s="519"/>
      <c r="QAE50" s="519"/>
      <c r="QAF50" s="519"/>
      <c r="QAG50" s="519"/>
      <c r="QAH50" s="519"/>
      <c r="QAI50" s="519"/>
      <c r="QAJ50" s="519"/>
      <c r="QAK50" s="519"/>
      <c r="QAL50" s="519"/>
      <c r="QAM50" s="519"/>
      <c r="QAN50" s="519"/>
      <c r="QAO50" s="519"/>
      <c r="QAP50" s="519"/>
      <c r="QAQ50" s="519"/>
      <c r="QAR50" s="519"/>
      <c r="QAS50" s="519"/>
      <c r="QAT50" s="519"/>
      <c r="QAU50" s="519"/>
      <c r="QAV50" s="519"/>
      <c r="QAW50" s="519"/>
      <c r="QAX50" s="519"/>
      <c r="QAY50" s="519"/>
      <c r="QAZ50" s="519"/>
      <c r="QBA50" s="519"/>
      <c r="QBB50" s="519"/>
      <c r="QBC50" s="519"/>
      <c r="QBD50" s="519"/>
      <c r="QBE50" s="519"/>
      <c r="QBF50" s="519"/>
      <c r="QBG50" s="519"/>
      <c r="QBH50" s="519"/>
      <c r="QBI50" s="519"/>
      <c r="QBJ50" s="519"/>
      <c r="QBK50" s="519"/>
      <c r="QBL50" s="519"/>
      <c r="QBM50" s="519"/>
      <c r="QBN50" s="519"/>
      <c r="QBO50" s="519"/>
      <c r="QBP50" s="519"/>
      <c r="QBQ50" s="519"/>
      <c r="QBR50" s="519"/>
      <c r="QBS50" s="519"/>
      <c r="QBT50" s="519"/>
      <c r="QBU50" s="519"/>
      <c r="QBV50" s="519"/>
      <c r="QBW50" s="519"/>
      <c r="QBX50" s="519"/>
      <c r="QBY50" s="519"/>
      <c r="QBZ50" s="519"/>
      <c r="QCA50" s="519"/>
      <c r="QCB50" s="519"/>
      <c r="QCC50" s="519"/>
      <c r="QCD50" s="519"/>
      <c r="QCE50" s="519"/>
      <c r="QCF50" s="519"/>
      <c r="QCG50" s="519"/>
      <c r="QCH50" s="519"/>
      <c r="QCI50" s="519"/>
      <c r="QCJ50" s="519"/>
      <c r="QCK50" s="519"/>
      <c r="QCL50" s="519"/>
      <c r="QCM50" s="519"/>
      <c r="QCN50" s="519"/>
      <c r="QCO50" s="519"/>
      <c r="QCP50" s="519"/>
      <c r="QCQ50" s="519"/>
      <c r="QCR50" s="519"/>
      <c r="QCS50" s="519"/>
      <c r="QCT50" s="519"/>
      <c r="QCU50" s="519"/>
      <c r="QCV50" s="519"/>
      <c r="QCW50" s="519"/>
      <c r="QCX50" s="519"/>
      <c r="QCY50" s="519"/>
      <c r="QCZ50" s="519"/>
      <c r="QDA50" s="519"/>
      <c r="QDB50" s="519"/>
      <c r="QDC50" s="519"/>
      <c r="QDD50" s="519"/>
      <c r="QDE50" s="519"/>
      <c r="QDF50" s="519"/>
      <c r="QDG50" s="519"/>
      <c r="QDH50" s="519"/>
      <c r="QDI50" s="519"/>
      <c r="QDJ50" s="519"/>
      <c r="QDK50" s="519"/>
      <c r="QDL50" s="519"/>
      <c r="QDM50" s="519"/>
      <c r="QDN50" s="519"/>
      <c r="QDO50" s="519"/>
      <c r="QDP50" s="519"/>
      <c r="QDQ50" s="519"/>
      <c r="QDR50" s="519"/>
      <c r="QDS50" s="519"/>
      <c r="QDT50" s="519"/>
      <c r="QDU50" s="519"/>
      <c r="QDV50" s="519"/>
      <c r="QDW50" s="519"/>
      <c r="QDX50" s="519"/>
      <c r="QDY50" s="519"/>
      <c r="QDZ50" s="519"/>
      <c r="QEA50" s="519"/>
      <c r="QEB50" s="519"/>
      <c r="QEC50" s="519"/>
      <c r="QED50" s="519"/>
      <c r="QEE50" s="519"/>
      <c r="QEF50" s="519"/>
      <c r="QEG50" s="519"/>
      <c r="QEH50" s="519"/>
      <c r="QEI50" s="519"/>
      <c r="QEJ50" s="519"/>
      <c r="QEK50" s="519"/>
      <c r="QEL50" s="519"/>
      <c r="QEM50" s="519"/>
      <c r="QEN50" s="519"/>
      <c r="QEO50" s="519"/>
      <c r="QEP50" s="519"/>
      <c r="QEQ50" s="519"/>
      <c r="QER50" s="519"/>
      <c r="QES50" s="519"/>
      <c r="QET50" s="519"/>
      <c r="QEU50" s="519"/>
      <c r="QEV50" s="519"/>
      <c r="QEW50" s="519"/>
      <c r="QEX50" s="519"/>
      <c r="QEY50" s="519"/>
      <c r="QEZ50" s="519"/>
      <c r="QFA50" s="519"/>
      <c r="QFB50" s="519"/>
      <c r="QFC50" s="519"/>
      <c r="QFD50" s="519"/>
      <c r="QFE50" s="519"/>
      <c r="QFF50" s="519"/>
      <c r="QFG50" s="519"/>
      <c r="QFH50" s="519"/>
      <c r="QFI50" s="519"/>
      <c r="QFJ50" s="519"/>
      <c r="QFK50" s="519"/>
      <c r="QFL50" s="519"/>
      <c r="QFM50" s="519"/>
      <c r="QFN50" s="519"/>
      <c r="QFO50" s="519"/>
      <c r="QFP50" s="519"/>
      <c r="QFQ50" s="519"/>
      <c r="QFR50" s="519"/>
      <c r="QFS50" s="519"/>
      <c r="QFT50" s="519"/>
      <c r="QFU50" s="519"/>
      <c r="QFV50" s="519"/>
      <c r="QFW50" s="519"/>
      <c r="QFX50" s="519"/>
      <c r="QFY50" s="519"/>
      <c r="QFZ50" s="519"/>
      <c r="QGA50" s="519"/>
      <c r="QGB50" s="519"/>
      <c r="QGC50" s="519"/>
      <c r="QGD50" s="519"/>
      <c r="QGE50" s="519"/>
      <c r="QGF50" s="519"/>
      <c r="QGG50" s="519"/>
      <c r="QGH50" s="519"/>
      <c r="QGI50" s="519"/>
      <c r="QGJ50" s="519"/>
      <c r="QGK50" s="519"/>
      <c r="QGL50" s="519"/>
      <c r="QGM50" s="519"/>
      <c r="QGN50" s="519"/>
      <c r="QGO50" s="519"/>
      <c r="QGP50" s="519"/>
      <c r="QGQ50" s="519"/>
      <c r="QGR50" s="519"/>
      <c r="QGS50" s="519"/>
      <c r="QGT50" s="519"/>
      <c r="QGU50" s="519"/>
      <c r="QGV50" s="519"/>
      <c r="QGW50" s="519"/>
      <c r="QGX50" s="519"/>
      <c r="QGY50" s="519"/>
      <c r="QGZ50" s="519"/>
      <c r="QHA50" s="519"/>
      <c r="QHB50" s="519"/>
      <c r="QHC50" s="519"/>
      <c r="QHD50" s="519"/>
      <c r="QHE50" s="519"/>
      <c r="QHF50" s="519"/>
      <c r="QHG50" s="519"/>
      <c r="QHH50" s="519"/>
      <c r="QHI50" s="519"/>
      <c r="QHJ50" s="519"/>
      <c r="QHK50" s="519"/>
      <c r="QHL50" s="519"/>
      <c r="QHM50" s="519"/>
      <c r="QHN50" s="519"/>
      <c r="QHO50" s="519"/>
      <c r="QHP50" s="519"/>
      <c r="QHQ50" s="519"/>
      <c r="QHR50" s="519"/>
      <c r="QHS50" s="519"/>
      <c r="QHT50" s="519"/>
      <c r="QHU50" s="519"/>
      <c r="QHV50" s="519"/>
      <c r="QHW50" s="519"/>
      <c r="QHX50" s="519"/>
      <c r="QHY50" s="519"/>
      <c r="QHZ50" s="519"/>
      <c r="QIA50" s="519"/>
      <c r="QIB50" s="519"/>
      <c r="QIC50" s="519"/>
      <c r="QID50" s="519"/>
      <c r="QIE50" s="519"/>
      <c r="QIF50" s="519"/>
      <c r="QIG50" s="519"/>
      <c r="QIH50" s="519"/>
      <c r="QII50" s="519"/>
      <c r="QIJ50" s="519"/>
      <c r="QIK50" s="519"/>
      <c r="QIL50" s="519"/>
      <c r="QIM50" s="519"/>
      <c r="QIN50" s="519"/>
      <c r="QIO50" s="519"/>
      <c r="QIP50" s="519"/>
      <c r="QIQ50" s="519"/>
      <c r="QIR50" s="519"/>
      <c r="QIS50" s="519"/>
      <c r="QIT50" s="519"/>
      <c r="QIU50" s="519"/>
      <c r="QIV50" s="519"/>
      <c r="QIW50" s="519"/>
      <c r="QIX50" s="519"/>
      <c r="QIY50" s="519"/>
      <c r="QIZ50" s="519"/>
      <c r="QJA50" s="519"/>
      <c r="QJB50" s="519"/>
      <c r="QJC50" s="519"/>
      <c r="QJD50" s="519"/>
      <c r="QJE50" s="519"/>
      <c r="QJF50" s="519"/>
      <c r="QJG50" s="519"/>
      <c r="QJH50" s="519"/>
      <c r="QJI50" s="519"/>
      <c r="QJJ50" s="519"/>
      <c r="QJK50" s="519"/>
      <c r="QJL50" s="519"/>
      <c r="QJM50" s="519"/>
      <c r="QJN50" s="519"/>
      <c r="QJO50" s="519"/>
      <c r="QJP50" s="519"/>
      <c r="QJQ50" s="519"/>
      <c r="QJR50" s="519"/>
      <c r="QJS50" s="519"/>
      <c r="QJT50" s="519"/>
      <c r="QJU50" s="519"/>
      <c r="QJV50" s="519"/>
      <c r="QJW50" s="519"/>
      <c r="QJX50" s="519"/>
      <c r="QJY50" s="519"/>
      <c r="QJZ50" s="519"/>
      <c r="QKA50" s="519"/>
      <c r="QKB50" s="519"/>
      <c r="QKC50" s="519"/>
      <c r="QKD50" s="519"/>
      <c r="QKE50" s="519"/>
      <c r="QKF50" s="519"/>
      <c r="QKG50" s="519"/>
      <c r="QKH50" s="519"/>
      <c r="QKI50" s="519"/>
      <c r="QKJ50" s="519"/>
      <c r="QKK50" s="519"/>
      <c r="QKL50" s="519"/>
      <c r="QKM50" s="519"/>
      <c r="QKN50" s="519"/>
      <c r="QKO50" s="519"/>
      <c r="QKP50" s="519"/>
      <c r="QKQ50" s="519"/>
      <c r="QKR50" s="519"/>
      <c r="QKS50" s="519"/>
      <c r="QKT50" s="519"/>
      <c r="QKU50" s="519"/>
      <c r="QKV50" s="519"/>
      <c r="QKW50" s="519"/>
      <c r="QKX50" s="519"/>
      <c r="QKY50" s="519"/>
      <c r="QKZ50" s="519"/>
      <c r="QLA50" s="519"/>
      <c r="QLB50" s="519"/>
      <c r="QLC50" s="519"/>
      <c r="QLD50" s="519"/>
      <c r="QLE50" s="519"/>
      <c r="QLF50" s="519"/>
      <c r="QLG50" s="519"/>
      <c r="QLH50" s="519"/>
      <c r="QLI50" s="519"/>
      <c r="QLJ50" s="519"/>
      <c r="QLK50" s="519"/>
      <c r="QLL50" s="519"/>
      <c r="QLM50" s="519"/>
      <c r="QLN50" s="519"/>
      <c r="QLO50" s="519"/>
      <c r="QLP50" s="519"/>
      <c r="QLQ50" s="519"/>
      <c r="QLR50" s="519"/>
      <c r="QLS50" s="519"/>
      <c r="QLT50" s="519"/>
      <c r="QLU50" s="519"/>
      <c r="QLV50" s="519"/>
      <c r="QLW50" s="519"/>
      <c r="QLX50" s="519"/>
      <c r="QLY50" s="519"/>
      <c r="QLZ50" s="519"/>
      <c r="QMA50" s="519"/>
      <c r="QMB50" s="519"/>
      <c r="QMC50" s="519"/>
      <c r="QMD50" s="519"/>
      <c r="QME50" s="519"/>
      <c r="QMF50" s="519"/>
      <c r="QMG50" s="519"/>
      <c r="QMH50" s="519"/>
      <c r="QMI50" s="519"/>
      <c r="QMJ50" s="519"/>
      <c r="QMK50" s="519"/>
      <c r="QML50" s="519"/>
      <c r="QMM50" s="519"/>
      <c r="QMN50" s="519"/>
      <c r="QMO50" s="519"/>
      <c r="QMP50" s="519"/>
      <c r="QMQ50" s="519"/>
      <c r="QMR50" s="519"/>
      <c r="QMS50" s="519"/>
      <c r="QMT50" s="519"/>
      <c r="QMU50" s="519"/>
      <c r="QMV50" s="519"/>
      <c r="QMW50" s="519"/>
      <c r="QMX50" s="519"/>
      <c r="QMY50" s="519"/>
      <c r="QMZ50" s="519"/>
      <c r="QNA50" s="519"/>
      <c r="QNB50" s="519"/>
      <c r="QNC50" s="519"/>
      <c r="QND50" s="519"/>
      <c r="QNE50" s="519"/>
      <c r="QNF50" s="519"/>
      <c r="QNG50" s="519"/>
      <c r="QNH50" s="519"/>
      <c r="QNI50" s="519"/>
      <c r="QNJ50" s="519"/>
      <c r="QNK50" s="519"/>
      <c r="QNL50" s="519"/>
      <c r="QNM50" s="519"/>
      <c r="QNN50" s="519"/>
      <c r="QNO50" s="519"/>
      <c r="QNP50" s="519"/>
      <c r="QNQ50" s="519"/>
      <c r="QNR50" s="519"/>
      <c r="QNS50" s="519"/>
      <c r="QNT50" s="519"/>
      <c r="QNU50" s="519"/>
      <c r="QNV50" s="519"/>
      <c r="QNW50" s="519"/>
      <c r="QNX50" s="519"/>
      <c r="QNY50" s="519"/>
      <c r="QNZ50" s="519"/>
      <c r="QOA50" s="519"/>
      <c r="QOB50" s="519"/>
      <c r="QOC50" s="519"/>
      <c r="QOD50" s="519"/>
      <c r="QOE50" s="519"/>
      <c r="QOF50" s="519"/>
      <c r="QOG50" s="519"/>
      <c r="QOH50" s="519"/>
      <c r="QOI50" s="519"/>
      <c r="QOJ50" s="519"/>
      <c r="QOK50" s="519"/>
      <c r="QOL50" s="519"/>
      <c r="QOM50" s="519"/>
      <c r="QON50" s="519"/>
      <c r="QOO50" s="519"/>
      <c r="QOP50" s="519"/>
      <c r="QOQ50" s="519"/>
      <c r="QOR50" s="519"/>
      <c r="QOS50" s="519"/>
      <c r="QOT50" s="519"/>
      <c r="QOU50" s="519"/>
      <c r="QOV50" s="519"/>
      <c r="QOW50" s="519"/>
      <c r="QOX50" s="519"/>
      <c r="QOY50" s="519"/>
      <c r="QOZ50" s="519"/>
      <c r="QPA50" s="519"/>
      <c r="QPB50" s="519"/>
      <c r="QPC50" s="519"/>
      <c r="QPD50" s="519"/>
      <c r="QPE50" s="519"/>
      <c r="QPF50" s="519"/>
      <c r="QPG50" s="519"/>
      <c r="QPH50" s="519"/>
      <c r="QPI50" s="519"/>
      <c r="QPJ50" s="519"/>
      <c r="QPK50" s="519"/>
      <c r="QPL50" s="519"/>
      <c r="QPM50" s="519"/>
      <c r="QPN50" s="519"/>
      <c r="QPO50" s="519"/>
      <c r="QPP50" s="519"/>
      <c r="QPQ50" s="519"/>
      <c r="QPR50" s="519"/>
      <c r="QPS50" s="519"/>
      <c r="QPT50" s="519"/>
      <c r="QPU50" s="519"/>
      <c r="QPV50" s="519"/>
      <c r="QPW50" s="519"/>
      <c r="QPX50" s="519"/>
      <c r="QPY50" s="519"/>
      <c r="QPZ50" s="519"/>
      <c r="QQA50" s="519"/>
      <c r="QQB50" s="519"/>
      <c r="QQC50" s="519"/>
      <c r="QQD50" s="519"/>
      <c r="QQE50" s="519"/>
      <c r="QQF50" s="519"/>
      <c r="QQG50" s="519"/>
      <c r="QQH50" s="519"/>
      <c r="QQI50" s="519"/>
      <c r="QQJ50" s="519"/>
      <c r="QQK50" s="519"/>
      <c r="QQL50" s="519"/>
      <c r="QQM50" s="519"/>
      <c r="QQN50" s="519"/>
      <c r="QQO50" s="519"/>
      <c r="QQP50" s="519"/>
      <c r="QQQ50" s="519"/>
      <c r="QQR50" s="519"/>
      <c r="QQS50" s="519"/>
      <c r="QQT50" s="519"/>
      <c r="QQU50" s="519"/>
      <c r="QQV50" s="519"/>
      <c r="QQW50" s="519"/>
      <c r="QQX50" s="519"/>
      <c r="QQY50" s="519"/>
      <c r="QQZ50" s="519"/>
      <c r="QRA50" s="519"/>
      <c r="QRB50" s="519"/>
      <c r="QRC50" s="519"/>
      <c r="QRD50" s="519"/>
      <c r="QRE50" s="519"/>
      <c r="QRF50" s="519"/>
      <c r="QRG50" s="519"/>
      <c r="QRH50" s="519"/>
      <c r="QRI50" s="519"/>
      <c r="QRJ50" s="519"/>
      <c r="QRK50" s="519"/>
      <c r="QRL50" s="519"/>
      <c r="QRM50" s="519"/>
      <c r="QRN50" s="519"/>
      <c r="QRO50" s="519"/>
      <c r="QRP50" s="519"/>
      <c r="QRQ50" s="519"/>
      <c r="QRR50" s="519"/>
      <c r="QRS50" s="519"/>
      <c r="QRT50" s="519"/>
      <c r="QRU50" s="519"/>
      <c r="QRV50" s="519"/>
      <c r="QRW50" s="519"/>
      <c r="QRX50" s="519"/>
      <c r="QRY50" s="519"/>
      <c r="QRZ50" s="519"/>
      <c r="QSA50" s="519"/>
      <c r="QSB50" s="519"/>
      <c r="QSC50" s="519"/>
      <c r="QSD50" s="519"/>
      <c r="QSE50" s="519"/>
      <c r="QSF50" s="519"/>
      <c r="QSG50" s="519"/>
      <c r="QSH50" s="519"/>
      <c r="QSI50" s="519"/>
      <c r="QSJ50" s="519"/>
      <c r="QSK50" s="519"/>
      <c r="QSL50" s="519"/>
      <c r="QSM50" s="519"/>
      <c r="QSN50" s="519"/>
      <c r="QSO50" s="519"/>
      <c r="QSP50" s="519"/>
      <c r="QSQ50" s="519"/>
      <c r="QSR50" s="519"/>
      <c r="QSS50" s="519"/>
      <c r="QST50" s="519"/>
      <c r="QSU50" s="519"/>
      <c r="QSV50" s="519"/>
      <c r="QSW50" s="519"/>
      <c r="QSX50" s="519"/>
      <c r="QSY50" s="519"/>
      <c r="QSZ50" s="519"/>
      <c r="QTA50" s="519"/>
      <c r="QTB50" s="519"/>
      <c r="QTC50" s="519"/>
      <c r="QTD50" s="519"/>
      <c r="QTE50" s="519"/>
      <c r="QTF50" s="519"/>
      <c r="QTG50" s="519"/>
      <c r="QTH50" s="519"/>
      <c r="QTI50" s="519"/>
      <c r="QTJ50" s="519"/>
      <c r="QTK50" s="519"/>
      <c r="QTL50" s="519"/>
      <c r="QTM50" s="519"/>
      <c r="QTN50" s="519"/>
      <c r="QTO50" s="519"/>
      <c r="QTP50" s="519"/>
      <c r="QTQ50" s="519"/>
      <c r="QTR50" s="519"/>
      <c r="QTS50" s="519"/>
      <c r="QTT50" s="519"/>
      <c r="QTU50" s="519"/>
      <c r="QTV50" s="519"/>
      <c r="QTW50" s="519"/>
      <c r="QTX50" s="519"/>
      <c r="QTY50" s="519"/>
      <c r="QTZ50" s="519"/>
      <c r="QUA50" s="519"/>
      <c r="QUB50" s="519"/>
      <c r="QUC50" s="519"/>
      <c r="QUD50" s="519"/>
      <c r="QUE50" s="519"/>
      <c r="QUF50" s="519"/>
      <c r="QUG50" s="519"/>
      <c r="QUH50" s="519"/>
      <c r="QUI50" s="519"/>
      <c r="QUJ50" s="519"/>
      <c r="QUK50" s="519"/>
      <c r="QUL50" s="519"/>
      <c r="QUM50" s="519"/>
      <c r="QUN50" s="519"/>
      <c r="QUO50" s="519"/>
      <c r="QUP50" s="519"/>
      <c r="QUQ50" s="519"/>
      <c r="QUR50" s="519"/>
      <c r="QUS50" s="519"/>
      <c r="QUT50" s="519"/>
      <c r="QUU50" s="519"/>
      <c r="QUV50" s="519"/>
      <c r="QUW50" s="519"/>
      <c r="QUX50" s="519"/>
      <c r="QUY50" s="519"/>
      <c r="QUZ50" s="519"/>
      <c r="QVA50" s="519"/>
      <c r="QVB50" s="519"/>
      <c r="QVC50" s="519"/>
      <c r="QVD50" s="519"/>
      <c r="QVE50" s="519"/>
      <c r="QVF50" s="519"/>
      <c r="QVG50" s="519"/>
      <c r="QVH50" s="519"/>
      <c r="QVI50" s="519"/>
      <c r="QVJ50" s="519"/>
      <c r="QVK50" s="519"/>
      <c r="QVL50" s="519"/>
      <c r="QVM50" s="519"/>
      <c r="QVN50" s="519"/>
      <c r="QVO50" s="519"/>
      <c r="QVP50" s="519"/>
      <c r="QVQ50" s="519"/>
      <c r="QVR50" s="519"/>
      <c r="QVS50" s="519"/>
      <c r="QVT50" s="519"/>
      <c r="QVU50" s="519"/>
      <c r="QVV50" s="519"/>
      <c r="QVW50" s="519"/>
      <c r="QVX50" s="519"/>
      <c r="QVY50" s="519"/>
      <c r="QVZ50" s="519"/>
      <c r="QWA50" s="519"/>
      <c r="QWB50" s="519"/>
      <c r="QWC50" s="519"/>
      <c r="QWD50" s="519"/>
      <c r="QWE50" s="519"/>
      <c r="QWF50" s="519"/>
      <c r="QWG50" s="519"/>
      <c r="QWH50" s="519"/>
      <c r="QWI50" s="519"/>
      <c r="QWJ50" s="519"/>
      <c r="QWK50" s="519"/>
      <c r="QWL50" s="519"/>
      <c r="QWM50" s="519"/>
      <c r="QWN50" s="519"/>
      <c r="QWO50" s="519"/>
      <c r="QWP50" s="519"/>
      <c r="QWQ50" s="519"/>
      <c r="QWR50" s="519"/>
      <c r="QWS50" s="519"/>
      <c r="QWT50" s="519"/>
      <c r="QWU50" s="519"/>
      <c r="QWV50" s="519"/>
      <c r="QWW50" s="519"/>
      <c r="QWX50" s="519"/>
      <c r="QWY50" s="519"/>
      <c r="QWZ50" s="519"/>
      <c r="QXA50" s="519"/>
      <c r="QXB50" s="519"/>
      <c r="QXC50" s="519"/>
      <c r="QXD50" s="519"/>
      <c r="QXE50" s="519"/>
      <c r="QXF50" s="519"/>
      <c r="QXG50" s="519"/>
      <c r="QXH50" s="519"/>
      <c r="QXI50" s="519"/>
      <c r="QXJ50" s="519"/>
      <c r="QXK50" s="519"/>
      <c r="QXL50" s="519"/>
      <c r="QXM50" s="519"/>
      <c r="QXN50" s="519"/>
      <c r="QXO50" s="519"/>
      <c r="QXP50" s="519"/>
      <c r="QXQ50" s="519"/>
      <c r="QXR50" s="519"/>
      <c r="QXS50" s="519"/>
      <c r="QXT50" s="519"/>
      <c r="QXU50" s="519"/>
      <c r="QXV50" s="519"/>
      <c r="QXW50" s="519"/>
      <c r="QXX50" s="519"/>
      <c r="QXY50" s="519"/>
      <c r="QXZ50" s="519"/>
      <c r="QYA50" s="519"/>
      <c r="QYB50" s="519"/>
      <c r="QYC50" s="519"/>
      <c r="QYD50" s="519"/>
      <c r="QYE50" s="519"/>
      <c r="QYF50" s="519"/>
      <c r="QYG50" s="519"/>
      <c r="QYH50" s="519"/>
      <c r="QYI50" s="519"/>
      <c r="QYJ50" s="519"/>
      <c r="QYK50" s="519"/>
      <c r="QYL50" s="519"/>
      <c r="QYM50" s="519"/>
      <c r="QYN50" s="519"/>
      <c r="QYO50" s="519"/>
      <c r="QYP50" s="519"/>
      <c r="QYQ50" s="519"/>
      <c r="QYR50" s="519"/>
      <c r="QYS50" s="519"/>
      <c r="QYT50" s="519"/>
      <c r="QYU50" s="519"/>
      <c r="QYV50" s="519"/>
      <c r="QYW50" s="519"/>
      <c r="QYX50" s="519"/>
      <c r="QYY50" s="519"/>
      <c r="QYZ50" s="519"/>
      <c r="QZA50" s="519"/>
      <c r="QZB50" s="519"/>
      <c r="QZC50" s="519"/>
      <c r="QZD50" s="519"/>
      <c r="QZE50" s="519"/>
      <c r="QZF50" s="519"/>
      <c r="QZG50" s="519"/>
      <c r="QZH50" s="519"/>
      <c r="QZI50" s="519"/>
      <c r="QZJ50" s="519"/>
      <c r="QZK50" s="519"/>
      <c r="QZL50" s="519"/>
      <c r="QZM50" s="519"/>
      <c r="QZN50" s="519"/>
      <c r="QZO50" s="519"/>
      <c r="QZP50" s="519"/>
      <c r="QZQ50" s="519"/>
      <c r="QZR50" s="519"/>
      <c r="QZS50" s="519"/>
      <c r="QZT50" s="519"/>
      <c r="QZU50" s="519"/>
      <c r="QZV50" s="519"/>
      <c r="QZW50" s="519"/>
      <c r="QZX50" s="519"/>
      <c r="QZY50" s="519"/>
      <c r="QZZ50" s="519"/>
      <c r="RAA50" s="519"/>
      <c r="RAB50" s="519"/>
      <c r="RAC50" s="519"/>
      <c r="RAD50" s="519"/>
      <c r="RAE50" s="519"/>
      <c r="RAF50" s="519"/>
      <c r="RAG50" s="519"/>
      <c r="RAH50" s="519"/>
      <c r="RAI50" s="519"/>
      <c r="RAJ50" s="519"/>
      <c r="RAK50" s="519"/>
      <c r="RAL50" s="519"/>
      <c r="RAM50" s="519"/>
      <c r="RAN50" s="519"/>
      <c r="RAO50" s="519"/>
      <c r="RAP50" s="519"/>
      <c r="RAQ50" s="519"/>
      <c r="RAR50" s="519"/>
      <c r="RAS50" s="519"/>
      <c r="RAT50" s="519"/>
      <c r="RAU50" s="519"/>
      <c r="RAV50" s="519"/>
      <c r="RAW50" s="519"/>
      <c r="RAX50" s="519"/>
      <c r="RAY50" s="519"/>
      <c r="RAZ50" s="519"/>
      <c r="RBA50" s="519"/>
      <c r="RBB50" s="519"/>
      <c r="RBC50" s="519"/>
      <c r="RBD50" s="519"/>
      <c r="RBE50" s="519"/>
      <c r="RBF50" s="519"/>
      <c r="RBG50" s="519"/>
      <c r="RBH50" s="519"/>
      <c r="RBI50" s="519"/>
      <c r="RBJ50" s="519"/>
      <c r="RBK50" s="519"/>
      <c r="RBL50" s="519"/>
      <c r="RBM50" s="519"/>
      <c r="RBN50" s="519"/>
      <c r="RBO50" s="519"/>
      <c r="RBP50" s="519"/>
      <c r="RBQ50" s="519"/>
      <c r="RBR50" s="519"/>
      <c r="RBS50" s="519"/>
      <c r="RBT50" s="519"/>
      <c r="RBU50" s="519"/>
      <c r="RBV50" s="519"/>
      <c r="RBW50" s="519"/>
      <c r="RBX50" s="519"/>
      <c r="RBY50" s="519"/>
      <c r="RBZ50" s="519"/>
      <c r="RCA50" s="519"/>
      <c r="RCB50" s="519"/>
      <c r="RCC50" s="519"/>
      <c r="RCD50" s="519"/>
      <c r="RCE50" s="519"/>
      <c r="RCF50" s="519"/>
      <c r="RCG50" s="519"/>
      <c r="RCH50" s="519"/>
      <c r="RCI50" s="519"/>
      <c r="RCJ50" s="519"/>
      <c r="RCK50" s="519"/>
      <c r="RCL50" s="519"/>
      <c r="RCM50" s="519"/>
      <c r="RCN50" s="519"/>
      <c r="RCO50" s="519"/>
      <c r="RCP50" s="519"/>
      <c r="RCQ50" s="519"/>
      <c r="RCR50" s="519"/>
      <c r="RCS50" s="519"/>
      <c r="RCT50" s="519"/>
      <c r="RCU50" s="519"/>
      <c r="RCV50" s="519"/>
      <c r="RCW50" s="519"/>
      <c r="RCX50" s="519"/>
      <c r="RCY50" s="519"/>
      <c r="RCZ50" s="519"/>
      <c r="RDA50" s="519"/>
      <c r="RDB50" s="519"/>
      <c r="RDC50" s="519"/>
      <c r="RDD50" s="519"/>
      <c r="RDE50" s="519"/>
      <c r="RDF50" s="519"/>
      <c r="RDG50" s="519"/>
      <c r="RDH50" s="519"/>
      <c r="RDI50" s="519"/>
      <c r="RDJ50" s="519"/>
      <c r="RDK50" s="519"/>
      <c r="RDL50" s="519"/>
      <c r="RDM50" s="519"/>
      <c r="RDN50" s="519"/>
      <c r="RDO50" s="519"/>
      <c r="RDP50" s="519"/>
      <c r="RDQ50" s="519"/>
      <c r="RDR50" s="519"/>
      <c r="RDS50" s="519"/>
      <c r="RDT50" s="519"/>
      <c r="RDU50" s="519"/>
      <c r="RDV50" s="519"/>
      <c r="RDW50" s="519"/>
      <c r="RDX50" s="519"/>
      <c r="RDY50" s="519"/>
      <c r="RDZ50" s="519"/>
      <c r="REA50" s="519"/>
      <c r="REB50" s="519"/>
      <c r="REC50" s="519"/>
      <c r="RED50" s="519"/>
      <c r="REE50" s="519"/>
      <c r="REF50" s="519"/>
      <c r="REG50" s="519"/>
      <c r="REH50" s="519"/>
      <c r="REI50" s="519"/>
      <c r="REJ50" s="519"/>
      <c r="REK50" s="519"/>
      <c r="REL50" s="519"/>
      <c r="REM50" s="519"/>
      <c r="REN50" s="519"/>
      <c r="REO50" s="519"/>
      <c r="REP50" s="519"/>
      <c r="REQ50" s="519"/>
      <c r="RER50" s="519"/>
      <c r="RES50" s="519"/>
      <c r="RET50" s="519"/>
      <c r="REU50" s="519"/>
      <c r="REV50" s="519"/>
      <c r="REW50" s="519"/>
      <c r="REX50" s="519"/>
      <c r="REY50" s="519"/>
      <c r="REZ50" s="519"/>
      <c r="RFA50" s="519"/>
      <c r="RFB50" s="519"/>
      <c r="RFC50" s="519"/>
      <c r="RFD50" s="519"/>
      <c r="RFE50" s="519"/>
      <c r="RFF50" s="519"/>
      <c r="RFG50" s="519"/>
      <c r="RFH50" s="519"/>
      <c r="RFI50" s="519"/>
      <c r="RFJ50" s="519"/>
      <c r="RFK50" s="519"/>
      <c r="RFL50" s="519"/>
      <c r="RFM50" s="519"/>
      <c r="RFN50" s="519"/>
      <c r="RFO50" s="519"/>
      <c r="RFP50" s="519"/>
      <c r="RFQ50" s="519"/>
      <c r="RFR50" s="519"/>
      <c r="RFS50" s="519"/>
      <c r="RFT50" s="519"/>
      <c r="RFU50" s="519"/>
      <c r="RFV50" s="519"/>
      <c r="RFW50" s="519"/>
      <c r="RFX50" s="519"/>
      <c r="RFY50" s="519"/>
      <c r="RFZ50" s="519"/>
      <c r="RGA50" s="519"/>
      <c r="RGB50" s="519"/>
      <c r="RGC50" s="519"/>
      <c r="RGD50" s="519"/>
      <c r="RGE50" s="519"/>
      <c r="RGF50" s="519"/>
      <c r="RGG50" s="519"/>
      <c r="RGH50" s="519"/>
      <c r="RGI50" s="519"/>
      <c r="RGJ50" s="519"/>
      <c r="RGK50" s="519"/>
      <c r="RGL50" s="519"/>
      <c r="RGM50" s="519"/>
      <c r="RGN50" s="519"/>
      <c r="RGO50" s="519"/>
      <c r="RGP50" s="519"/>
      <c r="RGQ50" s="519"/>
      <c r="RGR50" s="519"/>
      <c r="RGS50" s="519"/>
      <c r="RGT50" s="519"/>
      <c r="RGU50" s="519"/>
      <c r="RGV50" s="519"/>
      <c r="RGW50" s="519"/>
      <c r="RGX50" s="519"/>
      <c r="RGY50" s="519"/>
      <c r="RGZ50" s="519"/>
      <c r="RHA50" s="519"/>
      <c r="RHB50" s="519"/>
      <c r="RHC50" s="519"/>
      <c r="RHD50" s="519"/>
      <c r="RHE50" s="519"/>
      <c r="RHF50" s="519"/>
      <c r="RHG50" s="519"/>
      <c r="RHH50" s="519"/>
      <c r="RHI50" s="519"/>
      <c r="RHJ50" s="519"/>
      <c r="RHK50" s="519"/>
      <c r="RHL50" s="519"/>
      <c r="RHM50" s="519"/>
      <c r="RHN50" s="519"/>
      <c r="RHO50" s="519"/>
      <c r="RHP50" s="519"/>
      <c r="RHQ50" s="519"/>
      <c r="RHR50" s="519"/>
      <c r="RHS50" s="519"/>
      <c r="RHT50" s="519"/>
      <c r="RHU50" s="519"/>
      <c r="RHV50" s="519"/>
      <c r="RHW50" s="519"/>
      <c r="RHX50" s="519"/>
      <c r="RHY50" s="519"/>
      <c r="RHZ50" s="519"/>
      <c r="RIA50" s="519"/>
      <c r="RIB50" s="519"/>
      <c r="RIC50" s="519"/>
      <c r="RID50" s="519"/>
      <c r="RIE50" s="519"/>
      <c r="RIF50" s="519"/>
      <c r="RIG50" s="519"/>
      <c r="RIH50" s="519"/>
      <c r="RII50" s="519"/>
      <c r="RIJ50" s="519"/>
      <c r="RIK50" s="519"/>
      <c r="RIL50" s="519"/>
      <c r="RIM50" s="519"/>
      <c r="RIN50" s="519"/>
      <c r="RIO50" s="519"/>
      <c r="RIP50" s="519"/>
      <c r="RIQ50" s="519"/>
      <c r="RIR50" s="519"/>
      <c r="RIS50" s="519"/>
      <c r="RIT50" s="519"/>
      <c r="RIU50" s="519"/>
      <c r="RIV50" s="519"/>
      <c r="RIW50" s="519"/>
      <c r="RIX50" s="519"/>
      <c r="RIY50" s="519"/>
      <c r="RIZ50" s="519"/>
      <c r="RJA50" s="519"/>
      <c r="RJB50" s="519"/>
      <c r="RJC50" s="519"/>
      <c r="RJD50" s="519"/>
      <c r="RJE50" s="519"/>
      <c r="RJF50" s="519"/>
      <c r="RJG50" s="519"/>
      <c r="RJH50" s="519"/>
      <c r="RJI50" s="519"/>
      <c r="RJJ50" s="519"/>
      <c r="RJK50" s="519"/>
      <c r="RJL50" s="519"/>
      <c r="RJM50" s="519"/>
      <c r="RJN50" s="519"/>
      <c r="RJO50" s="519"/>
      <c r="RJP50" s="519"/>
      <c r="RJQ50" s="519"/>
      <c r="RJR50" s="519"/>
      <c r="RJS50" s="519"/>
      <c r="RJT50" s="519"/>
      <c r="RJU50" s="519"/>
      <c r="RJV50" s="519"/>
      <c r="RJW50" s="519"/>
      <c r="RJX50" s="519"/>
      <c r="RJY50" s="519"/>
      <c r="RJZ50" s="519"/>
      <c r="RKA50" s="519"/>
      <c r="RKB50" s="519"/>
      <c r="RKC50" s="519"/>
      <c r="RKD50" s="519"/>
      <c r="RKE50" s="519"/>
      <c r="RKF50" s="519"/>
      <c r="RKG50" s="519"/>
      <c r="RKH50" s="519"/>
      <c r="RKI50" s="519"/>
      <c r="RKJ50" s="519"/>
      <c r="RKK50" s="519"/>
      <c r="RKL50" s="519"/>
      <c r="RKM50" s="519"/>
      <c r="RKN50" s="519"/>
      <c r="RKO50" s="519"/>
      <c r="RKP50" s="519"/>
      <c r="RKQ50" s="519"/>
      <c r="RKR50" s="519"/>
      <c r="RKS50" s="519"/>
      <c r="RKT50" s="519"/>
      <c r="RKU50" s="519"/>
      <c r="RKV50" s="519"/>
      <c r="RKW50" s="519"/>
      <c r="RKX50" s="519"/>
      <c r="RKY50" s="519"/>
      <c r="RKZ50" s="519"/>
      <c r="RLA50" s="519"/>
      <c r="RLB50" s="519"/>
      <c r="RLC50" s="519"/>
      <c r="RLD50" s="519"/>
      <c r="RLE50" s="519"/>
      <c r="RLF50" s="519"/>
      <c r="RLG50" s="519"/>
      <c r="RLH50" s="519"/>
      <c r="RLI50" s="519"/>
      <c r="RLJ50" s="519"/>
      <c r="RLK50" s="519"/>
      <c r="RLL50" s="519"/>
      <c r="RLM50" s="519"/>
      <c r="RLN50" s="519"/>
      <c r="RLO50" s="519"/>
      <c r="RLP50" s="519"/>
      <c r="RLQ50" s="519"/>
      <c r="RLR50" s="519"/>
      <c r="RLS50" s="519"/>
      <c r="RLT50" s="519"/>
      <c r="RLU50" s="519"/>
      <c r="RLV50" s="519"/>
      <c r="RLW50" s="519"/>
      <c r="RLX50" s="519"/>
      <c r="RLY50" s="519"/>
      <c r="RLZ50" s="519"/>
      <c r="RMA50" s="519"/>
      <c r="RMB50" s="519"/>
      <c r="RMC50" s="519"/>
      <c r="RMD50" s="519"/>
      <c r="RME50" s="519"/>
      <c r="RMF50" s="519"/>
      <c r="RMG50" s="519"/>
      <c r="RMH50" s="519"/>
      <c r="RMI50" s="519"/>
      <c r="RMJ50" s="519"/>
      <c r="RMK50" s="519"/>
      <c r="RML50" s="519"/>
      <c r="RMM50" s="519"/>
      <c r="RMN50" s="519"/>
      <c r="RMO50" s="519"/>
      <c r="RMP50" s="519"/>
      <c r="RMQ50" s="519"/>
      <c r="RMR50" s="519"/>
      <c r="RMS50" s="519"/>
      <c r="RMT50" s="519"/>
      <c r="RMU50" s="519"/>
      <c r="RMV50" s="519"/>
      <c r="RMW50" s="519"/>
      <c r="RMX50" s="519"/>
      <c r="RMY50" s="519"/>
      <c r="RMZ50" s="519"/>
      <c r="RNA50" s="519"/>
      <c r="RNB50" s="519"/>
      <c r="RNC50" s="519"/>
      <c r="RND50" s="519"/>
      <c r="RNE50" s="519"/>
      <c r="RNF50" s="519"/>
      <c r="RNG50" s="519"/>
      <c r="RNH50" s="519"/>
      <c r="RNI50" s="519"/>
      <c r="RNJ50" s="519"/>
      <c r="RNK50" s="519"/>
      <c r="RNL50" s="519"/>
      <c r="RNM50" s="519"/>
      <c r="RNN50" s="519"/>
      <c r="RNO50" s="519"/>
      <c r="RNP50" s="519"/>
      <c r="RNQ50" s="519"/>
      <c r="RNR50" s="519"/>
      <c r="RNS50" s="519"/>
      <c r="RNT50" s="519"/>
      <c r="RNU50" s="519"/>
      <c r="RNV50" s="519"/>
      <c r="RNW50" s="519"/>
      <c r="RNX50" s="519"/>
      <c r="RNY50" s="519"/>
      <c r="RNZ50" s="519"/>
      <c r="ROA50" s="519"/>
      <c r="ROB50" s="519"/>
      <c r="ROC50" s="519"/>
      <c r="ROD50" s="519"/>
      <c r="ROE50" s="519"/>
      <c r="ROF50" s="519"/>
      <c r="ROG50" s="519"/>
      <c r="ROH50" s="519"/>
      <c r="ROI50" s="519"/>
      <c r="ROJ50" s="519"/>
      <c r="ROK50" s="519"/>
      <c r="ROL50" s="519"/>
      <c r="ROM50" s="519"/>
      <c r="RON50" s="519"/>
      <c r="ROO50" s="519"/>
      <c r="ROP50" s="519"/>
      <c r="ROQ50" s="519"/>
      <c r="ROR50" s="519"/>
      <c r="ROS50" s="519"/>
      <c r="ROT50" s="519"/>
      <c r="ROU50" s="519"/>
      <c r="ROV50" s="519"/>
      <c r="ROW50" s="519"/>
      <c r="ROX50" s="519"/>
      <c r="ROY50" s="519"/>
      <c r="ROZ50" s="519"/>
      <c r="RPA50" s="519"/>
      <c r="RPB50" s="519"/>
      <c r="RPC50" s="519"/>
      <c r="RPD50" s="519"/>
      <c r="RPE50" s="519"/>
      <c r="RPF50" s="519"/>
      <c r="RPG50" s="519"/>
      <c r="RPH50" s="519"/>
      <c r="RPI50" s="519"/>
      <c r="RPJ50" s="519"/>
      <c r="RPK50" s="519"/>
      <c r="RPL50" s="519"/>
      <c r="RPM50" s="519"/>
      <c r="RPN50" s="519"/>
      <c r="RPO50" s="519"/>
      <c r="RPP50" s="519"/>
      <c r="RPQ50" s="519"/>
      <c r="RPR50" s="519"/>
      <c r="RPS50" s="519"/>
      <c r="RPT50" s="519"/>
      <c r="RPU50" s="519"/>
      <c r="RPV50" s="519"/>
      <c r="RPW50" s="519"/>
      <c r="RPX50" s="519"/>
      <c r="RPY50" s="519"/>
      <c r="RPZ50" s="519"/>
      <c r="RQA50" s="519"/>
      <c r="RQB50" s="519"/>
      <c r="RQC50" s="519"/>
      <c r="RQD50" s="519"/>
      <c r="RQE50" s="519"/>
      <c r="RQF50" s="519"/>
      <c r="RQG50" s="519"/>
      <c r="RQH50" s="519"/>
      <c r="RQI50" s="519"/>
      <c r="RQJ50" s="519"/>
      <c r="RQK50" s="519"/>
      <c r="RQL50" s="519"/>
      <c r="RQM50" s="519"/>
      <c r="RQN50" s="519"/>
      <c r="RQO50" s="519"/>
      <c r="RQP50" s="519"/>
      <c r="RQQ50" s="519"/>
      <c r="RQR50" s="519"/>
      <c r="RQS50" s="519"/>
      <c r="RQT50" s="519"/>
      <c r="RQU50" s="519"/>
      <c r="RQV50" s="519"/>
      <c r="RQW50" s="519"/>
      <c r="RQX50" s="519"/>
      <c r="RQY50" s="519"/>
      <c r="RQZ50" s="519"/>
      <c r="RRA50" s="519"/>
      <c r="RRB50" s="519"/>
      <c r="RRC50" s="519"/>
      <c r="RRD50" s="519"/>
      <c r="RRE50" s="519"/>
      <c r="RRF50" s="519"/>
      <c r="RRG50" s="519"/>
      <c r="RRH50" s="519"/>
      <c r="RRI50" s="519"/>
      <c r="RRJ50" s="519"/>
      <c r="RRK50" s="519"/>
      <c r="RRL50" s="519"/>
      <c r="RRM50" s="519"/>
      <c r="RRN50" s="519"/>
      <c r="RRO50" s="519"/>
      <c r="RRP50" s="519"/>
      <c r="RRQ50" s="519"/>
      <c r="RRR50" s="519"/>
      <c r="RRS50" s="519"/>
      <c r="RRT50" s="519"/>
      <c r="RRU50" s="519"/>
      <c r="RRV50" s="519"/>
      <c r="RRW50" s="519"/>
      <c r="RRX50" s="519"/>
      <c r="RRY50" s="519"/>
      <c r="RRZ50" s="519"/>
      <c r="RSA50" s="519"/>
      <c r="RSB50" s="519"/>
      <c r="RSC50" s="519"/>
      <c r="RSD50" s="519"/>
      <c r="RSE50" s="519"/>
      <c r="RSF50" s="519"/>
      <c r="RSG50" s="519"/>
      <c r="RSH50" s="519"/>
      <c r="RSI50" s="519"/>
      <c r="RSJ50" s="519"/>
      <c r="RSK50" s="519"/>
      <c r="RSL50" s="519"/>
      <c r="RSM50" s="519"/>
      <c r="RSN50" s="519"/>
      <c r="RSO50" s="519"/>
      <c r="RSP50" s="519"/>
      <c r="RSQ50" s="519"/>
      <c r="RSR50" s="519"/>
      <c r="RSS50" s="519"/>
      <c r="RST50" s="519"/>
      <c r="RSU50" s="519"/>
      <c r="RSV50" s="519"/>
      <c r="RSW50" s="519"/>
      <c r="RSX50" s="519"/>
      <c r="RSY50" s="519"/>
      <c r="RSZ50" s="519"/>
      <c r="RTA50" s="519"/>
      <c r="RTB50" s="519"/>
      <c r="RTC50" s="519"/>
      <c r="RTD50" s="519"/>
      <c r="RTE50" s="519"/>
      <c r="RTF50" s="519"/>
      <c r="RTG50" s="519"/>
      <c r="RTH50" s="519"/>
      <c r="RTI50" s="519"/>
      <c r="RTJ50" s="519"/>
      <c r="RTK50" s="519"/>
      <c r="RTL50" s="519"/>
      <c r="RTM50" s="519"/>
      <c r="RTN50" s="519"/>
      <c r="RTO50" s="519"/>
      <c r="RTP50" s="519"/>
      <c r="RTQ50" s="519"/>
      <c r="RTR50" s="519"/>
      <c r="RTS50" s="519"/>
      <c r="RTT50" s="519"/>
      <c r="RTU50" s="519"/>
      <c r="RTV50" s="519"/>
      <c r="RTW50" s="519"/>
      <c r="RTX50" s="519"/>
      <c r="RTY50" s="519"/>
      <c r="RTZ50" s="519"/>
      <c r="RUA50" s="519"/>
      <c r="RUB50" s="519"/>
      <c r="RUC50" s="519"/>
      <c r="RUD50" s="519"/>
      <c r="RUE50" s="519"/>
      <c r="RUF50" s="519"/>
      <c r="RUG50" s="519"/>
      <c r="RUH50" s="519"/>
      <c r="RUI50" s="519"/>
      <c r="RUJ50" s="519"/>
      <c r="RUK50" s="519"/>
      <c r="RUL50" s="519"/>
      <c r="RUM50" s="519"/>
      <c r="RUN50" s="519"/>
      <c r="RUO50" s="519"/>
      <c r="RUP50" s="519"/>
      <c r="RUQ50" s="519"/>
      <c r="RUR50" s="519"/>
      <c r="RUS50" s="519"/>
      <c r="RUT50" s="519"/>
      <c r="RUU50" s="519"/>
      <c r="RUV50" s="519"/>
      <c r="RUW50" s="519"/>
      <c r="RUX50" s="519"/>
      <c r="RUY50" s="519"/>
      <c r="RUZ50" s="519"/>
      <c r="RVA50" s="519"/>
      <c r="RVB50" s="519"/>
      <c r="RVC50" s="519"/>
      <c r="RVD50" s="519"/>
      <c r="RVE50" s="519"/>
      <c r="RVF50" s="519"/>
      <c r="RVG50" s="519"/>
      <c r="RVH50" s="519"/>
      <c r="RVI50" s="519"/>
      <c r="RVJ50" s="519"/>
      <c r="RVK50" s="519"/>
      <c r="RVL50" s="519"/>
      <c r="RVM50" s="519"/>
      <c r="RVN50" s="519"/>
      <c r="RVO50" s="519"/>
      <c r="RVP50" s="519"/>
      <c r="RVQ50" s="519"/>
      <c r="RVR50" s="519"/>
      <c r="RVS50" s="519"/>
      <c r="RVT50" s="519"/>
      <c r="RVU50" s="519"/>
      <c r="RVV50" s="519"/>
      <c r="RVW50" s="519"/>
      <c r="RVX50" s="519"/>
      <c r="RVY50" s="519"/>
      <c r="RVZ50" s="519"/>
      <c r="RWA50" s="519"/>
      <c r="RWB50" s="519"/>
      <c r="RWC50" s="519"/>
      <c r="RWD50" s="519"/>
      <c r="RWE50" s="519"/>
      <c r="RWF50" s="519"/>
      <c r="RWG50" s="519"/>
      <c r="RWH50" s="519"/>
      <c r="RWI50" s="519"/>
      <c r="RWJ50" s="519"/>
      <c r="RWK50" s="519"/>
      <c r="RWL50" s="519"/>
      <c r="RWM50" s="519"/>
      <c r="RWN50" s="519"/>
      <c r="RWO50" s="519"/>
      <c r="RWP50" s="519"/>
      <c r="RWQ50" s="519"/>
      <c r="RWR50" s="519"/>
      <c r="RWS50" s="519"/>
      <c r="RWT50" s="519"/>
      <c r="RWU50" s="519"/>
      <c r="RWV50" s="519"/>
      <c r="RWW50" s="519"/>
      <c r="RWX50" s="519"/>
      <c r="RWY50" s="519"/>
      <c r="RWZ50" s="519"/>
      <c r="RXA50" s="519"/>
      <c r="RXB50" s="519"/>
      <c r="RXC50" s="519"/>
      <c r="RXD50" s="519"/>
      <c r="RXE50" s="519"/>
      <c r="RXF50" s="519"/>
      <c r="RXG50" s="519"/>
      <c r="RXH50" s="519"/>
      <c r="RXI50" s="519"/>
      <c r="RXJ50" s="519"/>
      <c r="RXK50" s="519"/>
      <c r="RXL50" s="519"/>
      <c r="RXM50" s="519"/>
      <c r="RXN50" s="519"/>
      <c r="RXO50" s="519"/>
      <c r="RXP50" s="519"/>
      <c r="RXQ50" s="519"/>
      <c r="RXR50" s="519"/>
      <c r="RXS50" s="519"/>
      <c r="RXT50" s="519"/>
      <c r="RXU50" s="519"/>
      <c r="RXV50" s="519"/>
      <c r="RXW50" s="519"/>
      <c r="RXX50" s="519"/>
      <c r="RXY50" s="519"/>
      <c r="RXZ50" s="519"/>
      <c r="RYA50" s="519"/>
      <c r="RYB50" s="519"/>
      <c r="RYC50" s="519"/>
      <c r="RYD50" s="519"/>
      <c r="RYE50" s="519"/>
      <c r="RYF50" s="519"/>
      <c r="RYG50" s="519"/>
      <c r="RYH50" s="519"/>
      <c r="RYI50" s="519"/>
      <c r="RYJ50" s="519"/>
      <c r="RYK50" s="519"/>
      <c r="RYL50" s="519"/>
      <c r="RYM50" s="519"/>
      <c r="RYN50" s="519"/>
      <c r="RYO50" s="519"/>
      <c r="RYP50" s="519"/>
      <c r="RYQ50" s="519"/>
      <c r="RYR50" s="519"/>
      <c r="RYS50" s="519"/>
      <c r="RYT50" s="519"/>
      <c r="RYU50" s="519"/>
      <c r="RYV50" s="519"/>
      <c r="RYW50" s="519"/>
      <c r="RYX50" s="519"/>
      <c r="RYY50" s="519"/>
      <c r="RYZ50" s="519"/>
      <c r="RZA50" s="519"/>
      <c r="RZB50" s="519"/>
      <c r="RZC50" s="519"/>
      <c r="RZD50" s="519"/>
      <c r="RZE50" s="519"/>
      <c r="RZF50" s="519"/>
      <c r="RZG50" s="519"/>
      <c r="RZH50" s="519"/>
      <c r="RZI50" s="519"/>
      <c r="RZJ50" s="519"/>
      <c r="RZK50" s="519"/>
      <c r="RZL50" s="519"/>
      <c r="RZM50" s="519"/>
      <c r="RZN50" s="519"/>
      <c r="RZO50" s="519"/>
      <c r="RZP50" s="519"/>
      <c r="RZQ50" s="519"/>
      <c r="RZR50" s="519"/>
      <c r="RZS50" s="519"/>
      <c r="RZT50" s="519"/>
      <c r="RZU50" s="519"/>
      <c r="RZV50" s="519"/>
      <c r="RZW50" s="519"/>
      <c r="RZX50" s="519"/>
      <c r="RZY50" s="519"/>
      <c r="RZZ50" s="519"/>
      <c r="SAA50" s="519"/>
      <c r="SAB50" s="519"/>
      <c r="SAC50" s="519"/>
      <c r="SAD50" s="519"/>
      <c r="SAE50" s="519"/>
      <c r="SAF50" s="519"/>
      <c r="SAG50" s="519"/>
      <c r="SAH50" s="519"/>
      <c r="SAI50" s="519"/>
      <c r="SAJ50" s="519"/>
      <c r="SAK50" s="519"/>
      <c r="SAL50" s="519"/>
      <c r="SAM50" s="519"/>
      <c r="SAN50" s="519"/>
      <c r="SAO50" s="519"/>
      <c r="SAP50" s="519"/>
      <c r="SAQ50" s="519"/>
      <c r="SAR50" s="519"/>
      <c r="SAS50" s="519"/>
      <c r="SAT50" s="519"/>
      <c r="SAU50" s="519"/>
      <c r="SAV50" s="519"/>
      <c r="SAW50" s="519"/>
      <c r="SAX50" s="519"/>
      <c r="SAY50" s="519"/>
      <c r="SAZ50" s="519"/>
      <c r="SBA50" s="519"/>
      <c r="SBB50" s="519"/>
      <c r="SBC50" s="519"/>
      <c r="SBD50" s="519"/>
      <c r="SBE50" s="519"/>
      <c r="SBF50" s="519"/>
      <c r="SBG50" s="519"/>
      <c r="SBH50" s="519"/>
      <c r="SBI50" s="519"/>
      <c r="SBJ50" s="519"/>
      <c r="SBK50" s="519"/>
      <c r="SBL50" s="519"/>
      <c r="SBM50" s="519"/>
      <c r="SBN50" s="519"/>
      <c r="SBO50" s="519"/>
      <c r="SBP50" s="519"/>
      <c r="SBQ50" s="519"/>
      <c r="SBR50" s="519"/>
      <c r="SBS50" s="519"/>
      <c r="SBT50" s="519"/>
      <c r="SBU50" s="519"/>
      <c r="SBV50" s="519"/>
      <c r="SBW50" s="519"/>
      <c r="SBX50" s="519"/>
      <c r="SBY50" s="519"/>
      <c r="SBZ50" s="519"/>
      <c r="SCA50" s="519"/>
      <c r="SCB50" s="519"/>
      <c r="SCC50" s="519"/>
      <c r="SCD50" s="519"/>
      <c r="SCE50" s="519"/>
      <c r="SCF50" s="519"/>
      <c r="SCG50" s="519"/>
      <c r="SCH50" s="519"/>
      <c r="SCI50" s="519"/>
      <c r="SCJ50" s="519"/>
      <c r="SCK50" s="519"/>
      <c r="SCL50" s="519"/>
      <c r="SCM50" s="519"/>
      <c r="SCN50" s="519"/>
      <c r="SCO50" s="519"/>
      <c r="SCP50" s="519"/>
      <c r="SCQ50" s="519"/>
      <c r="SCR50" s="519"/>
      <c r="SCS50" s="519"/>
      <c r="SCT50" s="519"/>
      <c r="SCU50" s="519"/>
      <c r="SCV50" s="519"/>
      <c r="SCW50" s="519"/>
      <c r="SCX50" s="519"/>
      <c r="SCY50" s="519"/>
      <c r="SCZ50" s="519"/>
      <c r="SDA50" s="519"/>
      <c r="SDB50" s="519"/>
      <c r="SDC50" s="519"/>
      <c r="SDD50" s="519"/>
      <c r="SDE50" s="519"/>
      <c r="SDF50" s="519"/>
      <c r="SDG50" s="519"/>
      <c r="SDH50" s="519"/>
      <c r="SDI50" s="519"/>
      <c r="SDJ50" s="519"/>
      <c r="SDK50" s="519"/>
      <c r="SDL50" s="519"/>
      <c r="SDM50" s="519"/>
      <c r="SDN50" s="519"/>
      <c r="SDO50" s="519"/>
      <c r="SDP50" s="519"/>
      <c r="SDQ50" s="519"/>
      <c r="SDR50" s="519"/>
      <c r="SDS50" s="519"/>
      <c r="SDT50" s="519"/>
      <c r="SDU50" s="519"/>
      <c r="SDV50" s="519"/>
      <c r="SDW50" s="519"/>
      <c r="SDX50" s="519"/>
      <c r="SDY50" s="519"/>
      <c r="SDZ50" s="519"/>
      <c r="SEA50" s="519"/>
      <c r="SEB50" s="519"/>
      <c r="SEC50" s="519"/>
      <c r="SED50" s="519"/>
      <c r="SEE50" s="519"/>
      <c r="SEF50" s="519"/>
      <c r="SEG50" s="519"/>
      <c r="SEH50" s="519"/>
      <c r="SEI50" s="519"/>
      <c r="SEJ50" s="519"/>
      <c r="SEK50" s="519"/>
      <c r="SEL50" s="519"/>
      <c r="SEM50" s="519"/>
      <c r="SEN50" s="519"/>
      <c r="SEO50" s="519"/>
      <c r="SEP50" s="519"/>
      <c r="SEQ50" s="519"/>
      <c r="SER50" s="519"/>
      <c r="SES50" s="519"/>
      <c r="SET50" s="519"/>
      <c r="SEU50" s="519"/>
      <c r="SEV50" s="519"/>
      <c r="SEW50" s="519"/>
      <c r="SEX50" s="519"/>
      <c r="SEY50" s="519"/>
      <c r="SEZ50" s="519"/>
      <c r="SFA50" s="519"/>
      <c r="SFB50" s="519"/>
      <c r="SFC50" s="519"/>
      <c r="SFD50" s="519"/>
      <c r="SFE50" s="519"/>
      <c r="SFF50" s="519"/>
      <c r="SFG50" s="519"/>
      <c r="SFH50" s="519"/>
      <c r="SFI50" s="519"/>
      <c r="SFJ50" s="519"/>
      <c r="SFK50" s="519"/>
      <c r="SFL50" s="519"/>
      <c r="SFM50" s="519"/>
      <c r="SFN50" s="519"/>
      <c r="SFO50" s="519"/>
      <c r="SFP50" s="519"/>
      <c r="SFQ50" s="519"/>
      <c r="SFR50" s="519"/>
      <c r="SFS50" s="519"/>
      <c r="SFT50" s="519"/>
      <c r="SFU50" s="519"/>
      <c r="SFV50" s="519"/>
      <c r="SFW50" s="519"/>
      <c r="SFX50" s="519"/>
      <c r="SFY50" s="519"/>
      <c r="SFZ50" s="519"/>
      <c r="SGA50" s="519"/>
      <c r="SGB50" s="519"/>
      <c r="SGC50" s="519"/>
      <c r="SGD50" s="519"/>
      <c r="SGE50" s="519"/>
      <c r="SGF50" s="519"/>
      <c r="SGG50" s="519"/>
      <c r="SGH50" s="519"/>
      <c r="SGI50" s="519"/>
      <c r="SGJ50" s="519"/>
      <c r="SGK50" s="519"/>
      <c r="SGL50" s="519"/>
      <c r="SGM50" s="519"/>
      <c r="SGN50" s="519"/>
      <c r="SGO50" s="519"/>
      <c r="SGP50" s="519"/>
      <c r="SGQ50" s="519"/>
      <c r="SGR50" s="519"/>
      <c r="SGS50" s="519"/>
      <c r="SGT50" s="519"/>
      <c r="SGU50" s="519"/>
      <c r="SGV50" s="519"/>
      <c r="SGW50" s="519"/>
      <c r="SGX50" s="519"/>
      <c r="SGY50" s="519"/>
      <c r="SGZ50" s="519"/>
      <c r="SHA50" s="519"/>
      <c r="SHB50" s="519"/>
      <c r="SHC50" s="519"/>
      <c r="SHD50" s="519"/>
      <c r="SHE50" s="519"/>
      <c r="SHF50" s="519"/>
      <c r="SHG50" s="519"/>
      <c r="SHH50" s="519"/>
      <c r="SHI50" s="519"/>
      <c r="SHJ50" s="519"/>
      <c r="SHK50" s="519"/>
      <c r="SHL50" s="519"/>
      <c r="SHM50" s="519"/>
      <c r="SHN50" s="519"/>
      <c r="SHO50" s="519"/>
      <c r="SHP50" s="519"/>
      <c r="SHQ50" s="519"/>
      <c r="SHR50" s="519"/>
      <c r="SHS50" s="519"/>
      <c r="SHT50" s="519"/>
      <c r="SHU50" s="519"/>
      <c r="SHV50" s="519"/>
      <c r="SHW50" s="519"/>
      <c r="SHX50" s="519"/>
      <c r="SHY50" s="519"/>
      <c r="SHZ50" s="519"/>
      <c r="SIA50" s="519"/>
      <c r="SIB50" s="519"/>
      <c r="SIC50" s="519"/>
      <c r="SID50" s="519"/>
      <c r="SIE50" s="519"/>
      <c r="SIF50" s="519"/>
      <c r="SIG50" s="519"/>
      <c r="SIH50" s="519"/>
      <c r="SII50" s="519"/>
      <c r="SIJ50" s="519"/>
      <c r="SIK50" s="519"/>
      <c r="SIL50" s="519"/>
      <c r="SIM50" s="519"/>
      <c r="SIN50" s="519"/>
      <c r="SIO50" s="519"/>
      <c r="SIP50" s="519"/>
      <c r="SIQ50" s="519"/>
      <c r="SIR50" s="519"/>
      <c r="SIS50" s="519"/>
      <c r="SIT50" s="519"/>
      <c r="SIU50" s="519"/>
      <c r="SIV50" s="519"/>
      <c r="SIW50" s="519"/>
      <c r="SIX50" s="519"/>
      <c r="SIY50" s="519"/>
      <c r="SIZ50" s="519"/>
      <c r="SJA50" s="519"/>
      <c r="SJB50" s="519"/>
      <c r="SJC50" s="519"/>
      <c r="SJD50" s="519"/>
      <c r="SJE50" s="519"/>
      <c r="SJF50" s="519"/>
      <c r="SJG50" s="519"/>
      <c r="SJH50" s="519"/>
      <c r="SJI50" s="519"/>
      <c r="SJJ50" s="519"/>
      <c r="SJK50" s="519"/>
      <c r="SJL50" s="519"/>
      <c r="SJM50" s="519"/>
      <c r="SJN50" s="519"/>
      <c r="SJO50" s="519"/>
      <c r="SJP50" s="519"/>
      <c r="SJQ50" s="519"/>
      <c r="SJR50" s="519"/>
      <c r="SJS50" s="519"/>
      <c r="SJT50" s="519"/>
      <c r="SJU50" s="519"/>
      <c r="SJV50" s="519"/>
      <c r="SJW50" s="519"/>
      <c r="SJX50" s="519"/>
      <c r="SJY50" s="519"/>
      <c r="SJZ50" s="519"/>
      <c r="SKA50" s="519"/>
      <c r="SKB50" s="519"/>
      <c r="SKC50" s="519"/>
      <c r="SKD50" s="519"/>
      <c r="SKE50" s="519"/>
      <c r="SKF50" s="519"/>
      <c r="SKG50" s="519"/>
      <c r="SKH50" s="519"/>
      <c r="SKI50" s="519"/>
      <c r="SKJ50" s="519"/>
      <c r="SKK50" s="519"/>
      <c r="SKL50" s="519"/>
      <c r="SKM50" s="519"/>
      <c r="SKN50" s="519"/>
      <c r="SKO50" s="519"/>
      <c r="SKP50" s="519"/>
      <c r="SKQ50" s="519"/>
      <c r="SKR50" s="519"/>
      <c r="SKS50" s="519"/>
      <c r="SKT50" s="519"/>
      <c r="SKU50" s="519"/>
      <c r="SKV50" s="519"/>
      <c r="SKW50" s="519"/>
      <c r="SKX50" s="519"/>
      <c r="SKY50" s="519"/>
      <c r="SKZ50" s="519"/>
      <c r="SLA50" s="519"/>
      <c r="SLB50" s="519"/>
      <c r="SLC50" s="519"/>
      <c r="SLD50" s="519"/>
      <c r="SLE50" s="519"/>
      <c r="SLF50" s="519"/>
      <c r="SLG50" s="519"/>
      <c r="SLH50" s="519"/>
      <c r="SLI50" s="519"/>
      <c r="SLJ50" s="519"/>
      <c r="SLK50" s="519"/>
      <c r="SLL50" s="519"/>
      <c r="SLM50" s="519"/>
      <c r="SLN50" s="519"/>
      <c r="SLO50" s="519"/>
      <c r="SLP50" s="519"/>
      <c r="SLQ50" s="519"/>
      <c r="SLR50" s="519"/>
      <c r="SLS50" s="519"/>
      <c r="SLT50" s="519"/>
      <c r="SLU50" s="519"/>
      <c r="SLV50" s="519"/>
      <c r="SLW50" s="519"/>
      <c r="SLX50" s="519"/>
      <c r="SLY50" s="519"/>
      <c r="SLZ50" s="519"/>
      <c r="SMA50" s="519"/>
      <c r="SMB50" s="519"/>
      <c r="SMC50" s="519"/>
      <c r="SMD50" s="519"/>
      <c r="SME50" s="519"/>
      <c r="SMF50" s="519"/>
      <c r="SMG50" s="519"/>
      <c r="SMH50" s="519"/>
      <c r="SMI50" s="519"/>
      <c r="SMJ50" s="519"/>
      <c r="SMK50" s="519"/>
      <c r="SML50" s="519"/>
      <c r="SMM50" s="519"/>
      <c r="SMN50" s="519"/>
      <c r="SMO50" s="519"/>
      <c r="SMP50" s="519"/>
      <c r="SMQ50" s="519"/>
      <c r="SMR50" s="519"/>
      <c r="SMS50" s="519"/>
      <c r="SMT50" s="519"/>
      <c r="SMU50" s="519"/>
      <c r="SMV50" s="519"/>
      <c r="SMW50" s="519"/>
      <c r="SMX50" s="519"/>
      <c r="SMY50" s="519"/>
      <c r="SMZ50" s="519"/>
      <c r="SNA50" s="519"/>
      <c r="SNB50" s="519"/>
      <c r="SNC50" s="519"/>
      <c r="SND50" s="519"/>
      <c r="SNE50" s="519"/>
      <c r="SNF50" s="519"/>
      <c r="SNG50" s="519"/>
      <c r="SNH50" s="519"/>
      <c r="SNI50" s="519"/>
      <c r="SNJ50" s="519"/>
      <c r="SNK50" s="519"/>
      <c r="SNL50" s="519"/>
      <c r="SNM50" s="519"/>
      <c r="SNN50" s="519"/>
      <c r="SNO50" s="519"/>
      <c r="SNP50" s="519"/>
      <c r="SNQ50" s="519"/>
      <c r="SNR50" s="519"/>
      <c r="SNS50" s="519"/>
      <c r="SNT50" s="519"/>
      <c r="SNU50" s="519"/>
      <c r="SNV50" s="519"/>
      <c r="SNW50" s="519"/>
      <c r="SNX50" s="519"/>
      <c r="SNY50" s="519"/>
      <c r="SNZ50" s="519"/>
      <c r="SOA50" s="519"/>
      <c r="SOB50" s="519"/>
      <c r="SOC50" s="519"/>
      <c r="SOD50" s="519"/>
      <c r="SOE50" s="519"/>
      <c r="SOF50" s="519"/>
      <c r="SOG50" s="519"/>
      <c r="SOH50" s="519"/>
      <c r="SOI50" s="519"/>
      <c r="SOJ50" s="519"/>
      <c r="SOK50" s="519"/>
      <c r="SOL50" s="519"/>
      <c r="SOM50" s="519"/>
      <c r="SON50" s="519"/>
      <c r="SOO50" s="519"/>
      <c r="SOP50" s="519"/>
      <c r="SOQ50" s="519"/>
      <c r="SOR50" s="519"/>
      <c r="SOS50" s="519"/>
      <c r="SOT50" s="519"/>
      <c r="SOU50" s="519"/>
      <c r="SOV50" s="519"/>
      <c r="SOW50" s="519"/>
      <c r="SOX50" s="519"/>
      <c r="SOY50" s="519"/>
      <c r="SOZ50" s="519"/>
      <c r="SPA50" s="519"/>
      <c r="SPB50" s="519"/>
      <c r="SPC50" s="519"/>
      <c r="SPD50" s="519"/>
      <c r="SPE50" s="519"/>
      <c r="SPF50" s="519"/>
      <c r="SPG50" s="519"/>
      <c r="SPH50" s="519"/>
      <c r="SPI50" s="519"/>
      <c r="SPJ50" s="519"/>
      <c r="SPK50" s="519"/>
      <c r="SPL50" s="519"/>
      <c r="SPM50" s="519"/>
      <c r="SPN50" s="519"/>
      <c r="SPO50" s="519"/>
      <c r="SPP50" s="519"/>
      <c r="SPQ50" s="519"/>
      <c r="SPR50" s="519"/>
      <c r="SPS50" s="519"/>
      <c r="SPT50" s="519"/>
      <c r="SPU50" s="519"/>
      <c r="SPV50" s="519"/>
      <c r="SPW50" s="519"/>
      <c r="SPX50" s="519"/>
      <c r="SPY50" s="519"/>
      <c r="SPZ50" s="519"/>
      <c r="SQA50" s="519"/>
      <c r="SQB50" s="519"/>
      <c r="SQC50" s="519"/>
      <c r="SQD50" s="519"/>
      <c r="SQE50" s="519"/>
      <c r="SQF50" s="519"/>
      <c r="SQG50" s="519"/>
      <c r="SQH50" s="519"/>
      <c r="SQI50" s="519"/>
      <c r="SQJ50" s="519"/>
      <c r="SQK50" s="519"/>
      <c r="SQL50" s="519"/>
      <c r="SQM50" s="519"/>
      <c r="SQN50" s="519"/>
      <c r="SQO50" s="519"/>
      <c r="SQP50" s="519"/>
      <c r="SQQ50" s="519"/>
      <c r="SQR50" s="519"/>
      <c r="SQS50" s="519"/>
      <c r="SQT50" s="519"/>
      <c r="SQU50" s="519"/>
      <c r="SQV50" s="519"/>
      <c r="SQW50" s="519"/>
      <c r="SQX50" s="519"/>
      <c r="SQY50" s="519"/>
      <c r="SQZ50" s="519"/>
      <c r="SRA50" s="519"/>
      <c r="SRB50" s="519"/>
      <c r="SRC50" s="519"/>
      <c r="SRD50" s="519"/>
      <c r="SRE50" s="519"/>
      <c r="SRF50" s="519"/>
      <c r="SRG50" s="519"/>
      <c r="SRH50" s="519"/>
      <c r="SRI50" s="519"/>
      <c r="SRJ50" s="519"/>
      <c r="SRK50" s="519"/>
      <c r="SRL50" s="519"/>
      <c r="SRM50" s="519"/>
      <c r="SRN50" s="519"/>
      <c r="SRO50" s="519"/>
      <c r="SRP50" s="519"/>
      <c r="SRQ50" s="519"/>
      <c r="SRR50" s="519"/>
      <c r="SRS50" s="519"/>
      <c r="SRT50" s="519"/>
      <c r="SRU50" s="519"/>
      <c r="SRV50" s="519"/>
      <c r="SRW50" s="519"/>
      <c r="SRX50" s="519"/>
      <c r="SRY50" s="519"/>
      <c r="SRZ50" s="519"/>
      <c r="SSA50" s="519"/>
      <c r="SSB50" s="519"/>
      <c r="SSC50" s="519"/>
      <c r="SSD50" s="519"/>
      <c r="SSE50" s="519"/>
      <c r="SSF50" s="519"/>
      <c r="SSG50" s="519"/>
      <c r="SSH50" s="519"/>
      <c r="SSI50" s="519"/>
      <c r="SSJ50" s="519"/>
      <c r="SSK50" s="519"/>
      <c r="SSL50" s="519"/>
      <c r="SSM50" s="519"/>
      <c r="SSN50" s="519"/>
      <c r="SSO50" s="519"/>
      <c r="SSP50" s="519"/>
      <c r="SSQ50" s="519"/>
      <c r="SSR50" s="519"/>
      <c r="SSS50" s="519"/>
      <c r="SST50" s="519"/>
      <c r="SSU50" s="519"/>
      <c r="SSV50" s="519"/>
      <c r="SSW50" s="519"/>
      <c r="SSX50" s="519"/>
      <c r="SSY50" s="519"/>
      <c r="SSZ50" s="519"/>
      <c r="STA50" s="519"/>
      <c r="STB50" s="519"/>
      <c r="STC50" s="519"/>
      <c r="STD50" s="519"/>
      <c r="STE50" s="519"/>
      <c r="STF50" s="519"/>
      <c r="STG50" s="519"/>
      <c r="STH50" s="519"/>
      <c r="STI50" s="519"/>
      <c r="STJ50" s="519"/>
      <c r="STK50" s="519"/>
      <c r="STL50" s="519"/>
      <c r="STM50" s="519"/>
      <c r="STN50" s="519"/>
      <c r="STO50" s="519"/>
      <c r="STP50" s="519"/>
      <c r="STQ50" s="519"/>
      <c r="STR50" s="519"/>
      <c r="STS50" s="519"/>
      <c r="STT50" s="519"/>
      <c r="STU50" s="519"/>
      <c r="STV50" s="519"/>
      <c r="STW50" s="519"/>
      <c r="STX50" s="519"/>
      <c r="STY50" s="519"/>
      <c r="STZ50" s="519"/>
      <c r="SUA50" s="519"/>
      <c r="SUB50" s="519"/>
      <c r="SUC50" s="519"/>
      <c r="SUD50" s="519"/>
      <c r="SUE50" s="519"/>
      <c r="SUF50" s="519"/>
      <c r="SUG50" s="519"/>
      <c r="SUH50" s="519"/>
      <c r="SUI50" s="519"/>
      <c r="SUJ50" s="519"/>
      <c r="SUK50" s="519"/>
      <c r="SUL50" s="519"/>
      <c r="SUM50" s="519"/>
      <c r="SUN50" s="519"/>
      <c r="SUO50" s="519"/>
      <c r="SUP50" s="519"/>
      <c r="SUQ50" s="519"/>
      <c r="SUR50" s="519"/>
      <c r="SUS50" s="519"/>
      <c r="SUT50" s="519"/>
      <c r="SUU50" s="519"/>
      <c r="SUV50" s="519"/>
      <c r="SUW50" s="519"/>
      <c r="SUX50" s="519"/>
      <c r="SUY50" s="519"/>
      <c r="SUZ50" s="519"/>
      <c r="SVA50" s="519"/>
      <c r="SVB50" s="519"/>
      <c r="SVC50" s="519"/>
      <c r="SVD50" s="519"/>
      <c r="SVE50" s="519"/>
      <c r="SVF50" s="519"/>
      <c r="SVG50" s="519"/>
      <c r="SVH50" s="519"/>
      <c r="SVI50" s="519"/>
      <c r="SVJ50" s="519"/>
      <c r="SVK50" s="519"/>
      <c r="SVL50" s="519"/>
      <c r="SVM50" s="519"/>
      <c r="SVN50" s="519"/>
      <c r="SVO50" s="519"/>
      <c r="SVP50" s="519"/>
      <c r="SVQ50" s="519"/>
      <c r="SVR50" s="519"/>
      <c r="SVS50" s="519"/>
      <c r="SVT50" s="519"/>
      <c r="SVU50" s="519"/>
      <c r="SVV50" s="519"/>
      <c r="SVW50" s="519"/>
      <c r="SVX50" s="519"/>
      <c r="SVY50" s="519"/>
      <c r="SVZ50" s="519"/>
      <c r="SWA50" s="519"/>
      <c r="SWB50" s="519"/>
      <c r="SWC50" s="519"/>
      <c r="SWD50" s="519"/>
      <c r="SWE50" s="519"/>
      <c r="SWF50" s="519"/>
      <c r="SWG50" s="519"/>
      <c r="SWH50" s="519"/>
      <c r="SWI50" s="519"/>
      <c r="SWJ50" s="519"/>
      <c r="SWK50" s="519"/>
      <c r="SWL50" s="519"/>
      <c r="SWM50" s="519"/>
      <c r="SWN50" s="519"/>
      <c r="SWO50" s="519"/>
      <c r="SWP50" s="519"/>
      <c r="SWQ50" s="519"/>
      <c r="SWR50" s="519"/>
      <c r="SWS50" s="519"/>
      <c r="SWT50" s="519"/>
      <c r="SWU50" s="519"/>
      <c r="SWV50" s="519"/>
      <c r="SWW50" s="519"/>
      <c r="SWX50" s="519"/>
      <c r="SWY50" s="519"/>
      <c r="SWZ50" s="519"/>
      <c r="SXA50" s="519"/>
      <c r="SXB50" s="519"/>
      <c r="SXC50" s="519"/>
      <c r="SXD50" s="519"/>
      <c r="SXE50" s="519"/>
      <c r="SXF50" s="519"/>
      <c r="SXG50" s="519"/>
      <c r="SXH50" s="519"/>
      <c r="SXI50" s="519"/>
      <c r="SXJ50" s="519"/>
      <c r="SXK50" s="519"/>
      <c r="SXL50" s="519"/>
      <c r="SXM50" s="519"/>
      <c r="SXN50" s="519"/>
      <c r="SXO50" s="519"/>
      <c r="SXP50" s="519"/>
      <c r="SXQ50" s="519"/>
      <c r="SXR50" s="519"/>
      <c r="SXS50" s="519"/>
      <c r="SXT50" s="519"/>
      <c r="SXU50" s="519"/>
      <c r="SXV50" s="519"/>
      <c r="SXW50" s="519"/>
      <c r="SXX50" s="519"/>
      <c r="SXY50" s="519"/>
      <c r="SXZ50" s="519"/>
      <c r="SYA50" s="519"/>
      <c r="SYB50" s="519"/>
      <c r="SYC50" s="519"/>
      <c r="SYD50" s="519"/>
      <c r="SYE50" s="519"/>
      <c r="SYF50" s="519"/>
      <c r="SYG50" s="519"/>
      <c r="SYH50" s="519"/>
      <c r="SYI50" s="519"/>
      <c r="SYJ50" s="519"/>
      <c r="SYK50" s="519"/>
      <c r="SYL50" s="519"/>
      <c r="SYM50" s="519"/>
      <c r="SYN50" s="519"/>
      <c r="SYO50" s="519"/>
      <c r="SYP50" s="519"/>
      <c r="SYQ50" s="519"/>
      <c r="SYR50" s="519"/>
      <c r="SYS50" s="519"/>
      <c r="SYT50" s="519"/>
      <c r="SYU50" s="519"/>
      <c r="SYV50" s="519"/>
      <c r="SYW50" s="519"/>
      <c r="SYX50" s="519"/>
      <c r="SYY50" s="519"/>
      <c r="SYZ50" s="519"/>
      <c r="SZA50" s="519"/>
      <c r="SZB50" s="519"/>
      <c r="SZC50" s="519"/>
      <c r="SZD50" s="519"/>
      <c r="SZE50" s="519"/>
      <c r="SZF50" s="519"/>
      <c r="SZG50" s="519"/>
      <c r="SZH50" s="519"/>
      <c r="SZI50" s="519"/>
      <c r="SZJ50" s="519"/>
      <c r="SZK50" s="519"/>
      <c r="SZL50" s="519"/>
      <c r="SZM50" s="519"/>
      <c r="SZN50" s="519"/>
      <c r="SZO50" s="519"/>
      <c r="SZP50" s="519"/>
      <c r="SZQ50" s="519"/>
      <c r="SZR50" s="519"/>
      <c r="SZS50" s="519"/>
      <c r="SZT50" s="519"/>
      <c r="SZU50" s="519"/>
      <c r="SZV50" s="519"/>
      <c r="SZW50" s="519"/>
      <c r="SZX50" s="519"/>
      <c r="SZY50" s="519"/>
      <c r="SZZ50" s="519"/>
      <c r="TAA50" s="519"/>
      <c r="TAB50" s="519"/>
      <c r="TAC50" s="519"/>
      <c r="TAD50" s="519"/>
      <c r="TAE50" s="519"/>
      <c r="TAF50" s="519"/>
      <c r="TAG50" s="519"/>
      <c r="TAH50" s="519"/>
      <c r="TAI50" s="519"/>
      <c r="TAJ50" s="519"/>
      <c r="TAK50" s="519"/>
      <c r="TAL50" s="519"/>
      <c r="TAM50" s="519"/>
      <c r="TAN50" s="519"/>
      <c r="TAO50" s="519"/>
      <c r="TAP50" s="519"/>
      <c r="TAQ50" s="519"/>
      <c r="TAR50" s="519"/>
      <c r="TAS50" s="519"/>
      <c r="TAT50" s="519"/>
      <c r="TAU50" s="519"/>
      <c r="TAV50" s="519"/>
      <c r="TAW50" s="519"/>
      <c r="TAX50" s="519"/>
      <c r="TAY50" s="519"/>
      <c r="TAZ50" s="519"/>
      <c r="TBA50" s="519"/>
      <c r="TBB50" s="519"/>
      <c r="TBC50" s="519"/>
      <c r="TBD50" s="519"/>
      <c r="TBE50" s="519"/>
      <c r="TBF50" s="519"/>
      <c r="TBG50" s="519"/>
      <c r="TBH50" s="519"/>
      <c r="TBI50" s="519"/>
      <c r="TBJ50" s="519"/>
      <c r="TBK50" s="519"/>
      <c r="TBL50" s="519"/>
      <c r="TBM50" s="519"/>
      <c r="TBN50" s="519"/>
      <c r="TBO50" s="519"/>
      <c r="TBP50" s="519"/>
      <c r="TBQ50" s="519"/>
      <c r="TBR50" s="519"/>
      <c r="TBS50" s="519"/>
      <c r="TBT50" s="519"/>
      <c r="TBU50" s="519"/>
      <c r="TBV50" s="519"/>
      <c r="TBW50" s="519"/>
      <c r="TBX50" s="519"/>
      <c r="TBY50" s="519"/>
      <c r="TBZ50" s="519"/>
      <c r="TCA50" s="519"/>
      <c r="TCB50" s="519"/>
      <c r="TCC50" s="519"/>
      <c r="TCD50" s="519"/>
      <c r="TCE50" s="519"/>
      <c r="TCF50" s="519"/>
      <c r="TCG50" s="519"/>
      <c r="TCH50" s="519"/>
      <c r="TCI50" s="519"/>
      <c r="TCJ50" s="519"/>
      <c r="TCK50" s="519"/>
      <c r="TCL50" s="519"/>
      <c r="TCM50" s="519"/>
      <c r="TCN50" s="519"/>
      <c r="TCO50" s="519"/>
      <c r="TCP50" s="519"/>
      <c r="TCQ50" s="519"/>
      <c r="TCR50" s="519"/>
      <c r="TCS50" s="519"/>
      <c r="TCT50" s="519"/>
      <c r="TCU50" s="519"/>
      <c r="TCV50" s="519"/>
      <c r="TCW50" s="519"/>
      <c r="TCX50" s="519"/>
      <c r="TCY50" s="519"/>
      <c r="TCZ50" s="519"/>
      <c r="TDA50" s="519"/>
      <c r="TDB50" s="519"/>
      <c r="TDC50" s="519"/>
      <c r="TDD50" s="519"/>
      <c r="TDE50" s="519"/>
      <c r="TDF50" s="519"/>
      <c r="TDG50" s="519"/>
      <c r="TDH50" s="519"/>
      <c r="TDI50" s="519"/>
      <c r="TDJ50" s="519"/>
      <c r="TDK50" s="519"/>
      <c r="TDL50" s="519"/>
      <c r="TDM50" s="519"/>
      <c r="TDN50" s="519"/>
      <c r="TDO50" s="519"/>
      <c r="TDP50" s="519"/>
      <c r="TDQ50" s="519"/>
      <c r="TDR50" s="519"/>
      <c r="TDS50" s="519"/>
      <c r="TDT50" s="519"/>
      <c r="TDU50" s="519"/>
      <c r="TDV50" s="519"/>
      <c r="TDW50" s="519"/>
      <c r="TDX50" s="519"/>
      <c r="TDY50" s="519"/>
      <c r="TDZ50" s="519"/>
      <c r="TEA50" s="519"/>
      <c r="TEB50" s="519"/>
      <c r="TEC50" s="519"/>
      <c r="TED50" s="519"/>
      <c r="TEE50" s="519"/>
      <c r="TEF50" s="519"/>
      <c r="TEG50" s="519"/>
      <c r="TEH50" s="519"/>
      <c r="TEI50" s="519"/>
      <c r="TEJ50" s="519"/>
      <c r="TEK50" s="519"/>
      <c r="TEL50" s="519"/>
      <c r="TEM50" s="519"/>
      <c r="TEN50" s="519"/>
      <c r="TEO50" s="519"/>
      <c r="TEP50" s="519"/>
      <c r="TEQ50" s="519"/>
      <c r="TER50" s="519"/>
      <c r="TES50" s="519"/>
      <c r="TET50" s="519"/>
      <c r="TEU50" s="519"/>
      <c r="TEV50" s="519"/>
      <c r="TEW50" s="519"/>
      <c r="TEX50" s="519"/>
      <c r="TEY50" s="519"/>
      <c r="TEZ50" s="519"/>
      <c r="TFA50" s="519"/>
      <c r="TFB50" s="519"/>
      <c r="TFC50" s="519"/>
      <c r="TFD50" s="519"/>
      <c r="TFE50" s="519"/>
      <c r="TFF50" s="519"/>
      <c r="TFG50" s="519"/>
      <c r="TFH50" s="519"/>
      <c r="TFI50" s="519"/>
      <c r="TFJ50" s="519"/>
      <c r="TFK50" s="519"/>
      <c r="TFL50" s="519"/>
      <c r="TFM50" s="519"/>
      <c r="TFN50" s="519"/>
      <c r="TFO50" s="519"/>
      <c r="TFP50" s="519"/>
      <c r="TFQ50" s="519"/>
      <c r="TFR50" s="519"/>
      <c r="TFS50" s="519"/>
      <c r="TFT50" s="519"/>
      <c r="TFU50" s="519"/>
      <c r="TFV50" s="519"/>
      <c r="TFW50" s="519"/>
      <c r="TFX50" s="519"/>
      <c r="TFY50" s="519"/>
      <c r="TFZ50" s="519"/>
      <c r="TGA50" s="519"/>
      <c r="TGB50" s="519"/>
      <c r="TGC50" s="519"/>
      <c r="TGD50" s="519"/>
      <c r="TGE50" s="519"/>
      <c r="TGF50" s="519"/>
      <c r="TGG50" s="519"/>
      <c r="TGH50" s="519"/>
      <c r="TGI50" s="519"/>
      <c r="TGJ50" s="519"/>
      <c r="TGK50" s="519"/>
      <c r="TGL50" s="519"/>
      <c r="TGM50" s="519"/>
      <c r="TGN50" s="519"/>
      <c r="TGO50" s="519"/>
      <c r="TGP50" s="519"/>
      <c r="TGQ50" s="519"/>
      <c r="TGR50" s="519"/>
      <c r="TGS50" s="519"/>
      <c r="TGT50" s="519"/>
      <c r="TGU50" s="519"/>
      <c r="TGV50" s="519"/>
      <c r="TGW50" s="519"/>
      <c r="TGX50" s="519"/>
      <c r="TGY50" s="519"/>
      <c r="TGZ50" s="519"/>
      <c r="THA50" s="519"/>
      <c r="THB50" s="519"/>
      <c r="THC50" s="519"/>
      <c r="THD50" s="519"/>
      <c r="THE50" s="519"/>
      <c r="THF50" s="519"/>
      <c r="THG50" s="519"/>
      <c r="THH50" s="519"/>
      <c r="THI50" s="519"/>
      <c r="THJ50" s="519"/>
      <c r="THK50" s="519"/>
      <c r="THL50" s="519"/>
      <c r="THM50" s="519"/>
      <c r="THN50" s="519"/>
      <c r="THO50" s="519"/>
      <c r="THP50" s="519"/>
      <c r="THQ50" s="519"/>
      <c r="THR50" s="519"/>
      <c r="THS50" s="519"/>
      <c r="THT50" s="519"/>
      <c r="THU50" s="519"/>
      <c r="THV50" s="519"/>
      <c r="THW50" s="519"/>
      <c r="THX50" s="519"/>
      <c r="THY50" s="519"/>
      <c r="THZ50" s="519"/>
      <c r="TIA50" s="519"/>
      <c r="TIB50" s="519"/>
      <c r="TIC50" s="519"/>
      <c r="TID50" s="519"/>
      <c r="TIE50" s="519"/>
      <c r="TIF50" s="519"/>
      <c r="TIG50" s="519"/>
      <c r="TIH50" s="519"/>
      <c r="TII50" s="519"/>
      <c r="TIJ50" s="519"/>
      <c r="TIK50" s="519"/>
      <c r="TIL50" s="519"/>
      <c r="TIM50" s="519"/>
      <c r="TIN50" s="519"/>
      <c r="TIO50" s="519"/>
      <c r="TIP50" s="519"/>
      <c r="TIQ50" s="519"/>
      <c r="TIR50" s="519"/>
      <c r="TIS50" s="519"/>
      <c r="TIT50" s="519"/>
      <c r="TIU50" s="519"/>
      <c r="TIV50" s="519"/>
      <c r="TIW50" s="519"/>
      <c r="TIX50" s="519"/>
      <c r="TIY50" s="519"/>
      <c r="TIZ50" s="519"/>
      <c r="TJA50" s="519"/>
      <c r="TJB50" s="519"/>
      <c r="TJC50" s="519"/>
      <c r="TJD50" s="519"/>
      <c r="TJE50" s="519"/>
      <c r="TJF50" s="519"/>
      <c r="TJG50" s="519"/>
      <c r="TJH50" s="519"/>
      <c r="TJI50" s="519"/>
      <c r="TJJ50" s="519"/>
      <c r="TJK50" s="519"/>
      <c r="TJL50" s="519"/>
      <c r="TJM50" s="519"/>
      <c r="TJN50" s="519"/>
      <c r="TJO50" s="519"/>
      <c r="TJP50" s="519"/>
      <c r="TJQ50" s="519"/>
      <c r="TJR50" s="519"/>
      <c r="TJS50" s="519"/>
      <c r="TJT50" s="519"/>
      <c r="TJU50" s="519"/>
      <c r="TJV50" s="519"/>
      <c r="TJW50" s="519"/>
      <c r="TJX50" s="519"/>
      <c r="TJY50" s="519"/>
      <c r="TJZ50" s="519"/>
      <c r="TKA50" s="519"/>
      <c r="TKB50" s="519"/>
      <c r="TKC50" s="519"/>
      <c r="TKD50" s="519"/>
      <c r="TKE50" s="519"/>
      <c r="TKF50" s="519"/>
      <c r="TKG50" s="519"/>
      <c r="TKH50" s="519"/>
      <c r="TKI50" s="519"/>
      <c r="TKJ50" s="519"/>
      <c r="TKK50" s="519"/>
      <c r="TKL50" s="519"/>
      <c r="TKM50" s="519"/>
      <c r="TKN50" s="519"/>
      <c r="TKO50" s="519"/>
      <c r="TKP50" s="519"/>
      <c r="TKQ50" s="519"/>
      <c r="TKR50" s="519"/>
      <c r="TKS50" s="519"/>
      <c r="TKT50" s="519"/>
      <c r="TKU50" s="519"/>
      <c r="TKV50" s="519"/>
      <c r="TKW50" s="519"/>
      <c r="TKX50" s="519"/>
      <c r="TKY50" s="519"/>
      <c r="TKZ50" s="519"/>
      <c r="TLA50" s="519"/>
      <c r="TLB50" s="519"/>
      <c r="TLC50" s="519"/>
      <c r="TLD50" s="519"/>
      <c r="TLE50" s="519"/>
      <c r="TLF50" s="519"/>
      <c r="TLG50" s="519"/>
      <c r="TLH50" s="519"/>
      <c r="TLI50" s="519"/>
      <c r="TLJ50" s="519"/>
      <c r="TLK50" s="519"/>
      <c r="TLL50" s="519"/>
      <c r="TLM50" s="519"/>
      <c r="TLN50" s="519"/>
      <c r="TLO50" s="519"/>
      <c r="TLP50" s="519"/>
      <c r="TLQ50" s="519"/>
      <c r="TLR50" s="519"/>
      <c r="TLS50" s="519"/>
      <c r="TLT50" s="519"/>
      <c r="TLU50" s="519"/>
      <c r="TLV50" s="519"/>
      <c r="TLW50" s="519"/>
      <c r="TLX50" s="519"/>
      <c r="TLY50" s="519"/>
      <c r="TLZ50" s="519"/>
      <c r="TMA50" s="519"/>
      <c r="TMB50" s="519"/>
      <c r="TMC50" s="519"/>
      <c r="TMD50" s="519"/>
      <c r="TME50" s="519"/>
      <c r="TMF50" s="519"/>
      <c r="TMG50" s="519"/>
      <c r="TMH50" s="519"/>
      <c r="TMI50" s="519"/>
      <c r="TMJ50" s="519"/>
      <c r="TMK50" s="519"/>
      <c r="TML50" s="519"/>
      <c r="TMM50" s="519"/>
      <c r="TMN50" s="519"/>
      <c r="TMO50" s="519"/>
      <c r="TMP50" s="519"/>
      <c r="TMQ50" s="519"/>
      <c r="TMR50" s="519"/>
      <c r="TMS50" s="519"/>
      <c r="TMT50" s="519"/>
      <c r="TMU50" s="519"/>
      <c r="TMV50" s="519"/>
      <c r="TMW50" s="519"/>
      <c r="TMX50" s="519"/>
      <c r="TMY50" s="519"/>
      <c r="TMZ50" s="519"/>
      <c r="TNA50" s="519"/>
      <c r="TNB50" s="519"/>
      <c r="TNC50" s="519"/>
      <c r="TND50" s="519"/>
      <c r="TNE50" s="519"/>
      <c r="TNF50" s="519"/>
      <c r="TNG50" s="519"/>
      <c r="TNH50" s="519"/>
      <c r="TNI50" s="519"/>
      <c r="TNJ50" s="519"/>
      <c r="TNK50" s="519"/>
      <c r="TNL50" s="519"/>
      <c r="TNM50" s="519"/>
      <c r="TNN50" s="519"/>
      <c r="TNO50" s="519"/>
      <c r="TNP50" s="519"/>
      <c r="TNQ50" s="519"/>
      <c r="TNR50" s="519"/>
      <c r="TNS50" s="519"/>
      <c r="TNT50" s="519"/>
      <c r="TNU50" s="519"/>
      <c r="TNV50" s="519"/>
      <c r="TNW50" s="519"/>
      <c r="TNX50" s="519"/>
      <c r="TNY50" s="519"/>
      <c r="TNZ50" s="519"/>
      <c r="TOA50" s="519"/>
      <c r="TOB50" s="519"/>
      <c r="TOC50" s="519"/>
      <c r="TOD50" s="519"/>
      <c r="TOE50" s="519"/>
      <c r="TOF50" s="519"/>
      <c r="TOG50" s="519"/>
      <c r="TOH50" s="519"/>
      <c r="TOI50" s="519"/>
      <c r="TOJ50" s="519"/>
      <c r="TOK50" s="519"/>
      <c r="TOL50" s="519"/>
      <c r="TOM50" s="519"/>
      <c r="TON50" s="519"/>
      <c r="TOO50" s="519"/>
      <c r="TOP50" s="519"/>
      <c r="TOQ50" s="519"/>
      <c r="TOR50" s="519"/>
      <c r="TOS50" s="519"/>
      <c r="TOT50" s="519"/>
      <c r="TOU50" s="519"/>
      <c r="TOV50" s="519"/>
      <c r="TOW50" s="519"/>
      <c r="TOX50" s="519"/>
      <c r="TOY50" s="519"/>
      <c r="TOZ50" s="519"/>
      <c r="TPA50" s="519"/>
      <c r="TPB50" s="519"/>
      <c r="TPC50" s="519"/>
      <c r="TPD50" s="519"/>
      <c r="TPE50" s="519"/>
      <c r="TPF50" s="519"/>
      <c r="TPG50" s="519"/>
      <c r="TPH50" s="519"/>
      <c r="TPI50" s="519"/>
      <c r="TPJ50" s="519"/>
      <c r="TPK50" s="519"/>
      <c r="TPL50" s="519"/>
      <c r="TPM50" s="519"/>
      <c r="TPN50" s="519"/>
      <c r="TPO50" s="519"/>
      <c r="TPP50" s="519"/>
      <c r="TPQ50" s="519"/>
      <c r="TPR50" s="519"/>
      <c r="TPS50" s="519"/>
      <c r="TPT50" s="519"/>
      <c r="TPU50" s="519"/>
      <c r="TPV50" s="519"/>
      <c r="TPW50" s="519"/>
      <c r="TPX50" s="519"/>
      <c r="TPY50" s="519"/>
      <c r="TPZ50" s="519"/>
      <c r="TQA50" s="519"/>
      <c r="TQB50" s="519"/>
      <c r="TQC50" s="519"/>
      <c r="TQD50" s="519"/>
      <c r="TQE50" s="519"/>
      <c r="TQF50" s="519"/>
      <c r="TQG50" s="519"/>
      <c r="TQH50" s="519"/>
      <c r="TQI50" s="519"/>
      <c r="TQJ50" s="519"/>
      <c r="TQK50" s="519"/>
      <c r="TQL50" s="519"/>
      <c r="TQM50" s="519"/>
      <c r="TQN50" s="519"/>
      <c r="TQO50" s="519"/>
      <c r="TQP50" s="519"/>
      <c r="TQQ50" s="519"/>
      <c r="TQR50" s="519"/>
      <c r="TQS50" s="519"/>
      <c r="TQT50" s="519"/>
      <c r="TQU50" s="519"/>
      <c r="TQV50" s="519"/>
      <c r="TQW50" s="519"/>
      <c r="TQX50" s="519"/>
      <c r="TQY50" s="519"/>
      <c r="TQZ50" s="519"/>
      <c r="TRA50" s="519"/>
      <c r="TRB50" s="519"/>
      <c r="TRC50" s="519"/>
      <c r="TRD50" s="519"/>
      <c r="TRE50" s="519"/>
      <c r="TRF50" s="519"/>
      <c r="TRG50" s="519"/>
      <c r="TRH50" s="519"/>
      <c r="TRI50" s="519"/>
      <c r="TRJ50" s="519"/>
      <c r="TRK50" s="519"/>
      <c r="TRL50" s="519"/>
      <c r="TRM50" s="519"/>
      <c r="TRN50" s="519"/>
      <c r="TRO50" s="519"/>
      <c r="TRP50" s="519"/>
      <c r="TRQ50" s="519"/>
      <c r="TRR50" s="519"/>
      <c r="TRS50" s="519"/>
      <c r="TRT50" s="519"/>
      <c r="TRU50" s="519"/>
      <c r="TRV50" s="519"/>
      <c r="TRW50" s="519"/>
      <c r="TRX50" s="519"/>
      <c r="TRY50" s="519"/>
      <c r="TRZ50" s="519"/>
      <c r="TSA50" s="519"/>
      <c r="TSB50" s="519"/>
      <c r="TSC50" s="519"/>
      <c r="TSD50" s="519"/>
      <c r="TSE50" s="519"/>
      <c r="TSF50" s="519"/>
      <c r="TSG50" s="519"/>
      <c r="TSH50" s="519"/>
      <c r="TSI50" s="519"/>
      <c r="TSJ50" s="519"/>
      <c r="TSK50" s="519"/>
      <c r="TSL50" s="519"/>
      <c r="TSM50" s="519"/>
      <c r="TSN50" s="519"/>
      <c r="TSO50" s="519"/>
      <c r="TSP50" s="519"/>
      <c r="TSQ50" s="519"/>
      <c r="TSR50" s="519"/>
      <c r="TSS50" s="519"/>
      <c r="TST50" s="519"/>
      <c r="TSU50" s="519"/>
      <c r="TSV50" s="519"/>
      <c r="TSW50" s="519"/>
      <c r="TSX50" s="519"/>
      <c r="TSY50" s="519"/>
      <c r="TSZ50" s="519"/>
      <c r="TTA50" s="519"/>
      <c r="TTB50" s="519"/>
      <c r="TTC50" s="519"/>
      <c r="TTD50" s="519"/>
      <c r="TTE50" s="519"/>
      <c r="TTF50" s="519"/>
      <c r="TTG50" s="519"/>
      <c r="TTH50" s="519"/>
      <c r="TTI50" s="519"/>
      <c r="TTJ50" s="519"/>
      <c r="TTK50" s="519"/>
      <c r="TTL50" s="519"/>
      <c r="TTM50" s="519"/>
      <c r="TTN50" s="519"/>
      <c r="TTO50" s="519"/>
      <c r="TTP50" s="519"/>
      <c r="TTQ50" s="519"/>
      <c r="TTR50" s="519"/>
      <c r="TTS50" s="519"/>
      <c r="TTT50" s="519"/>
      <c r="TTU50" s="519"/>
      <c r="TTV50" s="519"/>
      <c r="TTW50" s="519"/>
      <c r="TTX50" s="519"/>
      <c r="TTY50" s="519"/>
      <c r="TTZ50" s="519"/>
      <c r="TUA50" s="519"/>
      <c r="TUB50" s="519"/>
      <c r="TUC50" s="519"/>
      <c r="TUD50" s="519"/>
      <c r="TUE50" s="519"/>
      <c r="TUF50" s="519"/>
      <c r="TUG50" s="519"/>
      <c r="TUH50" s="519"/>
      <c r="TUI50" s="519"/>
      <c r="TUJ50" s="519"/>
      <c r="TUK50" s="519"/>
      <c r="TUL50" s="519"/>
      <c r="TUM50" s="519"/>
      <c r="TUN50" s="519"/>
      <c r="TUO50" s="519"/>
      <c r="TUP50" s="519"/>
      <c r="TUQ50" s="519"/>
      <c r="TUR50" s="519"/>
      <c r="TUS50" s="519"/>
      <c r="TUT50" s="519"/>
      <c r="TUU50" s="519"/>
      <c r="TUV50" s="519"/>
      <c r="TUW50" s="519"/>
      <c r="TUX50" s="519"/>
      <c r="TUY50" s="519"/>
      <c r="TUZ50" s="519"/>
      <c r="TVA50" s="519"/>
      <c r="TVB50" s="519"/>
      <c r="TVC50" s="519"/>
      <c r="TVD50" s="519"/>
      <c r="TVE50" s="519"/>
      <c r="TVF50" s="519"/>
      <c r="TVG50" s="519"/>
      <c r="TVH50" s="519"/>
      <c r="TVI50" s="519"/>
      <c r="TVJ50" s="519"/>
      <c r="TVK50" s="519"/>
      <c r="TVL50" s="519"/>
      <c r="TVM50" s="519"/>
      <c r="TVN50" s="519"/>
      <c r="TVO50" s="519"/>
      <c r="TVP50" s="519"/>
      <c r="TVQ50" s="519"/>
      <c r="TVR50" s="519"/>
      <c r="TVS50" s="519"/>
      <c r="TVT50" s="519"/>
      <c r="TVU50" s="519"/>
      <c r="TVV50" s="519"/>
      <c r="TVW50" s="519"/>
      <c r="TVX50" s="519"/>
      <c r="TVY50" s="519"/>
      <c r="TVZ50" s="519"/>
      <c r="TWA50" s="519"/>
      <c r="TWB50" s="519"/>
      <c r="TWC50" s="519"/>
      <c r="TWD50" s="519"/>
      <c r="TWE50" s="519"/>
      <c r="TWF50" s="519"/>
      <c r="TWG50" s="519"/>
      <c r="TWH50" s="519"/>
      <c r="TWI50" s="519"/>
      <c r="TWJ50" s="519"/>
      <c r="TWK50" s="519"/>
      <c r="TWL50" s="519"/>
      <c r="TWM50" s="519"/>
      <c r="TWN50" s="519"/>
      <c r="TWO50" s="519"/>
      <c r="TWP50" s="519"/>
      <c r="TWQ50" s="519"/>
      <c r="TWR50" s="519"/>
      <c r="TWS50" s="519"/>
      <c r="TWT50" s="519"/>
      <c r="TWU50" s="519"/>
      <c r="TWV50" s="519"/>
      <c r="TWW50" s="519"/>
      <c r="TWX50" s="519"/>
      <c r="TWY50" s="519"/>
      <c r="TWZ50" s="519"/>
      <c r="TXA50" s="519"/>
      <c r="TXB50" s="519"/>
      <c r="TXC50" s="519"/>
      <c r="TXD50" s="519"/>
      <c r="TXE50" s="519"/>
      <c r="TXF50" s="519"/>
      <c r="TXG50" s="519"/>
      <c r="TXH50" s="519"/>
      <c r="TXI50" s="519"/>
      <c r="TXJ50" s="519"/>
      <c r="TXK50" s="519"/>
      <c r="TXL50" s="519"/>
      <c r="TXM50" s="519"/>
      <c r="TXN50" s="519"/>
      <c r="TXO50" s="519"/>
      <c r="TXP50" s="519"/>
      <c r="TXQ50" s="519"/>
      <c r="TXR50" s="519"/>
      <c r="TXS50" s="519"/>
      <c r="TXT50" s="519"/>
      <c r="TXU50" s="519"/>
      <c r="TXV50" s="519"/>
      <c r="TXW50" s="519"/>
      <c r="TXX50" s="519"/>
      <c r="TXY50" s="519"/>
      <c r="TXZ50" s="519"/>
      <c r="TYA50" s="519"/>
      <c r="TYB50" s="519"/>
      <c r="TYC50" s="519"/>
      <c r="TYD50" s="519"/>
      <c r="TYE50" s="519"/>
      <c r="TYF50" s="519"/>
      <c r="TYG50" s="519"/>
      <c r="TYH50" s="519"/>
      <c r="TYI50" s="519"/>
      <c r="TYJ50" s="519"/>
      <c r="TYK50" s="519"/>
      <c r="TYL50" s="519"/>
      <c r="TYM50" s="519"/>
      <c r="TYN50" s="519"/>
      <c r="TYO50" s="519"/>
      <c r="TYP50" s="519"/>
      <c r="TYQ50" s="519"/>
      <c r="TYR50" s="519"/>
      <c r="TYS50" s="519"/>
      <c r="TYT50" s="519"/>
      <c r="TYU50" s="519"/>
      <c r="TYV50" s="519"/>
      <c r="TYW50" s="519"/>
      <c r="TYX50" s="519"/>
      <c r="TYY50" s="519"/>
      <c r="TYZ50" s="519"/>
      <c r="TZA50" s="519"/>
      <c r="TZB50" s="519"/>
      <c r="TZC50" s="519"/>
      <c r="TZD50" s="519"/>
      <c r="TZE50" s="519"/>
      <c r="TZF50" s="519"/>
      <c r="TZG50" s="519"/>
      <c r="TZH50" s="519"/>
      <c r="TZI50" s="519"/>
      <c r="TZJ50" s="519"/>
      <c r="TZK50" s="519"/>
      <c r="TZL50" s="519"/>
      <c r="TZM50" s="519"/>
      <c r="TZN50" s="519"/>
      <c r="TZO50" s="519"/>
      <c r="TZP50" s="519"/>
      <c r="TZQ50" s="519"/>
      <c r="TZR50" s="519"/>
      <c r="TZS50" s="519"/>
      <c r="TZT50" s="519"/>
      <c r="TZU50" s="519"/>
      <c r="TZV50" s="519"/>
      <c r="TZW50" s="519"/>
      <c r="TZX50" s="519"/>
      <c r="TZY50" s="519"/>
      <c r="TZZ50" s="519"/>
      <c r="UAA50" s="519"/>
      <c r="UAB50" s="519"/>
      <c r="UAC50" s="519"/>
      <c r="UAD50" s="519"/>
      <c r="UAE50" s="519"/>
      <c r="UAF50" s="519"/>
      <c r="UAG50" s="519"/>
      <c r="UAH50" s="519"/>
      <c r="UAI50" s="519"/>
      <c r="UAJ50" s="519"/>
      <c r="UAK50" s="519"/>
      <c r="UAL50" s="519"/>
      <c r="UAM50" s="519"/>
      <c r="UAN50" s="519"/>
      <c r="UAO50" s="519"/>
      <c r="UAP50" s="519"/>
      <c r="UAQ50" s="519"/>
      <c r="UAR50" s="519"/>
      <c r="UAS50" s="519"/>
      <c r="UAT50" s="519"/>
      <c r="UAU50" s="519"/>
      <c r="UAV50" s="519"/>
      <c r="UAW50" s="519"/>
      <c r="UAX50" s="519"/>
      <c r="UAY50" s="519"/>
      <c r="UAZ50" s="519"/>
      <c r="UBA50" s="519"/>
      <c r="UBB50" s="519"/>
      <c r="UBC50" s="519"/>
      <c r="UBD50" s="519"/>
      <c r="UBE50" s="519"/>
      <c r="UBF50" s="519"/>
      <c r="UBG50" s="519"/>
      <c r="UBH50" s="519"/>
      <c r="UBI50" s="519"/>
      <c r="UBJ50" s="519"/>
      <c r="UBK50" s="519"/>
      <c r="UBL50" s="519"/>
      <c r="UBM50" s="519"/>
      <c r="UBN50" s="519"/>
      <c r="UBO50" s="519"/>
      <c r="UBP50" s="519"/>
      <c r="UBQ50" s="519"/>
      <c r="UBR50" s="519"/>
      <c r="UBS50" s="519"/>
      <c r="UBT50" s="519"/>
      <c r="UBU50" s="519"/>
      <c r="UBV50" s="519"/>
      <c r="UBW50" s="519"/>
      <c r="UBX50" s="519"/>
      <c r="UBY50" s="519"/>
      <c r="UBZ50" s="519"/>
      <c r="UCA50" s="519"/>
      <c r="UCB50" s="519"/>
      <c r="UCC50" s="519"/>
      <c r="UCD50" s="519"/>
      <c r="UCE50" s="519"/>
      <c r="UCF50" s="519"/>
      <c r="UCG50" s="519"/>
      <c r="UCH50" s="519"/>
      <c r="UCI50" s="519"/>
      <c r="UCJ50" s="519"/>
      <c r="UCK50" s="519"/>
      <c r="UCL50" s="519"/>
      <c r="UCM50" s="519"/>
      <c r="UCN50" s="519"/>
      <c r="UCO50" s="519"/>
      <c r="UCP50" s="519"/>
      <c r="UCQ50" s="519"/>
      <c r="UCR50" s="519"/>
      <c r="UCS50" s="519"/>
      <c r="UCT50" s="519"/>
      <c r="UCU50" s="519"/>
      <c r="UCV50" s="519"/>
      <c r="UCW50" s="519"/>
      <c r="UCX50" s="519"/>
      <c r="UCY50" s="519"/>
      <c r="UCZ50" s="519"/>
      <c r="UDA50" s="519"/>
      <c r="UDB50" s="519"/>
      <c r="UDC50" s="519"/>
      <c r="UDD50" s="519"/>
      <c r="UDE50" s="519"/>
      <c r="UDF50" s="519"/>
      <c r="UDG50" s="519"/>
      <c r="UDH50" s="519"/>
      <c r="UDI50" s="519"/>
      <c r="UDJ50" s="519"/>
      <c r="UDK50" s="519"/>
      <c r="UDL50" s="519"/>
      <c r="UDM50" s="519"/>
      <c r="UDN50" s="519"/>
      <c r="UDO50" s="519"/>
      <c r="UDP50" s="519"/>
      <c r="UDQ50" s="519"/>
      <c r="UDR50" s="519"/>
      <c r="UDS50" s="519"/>
      <c r="UDT50" s="519"/>
      <c r="UDU50" s="519"/>
      <c r="UDV50" s="519"/>
      <c r="UDW50" s="519"/>
      <c r="UDX50" s="519"/>
      <c r="UDY50" s="519"/>
      <c r="UDZ50" s="519"/>
      <c r="UEA50" s="519"/>
      <c r="UEB50" s="519"/>
      <c r="UEC50" s="519"/>
      <c r="UED50" s="519"/>
      <c r="UEE50" s="519"/>
      <c r="UEF50" s="519"/>
      <c r="UEG50" s="519"/>
      <c r="UEH50" s="519"/>
      <c r="UEI50" s="519"/>
      <c r="UEJ50" s="519"/>
      <c r="UEK50" s="519"/>
      <c r="UEL50" s="519"/>
      <c r="UEM50" s="519"/>
      <c r="UEN50" s="519"/>
      <c r="UEO50" s="519"/>
      <c r="UEP50" s="519"/>
      <c r="UEQ50" s="519"/>
      <c r="UER50" s="519"/>
      <c r="UES50" s="519"/>
      <c r="UET50" s="519"/>
      <c r="UEU50" s="519"/>
      <c r="UEV50" s="519"/>
      <c r="UEW50" s="519"/>
      <c r="UEX50" s="519"/>
      <c r="UEY50" s="519"/>
      <c r="UEZ50" s="519"/>
      <c r="UFA50" s="519"/>
      <c r="UFB50" s="519"/>
      <c r="UFC50" s="519"/>
      <c r="UFD50" s="519"/>
      <c r="UFE50" s="519"/>
      <c r="UFF50" s="519"/>
      <c r="UFG50" s="519"/>
      <c r="UFH50" s="519"/>
      <c r="UFI50" s="519"/>
      <c r="UFJ50" s="519"/>
      <c r="UFK50" s="519"/>
      <c r="UFL50" s="519"/>
      <c r="UFM50" s="519"/>
      <c r="UFN50" s="519"/>
      <c r="UFO50" s="519"/>
      <c r="UFP50" s="519"/>
      <c r="UFQ50" s="519"/>
      <c r="UFR50" s="519"/>
      <c r="UFS50" s="519"/>
      <c r="UFT50" s="519"/>
      <c r="UFU50" s="519"/>
      <c r="UFV50" s="519"/>
      <c r="UFW50" s="519"/>
      <c r="UFX50" s="519"/>
      <c r="UFY50" s="519"/>
      <c r="UFZ50" s="519"/>
      <c r="UGA50" s="519"/>
      <c r="UGB50" s="519"/>
      <c r="UGC50" s="519"/>
      <c r="UGD50" s="519"/>
      <c r="UGE50" s="519"/>
      <c r="UGF50" s="519"/>
      <c r="UGG50" s="519"/>
      <c r="UGH50" s="519"/>
      <c r="UGI50" s="519"/>
      <c r="UGJ50" s="519"/>
      <c r="UGK50" s="519"/>
      <c r="UGL50" s="519"/>
      <c r="UGM50" s="519"/>
      <c r="UGN50" s="519"/>
      <c r="UGO50" s="519"/>
      <c r="UGP50" s="519"/>
      <c r="UGQ50" s="519"/>
      <c r="UGR50" s="519"/>
      <c r="UGS50" s="519"/>
      <c r="UGT50" s="519"/>
      <c r="UGU50" s="519"/>
      <c r="UGV50" s="519"/>
      <c r="UGW50" s="519"/>
      <c r="UGX50" s="519"/>
      <c r="UGY50" s="519"/>
      <c r="UGZ50" s="519"/>
      <c r="UHA50" s="519"/>
      <c r="UHB50" s="519"/>
      <c r="UHC50" s="519"/>
      <c r="UHD50" s="519"/>
      <c r="UHE50" s="519"/>
      <c r="UHF50" s="519"/>
      <c r="UHG50" s="519"/>
      <c r="UHH50" s="519"/>
      <c r="UHI50" s="519"/>
      <c r="UHJ50" s="519"/>
      <c r="UHK50" s="519"/>
      <c r="UHL50" s="519"/>
      <c r="UHM50" s="519"/>
      <c r="UHN50" s="519"/>
      <c r="UHO50" s="519"/>
      <c r="UHP50" s="519"/>
      <c r="UHQ50" s="519"/>
      <c r="UHR50" s="519"/>
      <c r="UHS50" s="519"/>
      <c r="UHT50" s="519"/>
      <c r="UHU50" s="519"/>
      <c r="UHV50" s="519"/>
      <c r="UHW50" s="519"/>
      <c r="UHX50" s="519"/>
      <c r="UHY50" s="519"/>
      <c r="UHZ50" s="519"/>
      <c r="UIA50" s="519"/>
      <c r="UIB50" s="519"/>
      <c r="UIC50" s="519"/>
      <c r="UID50" s="519"/>
      <c r="UIE50" s="519"/>
      <c r="UIF50" s="519"/>
      <c r="UIG50" s="519"/>
      <c r="UIH50" s="519"/>
      <c r="UII50" s="519"/>
      <c r="UIJ50" s="519"/>
      <c r="UIK50" s="519"/>
      <c r="UIL50" s="519"/>
      <c r="UIM50" s="519"/>
      <c r="UIN50" s="519"/>
      <c r="UIO50" s="519"/>
      <c r="UIP50" s="519"/>
      <c r="UIQ50" s="519"/>
      <c r="UIR50" s="519"/>
      <c r="UIS50" s="519"/>
      <c r="UIT50" s="519"/>
      <c r="UIU50" s="519"/>
      <c r="UIV50" s="519"/>
      <c r="UIW50" s="519"/>
      <c r="UIX50" s="519"/>
      <c r="UIY50" s="519"/>
      <c r="UIZ50" s="519"/>
      <c r="UJA50" s="519"/>
      <c r="UJB50" s="519"/>
      <c r="UJC50" s="519"/>
      <c r="UJD50" s="519"/>
      <c r="UJE50" s="519"/>
      <c r="UJF50" s="519"/>
      <c r="UJG50" s="519"/>
      <c r="UJH50" s="519"/>
      <c r="UJI50" s="519"/>
      <c r="UJJ50" s="519"/>
      <c r="UJK50" s="519"/>
      <c r="UJL50" s="519"/>
      <c r="UJM50" s="519"/>
      <c r="UJN50" s="519"/>
      <c r="UJO50" s="519"/>
      <c r="UJP50" s="519"/>
      <c r="UJQ50" s="519"/>
      <c r="UJR50" s="519"/>
      <c r="UJS50" s="519"/>
      <c r="UJT50" s="519"/>
      <c r="UJU50" s="519"/>
      <c r="UJV50" s="519"/>
      <c r="UJW50" s="519"/>
      <c r="UJX50" s="519"/>
      <c r="UJY50" s="519"/>
      <c r="UJZ50" s="519"/>
      <c r="UKA50" s="519"/>
      <c r="UKB50" s="519"/>
      <c r="UKC50" s="519"/>
      <c r="UKD50" s="519"/>
      <c r="UKE50" s="519"/>
      <c r="UKF50" s="519"/>
      <c r="UKG50" s="519"/>
      <c r="UKH50" s="519"/>
      <c r="UKI50" s="519"/>
      <c r="UKJ50" s="519"/>
      <c r="UKK50" s="519"/>
      <c r="UKL50" s="519"/>
      <c r="UKM50" s="519"/>
      <c r="UKN50" s="519"/>
      <c r="UKO50" s="519"/>
      <c r="UKP50" s="519"/>
      <c r="UKQ50" s="519"/>
      <c r="UKR50" s="519"/>
      <c r="UKS50" s="519"/>
      <c r="UKT50" s="519"/>
      <c r="UKU50" s="519"/>
      <c r="UKV50" s="519"/>
      <c r="UKW50" s="519"/>
      <c r="UKX50" s="519"/>
      <c r="UKY50" s="519"/>
      <c r="UKZ50" s="519"/>
      <c r="ULA50" s="519"/>
      <c r="ULB50" s="519"/>
      <c r="ULC50" s="519"/>
      <c r="ULD50" s="519"/>
      <c r="ULE50" s="519"/>
      <c r="ULF50" s="519"/>
      <c r="ULG50" s="519"/>
      <c r="ULH50" s="519"/>
      <c r="ULI50" s="519"/>
      <c r="ULJ50" s="519"/>
      <c r="ULK50" s="519"/>
      <c r="ULL50" s="519"/>
      <c r="ULM50" s="519"/>
      <c r="ULN50" s="519"/>
      <c r="ULO50" s="519"/>
      <c r="ULP50" s="519"/>
      <c r="ULQ50" s="519"/>
      <c r="ULR50" s="519"/>
      <c r="ULS50" s="519"/>
      <c r="ULT50" s="519"/>
      <c r="ULU50" s="519"/>
      <c r="ULV50" s="519"/>
      <c r="ULW50" s="519"/>
      <c r="ULX50" s="519"/>
      <c r="ULY50" s="519"/>
      <c r="ULZ50" s="519"/>
      <c r="UMA50" s="519"/>
      <c r="UMB50" s="519"/>
      <c r="UMC50" s="519"/>
      <c r="UMD50" s="519"/>
      <c r="UME50" s="519"/>
      <c r="UMF50" s="519"/>
      <c r="UMG50" s="519"/>
      <c r="UMH50" s="519"/>
      <c r="UMI50" s="519"/>
      <c r="UMJ50" s="519"/>
      <c r="UMK50" s="519"/>
      <c r="UML50" s="519"/>
      <c r="UMM50" s="519"/>
      <c r="UMN50" s="519"/>
      <c r="UMO50" s="519"/>
      <c r="UMP50" s="519"/>
      <c r="UMQ50" s="519"/>
      <c r="UMR50" s="519"/>
      <c r="UMS50" s="519"/>
      <c r="UMT50" s="519"/>
      <c r="UMU50" s="519"/>
      <c r="UMV50" s="519"/>
      <c r="UMW50" s="519"/>
      <c r="UMX50" s="519"/>
      <c r="UMY50" s="519"/>
      <c r="UMZ50" s="519"/>
      <c r="UNA50" s="519"/>
      <c r="UNB50" s="519"/>
      <c r="UNC50" s="519"/>
      <c r="UND50" s="519"/>
      <c r="UNE50" s="519"/>
      <c r="UNF50" s="519"/>
      <c r="UNG50" s="519"/>
      <c r="UNH50" s="519"/>
      <c r="UNI50" s="519"/>
      <c r="UNJ50" s="519"/>
      <c r="UNK50" s="519"/>
      <c r="UNL50" s="519"/>
      <c r="UNM50" s="519"/>
      <c r="UNN50" s="519"/>
      <c r="UNO50" s="519"/>
      <c r="UNP50" s="519"/>
      <c r="UNQ50" s="519"/>
      <c r="UNR50" s="519"/>
      <c r="UNS50" s="519"/>
      <c r="UNT50" s="519"/>
      <c r="UNU50" s="519"/>
      <c r="UNV50" s="519"/>
      <c r="UNW50" s="519"/>
      <c r="UNX50" s="519"/>
      <c r="UNY50" s="519"/>
      <c r="UNZ50" s="519"/>
      <c r="UOA50" s="519"/>
      <c r="UOB50" s="519"/>
      <c r="UOC50" s="519"/>
      <c r="UOD50" s="519"/>
      <c r="UOE50" s="519"/>
      <c r="UOF50" s="519"/>
      <c r="UOG50" s="519"/>
      <c r="UOH50" s="519"/>
      <c r="UOI50" s="519"/>
      <c r="UOJ50" s="519"/>
      <c r="UOK50" s="519"/>
      <c r="UOL50" s="519"/>
      <c r="UOM50" s="519"/>
      <c r="UON50" s="519"/>
      <c r="UOO50" s="519"/>
      <c r="UOP50" s="519"/>
      <c r="UOQ50" s="519"/>
      <c r="UOR50" s="519"/>
      <c r="UOS50" s="519"/>
      <c r="UOT50" s="519"/>
      <c r="UOU50" s="519"/>
      <c r="UOV50" s="519"/>
      <c r="UOW50" s="519"/>
      <c r="UOX50" s="519"/>
      <c r="UOY50" s="519"/>
      <c r="UOZ50" s="519"/>
      <c r="UPA50" s="519"/>
      <c r="UPB50" s="519"/>
      <c r="UPC50" s="519"/>
      <c r="UPD50" s="519"/>
      <c r="UPE50" s="519"/>
      <c r="UPF50" s="519"/>
      <c r="UPG50" s="519"/>
      <c r="UPH50" s="519"/>
      <c r="UPI50" s="519"/>
      <c r="UPJ50" s="519"/>
      <c r="UPK50" s="519"/>
      <c r="UPL50" s="519"/>
      <c r="UPM50" s="519"/>
      <c r="UPN50" s="519"/>
      <c r="UPO50" s="519"/>
      <c r="UPP50" s="519"/>
      <c r="UPQ50" s="519"/>
      <c r="UPR50" s="519"/>
      <c r="UPS50" s="519"/>
      <c r="UPT50" s="519"/>
      <c r="UPU50" s="519"/>
      <c r="UPV50" s="519"/>
      <c r="UPW50" s="519"/>
      <c r="UPX50" s="519"/>
      <c r="UPY50" s="519"/>
      <c r="UPZ50" s="519"/>
      <c r="UQA50" s="519"/>
      <c r="UQB50" s="519"/>
      <c r="UQC50" s="519"/>
      <c r="UQD50" s="519"/>
      <c r="UQE50" s="519"/>
      <c r="UQF50" s="519"/>
      <c r="UQG50" s="519"/>
      <c r="UQH50" s="519"/>
      <c r="UQI50" s="519"/>
      <c r="UQJ50" s="519"/>
      <c r="UQK50" s="519"/>
      <c r="UQL50" s="519"/>
      <c r="UQM50" s="519"/>
      <c r="UQN50" s="519"/>
      <c r="UQO50" s="519"/>
      <c r="UQP50" s="519"/>
      <c r="UQQ50" s="519"/>
      <c r="UQR50" s="519"/>
      <c r="UQS50" s="519"/>
      <c r="UQT50" s="519"/>
      <c r="UQU50" s="519"/>
      <c r="UQV50" s="519"/>
      <c r="UQW50" s="519"/>
      <c r="UQX50" s="519"/>
      <c r="UQY50" s="519"/>
      <c r="UQZ50" s="519"/>
      <c r="URA50" s="519"/>
      <c r="URB50" s="519"/>
      <c r="URC50" s="519"/>
      <c r="URD50" s="519"/>
      <c r="URE50" s="519"/>
      <c r="URF50" s="519"/>
      <c r="URG50" s="519"/>
      <c r="URH50" s="519"/>
      <c r="URI50" s="519"/>
      <c r="URJ50" s="519"/>
      <c r="URK50" s="519"/>
      <c r="URL50" s="519"/>
      <c r="URM50" s="519"/>
      <c r="URN50" s="519"/>
      <c r="URO50" s="519"/>
      <c r="URP50" s="519"/>
      <c r="URQ50" s="519"/>
      <c r="URR50" s="519"/>
      <c r="URS50" s="519"/>
      <c r="URT50" s="519"/>
      <c r="URU50" s="519"/>
      <c r="URV50" s="519"/>
      <c r="URW50" s="519"/>
      <c r="URX50" s="519"/>
      <c r="URY50" s="519"/>
      <c r="URZ50" s="519"/>
      <c r="USA50" s="519"/>
      <c r="USB50" s="519"/>
      <c r="USC50" s="519"/>
      <c r="USD50" s="519"/>
      <c r="USE50" s="519"/>
      <c r="USF50" s="519"/>
      <c r="USG50" s="519"/>
      <c r="USH50" s="519"/>
      <c r="USI50" s="519"/>
      <c r="USJ50" s="519"/>
      <c r="USK50" s="519"/>
      <c r="USL50" s="519"/>
      <c r="USM50" s="519"/>
      <c r="USN50" s="519"/>
      <c r="USO50" s="519"/>
      <c r="USP50" s="519"/>
      <c r="USQ50" s="519"/>
      <c r="USR50" s="519"/>
      <c r="USS50" s="519"/>
      <c r="UST50" s="519"/>
      <c r="USU50" s="519"/>
      <c r="USV50" s="519"/>
      <c r="USW50" s="519"/>
      <c r="USX50" s="519"/>
      <c r="USY50" s="519"/>
      <c r="USZ50" s="519"/>
      <c r="UTA50" s="519"/>
      <c r="UTB50" s="519"/>
      <c r="UTC50" s="519"/>
      <c r="UTD50" s="519"/>
      <c r="UTE50" s="519"/>
      <c r="UTF50" s="519"/>
      <c r="UTG50" s="519"/>
      <c r="UTH50" s="519"/>
      <c r="UTI50" s="519"/>
      <c r="UTJ50" s="519"/>
      <c r="UTK50" s="519"/>
      <c r="UTL50" s="519"/>
      <c r="UTM50" s="519"/>
      <c r="UTN50" s="519"/>
      <c r="UTO50" s="519"/>
      <c r="UTP50" s="519"/>
      <c r="UTQ50" s="519"/>
      <c r="UTR50" s="519"/>
      <c r="UTS50" s="519"/>
      <c r="UTT50" s="519"/>
      <c r="UTU50" s="519"/>
      <c r="UTV50" s="519"/>
      <c r="UTW50" s="519"/>
      <c r="UTX50" s="519"/>
      <c r="UTY50" s="519"/>
      <c r="UTZ50" s="519"/>
      <c r="UUA50" s="519"/>
      <c r="UUB50" s="519"/>
      <c r="UUC50" s="519"/>
      <c r="UUD50" s="519"/>
      <c r="UUE50" s="519"/>
      <c r="UUF50" s="519"/>
      <c r="UUG50" s="519"/>
      <c r="UUH50" s="519"/>
      <c r="UUI50" s="519"/>
      <c r="UUJ50" s="519"/>
      <c r="UUK50" s="519"/>
      <c r="UUL50" s="519"/>
      <c r="UUM50" s="519"/>
      <c r="UUN50" s="519"/>
      <c r="UUO50" s="519"/>
      <c r="UUP50" s="519"/>
      <c r="UUQ50" s="519"/>
      <c r="UUR50" s="519"/>
      <c r="UUS50" s="519"/>
      <c r="UUT50" s="519"/>
      <c r="UUU50" s="519"/>
      <c r="UUV50" s="519"/>
      <c r="UUW50" s="519"/>
      <c r="UUX50" s="519"/>
      <c r="UUY50" s="519"/>
      <c r="UUZ50" s="519"/>
      <c r="UVA50" s="519"/>
      <c r="UVB50" s="519"/>
      <c r="UVC50" s="519"/>
      <c r="UVD50" s="519"/>
      <c r="UVE50" s="519"/>
      <c r="UVF50" s="519"/>
      <c r="UVG50" s="519"/>
      <c r="UVH50" s="519"/>
      <c r="UVI50" s="519"/>
      <c r="UVJ50" s="519"/>
      <c r="UVK50" s="519"/>
      <c r="UVL50" s="519"/>
      <c r="UVM50" s="519"/>
      <c r="UVN50" s="519"/>
      <c r="UVO50" s="519"/>
      <c r="UVP50" s="519"/>
      <c r="UVQ50" s="519"/>
      <c r="UVR50" s="519"/>
      <c r="UVS50" s="519"/>
      <c r="UVT50" s="519"/>
      <c r="UVU50" s="519"/>
      <c r="UVV50" s="519"/>
      <c r="UVW50" s="519"/>
      <c r="UVX50" s="519"/>
      <c r="UVY50" s="519"/>
      <c r="UVZ50" s="519"/>
      <c r="UWA50" s="519"/>
      <c r="UWB50" s="519"/>
      <c r="UWC50" s="519"/>
      <c r="UWD50" s="519"/>
      <c r="UWE50" s="519"/>
      <c r="UWF50" s="519"/>
      <c r="UWG50" s="519"/>
      <c r="UWH50" s="519"/>
      <c r="UWI50" s="519"/>
      <c r="UWJ50" s="519"/>
      <c r="UWK50" s="519"/>
      <c r="UWL50" s="519"/>
      <c r="UWM50" s="519"/>
      <c r="UWN50" s="519"/>
      <c r="UWO50" s="519"/>
      <c r="UWP50" s="519"/>
      <c r="UWQ50" s="519"/>
      <c r="UWR50" s="519"/>
      <c r="UWS50" s="519"/>
      <c r="UWT50" s="519"/>
      <c r="UWU50" s="519"/>
      <c r="UWV50" s="519"/>
      <c r="UWW50" s="519"/>
      <c r="UWX50" s="519"/>
      <c r="UWY50" s="519"/>
      <c r="UWZ50" s="519"/>
      <c r="UXA50" s="519"/>
      <c r="UXB50" s="519"/>
      <c r="UXC50" s="519"/>
      <c r="UXD50" s="519"/>
      <c r="UXE50" s="519"/>
      <c r="UXF50" s="519"/>
      <c r="UXG50" s="519"/>
      <c r="UXH50" s="519"/>
      <c r="UXI50" s="519"/>
      <c r="UXJ50" s="519"/>
      <c r="UXK50" s="519"/>
      <c r="UXL50" s="519"/>
      <c r="UXM50" s="519"/>
      <c r="UXN50" s="519"/>
      <c r="UXO50" s="519"/>
      <c r="UXP50" s="519"/>
      <c r="UXQ50" s="519"/>
      <c r="UXR50" s="519"/>
      <c r="UXS50" s="519"/>
      <c r="UXT50" s="519"/>
      <c r="UXU50" s="519"/>
      <c r="UXV50" s="519"/>
      <c r="UXW50" s="519"/>
      <c r="UXX50" s="519"/>
      <c r="UXY50" s="519"/>
      <c r="UXZ50" s="519"/>
      <c r="UYA50" s="519"/>
      <c r="UYB50" s="519"/>
      <c r="UYC50" s="519"/>
      <c r="UYD50" s="519"/>
      <c r="UYE50" s="519"/>
      <c r="UYF50" s="519"/>
      <c r="UYG50" s="519"/>
      <c r="UYH50" s="519"/>
      <c r="UYI50" s="519"/>
      <c r="UYJ50" s="519"/>
      <c r="UYK50" s="519"/>
      <c r="UYL50" s="519"/>
      <c r="UYM50" s="519"/>
      <c r="UYN50" s="519"/>
      <c r="UYO50" s="519"/>
      <c r="UYP50" s="519"/>
      <c r="UYQ50" s="519"/>
      <c r="UYR50" s="519"/>
      <c r="UYS50" s="519"/>
      <c r="UYT50" s="519"/>
      <c r="UYU50" s="519"/>
      <c r="UYV50" s="519"/>
      <c r="UYW50" s="519"/>
      <c r="UYX50" s="519"/>
      <c r="UYY50" s="519"/>
      <c r="UYZ50" s="519"/>
      <c r="UZA50" s="519"/>
      <c r="UZB50" s="519"/>
      <c r="UZC50" s="519"/>
      <c r="UZD50" s="519"/>
      <c r="UZE50" s="519"/>
      <c r="UZF50" s="519"/>
      <c r="UZG50" s="519"/>
      <c r="UZH50" s="519"/>
      <c r="UZI50" s="519"/>
      <c r="UZJ50" s="519"/>
      <c r="UZK50" s="519"/>
      <c r="UZL50" s="519"/>
      <c r="UZM50" s="519"/>
      <c r="UZN50" s="519"/>
      <c r="UZO50" s="519"/>
      <c r="UZP50" s="519"/>
      <c r="UZQ50" s="519"/>
      <c r="UZR50" s="519"/>
      <c r="UZS50" s="519"/>
      <c r="UZT50" s="519"/>
      <c r="UZU50" s="519"/>
      <c r="UZV50" s="519"/>
      <c r="UZW50" s="519"/>
      <c r="UZX50" s="519"/>
      <c r="UZY50" s="519"/>
      <c r="UZZ50" s="519"/>
      <c r="VAA50" s="519"/>
      <c r="VAB50" s="519"/>
      <c r="VAC50" s="519"/>
      <c r="VAD50" s="519"/>
      <c r="VAE50" s="519"/>
      <c r="VAF50" s="519"/>
      <c r="VAG50" s="519"/>
      <c r="VAH50" s="519"/>
      <c r="VAI50" s="519"/>
      <c r="VAJ50" s="519"/>
      <c r="VAK50" s="519"/>
      <c r="VAL50" s="519"/>
      <c r="VAM50" s="519"/>
      <c r="VAN50" s="519"/>
      <c r="VAO50" s="519"/>
      <c r="VAP50" s="519"/>
      <c r="VAQ50" s="519"/>
      <c r="VAR50" s="519"/>
      <c r="VAS50" s="519"/>
      <c r="VAT50" s="519"/>
      <c r="VAU50" s="519"/>
      <c r="VAV50" s="519"/>
      <c r="VAW50" s="519"/>
      <c r="VAX50" s="519"/>
      <c r="VAY50" s="519"/>
      <c r="VAZ50" s="519"/>
      <c r="VBA50" s="519"/>
      <c r="VBB50" s="519"/>
      <c r="VBC50" s="519"/>
      <c r="VBD50" s="519"/>
      <c r="VBE50" s="519"/>
      <c r="VBF50" s="519"/>
      <c r="VBG50" s="519"/>
      <c r="VBH50" s="519"/>
      <c r="VBI50" s="519"/>
      <c r="VBJ50" s="519"/>
      <c r="VBK50" s="519"/>
      <c r="VBL50" s="519"/>
      <c r="VBM50" s="519"/>
      <c r="VBN50" s="519"/>
      <c r="VBO50" s="519"/>
      <c r="VBP50" s="519"/>
      <c r="VBQ50" s="519"/>
      <c r="VBR50" s="519"/>
      <c r="VBS50" s="519"/>
      <c r="VBT50" s="519"/>
      <c r="VBU50" s="519"/>
      <c r="VBV50" s="519"/>
      <c r="VBW50" s="519"/>
      <c r="VBX50" s="519"/>
      <c r="VBY50" s="519"/>
      <c r="VBZ50" s="519"/>
      <c r="VCA50" s="519"/>
      <c r="VCB50" s="519"/>
      <c r="VCC50" s="519"/>
      <c r="VCD50" s="519"/>
      <c r="VCE50" s="519"/>
      <c r="VCF50" s="519"/>
      <c r="VCG50" s="519"/>
      <c r="VCH50" s="519"/>
      <c r="VCI50" s="519"/>
      <c r="VCJ50" s="519"/>
      <c r="VCK50" s="519"/>
      <c r="VCL50" s="519"/>
      <c r="VCM50" s="519"/>
      <c r="VCN50" s="519"/>
      <c r="VCO50" s="519"/>
      <c r="VCP50" s="519"/>
      <c r="VCQ50" s="519"/>
      <c r="VCR50" s="519"/>
      <c r="VCS50" s="519"/>
      <c r="VCT50" s="519"/>
      <c r="VCU50" s="519"/>
      <c r="VCV50" s="519"/>
      <c r="VCW50" s="519"/>
      <c r="VCX50" s="519"/>
      <c r="VCY50" s="519"/>
      <c r="VCZ50" s="519"/>
      <c r="VDA50" s="519"/>
      <c r="VDB50" s="519"/>
      <c r="VDC50" s="519"/>
      <c r="VDD50" s="519"/>
      <c r="VDE50" s="519"/>
      <c r="VDF50" s="519"/>
      <c r="VDG50" s="519"/>
      <c r="VDH50" s="519"/>
      <c r="VDI50" s="519"/>
      <c r="VDJ50" s="519"/>
      <c r="VDK50" s="519"/>
      <c r="VDL50" s="519"/>
      <c r="VDM50" s="519"/>
      <c r="VDN50" s="519"/>
      <c r="VDO50" s="519"/>
      <c r="VDP50" s="519"/>
      <c r="VDQ50" s="519"/>
      <c r="VDR50" s="519"/>
      <c r="VDS50" s="519"/>
      <c r="VDT50" s="519"/>
      <c r="VDU50" s="519"/>
      <c r="VDV50" s="519"/>
      <c r="VDW50" s="519"/>
      <c r="VDX50" s="519"/>
      <c r="VDY50" s="519"/>
      <c r="VDZ50" s="519"/>
      <c r="VEA50" s="519"/>
      <c r="VEB50" s="519"/>
      <c r="VEC50" s="519"/>
      <c r="VED50" s="519"/>
      <c r="VEE50" s="519"/>
      <c r="VEF50" s="519"/>
      <c r="VEG50" s="519"/>
      <c r="VEH50" s="519"/>
      <c r="VEI50" s="519"/>
      <c r="VEJ50" s="519"/>
      <c r="VEK50" s="519"/>
      <c r="VEL50" s="519"/>
      <c r="VEM50" s="519"/>
      <c r="VEN50" s="519"/>
      <c r="VEO50" s="519"/>
      <c r="VEP50" s="519"/>
      <c r="VEQ50" s="519"/>
      <c r="VER50" s="519"/>
      <c r="VES50" s="519"/>
      <c r="VET50" s="519"/>
      <c r="VEU50" s="519"/>
      <c r="VEV50" s="519"/>
      <c r="VEW50" s="519"/>
      <c r="VEX50" s="519"/>
      <c r="VEY50" s="519"/>
      <c r="VEZ50" s="519"/>
      <c r="VFA50" s="519"/>
      <c r="VFB50" s="519"/>
      <c r="VFC50" s="519"/>
      <c r="VFD50" s="519"/>
      <c r="VFE50" s="519"/>
      <c r="VFF50" s="519"/>
      <c r="VFG50" s="519"/>
      <c r="VFH50" s="519"/>
      <c r="VFI50" s="519"/>
      <c r="VFJ50" s="519"/>
      <c r="VFK50" s="519"/>
      <c r="VFL50" s="519"/>
      <c r="VFM50" s="519"/>
      <c r="VFN50" s="519"/>
      <c r="VFO50" s="519"/>
      <c r="VFP50" s="519"/>
      <c r="VFQ50" s="519"/>
      <c r="VFR50" s="519"/>
      <c r="VFS50" s="519"/>
      <c r="VFT50" s="519"/>
      <c r="VFU50" s="519"/>
      <c r="VFV50" s="519"/>
      <c r="VFW50" s="519"/>
      <c r="VFX50" s="519"/>
      <c r="VFY50" s="519"/>
      <c r="VFZ50" s="519"/>
      <c r="VGA50" s="519"/>
      <c r="VGB50" s="519"/>
      <c r="VGC50" s="519"/>
      <c r="VGD50" s="519"/>
      <c r="VGE50" s="519"/>
      <c r="VGF50" s="519"/>
      <c r="VGG50" s="519"/>
      <c r="VGH50" s="519"/>
      <c r="VGI50" s="519"/>
      <c r="VGJ50" s="519"/>
      <c r="VGK50" s="519"/>
      <c r="VGL50" s="519"/>
      <c r="VGM50" s="519"/>
      <c r="VGN50" s="519"/>
      <c r="VGO50" s="519"/>
      <c r="VGP50" s="519"/>
      <c r="VGQ50" s="519"/>
      <c r="VGR50" s="519"/>
      <c r="VGS50" s="519"/>
      <c r="VGT50" s="519"/>
      <c r="VGU50" s="519"/>
      <c r="VGV50" s="519"/>
      <c r="VGW50" s="519"/>
      <c r="VGX50" s="519"/>
      <c r="VGY50" s="519"/>
      <c r="VGZ50" s="519"/>
      <c r="VHA50" s="519"/>
      <c r="VHB50" s="519"/>
      <c r="VHC50" s="519"/>
      <c r="VHD50" s="519"/>
      <c r="VHE50" s="519"/>
      <c r="VHF50" s="519"/>
      <c r="VHG50" s="519"/>
      <c r="VHH50" s="519"/>
      <c r="VHI50" s="519"/>
      <c r="VHJ50" s="519"/>
      <c r="VHK50" s="519"/>
      <c r="VHL50" s="519"/>
      <c r="VHM50" s="519"/>
      <c r="VHN50" s="519"/>
      <c r="VHO50" s="519"/>
      <c r="VHP50" s="519"/>
      <c r="VHQ50" s="519"/>
      <c r="VHR50" s="519"/>
      <c r="VHS50" s="519"/>
      <c r="VHT50" s="519"/>
      <c r="VHU50" s="519"/>
      <c r="VHV50" s="519"/>
      <c r="VHW50" s="519"/>
      <c r="VHX50" s="519"/>
      <c r="VHY50" s="519"/>
      <c r="VHZ50" s="519"/>
      <c r="VIA50" s="519"/>
      <c r="VIB50" s="519"/>
      <c r="VIC50" s="519"/>
      <c r="VID50" s="519"/>
      <c r="VIE50" s="519"/>
      <c r="VIF50" s="519"/>
      <c r="VIG50" s="519"/>
      <c r="VIH50" s="519"/>
      <c r="VII50" s="519"/>
      <c r="VIJ50" s="519"/>
      <c r="VIK50" s="519"/>
      <c r="VIL50" s="519"/>
      <c r="VIM50" s="519"/>
      <c r="VIN50" s="519"/>
      <c r="VIO50" s="519"/>
      <c r="VIP50" s="519"/>
      <c r="VIQ50" s="519"/>
      <c r="VIR50" s="519"/>
      <c r="VIS50" s="519"/>
      <c r="VIT50" s="519"/>
      <c r="VIU50" s="519"/>
      <c r="VIV50" s="519"/>
      <c r="VIW50" s="519"/>
      <c r="VIX50" s="519"/>
      <c r="VIY50" s="519"/>
      <c r="VIZ50" s="519"/>
      <c r="VJA50" s="519"/>
      <c r="VJB50" s="519"/>
      <c r="VJC50" s="519"/>
      <c r="VJD50" s="519"/>
      <c r="VJE50" s="519"/>
      <c r="VJF50" s="519"/>
      <c r="VJG50" s="519"/>
      <c r="VJH50" s="519"/>
      <c r="VJI50" s="519"/>
      <c r="VJJ50" s="519"/>
      <c r="VJK50" s="519"/>
      <c r="VJL50" s="519"/>
      <c r="VJM50" s="519"/>
      <c r="VJN50" s="519"/>
      <c r="VJO50" s="519"/>
      <c r="VJP50" s="519"/>
      <c r="VJQ50" s="519"/>
      <c r="VJR50" s="519"/>
      <c r="VJS50" s="519"/>
      <c r="VJT50" s="519"/>
      <c r="VJU50" s="519"/>
      <c r="VJV50" s="519"/>
      <c r="VJW50" s="519"/>
      <c r="VJX50" s="519"/>
      <c r="VJY50" s="519"/>
      <c r="VJZ50" s="519"/>
      <c r="VKA50" s="519"/>
      <c r="VKB50" s="519"/>
      <c r="VKC50" s="519"/>
      <c r="VKD50" s="519"/>
      <c r="VKE50" s="519"/>
      <c r="VKF50" s="519"/>
      <c r="VKG50" s="519"/>
      <c r="VKH50" s="519"/>
      <c r="VKI50" s="519"/>
      <c r="VKJ50" s="519"/>
      <c r="VKK50" s="519"/>
      <c r="VKL50" s="519"/>
      <c r="VKM50" s="519"/>
      <c r="VKN50" s="519"/>
      <c r="VKO50" s="519"/>
      <c r="VKP50" s="519"/>
      <c r="VKQ50" s="519"/>
      <c r="VKR50" s="519"/>
      <c r="VKS50" s="519"/>
      <c r="VKT50" s="519"/>
      <c r="VKU50" s="519"/>
      <c r="VKV50" s="519"/>
      <c r="VKW50" s="519"/>
      <c r="VKX50" s="519"/>
      <c r="VKY50" s="519"/>
      <c r="VKZ50" s="519"/>
      <c r="VLA50" s="519"/>
      <c r="VLB50" s="519"/>
      <c r="VLC50" s="519"/>
      <c r="VLD50" s="519"/>
      <c r="VLE50" s="519"/>
      <c r="VLF50" s="519"/>
      <c r="VLG50" s="519"/>
      <c r="VLH50" s="519"/>
      <c r="VLI50" s="519"/>
      <c r="VLJ50" s="519"/>
      <c r="VLK50" s="519"/>
      <c r="VLL50" s="519"/>
      <c r="VLM50" s="519"/>
      <c r="VLN50" s="519"/>
      <c r="VLO50" s="519"/>
      <c r="VLP50" s="519"/>
      <c r="VLQ50" s="519"/>
      <c r="VLR50" s="519"/>
      <c r="VLS50" s="519"/>
      <c r="VLT50" s="519"/>
      <c r="VLU50" s="519"/>
      <c r="VLV50" s="519"/>
      <c r="VLW50" s="519"/>
      <c r="VLX50" s="519"/>
      <c r="VLY50" s="519"/>
      <c r="VLZ50" s="519"/>
      <c r="VMA50" s="519"/>
      <c r="VMB50" s="519"/>
      <c r="VMC50" s="519"/>
      <c r="VMD50" s="519"/>
      <c r="VME50" s="519"/>
      <c r="VMF50" s="519"/>
      <c r="VMG50" s="519"/>
      <c r="VMH50" s="519"/>
      <c r="VMI50" s="519"/>
      <c r="VMJ50" s="519"/>
      <c r="VMK50" s="519"/>
      <c r="VML50" s="519"/>
      <c r="VMM50" s="519"/>
      <c r="VMN50" s="519"/>
      <c r="VMO50" s="519"/>
      <c r="VMP50" s="519"/>
      <c r="VMQ50" s="519"/>
      <c r="VMR50" s="519"/>
      <c r="VMS50" s="519"/>
      <c r="VMT50" s="519"/>
      <c r="VMU50" s="519"/>
      <c r="VMV50" s="519"/>
      <c r="VMW50" s="519"/>
      <c r="VMX50" s="519"/>
      <c r="VMY50" s="519"/>
      <c r="VMZ50" s="519"/>
      <c r="VNA50" s="519"/>
      <c r="VNB50" s="519"/>
      <c r="VNC50" s="519"/>
      <c r="VND50" s="519"/>
      <c r="VNE50" s="519"/>
      <c r="VNF50" s="519"/>
      <c r="VNG50" s="519"/>
      <c r="VNH50" s="519"/>
      <c r="VNI50" s="519"/>
      <c r="VNJ50" s="519"/>
      <c r="VNK50" s="519"/>
      <c r="VNL50" s="519"/>
      <c r="VNM50" s="519"/>
      <c r="VNN50" s="519"/>
      <c r="VNO50" s="519"/>
      <c r="VNP50" s="519"/>
      <c r="VNQ50" s="519"/>
      <c r="VNR50" s="519"/>
      <c r="VNS50" s="519"/>
      <c r="VNT50" s="519"/>
      <c r="VNU50" s="519"/>
      <c r="VNV50" s="519"/>
      <c r="VNW50" s="519"/>
      <c r="VNX50" s="519"/>
      <c r="VNY50" s="519"/>
      <c r="VNZ50" s="519"/>
      <c r="VOA50" s="519"/>
      <c r="VOB50" s="519"/>
      <c r="VOC50" s="519"/>
      <c r="VOD50" s="519"/>
      <c r="VOE50" s="519"/>
      <c r="VOF50" s="519"/>
      <c r="VOG50" s="519"/>
      <c r="VOH50" s="519"/>
      <c r="VOI50" s="519"/>
      <c r="VOJ50" s="519"/>
      <c r="VOK50" s="519"/>
      <c r="VOL50" s="519"/>
      <c r="VOM50" s="519"/>
      <c r="VON50" s="519"/>
      <c r="VOO50" s="519"/>
      <c r="VOP50" s="519"/>
      <c r="VOQ50" s="519"/>
      <c r="VOR50" s="519"/>
      <c r="VOS50" s="519"/>
      <c r="VOT50" s="519"/>
      <c r="VOU50" s="519"/>
      <c r="VOV50" s="519"/>
      <c r="VOW50" s="519"/>
      <c r="VOX50" s="519"/>
      <c r="VOY50" s="519"/>
      <c r="VOZ50" s="519"/>
      <c r="VPA50" s="519"/>
      <c r="VPB50" s="519"/>
      <c r="VPC50" s="519"/>
      <c r="VPD50" s="519"/>
      <c r="VPE50" s="519"/>
      <c r="VPF50" s="519"/>
      <c r="VPG50" s="519"/>
      <c r="VPH50" s="519"/>
      <c r="VPI50" s="519"/>
      <c r="VPJ50" s="519"/>
      <c r="VPK50" s="519"/>
      <c r="VPL50" s="519"/>
      <c r="VPM50" s="519"/>
      <c r="VPN50" s="519"/>
      <c r="VPO50" s="519"/>
      <c r="VPP50" s="519"/>
      <c r="VPQ50" s="519"/>
      <c r="VPR50" s="519"/>
      <c r="VPS50" s="519"/>
      <c r="VPT50" s="519"/>
      <c r="VPU50" s="519"/>
      <c r="VPV50" s="519"/>
      <c r="VPW50" s="519"/>
      <c r="VPX50" s="519"/>
      <c r="VPY50" s="519"/>
      <c r="VPZ50" s="519"/>
      <c r="VQA50" s="519"/>
      <c r="VQB50" s="519"/>
      <c r="VQC50" s="519"/>
      <c r="VQD50" s="519"/>
      <c r="VQE50" s="519"/>
      <c r="VQF50" s="519"/>
      <c r="VQG50" s="519"/>
      <c r="VQH50" s="519"/>
      <c r="VQI50" s="519"/>
      <c r="VQJ50" s="519"/>
      <c r="VQK50" s="519"/>
      <c r="VQL50" s="519"/>
      <c r="VQM50" s="519"/>
      <c r="VQN50" s="519"/>
      <c r="VQO50" s="519"/>
      <c r="VQP50" s="519"/>
      <c r="VQQ50" s="519"/>
      <c r="VQR50" s="519"/>
      <c r="VQS50" s="519"/>
      <c r="VQT50" s="519"/>
      <c r="VQU50" s="519"/>
      <c r="VQV50" s="519"/>
      <c r="VQW50" s="519"/>
      <c r="VQX50" s="519"/>
      <c r="VQY50" s="519"/>
      <c r="VQZ50" s="519"/>
      <c r="VRA50" s="519"/>
      <c r="VRB50" s="519"/>
      <c r="VRC50" s="519"/>
      <c r="VRD50" s="519"/>
      <c r="VRE50" s="519"/>
      <c r="VRF50" s="519"/>
      <c r="VRG50" s="519"/>
      <c r="VRH50" s="519"/>
      <c r="VRI50" s="519"/>
      <c r="VRJ50" s="519"/>
      <c r="VRK50" s="519"/>
      <c r="VRL50" s="519"/>
      <c r="VRM50" s="519"/>
      <c r="VRN50" s="519"/>
      <c r="VRO50" s="519"/>
      <c r="VRP50" s="519"/>
      <c r="VRQ50" s="519"/>
      <c r="VRR50" s="519"/>
      <c r="VRS50" s="519"/>
      <c r="VRT50" s="519"/>
      <c r="VRU50" s="519"/>
      <c r="VRV50" s="519"/>
      <c r="VRW50" s="519"/>
      <c r="VRX50" s="519"/>
      <c r="VRY50" s="519"/>
      <c r="VRZ50" s="519"/>
      <c r="VSA50" s="519"/>
      <c r="VSB50" s="519"/>
      <c r="VSC50" s="519"/>
      <c r="VSD50" s="519"/>
      <c r="VSE50" s="519"/>
      <c r="VSF50" s="519"/>
      <c r="VSG50" s="519"/>
      <c r="VSH50" s="519"/>
      <c r="VSI50" s="519"/>
      <c r="VSJ50" s="519"/>
      <c r="VSK50" s="519"/>
      <c r="VSL50" s="519"/>
      <c r="VSM50" s="519"/>
      <c r="VSN50" s="519"/>
      <c r="VSO50" s="519"/>
      <c r="VSP50" s="519"/>
      <c r="VSQ50" s="519"/>
      <c r="VSR50" s="519"/>
      <c r="VSS50" s="519"/>
      <c r="VST50" s="519"/>
      <c r="VSU50" s="519"/>
      <c r="VSV50" s="519"/>
      <c r="VSW50" s="519"/>
      <c r="VSX50" s="519"/>
      <c r="VSY50" s="519"/>
      <c r="VSZ50" s="519"/>
      <c r="VTA50" s="519"/>
      <c r="VTB50" s="519"/>
      <c r="VTC50" s="519"/>
      <c r="VTD50" s="519"/>
      <c r="VTE50" s="519"/>
      <c r="VTF50" s="519"/>
      <c r="VTG50" s="519"/>
      <c r="VTH50" s="519"/>
      <c r="VTI50" s="519"/>
      <c r="VTJ50" s="519"/>
      <c r="VTK50" s="519"/>
      <c r="VTL50" s="519"/>
      <c r="VTM50" s="519"/>
      <c r="VTN50" s="519"/>
      <c r="VTO50" s="519"/>
      <c r="VTP50" s="519"/>
      <c r="VTQ50" s="519"/>
      <c r="VTR50" s="519"/>
      <c r="VTS50" s="519"/>
      <c r="VTT50" s="519"/>
      <c r="VTU50" s="519"/>
      <c r="VTV50" s="519"/>
      <c r="VTW50" s="519"/>
      <c r="VTX50" s="519"/>
      <c r="VTY50" s="519"/>
      <c r="VTZ50" s="519"/>
      <c r="VUA50" s="519"/>
      <c r="VUB50" s="519"/>
      <c r="VUC50" s="519"/>
      <c r="VUD50" s="519"/>
      <c r="VUE50" s="519"/>
      <c r="VUF50" s="519"/>
      <c r="VUG50" s="519"/>
      <c r="VUH50" s="519"/>
      <c r="VUI50" s="519"/>
      <c r="VUJ50" s="519"/>
      <c r="VUK50" s="519"/>
      <c r="VUL50" s="519"/>
      <c r="VUM50" s="519"/>
      <c r="VUN50" s="519"/>
      <c r="VUO50" s="519"/>
      <c r="VUP50" s="519"/>
      <c r="VUQ50" s="519"/>
      <c r="VUR50" s="519"/>
      <c r="VUS50" s="519"/>
      <c r="VUT50" s="519"/>
      <c r="VUU50" s="519"/>
      <c r="VUV50" s="519"/>
      <c r="VUW50" s="519"/>
      <c r="VUX50" s="519"/>
      <c r="VUY50" s="519"/>
      <c r="VUZ50" s="519"/>
      <c r="VVA50" s="519"/>
      <c r="VVB50" s="519"/>
      <c r="VVC50" s="519"/>
      <c r="VVD50" s="519"/>
      <c r="VVE50" s="519"/>
      <c r="VVF50" s="519"/>
      <c r="VVG50" s="519"/>
      <c r="VVH50" s="519"/>
      <c r="VVI50" s="519"/>
      <c r="VVJ50" s="519"/>
      <c r="VVK50" s="519"/>
      <c r="VVL50" s="519"/>
      <c r="VVM50" s="519"/>
      <c r="VVN50" s="519"/>
      <c r="VVO50" s="519"/>
      <c r="VVP50" s="519"/>
      <c r="VVQ50" s="519"/>
      <c r="VVR50" s="519"/>
      <c r="VVS50" s="519"/>
      <c r="VVT50" s="519"/>
      <c r="VVU50" s="519"/>
      <c r="VVV50" s="519"/>
      <c r="VVW50" s="519"/>
      <c r="VVX50" s="519"/>
      <c r="VVY50" s="519"/>
      <c r="VVZ50" s="519"/>
      <c r="VWA50" s="519"/>
      <c r="VWB50" s="519"/>
      <c r="VWC50" s="519"/>
      <c r="VWD50" s="519"/>
      <c r="VWE50" s="519"/>
      <c r="VWF50" s="519"/>
      <c r="VWG50" s="519"/>
      <c r="VWH50" s="519"/>
      <c r="VWI50" s="519"/>
      <c r="VWJ50" s="519"/>
      <c r="VWK50" s="519"/>
      <c r="VWL50" s="519"/>
      <c r="VWM50" s="519"/>
      <c r="VWN50" s="519"/>
      <c r="VWO50" s="519"/>
      <c r="VWP50" s="519"/>
      <c r="VWQ50" s="519"/>
      <c r="VWR50" s="519"/>
      <c r="VWS50" s="519"/>
      <c r="VWT50" s="519"/>
      <c r="VWU50" s="519"/>
      <c r="VWV50" s="519"/>
      <c r="VWW50" s="519"/>
      <c r="VWX50" s="519"/>
      <c r="VWY50" s="519"/>
      <c r="VWZ50" s="519"/>
      <c r="VXA50" s="519"/>
      <c r="VXB50" s="519"/>
      <c r="VXC50" s="519"/>
      <c r="VXD50" s="519"/>
      <c r="VXE50" s="519"/>
      <c r="VXF50" s="519"/>
      <c r="VXG50" s="519"/>
      <c r="VXH50" s="519"/>
      <c r="VXI50" s="519"/>
      <c r="VXJ50" s="519"/>
      <c r="VXK50" s="519"/>
      <c r="VXL50" s="519"/>
      <c r="VXM50" s="519"/>
      <c r="VXN50" s="519"/>
      <c r="VXO50" s="519"/>
      <c r="VXP50" s="519"/>
      <c r="VXQ50" s="519"/>
      <c r="VXR50" s="519"/>
      <c r="VXS50" s="519"/>
      <c r="VXT50" s="519"/>
      <c r="VXU50" s="519"/>
      <c r="VXV50" s="519"/>
      <c r="VXW50" s="519"/>
      <c r="VXX50" s="519"/>
      <c r="VXY50" s="519"/>
      <c r="VXZ50" s="519"/>
      <c r="VYA50" s="519"/>
      <c r="VYB50" s="519"/>
      <c r="VYC50" s="519"/>
      <c r="VYD50" s="519"/>
      <c r="VYE50" s="519"/>
      <c r="VYF50" s="519"/>
      <c r="VYG50" s="519"/>
      <c r="VYH50" s="519"/>
      <c r="VYI50" s="519"/>
      <c r="VYJ50" s="519"/>
      <c r="VYK50" s="519"/>
      <c r="VYL50" s="519"/>
      <c r="VYM50" s="519"/>
      <c r="VYN50" s="519"/>
      <c r="VYO50" s="519"/>
      <c r="VYP50" s="519"/>
      <c r="VYQ50" s="519"/>
      <c r="VYR50" s="519"/>
      <c r="VYS50" s="519"/>
      <c r="VYT50" s="519"/>
      <c r="VYU50" s="519"/>
      <c r="VYV50" s="519"/>
      <c r="VYW50" s="519"/>
      <c r="VYX50" s="519"/>
      <c r="VYY50" s="519"/>
      <c r="VYZ50" s="519"/>
      <c r="VZA50" s="519"/>
      <c r="VZB50" s="519"/>
      <c r="VZC50" s="519"/>
      <c r="VZD50" s="519"/>
      <c r="VZE50" s="519"/>
      <c r="VZF50" s="519"/>
      <c r="VZG50" s="519"/>
      <c r="VZH50" s="519"/>
      <c r="VZI50" s="519"/>
      <c r="VZJ50" s="519"/>
      <c r="VZK50" s="519"/>
      <c r="VZL50" s="519"/>
      <c r="VZM50" s="519"/>
      <c r="VZN50" s="519"/>
      <c r="VZO50" s="519"/>
      <c r="VZP50" s="519"/>
      <c r="VZQ50" s="519"/>
      <c r="VZR50" s="519"/>
      <c r="VZS50" s="519"/>
      <c r="VZT50" s="519"/>
      <c r="VZU50" s="519"/>
      <c r="VZV50" s="519"/>
      <c r="VZW50" s="519"/>
      <c r="VZX50" s="519"/>
      <c r="VZY50" s="519"/>
      <c r="VZZ50" s="519"/>
      <c r="WAA50" s="519"/>
      <c r="WAB50" s="519"/>
      <c r="WAC50" s="519"/>
      <c r="WAD50" s="519"/>
      <c r="WAE50" s="519"/>
      <c r="WAF50" s="519"/>
      <c r="WAG50" s="519"/>
      <c r="WAH50" s="519"/>
      <c r="WAI50" s="519"/>
      <c r="WAJ50" s="519"/>
      <c r="WAK50" s="519"/>
      <c r="WAL50" s="519"/>
      <c r="WAM50" s="519"/>
      <c r="WAN50" s="519"/>
      <c r="WAO50" s="519"/>
      <c r="WAP50" s="519"/>
      <c r="WAQ50" s="519"/>
      <c r="WAR50" s="519"/>
      <c r="WAS50" s="519"/>
      <c r="WAT50" s="519"/>
      <c r="WAU50" s="519"/>
      <c r="WAV50" s="519"/>
      <c r="WAW50" s="519"/>
      <c r="WAX50" s="519"/>
      <c r="WAY50" s="519"/>
      <c r="WAZ50" s="519"/>
      <c r="WBA50" s="519"/>
      <c r="WBB50" s="519"/>
      <c r="WBC50" s="519"/>
      <c r="WBD50" s="519"/>
      <c r="WBE50" s="519"/>
      <c r="WBF50" s="519"/>
      <c r="WBG50" s="519"/>
      <c r="WBH50" s="519"/>
      <c r="WBI50" s="519"/>
      <c r="WBJ50" s="519"/>
      <c r="WBK50" s="519"/>
      <c r="WBL50" s="519"/>
      <c r="WBM50" s="519"/>
      <c r="WBN50" s="519"/>
      <c r="WBO50" s="519"/>
      <c r="WBP50" s="519"/>
      <c r="WBQ50" s="519"/>
      <c r="WBR50" s="519"/>
      <c r="WBS50" s="519"/>
      <c r="WBT50" s="519"/>
      <c r="WBU50" s="519"/>
      <c r="WBV50" s="519"/>
      <c r="WBW50" s="519"/>
      <c r="WBX50" s="519"/>
      <c r="WBY50" s="519"/>
      <c r="WBZ50" s="519"/>
      <c r="WCA50" s="519"/>
      <c r="WCB50" s="519"/>
      <c r="WCC50" s="519"/>
      <c r="WCD50" s="519"/>
      <c r="WCE50" s="519"/>
      <c r="WCF50" s="519"/>
      <c r="WCG50" s="519"/>
      <c r="WCH50" s="519"/>
      <c r="WCI50" s="519"/>
      <c r="WCJ50" s="519"/>
      <c r="WCK50" s="519"/>
      <c r="WCL50" s="519"/>
      <c r="WCM50" s="519"/>
      <c r="WCN50" s="519"/>
      <c r="WCO50" s="519"/>
      <c r="WCP50" s="519"/>
      <c r="WCQ50" s="519"/>
      <c r="WCR50" s="519"/>
      <c r="WCS50" s="519"/>
      <c r="WCT50" s="519"/>
      <c r="WCU50" s="519"/>
      <c r="WCV50" s="519"/>
      <c r="WCW50" s="519"/>
      <c r="WCX50" s="519"/>
      <c r="WCY50" s="519"/>
      <c r="WCZ50" s="519"/>
      <c r="WDA50" s="519"/>
      <c r="WDB50" s="519"/>
      <c r="WDC50" s="519"/>
      <c r="WDD50" s="519"/>
      <c r="WDE50" s="519"/>
      <c r="WDF50" s="519"/>
      <c r="WDG50" s="519"/>
      <c r="WDH50" s="519"/>
      <c r="WDI50" s="519"/>
      <c r="WDJ50" s="519"/>
      <c r="WDK50" s="519"/>
      <c r="WDL50" s="519"/>
      <c r="WDM50" s="519"/>
      <c r="WDN50" s="519"/>
      <c r="WDO50" s="519"/>
      <c r="WDP50" s="519"/>
      <c r="WDQ50" s="519"/>
      <c r="WDR50" s="519"/>
      <c r="WDS50" s="519"/>
      <c r="WDT50" s="519"/>
      <c r="WDU50" s="519"/>
      <c r="WDV50" s="519"/>
      <c r="WDW50" s="519"/>
      <c r="WDX50" s="519"/>
      <c r="WDY50" s="519"/>
      <c r="WDZ50" s="519"/>
      <c r="WEA50" s="519"/>
      <c r="WEB50" s="519"/>
      <c r="WEC50" s="519"/>
      <c r="WED50" s="519"/>
      <c r="WEE50" s="519"/>
      <c r="WEF50" s="519"/>
      <c r="WEG50" s="519"/>
      <c r="WEH50" s="519"/>
      <c r="WEI50" s="519"/>
      <c r="WEJ50" s="519"/>
      <c r="WEK50" s="519"/>
      <c r="WEL50" s="519"/>
      <c r="WEM50" s="519"/>
      <c r="WEN50" s="519"/>
      <c r="WEO50" s="519"/>
      <c r="WEP50" s="519"/>
      <c r="WEQ50" s="519"/>
      <c r="WER50" s="519"/>
      <c r="WES50" s="519"/>
      <c r="WET50" s="519"/>
      <c r="WEU50" s="519"/>
      <c r="WEV50" s="519"/>
      <c r="WEW50" s="519"/>
      <c r="WEX50" s="519"/>
      <c r="WEY50" s="519"/>
      <c r="WEZ50" s="519"/>
      <c r="WFA50" s="519"/>
      <c r="WFB50" s="519"/>
      <c r="WFC50" s="519"/>
      <c r="WFD50" s="519"/>
      <c r="WFE50" s="519"/>
      <c r="WFF50" s="519"/>
      <c r="WFG50" s="519"/>
      <c r="WFH50" s="519"/>
      <c r="WFI50" s="519"/>
      <c r="WFJ50" s="519"/>
      <c r="WFK50" s="519"/>
      <c r="WFL50" s="519"/>
      <c r="WFM50" s="519"/>
      <c r="WFN50" s="519"/>
      <c r="WFO50" s="519"/>
      <c r="WFP50" s="519"/>
      <c r="WFQ50" s="519"/>
      <c r="WFR50" s="519"/>
      <c r="WFS50" s="519"/>
      <c r="WFT50" s="519"/>
      <c r="WFU50" s="519"/>
      <c r="WFV50" s="519"/>
      <c r="WFW50" s="519"/>
      <c r="WFX50" s="519"/>
      <c r="WFY50" s="519"/>
      <c r="WFZ50" s="519"/>
      <c r="WGA50" s="519"/>
      <c r="WGB50" s="519"/>
      <c r="WGC50" s="519"/>
      <c r="WGD50" s="519"/>
      <c r="WGE50" s="519"/>
      <c r="WGF50" s="519"/>
      <c r="WGG50" s="519"/>
      <c r="WGH50" s="519"/>
      <c r="WGI50" s="519"/>
      <c r="WGJ50" s="519"/>
      <c r="WGK50" s="519"/>
      <c r="WGL50" s="519"/>
      <c r="WGM50" s="519"/>
      <c r="WGN50" s="519"/>
      <c r="WGO50" s="519"/>
      <c r="WGP50" s="519"/>
      <c r="WGQ50" s="519"/>
      <c r="WGR50" s="519"/>
      <c r="WGS50" s="519"/>
      <c r="WGT50" s="519"/>
      <c r="WGU50" s="519"/>
      <c r="WGV50" s="519"/>
      <c r="WGW50" s="519"/>
      <c r="WGX50" s="519"/>
      <c r="WGY50" s="519"/>
      <c r="WGZ50" s="519"/>
      <c r="WHA50" s="519"/>
      <c r="WHB50" s="519"/>
      <c r="WHC50" s="519"/>
      <c r="WHD50" s="519"/>
      <c r="WHE50" s="519"/>
      <c r="WHF50" s="519"/>
      <c r="WHG50" s="519"/>
      <c r="WHH50" s="519"/>
      <c r="WHI50" s="519"/>
      <c r="WHJ50" s="519"/>
      <c r="WHK50" s="519"/>
      <c r="WHL50" s="519"/>
      <c r="WHM50" s="519"/>
      <c r="WHN50" s="519"/>
      <c r="WHO50" s="519"/>
      <c r="WHP50" s="519"/>
      <c r="WHQ50" s="519"/>
      <c r="WHR50" s="519"/>
      <c r="WHS50" s="519"/>
      <c r="WHT50" s="519"/>
      <c r="WHU50" s="519"/>
      <c r="WHV50" s="519"/>
      <c r="WHW50" s="519"/>
      <c r="WHX50" s="519"/>
      <c r="WHY50" s="519"/>
      <c r="WHZ50" s="519"/>
      <c r="WIA50" s="519"/>
      <c r="WIB50" s="519"/>
      <c r="WIC50" s="519"/>
      <c r="WID50" s="519"/>
      <c r="WIE50" s="519"/>
      <c r="WIF50" s="519"/>
      <c r="WIG50" s="519"/>
      <c r="WIH50" s="519"/>
      <c r="WII50" s="519"/>
      <c r="WIJ50" s="519"/>
      <c r="WIK50" s="519"/>
      <c r="WIL50" s="519"/>
      <c r="WIM50" s="519"/>
      <c r="WIN50" s="519"/>
      <c r="WIO50" s="519"/>
      <c r="WIP50" s="519"/>
      <c r="WIQ50" s="519"/>
      <c r="WIR50" s="519"/>
      <c r="WIS50" s="519"/>
      <c r="WIT50" s="519"/>
      <c r="WIU50" s="519"/>
      <c r="WIV50" s="519"/>
      <c r="WIW50" s="519"/>
      <c r="WIX50" s="519"/>
      <c r="WIY50" s="519"/>
      <c r="WIZ50" s="519"/>
      <c r="WJA50" s="519"/>
      <c r="WJB50" s="519"/>
      <c r="WJC50" s="519"/>
      <c r="WJD50" s="519"/>
      <c r="WJE50" s="519"/>
      <c r="WJF50" s="519"/>
      <c r="WJG50" s="519"/>
      <c r="WJH50" s="519"/>
      <c r="WJI50" s="519"/>
      <c r="WJJ50" s="519"/>
      <c r="WJK50" s="519"/>
      <c r="WJL50" s="519"/>
      <c r="WJM50" s="519"/>
      <c r="WJN50" s="519"/>
      <c r="WJO50" s="519"/>
      <c r="WJP50" s="519"/>
      <c r="WJQ50" s="519"/>
      <c r="WJR50" s="519"/>
      <c r="WJS50" s="519"/>
      <c r="WJT50" s="519"/>
      <c r="WJU50" s="519"/>
      <c r="WJV50" s="519"/>
      <c r="WJW50" s="519"/>
      <c r="WJX50" s="519"/>
      <c r="WJY50" s="519"/>
      <c r="WJZ50" s="519"/>
      <c r="WKA50" s="519"/>
      <c r="WKB50" s="519"/>
      <c r="WKC50" s="519"/>
      <c r="WKD50" s="519"/>
      <c r="WKE50" s="519"/>
      <c r="WKF50" s="519"/>
      <c r="WKG50" s="519"/>
      <c r="WKH50" s="519"/>
      <c r="WKI50" s="519"/>
      <c r="WKJ50" s="519"/>
      <c r="WKK50" s="519"/>
      <c r="WKL50" s="519"/>
      <c r="WKM50" s="519"/>
      <c r="WKN50" s="519"/>
      <c r="WKO50" s="519"/>
      <c r="WKP50" s="519"/>
      <c r="WKQ50" s="519"/>
      <c r="WKR50" s="519"/>
      <c r="WKS50" s="519"/>
      <c r="WKT50" s="519"/>
      <c r="WKU50" s="519"/>
      <c r="WKV50" s="519"/>
      <c r="WKW50" s="519"/>
      <c r="WKX50" s="519"/>
      <c r="WKY50" s="519"/>
      <c r="WKZ50" s="519"/>
      <c r="WLA50" s="519"/>
      <c r="WLB50" s="519"/>
      <c r="WLC50" s="519"/>
      <c r="WLD50" s="519"/>
      <c r="WLE50" s="519"/>
      <c r="WLF50" s="519"/>
      <c r="WLG50" s="519"/>
      <c r="WLH50" s="519"/>
      <c r="WLI50" s="519"/>
      <c r="WLJ50" s="519"/>
      <c r="WLK50" s="519"/>
      <c r="WLL50" s="519"/>
      <c r="WLM50" s="519"/>
      <c r="WLN50" s="519"/>
      <c r="WLO50" s="519"/>
      <c r="WLP50" s="519"/>
      <c r="WLQ50" s="519"/>
      <c r="WLR50" s="519"/>
      <c r="WLS50" s="519"/>
      <c r="WLT50" s="519"/>
      <c r="WLU50" s="519"/>
      <c r="WLV50" s="519"/>
      <c r="WLW50" s="519"/>
      <c r="WLX50" s="519"/>
      <c r="WLY50" s="519"/>
      <c r="WLZ50" s="519"/>
      <c r="WMA50" s="519"/>
      <c r="WMB50" s="519"/>
      <c r="WMC50" s="519"/>
      <c r="WMD50" s="519"/>
      <c r="WME50" s="519"/>
      <c r="WMF50" s="519"/>
      <c r="WMG50" s="519"/>
      <c r="WMH50" s="519"/>
      <c r="WMI50" s="519"/>
      <c r="WMJ50" s="519"/>
      <c r="WMK50" s="519"/>
      <c r="WML50" s="519"/>
      <c r="WMM50" s="519"/>
      <c r="WMN50" s="519"/>
      <c r="WMO50" s="519"/>
      <c r="WMP50" s="519"/>
      <c r="WMQ50" s="519"/>
      <c r="WMR50" s="519"/>
      <c r="WMS50" s="519"/>
      <c r="WMT50" s="519"/>
      <c r="WMU50" s="519"/>
      <c r="WMV50" s="519"/>
      <c r="WMW50" s="519"/>
      <c r="WMX50" s="519"/>
      <c r="WMY50" s="519"/>
      <c r="WMZ50" s="519"/>
      <c r="WNA50" s="519"/>
      <c r="WNB50" s="519"/>
      <c r="WNC50" s="519"/>
      <c r="WND50" s="519"/>
      <c r="WNE50" s="519"/>
      <c r="WNF50" s="519"/>
      <c r="WNG50" s="519"/>
      <c r="WNH50" s="519"/>
      <c r="WNI50" s="519"/>
      <c r="WNJ50" s="519"/>
      <c r="WNK50" s="519"/>
      <c r="WNL50" s="519"/>
      <c r="WNM50" s="519"/>
      <c r="WNN50" s="519"/>
      <c r="WNO50" s="519"/>
      <c r="WNP50" s="519"/>
      <c r="WNQ50" s="519"/>
      <c r="WNR50" s="519"/>
      <c r="WNS50" s="519"/>
      <c r="WNT50" s="519"/>
      <c r="WNU50" s="519"/>
      <c r="WNV50" s="519"/>
      <c r="WNW50" s="519"/>
      <c r="WNX50" s="519"/>
      <c r="WNY50" s="519"/>
      <c r="WNZ50" s="519"/>
      <c r="WOA50" s="519"/>
      <c r="WOB50" s="519"/>
      <c r="WOC50" s="519"/>
      <c r="WOD50" s="519"/>
      <c r="WOE50" s="519"/>
      <c r="WOF50" s="519"/>
      <c r="WOG50" s="519"/>
      <c r="WOH50" s="519"/>
      <c r="WOI50" s="519"/>
      <c r="WOJ50" s="519"/>
      <c r="WOK50" s="519"/>
      <c r="WOL50" s="519"/>
      <c r="WOM50" s="519"/>
      <c r="WON50" s="519"/>
      <c r="WOO50" s="519"/>
      <c r="WOP50" s="519"/>
      <c r="WOQ50" s="519"/>
      <c r="WOR50" s="519"/>
      <c r="WOS50" s="519"/>
      <c r="WOT50" s="519"/>
      <c r="WOU50" s="519"/>
      <c r="WOV50" s="519"/>
      <c r="WOW50" s="519"/>
      <c r="WOX50" s="519"/>
      <c r="WOY50" s="519"/>
      <c r="WOZ50" s="519"/>
      <c r="WPA50" s="519"/>
      <c r="WPB50" s="519"/>
      <c r="WPC50" s="519"/>
      <c r="WPD50" s="519"/>
      <c r="WPE50" s="519"/>
      <c r="WPF50" s="519"/>
      <c r="WPG50" s="519"/>
      <c r="WPH50" s="519"/>
      <c r="WPI50" s="519"/>
      <c r="WPJ50" s="519"/>
      <c r="WPK50" s="519"/>
      <c r="WPL50" s="519"/>
      <c r="WPM50" s="519"/>
      <c r="WPN50" s="519"/>
      <c r="WPO50" s="519"/>
      <c r="WPP50" s="519"/>
      <c r="WPQ50" s="519"/>
      <c r="WPR50" s="519"/>
      <c r="WPS50" s="519"/>
      <c r="WPT50" s="519"/>
      <c r="WPU50" s="519"/>
      <c r="WPV50" s="519"/>
      <c r="WPW50" s="519"/>
      <c r="WPX50" s="519"/>
      <c r="WPY50" s="519"/>
      <c r="WPZ50" s="519"/>
      <c r="WQA50" s="519"/>
      <c r="WQB50" s="519"/>
      <c r="WQC50" s="519"/>
      <c r="WQD50" s="519"/>
      <c r="WQE50" s="519"/>
      <c r="WQF50" s="519"/>
      <c r="WQG50" s="519"/>
      <c r="WQH50" s="519"/>
      <c r="WQI50" s="519"/>
      <c r="WQJ50" s="519"/>
      <c r="WQK50" s="519"/>
      <c r="WQL50" s="519"/>
      <c r="WQM50" s="519"/>
      <c r="WQN50" s="519"/>
      <c r="WQO50" s="519"/>
      <c r="WQP50" s="519"/>
      <c r="WQQ50" s="519"/>
      <c r="WQR50" s="519"/>
      <c r="WQS50" s="519"/>
      <c r="WQT50" s="519"/>
      <c r="WQU50" s="519"/>
      <c r="WQV50" s="519"/>
      <c r="WQW50" s="519"/>
      <c r="WQX50" s="519"/>
      <c r="WQY50" s="519"/>
      <c r="WQZ50" s="519"/>
      <c r="WRA50" s="519"/>
      <c r="WRB50" s="519"/>
      <c r="WRC50" s="519"/>
      <c r="WRD50" s="519"/>
      <c r="WRE50" s="519"/>
      <c r="WRF50" s="519"/>
      <c r="WRG50" s="519"/>
      <c r="WRH50" s="519"/>
      <c r="WRI50" s="519"/>
      <c r="WRJ50" s="519"/>
      <c r="WRK50" s="519"/>
      <c r="WRL50" s="519"/>
      <c r="WRM50" s="519"/>
      <c r="WRN50" s="519"/>
      <c r="WRO50" s="519"/>
      <c r="WRP50" s="519"/>
      <c r="WRQ50" s="519"/>
      <c r="WRR50" s="519"/>
      <c r="WRS50" s="519"/>
      <c r="WRT50" s="519"/>
      <c r="WRU50" s="519"/>
      <c r="WRV50" s="519"/>
      <c r="WRW50" s="519"/>
      <c r="WRX50" s="519"/>
      <c r="WRY50" s="519"/>
      <c r="WRZ50" s="519"/>
      <c r="WSA50" s="519"/>
      <c r="WSB50" s="519"/>
      <c r="WSC50" s="519"/>
      <c r="WSD50" s="519"/>
      <c r="WSE50" s="519"/>
      <c r="WSF50" s="519"/>
      <c r="WSG50" s="519"/>
      <c r="WSH50" s="519"/>
      <c r="WSI50" s="519"/>
      <c r="WSJ50" s="519"/>
      <c r="WSK50" s="519"/>
      <c r="WSL50" s="519"/>
      <c r="WSM50" s="519"/>
      <c r="WSN50" s="519"/>
      <c r="WSO50" s="519"/>
      <c r="WSP50" s="519"/>
      <c r="WSQ50" s="519"/>
      <c r="WSR50" s="519"/>
      <c r="WSS50" s="519"/>
      <c r="WST50" s="519"/>
      <c r="WSU50" s="519"/>
      <c r="WSV50" s="519"/>
      <c r="WSW50" s="519"/>
      <c r="WSX50" s="519"/>
      <c r="WSY50" s="519"/>
      <c r="WSZ50" s="519"/>
      <c r="WTA50" s="519"/>
      <c r="WTB50" s="519"/>
      <c r="WTC50" s="519"/>
      <c r="WTD50" s="519"/>
      <c r="WTE50" s="519"/>
      <c r="WTF50" s="519"/>
      <c r="WTG50" s="519"/>
      <c r="WTH50" s="519"/>
      <c r="WTI50" s="519"/>
      <c r="WTJ50" s="519"/>
      <c r="WTK50" s="519"/>
      <c r="WTL50" s="519"/>
      <c r="WTM50" s="519"/>
      <c r="WTN50" s="519"/>
      <c r="WTO50" s="519"/>
      <c r="WTP50" s="519"/>
      <c r="WTQ50" s="519"/>
      <c r="WTR50" s="519"/>
      <c r="WTS50" s="519"/>
      <c r="WTT50" s="519"/>
      <c r="WTU50" s="519"/>
      <c r="WTV50" s="519"/>
      <c r="WTW50" s="519"/>
      <c r="WTX50" s="519"/>
      <c r="WTY50" s="519"/>
      <c r="WTZ50" s="519"/>
      <c r="WUA50" s="519"/>
      <c r="WUB50" s="519"/>
      <c r="WUC50" s="519"/>
      <c r="WUD50" s="519"/>
      <c r="WUE50" s="519"/>
      <c r="WUF50" s="519"/>
      <c r="WUG50" s="519"/>
      <c r="WUH50" s="519"/>
      <c r="WUI50" s="519"/>
      <c r="WUJ50" s="519"/>
      <c r="WUK50" s="519"/>
      <c r="WUL50" s="519"/>
      <c r="WUM50" s="519"/>
      <c r="WUN50" s="519"/>
      <c r="WUO50" s="519"/>
      <c r="WUP50" s="519"/>
      <c r="WUQ50" s="519"/>
      <c r="WUR50" s="519"/>
      <c r="WUS50" s="519"/>
      <c r="WUT50" s="519"/>
      <c r="WUU50" s="519"/>
      <c r="WUV50" s="519"/>
      <c r="WUW50" s="519"/>
      <c r="WUX50" s="519"/>
      <c r="WUY50" s="519"/>
      <c r="WUZ50" s="519"/>
      <c r="WVA50" s="519"/>
      <c r="WVB50" s="519"/>
      <c r="WVC50" s="519"/>
      <c r="WVD50" s="519"/>
      <c r="WVE50" s="519"/>
      <c r="WVF50" s="519"/>
      <c r="WVG50" s="519"/>
      <c r="WVH50" s="519"/>
      <c r="WVI50" s="519"/>
      <c r="WVJ50" s="519"/>
      <c r="WVK50" s="519"/>
      <c r="WVL50" s="519"/>
      <c r="WVM50" s="519"/>
      <c r="WVN50" s="519"/>
      <c r="WVO50" s="519"/>
      <c r="WVP50" s="519"/>
      <c r="WVQ50" s="519"/>
      <c r="WVR50" s="519"/>
      <c r="WVS50" s="519"/>
      <c r="WVT50" s="519"/>
      <c r="WVU50" s="519"/>
      <c r="WVV50" s="519"/>
      <c r="WVW50" s="519"/>
      <c r="WVX50" s="519"/>
      <c r="WVY50" s="519"/>
      <c r="WVZ50" s="519"/>
      <c r="WWA50" s="519"/>
      <c r="WWB50" s="519"/>
      <c r="WWC50" s="519"/>
      <c r="WWD50" s="519"/>
      <c r="WWE50" s="519"/>
      <c r="WWF50" s="519"/>
      <c r="WWG50" s="519"/>
      <c r="WWH50" s="519"/>
      <c r="WWI50" s="519"/>
      <c r="WWJ50" s="519"/>
      <c r="WWK50" s="519"/>
      <c r="WWL50" s="519"/>
      <c r="WWM50" s="519"/>
      <c r="WWN50" s="519"/>
      <c r="WWO50" s="519"/>
      <c r="WWP50" s="519"/>
      <c r="WWQ50" s="519"/>
      <c r="WWR50" s="519"/>
      <c r="WWS50" s="519"/>
      <c r="WWT50" s="519"/>
      <c r="WWU50" s="519"/>
      <c r="WWV50" s="519"/>
      <c r="WWW50" s="519"/>
      <c r="WWX50" s="519"/>
      <c r="WWY50" s="519"/>
      <c r="WWZ50" s="519"/>
      <c r="WXA50" s="519"/>
      <c r="WXB50" s="519"/>
      <c r="WXC50" s="519"/>
      <c r="WXD50" s="519"/>
      <c r="WXE50" s="519"/>
      <c r="WXF50" s="519"/>
      <c r="WXG50" s="519"/>
      <c r="WXH50" s="519"/>
      <c r="WXI50" s="519"/>
      <c r="WXJ50" s="519"/>
      <c r="WXK50" s="519"/>
      <c r="WXL50" s="519"/>
      <c r="WXM50" s="519"/>
      <c r="WXN50" s="519"/>
      <c r="WXO50" s="519"/>
      <c r="WXP50" s="519"/>
      <c r="WXQ50" s="519"/>
      <c r="WXR50" s="519"/>
      <c r="WXS50" s="519"/>
      <c r="WXT50" s="519"/>
      <c r="WXU50" s="519"/>
      <c r="WXV50" s="519"/>
      <c r="WXW50" s="519"/>
      <c r="WXX50" s="519"/>
      <c r="WXY50" s="519"/>
      <c r="WXZ50" s="519"/>
      <c r="WYA50" s="519"/>
      <c r="WYB50" s="519"/>
      <c r="WYC50" s="519"/>
      <c r="WYD50" s="519"/>
      <c r="WYE50" s="519"/>
      <c r="WYF50" s="519"/>
      <c r="WYG50" s="519"/>
      <c r="WYH50" s="519"/>
      <c r="WYI50" s="519"/>
      <c r="WYJ50" s="519"/>
      <c r="WYK50" s="519"/>
      <c r="WYL50" s="519"/>
      <c r="WYM50" s="519"/>
      <c r="WYN50" s="519"/>
      <c r="WYO50" s="519"/>
      <c r="WYP50" s="519"/>
      <c r="WYQ50" s="519"/>
      <c r="WYR50" s="519"/>
      <c r="WYS50" s="519"/>
      <c r="WYT50" s="519"/>
      <c r="WYU50" s="519"/>
      <c r="WYV50" s="519"/>
      <c r="WYW50" s="519"/>
      <c r="WYX50" s="519"/>
      <c r="WYY50" s="519"/>
      <c r="WYZ50" s="519"/>
      <c r="WZA50" s="519"/>
      <c r="WZB50" s="519"/>
      <c r="WZC50" s="519"/>
      <c r="WZD50" s="519"/>
      <c r="WZE50" s="519"/>
      <c r="WZF50" s="519"/>
      <c r="WZG50" s="519"/>
      <c r="WZH50" s="519"/>
      <c r="WZI50" s="519"/>
      <c r="WZJ50" s="519"/>
      <c r="WZK50" s="519"/>
      <c r="WZL50" s="519"/>
      <c r="WZM50" s="519"/>
      <c r="WZN50" s="519"/>
      <c r="WZO50" s="519"/>
      <c r="WZP50" s="519"/>
      <c r="WZQ50" s="519"/>
      <c r="WZR50" s="519"/>
      <c r="WZS50" s="519"/>
      <c r="WZT50" s="519"/>
      <c r="WZU50" s="519"/>
      <c r="WZV50" s="519"/>
      <c r="WZW50" s="519"/>
      <c r="WZX50" s="519"/>
      <c r="WZY50" s="519"/>
      <c r="WZZ50" s="519"/>
      <c r="XAA50" s="519"/>
      <c r="XAB50" s="519"/>
      <c r="XAC50" s="519"/>
      <c r="XAD50" s="519"/>
      <c r="XAE50" s="519"/>
      <c r="XAF50" s="519"/>
      <c r="XAG50" s="519"/>
      <c r="XAH50" s="519"/>
      <c r="XAI50" s="519"/>
      <c r="XAJ50" s="519"/>
      <c r="XAK50" s="519"/>
      <c r="XAL50" s="519"/>
      <c r="XAM50" s="519"/>
      <c r="XAN50" s="519"/>
      <c r="XAO50" s="519"/>
      <c r="XAP50" s="519"/>
      <c r="XAQ50" s="519"/>
      <c r="XAR50" s="519"/>
      <c r="XAS50" s="519"/>
      <c r="XAT50" s="519"/>
      <c r="XAU50" s="519"/>
      <c r="XAV50" s="519"/>
      <c r="XAW50" s="519"/>
      <c r="XAX50" s="519"/>
      <c r="XAY50" s="519"/>
      <c r="XAZ50" s="519"/>
      <c r="XBA50" s="519"/>
      <c r="XBB50" s="519"/>
      <c r="XBC50" s="519"/>
      <c r="XBD50" s="519"/>
      <c r="XBE50" s="519"/>
      <c r="XBF50" s="519"/>
      <c r="XBG50" s="519"/>
      <c r="XBH50" s="519"/>
      <c r="XBI50" s="519"/>
      <c r="XBJ50" s="519"/>
      <c r="XBK50" s="519"/>
      <c r="XBL50" s="519"/>
      <c r="XBM50" s="519"/>
      <c r="XBN50" s="519"/>
      <c r="XBO50" s="519"/>
      <c r="XBP50" s="519"/>
      <c r="XBQ50" s="519"/>
      <c r="XBR50" s="519"/>
      <c r="XBS50" s="519"/>
      <c r="XBT50" s="519"/>
      <c r="XBU50" s="519"/>
      <c r="XBV50" s="519"/>
      <c r="XBW50" s="519"/>
      <c r="XBX50" s="519"/>
      <c r="XBY50" s="519"/>
      <c r="XBZ50" s="519"/>
      <c r="XCA50" s="519"/>
      <c r="XCB50" s="519"/>
      <c r="XCC50" s="519"/>
      <c r="XCD50" s="519"/>
      <c r="XCE50" s="519"/>
      <c r="XCF50" s="519"/>
      <c r="XCG50" s="519"/>
      <c r="XCH50" s="519"/>
      <c r="XCI50" s="519"/>
      <c r="XCJ50" s="519"/>
      <c r="XCK50" s="519"/>
      <c r="XCL50" s="519"/>
      <c r="XCM50" s="519"/>
      <c r="XCN50" s="519"/>
      <c r="XCO50" s="519"/>
      <c r="XCP50" s="519"/>
      <c r="XCQ50" s="519"/>
      <c r="XCR50" s="519"/>
      <c r="XCS50" s="519"/>
      <c r="XCT50" s="519"/>
      <c r="XCU50" s="519"/>
      <c r="XCV50" s="519"/>
      <c r="XCW50" s="519"/>
      <c r="XCX50" s="519"/>
      <c r="XCY50" s="519"/>
      <c r="XCZ50" s="519"/>
      <c r="XDA50" s="519"/>
      <c r="XDB50" s="519"/>
      <c r="XDC50" s="519"/>
      <c r="XDD50" s="519"/>
      <c r="XDE50" s="519"/>
      <c r="XDF50" s="519"/>
      <c r="XDG50" s="519"/>
      <c r="XDH50" s="519"/>
      <c r="XDI50" s="519"/>
      <c r="XDJ50" s="519"/>
      <c r="XDK50" s="519"/>
      <c r="XDL50" s="519"/>
      <c r="XDM50" s="519"/>
      <c r="XDN50" s="519"/>
      <c r="XDO50" s="519"/>
      <c r="XDP50" s="519"/>
      <c r="XDQ50" s="519"/>
      <c r="XDR50" s="519"/>
      <c r="XDS50" s="519"/>
      <c r="XDT50" s="519"/>
      <c r="XDU50" s="519"/>
      <c r="XDV50" s="519"/>
      <c r="XDW50" s="519"/>
      <c r="XDX50" s="519"/>
      <c r="XDY50" s="519"/>
      <c r="XDZ50" s="519"/>
      <c r="XEA50" s="519"/>
      <c r="XEB50" s="519"/>
      <c r="XEC50" s="519"/>
      <c r="XED50" s="519"/>
      <c r="XEE50" s="519"/>
      <c r="XEF50" s="519"/>
      <c r="XEG50" s="519"/>
      <c r="XEH50" s="519"/>
      <c r="XEI50" s="519"/>
      <c r="XEJ50" s="519"/>
      <c r="XEK50" s="519"/>
      <c r="XEL50" s="519"/>
      <c r="XEM50" s="519"/>
      <c r="XEN50" s="519"/>
      <c r="XEO50" s="519"/>
      <c r="XEP50" s="519"/>
      <c r="XEQ50" s="519"/>
      <c r="XER50" s="519"/>
      <c r="XES50" s="519"/>
      <c r="XET50" s="519"/>
      <c r="XEU50" s="519"/>
      <c r="XEV50" s="519"/>
      <c r="XEW50" s="519"/>
      <c r="XEX50" s="519"/>
      <c r="XEY50" s="519"/>
      <c r="XEZ50" s="519"/>
      <c r="XFA50" s="519"/>
      <c r="XFB50" s="519"/>
      <c r="XFC50" s="520"/>
    </row>
    <row r="51" spans="1:16383" s="523" customFormat="1" ht="20.25" hidden="1" customHeight="1">
      <c r="A51" s="598" t="s">
        <v>15</v>
      </c>
      <c r="B51" s="599"/>
      <c r="C51" s="597"/>
      <c r="D51" s="597"/>
      <c r="E51" s="597"/>
      <c r="F51" s="597"/>
      <c r="G51" s="597"/>
      <c r="H51" s="597"/>
      <c r="I51" s="597"/>
      <c r="J51" s="597"/>
      <c r="K51" s="597"/>
      <c r="L51" s="597"/>
      <c r="M51" s="522"/>
      <c r="XFC51" s="524"/>
    </row>
    <row r="52" spans="1:16383" s="521" customFormat="1" ht="20.25" hidden="1" customHeight="1">
      <c r="A52" s="598" t="s">
        <v>16</v>
      </c>
      <c r="B52" s="599"/>
      <c r="C52" s="597"/>
      <c r="D52" s="597"/>
      <c r="E52" s="597"/>
      <c r="F52" s="597"/>
      <c r="G52" s="597"/>
      <c r="H52" s="597"/>
      <c r="I52" s="597"/>
      <c r="J52" s="597"/>
      <c r="K52" s="597"/>
      <c r="L52" s="597"/>
      <c r="M52" s="525"/>
      <c r="XFC52" s="526"/>
    </row>
    <row r="53" spans="1:16383" s="521" customFormat="1" ht="20.25" hidden="1" customHeight="1">
      <c r="A53" s="598" t="s">
        <v>17</v>
      </c>
      <c r="B53" s="599"/>
      <c r="C53" s="597"/>
      <c r="D53" s="597"/>
      <c r="E53" s="597"/>
      <c r="F53" s="597"/>
      <c r="G53" s="597"/>
      <c r="H53" s="597"/>
      <c r="I53" s="597"/>
      <c r="J53" s="597"/>
      <c r="K53" s="597"/>
      <c r="L53" s="597"/>
      <c r="M53" s="525"/>
      <c r="XFC53" s="526"/>
    </row>
    <row r="54" spans="1:16383" s="521" customFormat="1" ht="20.25" hidden="1" customHeight="1">
      <c r="A54" s="598" t="s">
        <v>18</v>
      </c>
      <c r="B54" s="599"/>
      <c r="C54" s="597"/>
      <c r="D54" s="597"/>
      <c r="E54" s="597"/>
      <c r="F54" s="597"/>
      <c r="G54" s="597"/>
      <c r="H54" s="597"/>
      <c r="I54" s="597"/>
      <c r="J54" s="597"/>
      <c r="K54" s="597"/>
      <c r="L54" s="597"/>
      <c r="M54" s="525"/>
      <c r="XFC54" s="526"/>
    </row>
    <row r="55" spans="1:16383" s="521" customFormat="1" ht="20.25" hidden="1" customHeight="1">
      <c r="A55" s="598" t="s">
        <v>19</v>
      </c>
      <c r="B55" s="599"/>
      <c r="C55" s="597"/>
      <c r="D55" s="597"/>
      <c r="E55" s="597"/>
      <c r="F55" s="597"/>
      <c r="G55" s="597"/>
      <c r="H55" s="597"/>
      <c r="I55" s="597"/>
      <c r="J55" s="597"/>
      <c r="K55" s="597"/>
      <c r="L55" s="597"/>
      <c r="M55" s="525"/>
      <c r="XFC55" s="526"/>
    </row>
    <row r="56" spans="1:16383" s="521" customFormat="1" ht="20.25" hidden="1" customHeight="1">
      <c r="A56" s="598" t="s">
        <v>20</v>
      </c>
      <c r="B56" s="599"/>
      <c r="C56" s="597"/>
      <c r="D56" s="597"/>
      <c r="E56" s="597"/>
      <c r="F56" s="597"/>
      <c r="G56" s="597"/>
      <c r="H56" s="597"/>
      <c r="I56" s="597"/>
      <c r="J56" s="597"/>
      <c r="K56" s="597"/>
      <c r="L56" s="597"/>
      <c r="M56" s="525"/>
      <c r="XFC56" s="526"/>
    </row>
    <row r="57" spans="1:16383" s="521" customFormat="1" ht="20.25" hidden="1" customHeight="1">
      <c r="A57" s="598" t="s">
        <v>21</v>
      </c>
      <c r="B57" s="599"/>
      <c r="C57" s="597"/>
      <c r="D57" s="597"/>
      <c r="E57" s="597"/>
      <c r="F57" s="597"/>
      <c r="G57" s="597"/>
      <c r="H57" s="597"/>
      <c r="I57" s="597"/>
      <c r="J57" s="597"/>
      <c r="K57" s="597"/>
      <c r="L57" s="597"/>
      <c r="M57" s="525"/>
      <c r="XFC57" s="526"/>
    </row>
    <row r="58" spans="1:16383" s="521" customFormat="1" ht="28.15" hidden="1" customHeight="1" thickBot="1">
      <c r="A58" s="598" t="s">
        <v>22</v>
      </c>
      <c r="B58" s="599"/>
      <c r="C58" s="597"/>
      <c r="D58" s="597"/>
      <c r="E58" s="597"/>
      <c r="F58" s="597"/>
      <c r="G58" s="597"/>
      <c r="H58" s="597"/>
      <c r="I58" s="597"/>
      <c r="J58" s="597"/>
      <c r="K58" s="597"/>
      <c r="L58" s="597"/>
      <c r="M58" s="527"/>
      <c r="N58" s="528"/>
      <c r="O58" s="528"/>
      <c r="P58" s="528"/>
      <c r="Q58" s="528"/>
      <c r="R58" s="528"/>
      <c r="S58" s="528"/>
      <c r="T58" s="528"/>
      <c r="U58" s="528"/>
      <c r="V58" s="528"/>
      <c r="W58" s="528"/>
      <c r="X58" s="528"/>
      <c r="Y58" s="528"/>
      <c r="Z58" s="528"/>
      <c r="AA58" s="528"/>
      <c r="AB58" s="528"/>
      <c r="AC58" s="528"/>
      <c r="AD58" s="528"/>
      <c r="AE58" s="528"/>
      <c r="AF58" s="528"/>
      <c r="AG58" s="528"/>
      <c r="AH58" s="528"/>
      <c r="AI58" s="528"/>
      <c r="AJ58" s="528"/>
      <c r="AK58" s="528"/>
      <c r="AL58" s="528"/>
      <c r="AM58" s="528"/>
      <c r="AN58" s="528"/>
      <c r="AO58" s="528"/>
      <c r="AP58" s="528"/>
      <c r="AQ58" s="528"/>
      <c r="AR58" s="528"/>
      <c r="AS58" s="528"/>
      <c r="AT58" s="528"/>
      <c r="AU58" s="528"/>
      <c r="AV58" s="528"/>
      <c r="AW58" s="528"/>
      <c r="AX58" s="528"/>
      <c r="AY58" s="528"/>
      <c r="AZ58" s="528"/>
      <c r="BA58" s="528"/>
      <c r="BB58" s="528"/>
      <c r="BC58" s="528"/>
      <c r="BD58" s="528"/>
      <c r="BE58" s="528"/>
      <c r="BF58" s="528"/>
      <c r="BG58" s="528"/>
      <c r="BH58" s="528"/>
      <c r="BI58" s="528"/>
      <c r="BJ58" s="528"/>
      <c r="BK58" s="528"/>
      <c r="BL58" s="528"/>
      <c r="BM58" s="528"/>
      <c r="BN58" s="528"/>
      <c r="BO58" s="528"/>
      <c r="BP58" s="528"/>
      <c r="BQ58" s="528"/>
      <c r="BR58" s="528"/>
      <c r="BS58" s="528"/>
      <c r="BT58" s="528"/>
      <c r="BU58" s="528"/>
      <c r="BV58" s="528"/>
      <c r="BW58" s="528"/>
      <c r="BX58" s="528"/>
      <c r="BY58" s="528"/>
      <c r="BZ58" s="528"/>
      <c r="CA58" s="528"/>
      <c r="CB58" s="528"/>
      <c r="CC58" s="528"/>
      <c r="CD58" s="528"/>
      <c r="CE58" s="528"/>
      <c r="CF58" s="528"/>
      <c r="CG58" s="528"/>
      <c r="CH58" s="528"/>
      <c r="CI58" s="528"/>
      <c r="CJ58" s="528"/>
      <c r="CK58" s="528"/>
      <c r="CL58" s="528"/>
      <c r="CM58" s="528"/>
      <c r="CN58" s="528"/>
      <c r="CO58" s="528"/>
      <c r="CP58" s="528"/>
      <c r="CQ58" s="528"/>
      <c r="CR58" s="528"/>
      <c r="CS58" s="528"/>
      <c r="CT58" s="528"/>
      <c r="CU58" s="528"/>
      <c r="CV58" s="528"/>
      <c r="CW58" s="528"/>
      <c r="CX58" s="528"/>
      <c r="CY58" s="528"/>
      <c r="CZ58" s="528"/>
      <c r="DA58" s="528"/>
      <c r="DB58" s="528"/>
      <c r="DC58" s="528"/>
      <c r="DD58" s="528"/>
      <c r="DE58" s="528"/>
      <c r="DF58" s="528"/>
      <c r="DG58" s="528"/>
      <c r="DH58" s="528"/>
      <c r="DI58" s="528"/>
      <c r="DJ58" s="528"/>
      <c r="DK58" s="528"/>
      <c r="DL58" s="528"/>
      <c r="DM58" s="528"/>
      <c r="DN58" s="528"/>
      <c r="DO58" s="528"/>
      <c r="DP58" s="528"/>
      <c r="DQ58" s="528"/>
      <c r="DR58" s="528"/>
      <c r="DS58" s="528"/>
      <c r="DT58" s="528"/>
      <c r="DU58" s="528"/>
      <c r="DV58" s="528"/>
      <c r="DW58" s="528"/>
      <c r="DX58" s="528"/>
      <c r="DY58" s="528"/>
      <c r="DZ58" s="528"/>
      <c r="EA58" s="528"/>
      <c r="EB58" s="528"/>
      <c r="EC58" s="528"/>
      <c r="ED58" s="528"/>
      <c r="EE58" s="528"/>
      <c r="EF58" s="528"/>
      <c r="EG58" s="528"/>
      <c r="EH58" s="528"/>
      <c r="EI58" s="528"/>
      <c r="EJ58" s="528"/>
      <c r="EK58" s="528"/>
      <c r="EL58" s="528"/>
      <c r="EM58" s="528"/>
      <c r="EN58" s="528"/>
      <c r="EO58" s="528"/>
      <c r="EP58" s="528"/>
      <c r="EQ58" s="528"/>
      <c r="ER58" s="528"/>
      <c r="ES58" s="528"/>
      <c r="ET58" s="528"/>
      <c r="EU58" s="528"/>
      <c r="EV58" s="528"/>
      <c r="EW58" s="528"/>
      <c r="EX58" s="528"/>
      <c r="EY58" s="528"/>
      <c r="EZ58" s="528"/>
      <c r="FA58" s="528"/>
      <c r="FB58" s="528"/>
      <c r="FC58" s="528"/>
      <c r="FD58" s="528"/>
      <c r="FE58" s="528"/>
      <c r="FF58" s="528"/>
      <c r="FG58" s="528"/>
      <c r="FH58" s="528"/>
      <c r="FI58" s="528"/>
      <c r="FJ58" s="528"/>
      <c r="FK58" s="528"/>
      <c r="FL58" s="528"/>
      <c r="FM58" s="528"/>
      <c r="FN58" s="528"/>
      <c r="FO58" s="528"/>
      <c r="FP58" s="528"/>
      <c r="FQ58" s="528"/>
      <c r="FR58" s="528"/>
      <c r="FS58" s="528"/>
      <c r="FT58" s="528"/>
      <c r="FU58" s="528"/>
      <c r="FV58" s="528"/>
      <c r="FW58" s="528"/>
      <c r="FX58" s="528"/>
      <c r="FY58" s="528"/>
      <c r="FZ58" s="528"/>
      <c r="GA58" s="528"/>
      <c r="GB58" s="528"/>
      <c r="GC58" s="528"/>
      <c r="GD58" s="528"/>
      <c r="GE58" s="528"/>
      <c r="GF58" s="528"/>
      <c r="GG58" s="528"/>
      <c r="GH58" s="528"/>
      <c r="GI58" s="528"/>
      <c r="GJ58" s="528"/>
      <c r="GK58" s="528"/>
      <c r="GL58" s="528"/>
      <c r="GM58" s="528"/>
      <c r="GN58" s="528"/>
      <c r="GO58" s="528"/>
      <c r="GP58" s="528"/>
      <c r="GQ58" s="528"/>
      <c r="GR58" s="528"/>
      <c r="GS58" s="528"/>
      <c r="GT58" s="528"/>
      <c r="GU58" s="528"/>
      <c r="GV58" s="528"/>
      <c r="GW58" s="528"/>
      <c r="GX58" s="528"/>
      <c r="GY58" s="528"/>
      <c r="GZ58" s="528"/>
      <c r="HA58" s="528"/>
      <c r="HB58" s="528"/>
      <c r="HC58" s="528"/>
      <c r="HD58" s="528"/>
      <c r="HE58" s="528"/>
      <c r="HF58" s="528"/>
      <c r="HG58" s="528"/>
      <c r="HH58" s="528"/>
      <c r="HI58" s="528"/>
      <c r="HJ58" s="528"/>
      <c r="HK58" s="528"/>
      <c r="HL58" s="528"/>
      <c r="HM58" s="528"/>
      <c r="HN58" s="528"/>
      <c r="HO58" s="528"/>
      <c r="HP58" s="528"/>
      <c r="HQ58" s="528"/>
      <c r="HR58" s="528"/>
      <c r="HS58" s="528"/>
      <c r="HT58" s="528"/>
      <c r="HU58" s="528"/>
      <c r="HV58" s="528"/>
      <c r="HW58" s="528"/>
      <c r="HX58" s="528"/>
      <c r="HY58" s="528"/>
      <c r="HZ58" s="528"/>
      <c r="IA58" s="528"/>
      <c r="IB58" s="528"/>
      <c r="IC58" s="528"/>
      <c r="ID58" s="528"/>
      <c r="IE58" s="528"/>
      <c r="IF58" s="528"/>
      <c r="IG58" s="528"/>
      <c r="IH58" s="528"/>
      <c r="II58" s="528"/>
      <c r="IJ58" s="528"/>
      <c r="IK58" s="528"/>
      <c r="IL58" s="528"/>
      <c r="IM58" s="528"/>
      <c r="IN58" s="528"/>
      <c r="IO58" s="528"/>
      <c r="IP58" s="528"/>
      <c r="IQ58" s="528"/>
      <c r="IR58" s="528"/>
      <c r="IS58" s="528"/>
      <c r="IT58" s="528"/>
      <c r="IU58" s="528"/>
      <c r="IV58" s="528"/>
      <c r="IW58" s="528"/>
      <c r="IX58" s="528"/>
      <c r="IY58" s="528"/>
      <c r="IZ58" s="528"/>
      <c r="JA58" s="528"/>
      <c r="JB58" s="528"/>
      <c r="JC58" s="528"/>
      <c r="JD58" s="528"/>
      <c r="JE58" s="528"/>
      <c r="JF58" s="528"/>
      <c r="JG58" s="528"/>
      <c r="JH58" s="528"/>
      <c r="JI58" s="528"/>
      <c r="JJ58" s="528"/>
      <c r="JK58" s="528"/>
      <c r="JL58" s="528"/>
      <c r="JM58" s="528"/>
      <c r="JN58" s="528"/>
      <c r="JO58" s="528"/>
      <c r="JP58" s="528"/>
      <c r="JQ58" s="528"/>
      <c r="JR58" s="528"/>
      <c r="JS58" s="528"/>
      <c r="JT58" s="528"/>
      <c r="JU58" s="528"/>
      <c r="JV58" s="528"/>
      <c r="JW58" s="528"/>
      <c r="JX58" s="528"/>
      <c r="JY58" s="528"/>
      <c r="JZ58" s="528"/>
      <c r="KA58" s="528"/>
      <c r="KB58" s="528"/>
      <c r="KC58" s="528"/>
      <c r="KD58" s="528"/>
      <c r="KE58" s="528"/>
      <c r="KF58" s="528"/>
      <c r="KG58" s="528"/>
      <c r="KH58" s="528"/>
      <c r="KI58" s="528"/>
      <c r="KJ58" s="528"/>
      <c r="KK58" s="528"/>
      <c r="KL58" s="528"/>
      <c r="KM58" s="528"/>
      <c r="KN58" s="528"/>
      <c r="KO58" s="528"/>
      <c r="KP58" s="528"/>
      <c r="KQ58" s="528"/>
      <c r="KR58" s="528"/>
      <c r="KS58" s="528"/>
      <c r="KT58" s="528"/>
      <c r="KU58" s="528"/>
      <c r="KV58" s="528"/>
      <c r="KW58" s="528"/>
      <c r="KX58" s="528"/>
      <c r="KY58" s="528"/>
      <c r="KZ58" s="528"/>
      <c r="LA58" s="528"/>
      <c r="LB58" s="528"/>
      <c r="LC58" s="528"/>
      <c r="LD58" s="528"/>
      <c r="LE58" s="528"/>
      <c r="LF58" s="528"/>
      <c r="LG58" s="528"/>
      <c r="LH58" s="528"/>
      <c r="LI58" s="528"/>
      <c r="LJ58" s="528"/>
      <c r="LK58" s="528"/>
      <c r="LL58" s="528"/>
      <c r="LM58" s="528"/>
      <c r="LN58" s="528"/>
      <c r="LO58" s="528"/>
      <c r="LP58" s="528"/>
      <c r="LQ58" s="528"/>
      <c r="LR58" s="528"/>
      <c r="LS58" s="528"/>
      <c r="LT58" s="528"/>
      <c r="LU58" s="528"/>
      <c r="LV58" s="528"/>
      <c r="LW58" s="528"/>
      <c r="LX58" s="528"/>
      <c r="LY58" s="528"/>
      <c r="LZ58" s="528"/>
      <c r="MA58" s="528"/>
      <c r="MB58" s="528"/>
      <c r="MC58" s="528"/>
      <c r="MD58" s="528"/>
      <c r="ME58" s="528"/>
      <c r="MF58" s="528"/>
      <c r="MG58" s="528"/>
      <c r="MH58" s="528"/>
      <c r="MI58" s="528"/>
      <c r="MJ58" s="528"/>
      <c r="MK58" s="528"/>
      <c r="ML58" s="528"/>
      <c r="MM58" s="528"/>
      <c r="MN58" s="528"/>
      <c r="MO58" s="528"/>
      <c r="MP58" s="528"/>
      <c r="MQ58" s="528"/>
      <c r="MR58" s="528"/>
      <c r="MS58" s="528"/>
      <c r="MT58" s="528"/>
      <c r="MU58" s="528"/>
      <c r="MV58" s="528"/>
      <c r="MW58" s="528"/>
      <c r="MX58" s="528"/>
      <c r="MY58" s="528"/>
      <c r="MZ58" s="528"/>
      <c r="NA58" s="528"/>
      <c r="NB58" s="528"/>
      <c r="NC58" s="528"/>
      <c r="ND58" s="528"/>
      <c r="NE58" s="528"/>
      <c r="NF58" s="528"/>
      <c r="NG58" s="528"/>
      <c r="NH58" s="528"/>
      <c r="NI58" s="528"/>
      <c r="NJ58" s="528"/>
      <c r="NK58" s="528"/>
      <c r="NL58" s="528"/>
      <c r="NM58" s="528"/>
      <c r="NN58" s="528"/>
      <c r="NO58" s="528"/>
      <c r="NP58" s="528"/>
      <c r="NQ58" s="528"/>
      <c r="NR58" s="528"/>
      <c r="NS58" s="528"/>
      <c r="NT58" s="528"/>
      <c r="NU58" s="528"/>
      <c r="NV58" s="528"/>
      <c r="NW58" s="528"/>
      <c r="NX58" s="528"/>
      <c r="NY58" s="528"/>
      <c r="NZ58" s="528"/>
      <c r="OA58" s="528"/>
      <c r="OB58" s="528"/>
      <c r="OC58" s="528"/>
      <c r="OD58" s="528"/>
      <c r="OE58" s="528"/>
      <c r="OF58" s="528"/>
      <c r="OG58" s="528"/>
      <c r="OH58" s="528"/>
      <c r="OI58" s="528"/>
      <c r="OJ58" s="528"/>
      <c r="OK58" s="528"/>
      <c r="OL58" s="528"/>
      <c r="OM58" s="528"/>
      <c r="ON58" s="528"/>
      <c r="OO58" s="528"/>
      <c r="OP58" s="528"/>
      <c r="OQ58" s="528"/>
      <c r="OR58" s="528"/>
      <c r="OS58" s="528"/>
      <c r="OT58" s="528"/>
      <c r="OU58" s="528"/>
      <c r="OV58" s="528"/>
      <c r="OW58" s="528"/>
      <c r="OX58" s="528"/>
      <c r="OY58" s="528"/>
      <c r="OZ58" s="528"/>
      <c r="PA58" s="528"/>
      <c r="PB58" s="528"/>
      <c r="PC58" s="528"/>
      <c r="PD58" s="528"/>
      <c r="PE58" s="528"/>
      <c r="PF58" s="528"/>
      <c r="PG58" s="528"/>
      <c r="PH58" s="528"/>
      <c r="PI58" s="528"/>
      <c r="PJ58" s="528"/>
      <c r="PK58" s="528"/>
      <c r="PL58" s="528"/>
      <c r="PM58" s="528"/>
      <c r="PN58" s="528"/>
      <c r="PO58" s="528"/>
      <c r="PP58" s="528"/>
      <c r="PQ58" s="528"/>
      <c r="PR58" s="528"/>
      <c r="PS58" s="528"/>
      <c r="PT58" s="528"/>
      <c r="PU58" s="528"/>
      <c r="PV58" s="528"/>
      <c r="PW58" s="528"/>
      <c r="PX58" s="528"/>
      <c r="PY58" s="528"/>
      <c r="PZ58" s="528"/>
      <c r="QA58" s="528"/>
      <c r="QB58" s="528"/>
      <c r="QC58" s="528"/>
      <c r="QD58" s="528"/>
      <c r="QE58" s="528"/>
      <c r="QF58" s="528"/>
      <c r="QG58" s="528"/>
      <c r="QH58" s="528"/>
      <c r="QI58" s="528"/>
      <c r="QJ58" s="528"/>
      <c r="QK58" s="528"/>
      <c r="QL58" s="528"/>
      <c r="QM58" s="528"/>
      <c r="QN58" s="528"/>
      <c r="QO58" s="528"/>
      <c r="QP58" s="528"/>
      <c r="QQ58" s="528"/>
      <c r="QR58" s="528"/>
      <c r="QS58" s="528"/>
      <c r="QT58" s="528"/>
      <c r="QU58" s="528"/>
      <c r="QV58" s="528"/>
      <c r="QW58" s="528"/>
      <c r="QX58" s="528"/>
      <c r="QY58" s="528"/>
      <c r="QZ58" s="528"/>
      <c r="RA58" s="528"/>
      <c r="RB58" s="528"/>
      <c r="RC58" s="528"/>
      <c r="RD58" s="528"/>
      <c r="RE58" s="528"/>
      <c r="RF58" s="528"/>
      <c r="RG58" s="528"/>
      <c r="RH58" s="528"/>
      <c r="RI58" s="528"/>
      <c r="RJ58" s="528"/>
      <c r="RK58" s="528"/>
      <c r="RL58" s="528"/>
      <c r="RM58" s="528"/>
      <c r="RN58" s="528"/>
      <c r="RO58" s="528"/>
      <c r="RP58" s="528"/>
      <c r="RQ58" s="528"/>
      <c r="RR58" s="528"/>
      <c r="RS58" s="528"/>
      <c r="RT58" s="528"/>
      <c r="RU58" s="528"/>
      <c r="RV58" s="528"/>
      <c r="RW58" s="528"/>
      <c r="RX58" s="528"/>
      <c r="RY58" s="528"/>
      <c r="RZ58" s="528"/>
      <c r="SA58" s="528"/>
      <c r="SB58" s="528"/>
      <c r="SC58" s="528"/>
      <c r="SD58" s="528"/>
      <c r="SE58" s="528"/>
      <c r="SF58" s="528"/>
      <c r="SG58" s="528"/>
      <c r="SH58" s="528"/>
      <c r="SI58" s="528"/>
      <c r="SJ58" s="528"/>
      <c r="SK58" s="528"/>
      <c r="SL58" s="528"/>
      <c r="SM58" s="528"/>
      <c r="SN58" s="528"/>
      <c r="SO58" s="528"/>
      <c r="SP58" s="528"/>
      <c r="SQ58" s="528"/>
      <c r="SR58" s="528"/>
      <c r="SS58" s="528"/>
      <c r="ST58" s="528"/>
      <c r="SU58" s="528"/>
      <c r="SV58" s="528"/>
      <c r="SW58" s="528"/>
      <c r="SX58" s="528"/>
      <c r="SY58" s="528"/>
      <c r="SZ58" s="528"/>
      <c r="TA58" s="528"/>
      <c r="TB58" s="528"/>
      <c r="TC58" s="528"/>
      <c r="TD58" s="528"/>
      <c r="TE58" s="528"/>
      <c r="TF58" s="528"/>
      <c r="TG58" s="528"/>
      <c r="TH58" s="528"/>
      <c r="TI58" s="528"/>
      <c r="TJ58" s="528"/>
      <c r="TK58" s="528"/>
      <c r="TL58" s="528"/>
      <c r="TM58" s="528"/>
      <c r="TN58" s="528"/>
      <c r="TO58" s="528"/>
      <c r="TP58" s="528"/>
      <c r="TQ58" s="528"/>
      <c r="TR58" s="528"/>
      <c r="TS58" s="528"/>
      <c r="TT58" s="528"/>
      <c r="TU58" s="528"/>
      <c r="TV58" s="528"/>
      <c r="TW58" s="528"/>
      <c r="TX58" s="528"/>
      <c r="TY58" s="528"/>
      <c r="TZ58" s="528"/>
      <c r="UA58" s="528"/>
      <c r="UB58" s="528"/>
      <c r="UC58" s="528"/>
      <c r="UD58" s="528"/>
      <c r="UE58" s="528"/>
      <c r="UF58" s="528"/>
      <c r="UG58" s="528"/>
      <c r="UH58" s="528"/>
      <c r="UI58" s="528"/>
      <c r="UJ58" s="528"/>
      <c r="UK58" s="528"/>
      <c r="UL58" s="528"/>
      <c r="UM58" s="528"/>
      <c r="UN58" s="528"/>
      <c r="UO58" s="528"/>
      <c r="UP58" s="528"/>
      <c r="UQ58" s="528"/>
      <c r="UR58" s="528"/>
      <c r="US58" s="528"/>
      <c r="UT58" s="528"/>
      <c r="UU58" s="528"/>
      <c r="UV58" s="528"/>
      <c r="UW58" s="528"/>
      <c r="UX58" s="528"/>
      <c r="UY58" s="528"/>
      <c r="UZ58" s="528"/>
      <c r="VA58" s="528"/>
      <c r="VB58" s="528"/>
      <c r="VC58" s="528"/>
      <c r="VD58" s="528"/>
      <c r="VE58" s="528"/>
      <c r="VF58" s="528"/>
      <c r="VG58" s="528"/>
      <c r="VH58" s="528"/>
      <c r="VI58" s="528"/>
      <c r="VJ58" s="528"/>
      <c r="VK58" s="528"/>
      <c r="VL58" s="528"/>
      <c r="VM58" s="528"/>
      <c r="VN58" s="528"/>
      <c r="VO58" s="528"/>
      <c r="VP58" s="528"/>
      <c r="VQ58" s="528"/>
      <c r="VR58" s="528"/>
      <c r="VS58" s="528"/>
      <c r="VT58" s="528"/>
      <c r="VU58" s="528"/>
      <c r="VV58" s="528"/>
      <c r="VW58" s="528"/>
      <c r="VX58" s="528"/>
      <c r="VY58" s="528"/>
      <c r="VZ58" s="528"/>
      <c r="WA58" s="528"/>
      <c r="WB58" s="528"/>
      <c r="WC58" s="528"/>
      <c r="WD58" s="528"/>
      <c r="WE58" s="528"/>
      <c r="WF58" s="528"/>
      <c r="WG58" s="528"/>
      <c r="WH58" s="528"/>
      <c r="WI58" s="528"/>
      <c r="WJ58" s="528"/>
      <c r="WK58" s="528"/>
      <c r="WL58" s="528"/>
      <c r="WM58" s="528"/>
      <c r="WN58" s="528"/>
      <c r="WO58" s="528"/>
      <c r="WP58" s="528"/>
      <c r="WQ58" s="528"/>
      <c r="WR58" s="528"/>
      <c r="WS58" s="528"/>
      <c r="WT58" s="528"/>
      <c r="WU58" s="528"/>
      <c r="WV58" s="528"/>
      <c r="WW58" s="528"/>
      <c r="WX58" s="528"/>
      <c r="WY58" s="528"/>
      <c r="WZ58" s="528"/>
      <c r="XA58" s="528"/>
      <c r="XB58" s="528"/>
      <c r="XC58" s="528"/>
      <c r="XD58" s="528"/>
      <c r="XE58" s="528"/>
      <c r="XF58" s="528"/>
      <c r="XG58" s="528"/>
      <c r="XH58" s="528"/>
      <c r="XI58" s="528"/>
      <c r="XJ58" s="528"/>
      <c r="XK58" s="528"/>
      <c r="XL58" s="528"/>
      <c r="XM58" s="528"/>
      <c r="XN58" s="528"/>
      <c r="XO58" s="528"/>
      <c r="XP58" s="528"/>
      <c r="XQ58" s="528"/>
      <c r="XR58" s="528"/>
      <c r="XS58" s="528"/>
      <c r="XT58" s="528"/>
      <c r="XU58" s="528"/>
      <c r="XV58" s="528"/>
      <c r="XW58" s="528"/>
      <c r="XX58" s="528"/>
      <c r="XY58" s="528"/>
      <c r="XZ58" s="528"/>
      <c r="YA58" s="528"/>
      <c r="YB58" s="528"/>
      <c r="YC58" s="528"/>
      <c r="YD58" s="528"/>
      <c r="YE58" s="528"/>
      <c r="YF58" s="528"/>
      <c r="YG58" s="528"/>
      <c r="YH58" s="528"/>
      <c r="YI58" s="528"/>
      <c r="YJ58" s="528"/>
      <c r="YK58" s="528"/>
      <c r="YL58" s="528"/>
      <c r="YM58" s="528"/>
      <c r="YN58" s="528"/>
      <c r="YO58" s="528"/>
      <c r="YP58" s="528"/>
      <c r="YQ58" s="528"/>
      <c r="YR58" s="528"/>
      <c r="YS58" s="528"/>
      <c r="YT58" s="528"/>
      <c r="YU58" s="528"/>
      <c r="YV58" s="528"/>
      <c r="YW58" s="528"/>
      <c r="YX58" s="528"/>
      <c r="YY58" s="528"/>
      <c r="YZ58" s="528"/>
      <c r="ZA58" s="528"/>
      <c r="ZB58" s="528"/>
      <c r="ZC58" s="528"/>
      <c r="ZD58" s="528"/>
      <c r="ZE58" s="528"/>
      <c r="ZF58" s="528"/>
      <c r="ZG58" s="528"/>
      <c r="ZH58" s="528"/>
      <c r="ZI58" s="528"/>
      <c r="ZJ58" s="528"/>
      <c r="ZK58" s="528"/>
      <c r="ZL58" s="528"/>
      <c r="ZM58" s="528"/>
      <c r="ZN58" s="528"/>
      <c r="ZO58" s="528"/>
      <c r="ZP58" s="528"/>
      <c r="ZQ58" s="528"/>
      <c r="ZR58" s="528"/>
      <c r="ZS58" s="528"/>
      <c r="ZT58" s="528"/>
      <c r="ZU58" s="528"/>
      <c r="ZV58" s="528"/>
      <c r="ZW58" s="528"/>
      <c r="ZX58" s="528"/>
      <c r="ZY58" s="528"/>
      <c r="ZZ58" s="528"/>
      <c r="AAA58" s="528"/>
      <c r="AAB58" s="528"/>
      <c r="AAC58" s="528"/>
      <c r="AAD58" s="528"/>
      <c r="AAE58" s="528"/>
      <c r="AAF58" s="528"/>
      <c r="AAG58" s="528"/>
      <c r="AAH58" s="528"/>
      <c r="AAI58" s="528"/>
      <c r="AAJ58" s="528"/>
      <c r="AAK58" s="528"/>
      <c r="AAL58" s="528"/>
      <c r="AAM58" s="528"/>
      <c r="AAN58" s="528"/>
      <c r="AAO58" s="528"/>
      <c r="AAP58" s="528"/>
      <c r="AAQ58" s="528"/>
      <c r="AAR58" s="528"/>
      <c r="AAS58" s="528"/>
      <c r="AAT58" s="528"/>
      <c r="AAU58" s="528"/>
      <c r="AAV58" s="528"/>
      <c r="AAW58" s="528"/>
      <c r="AAX58" s="528"/>
      <c r="AAY58" s="528"/>
      <c r="AAZ58" s="528"/>
      <c r="ABA58" s="528"/>
      <c r="ABB58" s="528"/>
      <c r="ABC58" s="528"/>
      <c r="ABD58" s="528"/>
      <c r="ABE58" s="528"/>
      <c r="ABF58" s="528"/>
      <c r="ABG58" s="528"/>
      <c r="ABH58" s="528"/>
      <c r="ABI58" s="528"/>
      <c r="ABJ58" s="528"/>
      <c r="ABK58" s="528"/>
      <c r="ABL58" s="528"/>
      <c r="ABM58" s="528"/>
      <c r="ABN58" s="528"/>
      <c r="ABO58" s="528"/>
      <c r="ABP58" s="528"/>
      <c r="ABQ58" s="528"/>
      <c r="ABR58" s="528"/>
      <c r="ABS58" s="528"/>
      <c r="ABT58" s="528"/>
      <c r="ABU58" s="528"/>
      <c r="ABV58" s="528"/>
      <c r="ABW58" s="528"/>
      <c r="ABX58" s="528"/>
      <c r="ABY58" s="528"/>
      <c r="ABZ58" s="528"/>
      <c r="ACA58" s="528"/>
      <c r="ACB58" s="528"/>
      <c r="ACC58" s="528"/>
      <c r="ACD58" s="528"/>
      <c r="ACE58" s="528"/>
      <c r="ACF58" s="528"/>
      <c r="ACG58" s="528"/>
      <c r="ACH58" s="528"/>
      <c r="ACI58" s="528"/>
      <c r="ACJ58" s="528"/>
      <c r="ACK58" s="528"/>
      <c r="ACL58" s="528"/>
      <c r="ACM58" s="528"/>
      <c r="ACN58" s="528"/>
      <c r="ACO58" s="528"/>
      <c r="ACP58" s="528"/>
      <c r="ACQ58" s="528"/>
      <c r="ACR58" s="528"/>
      <c r="ACS58" s="528"/>
      <c r="ACT58" s="528"/>
      <c r="ACU58" s="528"/>
      <c r="ACV58" s="528"/>
      <c r="ACW58" s="528"/>
      <c r="ACX58" s="528"/>
      <c r="ACY58" s="528"/>
      <c r="ACZ58" s="528"/>
      <c r="ADA58" s="528"/>
      <c r="ADB58" s="528"/>
      <c r="ADC58" s="528"/>
      <c r="ADD58" s="528"/>
      <c r="ADE58" s="528"/>
      <c r="ADF58" s="528"/>
      <c r="ADG58" s="528"/>
      <c r="ADH58" s="528"/>
      <c r="ADI58" s="528"/>
      <c r="ADJ58" s="528"/>
      <c r="ADK58" s="528"/>
      <c r="ADL58" s="528"/>
      <c r="ADM58" s="528"/>
      <c r="ADN58" s="528"/>
      <c r="ADO58" s="528"/>
      <c r="ADP58" s="528"/>
      <c r="ADQ58" s="528"/>
      <c r="ADR58" s="528"/>
      <c r="ADS58" s="528"/>
      <c r="ADT58" s="528"/>
      <c r="ADU58" s="528"/>
      <c r="ADV58" s="528"/>
      <c r="ADW58" s="528"/>
      <c r="ADX58" s="528"/>
      <c r="ADY58" s="528"/>
      <c r="ADZ58" s="528"/>
      <c r="AEA58" s="528"/>
      <c r="AEB58" s="528"/>
      <c r="AEC58" s="528"/>
      <c r="AED58" s="528"/>
      <c r="AEE58" s="528"/>
      <c r="AEF58" s="528"/>
      <c r="AEG58" s="528"/>
      <c r="AEH58" s="528"/>
      <c r="AEI58" s="528"/>
      <c r="AEJ58" s="528"/>
      <c r="AEK58" s="528"/>
      <c r="AEL58" s="528"/>
      <c r="AEM58" s="528"/>
      <c r="AEN58" s="528"/>
      <c r="AEO58" s="528"/>
      <c r="AEP58" s="528"/>
      <c r="AEQ58" s="528"/>
      <c r="AER58" s="528"/>
      <c r="AES58" s="528"/>
      <c r="AET58" s="528"/>
      <c r="AEU58" s="528"/>
      <c r="AEV58" s="528"/>
      <c r="AEW58" s="528"/>
      <c r="AEX58" s="528"/>
      <c r="AEY58" s="528"/>
      <c r="AEZ58" s="528"/>
      <c r="AFA58" s="528"/>
      <c r="AFB58" s="528"/>
      <c r="AFC58" s="528"/>
      <c r="AFD58" s="528"/>
      <c r="AFE58" s="528"/>
      <c r="AFF58" s="528"/>
      <c r="AFG58" s="528"/>
      <c r="AFH58" s="528"/>
      <c r="AFI58" s="528"/>
      <c r="AFJ58" s="528"/>
      <c r="AFK58" s="528"/>
      <c r="AFL58" s="528"/>
      <c r="AFM58" s="528"/>
      <c r="AFN58" s="528"/>
      <c r="AFO58" s="528"/>
      <c r="AFP58" s="528"/>
      <c r="AFQ58" s="528"/>
      <c r="AFR58" s="528"/>
      <c r="AFS58" s="528"/>
      <c r="AFT58" s="528"/>
      <c r="AFU58" s="528"/>
      <c r="AFV58" s="528"/>
      <c r="AFW58" s="528"/>
      <c r="AFX58" s="528"/>
      <c r="AFY58" s="528"/>
      <c r="AFZ58" s="528"/>
      <c r="AGA58" s="528"/>
      <c r="AGB58" s="528"/>
      <c r="AGC58" s="528"/>
      <c r="AGD58" s="528"/>
      <c r="AGE58" s="528"/>
      <c r="AGF58" s="528"/>
      <c r="AGG58" s="528"/>
      <c r="AGH58" s="528"/>
      <c r="AGI58" s="528"/>
      <c r="AGJ58" s="528"/>
      <c r="AGK58" s="528"/>
      <c r="AGL58" s="528"/>
      <c r="AGM58" s="528"/>
      <c r="AGN58" s="528"/>
      <c r="AGO58" s="528"/>
      <c r="AGP58" s="528"/>
      <c r="AGQ58" s="528"/>
      <c r="AGR58" s="528"/>
      <c r="AGS58" s="528"/>
      <c r="AGT58" s="528"/>
      <c r="AGU58" s="528"/>
      <c r="AGV58" s="528"/>
      <c r="AGW58" s="528"/>
      <c r="AGX58" s="528"/>
      <c r="AGY58" s="528"/>
      <c r="AGZ58" s="528"/>
      <c r="AHA58" s="528"/>
      <c r="AHB58" s="528"/>
      <c r="AHC58" s="528"/>
      <c r="AHD58" s="528"/>
      <c r="AHE58" s="528"/>
      <c r="AHF58" s="528"/>
      <c r="AHG58" s="528"/>
      <c r="AHH58" s="528"/>
      <c r="AHI58" s="528"/>
      <c r="AHJ58" s="528"/>
      <c r="AHK58" s="528"/>
      <c r="AHL58" s="528"/>
      <c r="AHM58" s="528"/>
      <c r="AHN58" s="528"/>
      <c r="AHO58" s="528"/>
      <c r="AHP58" s="528"/>
      <c r="AHQ58" s="528"/>
      <c r="AHR58" s="528"/>
      <c r="AHS58" s="528"/>
      <c r="AHT58" s="528"/>
      <c r="AHU58" s="528"/>
      <c r="AHV58" s="528"/>
      <c r="AHW58" s="528"/>
      <c r="AHX58" s="528"/>
      <c r="AHY58" s="528"/>
      <c r="AHZ58" s="528"/>
      <c r="AIA58" s="528"/>
      <c r="AIB58" s="528"/>
      <c r="AIC58" s="528"/>
      <c r="AID58" s="528"/>
      <c r="AIE58" s="528"/>
      <c r="AIF58" s="528"/>
      <c r="AIG58" s="528"/>
      <c r="AIH58" s="528"/>
      <c r="AII58" s="528"/>
      <c r="AIJ58" s="528"/>
      <c r="AIK58" s="528"/>
      <c r="AIL58" s="528"/>
      <c r="AIM58" s="528"/>
      <c r="AIN58" s="528"/>
      <c r="AIO58" s="528"/>
      <c r="AIP58" s="528"/>
      <c r="AIQ58" s="528"/>
      <c r="AIR58" s="528"/>
      <c r="AIS58" s="528"/>
      <c r="AIT58" s="528"/>
      <c r="AIU58" s="528"/>
      <c r="AIV58" s="528"/>
      <c r="AIW58" s="528"/>
      <c r="AIX58" s="528"/>
      <c r="AIY58" s="528"/>
      <c r="AIZ58" s="528"/>
      <c r="AJA58" s="528"/>
      <c r="AJB58" s="528"/>
      <c r="AJC58" s="528"/>
      <c r="AJD58" s="528"/>
      <c r="AJE58" s="528"/>
      <c r="AJF58" s="528"/>
      <c r="AJG58" s="528"/>
      <c r="AJH58" s="528"/>
      <c r="AJI58" s="528"/>
      <c r="AJJ58" s="528"/>
      <c r="AJK58" s="528"/>
      <c r="AJL58" s="528"/>
      <c r="AJM58" s="528"/>
      <c r="AJN58" s="528"/>
      <c r="AJO58" s="528"/>
      <c r="AJP58" s="528"/>
      <c r="AJQ58" s="528"/>
      <c r="AJR58" s="528"/>
      <c r="AJS58" s="528"/>
      <c r="AJT58" s="528"/>
      <c r="AJU58" s="528"/>
      <c r="AJV58" s="528"/>
      <c r="AJW58" s="528"/>
      <c r="AJX58" s="528"/>
      <c r="AJY58" s="528"/>
      <c r="AJZ58" s="528"/>
      <c r="AKA58" s="528"/>
      <c r="AKB58" s="528"/>
      <c r="AKC58" s="528"/>
      <c r="AKD58" s="528"/>
      <c r="AKE58" s="528"/>
      <c r="AKF58" s="528"/>
      <c r="AKG58" s="528"/>
      <c r="AKH58" s="528"/>
      <c r="AKI58" s="528"/>
      <c r="AKJ58" s="528"/>
      <c r="AKK58" s="528"/>
      <c r="AKL58" s="528"/>
      <c r="AKM58" s="528"/>
      <c r="AKN58" s="528"/>
      <c r="AKO58" s="528"/>
      <c r="AKP58" s="528"/>
      <c r="AKQ58" s="528"/>
      <c r="AKR58" s="528"/>
      <c r="AKS58" s="528"/>
      <c r="AKT58" s="528"/>
      <c r="AKU58" s="528"/>
      <c r="AKV58" s="528"/>
      <c r="AKW58" s="528"/>
      <c r="AKX58" s="528"/>
      <c r="AKY58" s="528"/>
      <c r="AKZ58" s="528"/>
      <c r="ALA58" s="528"/>
      <c r="ALB58" s="528"/>
      <c r="ALC58" s="528"/>
      <c r="ALD58" s="528"/>
      <c r="ALE58" s="528"/>
      <c r="ALF58" s="528"/>
      <c r="ALG58" s="528"/>
      <c r="ALH58" s="528"/>
      <c r="ALI58" s="528"/>
      <c r="ALJ58" s="528"/>
      <c r="ALK58" s="528"/>
      <c r="ALL58" s="528"/>
      <c r="ALM58" s="528"/>
      <c r="ALN58" s="528"/>
      <c r="ALO58" s="528"/>
      <c r="ALP58" s="528"/>
      <c r="ALQ58" s="528"/>
      <c r="ALR58" s="528"/>
      <c r="ALS58" s="528"/>
      <c r="ALT58" s="528"/>
      <c r="ALU58" s="528"/>
      <c r="ALV58" s="528"/>
      <c r="ALW58" s="528"/>
      <c r="ALX58" s="528"/>
      <c r="ALY58" s="528"/>
      <c r="ALZ58" s="528"/>
      <c r="AMA58" s="528"/>
      <c r="AMB58" s="528"/>
      <c r="AMC58" s="528"/>
      <c r="AMD58" s="528"/>
      <c r="AME58" s="528"/>
      <c r="AMF58" s="528"/>
      <c r="AMG58" s="528"/>
      <c r="AMH58" s="528"/>
      <c r="AMI58" s="528"/>
      <c r="AMJ58" s="528"/>
      <c r="AMK58" s="528"/>
      <c r="AML58" s="528"/>
      <c r="AMM58" s="528"/>
      <c r="AMN58" s="528"/>
      <c r="AMO58" s="528"/>
      <c r="AMP58" s="528"/>
      <c r="AMQ58" s="528"/>
      <c r="AMR58" s="528"/>
      <c r="AMS58" s="528"/>
      <c r="AMT58" s="528"/>
      <c r="AMU58" s="528"/>
      <c r="AMV58" s="528"/>
      <c r="AMW58" s="528"/>
      <c r="AMX58" s="528"/>
      <c r="AMY58" s="528"/>
      <c r="AMZ58" s="528"/>
      <c r="ANA58" s="528"/>
      <c r="ANB58" s="528"/>
      <c r="ANC58" s="528"/>
      <c r="AND58" s="528"/>
      <c r="ANE58" s="528"/>
      <c r="ANF58" s="528"/>
      <c r="ANG58" s="528"/>
      <c r="ANH58" s="528"/>
      <c r="ANI58" s="528"/>
      <c r="ANJ58" s="528"/>
      <c r="ANK58" s="528"/>
      <c r="ANL58" s="528"/>
      <c r="ANM58" s="528"/>
      <c r="ANN58" s="528"/>
      <c r="ANO58" s="528"/>
      <c r="ANP58" s="528"/>
      <c r="ANQ58" s="528"/>
      <c r="ANR58" s="528"/>
      <c r="ANS58" s="528"/>
      <c r="ANT58" s="528"/>
      <c r="ANU58" s="528"/>
      <c r="ANV58" s="528"/>
      <c r="ANW58" s="528"/>
      <c r="ANX58" s="528"/>
      <c r="ANY58" s="528"/>
      <c r="ANZ58" s="528"/>
      <c r="AOA58" s="528"/>
      <c r="AOB58" s="528"/>
      <c r="AOC58" s="528"/>
      <c r="AOD58" s="528"/>
      <c r="AOE58" s="528"/>
      <c r="AOF58" s="528"/>
      <c r="AOG58" s="528"/>
      <c r="AOH58" s="528"/>
      <c r="AOI58" s="528"/>
      <c r="AOJ58" s="528"/>
      <c r="AOK58" s="528"/>
      <c r="AOL58" s="528"/>
      <c r="AOM58" s="528"/>
      <c r="AON58" s="528"/>
      <c r="AOO58" s="528"/>
      <c r="AOP58" s="528"/>
      <c r="AOQ58" s="528"/>
      <c r="AOR58" s="528"/>
      <c r="AOS58" s="528"/>
      <c r="AOT58" s="528"/>
      <c r="AOU58" s="528"/>
      <c r="AOV58" s="528"/>
      <c r="AOW58" s="528"/>
      <c r="AOX58" s="528"/>
      <c r="AOY58" s="528"/>
      <c r="AOZ58" s="528"/>
      <c r="APA58" s="528"/>
      <c r="APB58" s="528"/>
      <c r="APC58" s="528"/>
      <c r="APD58" s="528"/>
      <c r="APE58" s="528"/>
      <c r="APF58" s="528"/>
      <c r="APG58" s="528"/>
      <c r="APH58" s="528"/>
      <c r="API58" s="528"/>
      <c r="APJ58" s="528"/>
      <c r="APK58" s="528"/>
      <c r="APL58" s="528"/>
      <c r="APM58" s="528"/>
      <c r="APN58" s="528"/>
      <c r="APO58" s="528"/>
      <c r="APP58" s="528"/>
      <c r="APQ58" s="528"/>
      <c r="APR58" s="528"/>
      <c r="APS58" s="528"/>
      <c r="APT58" s="528"/>
      <c r="APU58" s="528"/>
      <c r="APV58" s="528"/>
      <c r="APW58" s="528"/>
      <c r="APX58" s="528"/>
      <c r="APY58" s="528"/>
      <c r="APZ58" s="528"/>
      <c r="AQA58" s="528"/>
      <c r="AQB58" s="528"/>
      <c r="AQC58" s="528"/>
      <c r="AQD58" s="528"/>
      <c r="AQE58" s="528"/>
      <c r="AQF58" s="528"/>
      <c r="AQG58" s="528"/>
      <c r="AQH58" s="528"/>
      <c r="AQI58" s="528"/>
      <c r="AQJ58" s="528"/>
      <c r="AQK58" s="528"/>
      <c r="AQL58" s="528"/>
      <c r="AQM58" s="528"/>
      <c r="AQN58" s="528"/>
      <c r="AQO58" s="528"/>
      <c r="AQP58" s="528"/>
      <c r="AQQ58" s="528"/>
      <c r="AQR58" s="528"/>
      <c r="AQS58" s="528"/>
      <c r="AQT58" s="528"/>
      <c r="AQU58" s="528"/>
      <c r="AQV58" s="528"/>
      <c r="AQW58" s="528"/>
      <c r="AQX58" s="528"/>
      <c r="AQY58" s="528"/>
      <c r="AQZ58" s="528"/>
      <c r="ARA58" s="528"/>
      <c r="ARB58" s="528"/>
      <c r="ARC58" s="528"/>
      <c r="ARD58" s="528"/>
      <c r="ARE58" s="528"/>
      <c r="ARF58" s="528"/>
      <c r="ARG58" s="528"/>
      <c r="ARH58" s="528"/>
      <c r="ARI58" s="528"/>
      <c r="ARJ58" s="528"/>
      <c r="ARK58" s="528"/>
      <c r="ARL58" s="528"/>
      <c r="ARM58" s="528"/>
      <c r="ARN58" s="528"/>
      <c r="ARO58" s="528"/>
      <c r="ARP58" s="528"/>
      <c r="ARQ58" s="528"/>
      <c r="ARR58" s="528"/>
      <c r="ARS58" s="528"/>
      <c r="ART58" s="528"/>
      <c r="ARU58" s="528"/>
      <c r="ARV58" s="528"/>
      <c r="ARW58" s="528"/>
      <c r="ARX58" s="528"/>
      <c r="ARY58" s="528"/>
      <c r="ARZ58" s="528"/>
      <c r="ASA58" s="528"/>
      <c r="ASB58" s="528"/>
      <c r="ASC58" s="528"/>
      <c r="ASD58" s="528"/>
      <c r="ASE58" s="528"/>
      <c r="ASF58" s="528"/>
      <c r="ASG58" s="528"/>
      <c r="ASH58" s="528"/>
      <c r="ASI58" s="528"/>
      <c r="ASJ58" s="528"/>
      <c r="ASK58" s="528"/>
      <c r="ASL58" s="528"/>
      <c r="ASM58" s="528"/>
      <c r="ASN58" s="528"/>
      <c r="ASO58" s="528"/>
      <c r="ASP58" s="528"/>
      <c r="ASQ58" s="528"/>
      <c r="ASR58" s="528"/>
      <c r="ASS58" s="528"/>
      <c r="AST58" s="528"/>
      <c r="ASU58" s="528"/>
      <c r="ASV58" s="528"/>
      <c r="ASW58" s="528"/>
      <c r="ASX58" s="528"/>
      <c r="ASY58" s="528"/>
      <c r="ASZ58" s="528"/>
      <c r="ATA58" s="528"/>
      <c r="ATB58" s="528"/>
      <c r="ATC58" s="528"/>
      <c r="ATD58" s="528"/>
      <c r="ATE58" s="528"/>
      <c r="ATF58" s="528"/>
      <c r="ATG58" s="528"/>
      <c r="ATH58" s="528"/>
      <c r="ATI58" s="528"/>
      <c r="ATJ58" s="528"/>
      <c r="ATK58" s="528"/>
      <c r="ATL58" s="528"/>
      <c r="ATM58" s="528"/>
      <c r="ATN58" s="528"/>
      <c r="ATO58" s="528"/>
      <c r="ATP58" s="528"/>
      <c r="ATQ58" s="528"/>
      <c r="ATR58" s="528"/>
      <c r="ATS58" s="528"/>
      <c r="ATT58" s="528"/>
      <c r="ATU58" s="528"/>
      <c r="ATV58" s="528"/>
      <c r="ATW58" s="528"/>
      <c r="ATX58" s="528"/>
      <c r="ATY58" s="528"/>
      <c r="ATZ58" s="528"/>
      <c r="AUA58" s="528"/>
      <c r="AUB58" s="528"/>
      <c r="AUC58" s="528"/>
      <c r="AUD58" s="528"/>
      <c r="AUE58" s="528"/>
      <c r="AUF58" s="528"/>
      <c r="AUG58" s="528"/>
      <c r="AUH58" s="528"/>
      <c r="AUI58" s="528"/>
      <c r="AUJ58" s="528"/>
      <c r="AUK58" s="528"/>
      <c r="AUL58" s="528"/>
      <c r="AUM58" s="528"/>
      <c r="AUN58" s="528"/>
      <c r="AUO58" s="528"/>
      <c r="AUP58" s="528"/>
      <c r="AUQ58" s="528"/>
      <c r="AUR58" s="528"/>
      <c r="AUS58" s="528"/>
      <c r="AUT58" s="528"/>
      <c r="AUU58" s="528"/>
      <c r="AUV58" s="528"/>
      <c r="AUW58" s="528"/>
      <c r="AUX58" s="528"/>
      <c r="AUY58" s="528"/>
      <c r="AUZ58" s="528"/>
      <c r="AVA58" s="528"/>
      <c r="AVB58" s="528"/>
      <c r="AVC58" s="528"/>
      <c r="AVD58" s="528"/>
      <c r="AVE58" s="528"/>
      <c r="AVF58" s="528"/>
      <c r="AVG58" s="528"/>
      <c r="AVH58" s="528"/>
      <c r="AVI58" s="528"/>
      <c r="AVJ58" s="528"/>
      <c r="AVK58" s="528"/>
      <c r="AVL58" s="528"/>
      <c r="AVM58" s="528"/>
      <c r="AVN58" s="528"/>
      <c r="AVO58" s="528"/>
      <c r="AVP58" s="528"/>
      <c r="AVQ58" s="528"/>
      <c r="AVR58" s="528"/>
      <c r="AVS58" s="528"/>
      <c r="AVT58" s="528"/>
      <c r="AVU58" s="528"/>
      <c r="AVV58" s="528"/>
      <c r="AVW58" s="528"/>
      <c r="AVX58" s="528"/>
      <c r="AVY58" s="528"/>
      <c r="AVZ58" s="528"/>
      <c r="AWA58" s="528"/>
      <c r="AWB58" s="528"/>
      <c r="AWC58" s="528"/>
      <c r="AWD58" s="528"/>
      <c r="AWE58" s="528"/>
      <c r="AWF58" s="528"/>
      <c r="AWG58" s="528"/>
      <c r="AWH58" s="528"/>
      <c r="AWI58" s="528"/>
      <c r="AWJ58" s="528"/>
      <c r="AWK58" s="528"/>
      <c r="AWL58" s="528"/>
      <c r="AWM58" s="528"/>
      <c r="AWN58" s="528"/>
      <c r="AWO58" s="528"/>
      <c r="AWP58" s="528"/>
      <c r="AWQ58" s="528"/>
      <c r="AWR58" s="528"/>
      <c r="AWS58" s="528"/>
      <c r="AWT58" s="528"/>
      <c r="AWU58" s="528"/>
      <c r="AWV58" s="528"/>
      <c r="AWW58" s="528"/>
      <c r="AWX58" s="528"/>
      <c r="AWY58" s="528"/>
      <c r="AWZ58" s="528"/>
      <c r="AXA58" s="528"/>
      <c r="AXB58" s="528"/>
      <c r="AXC58" s="528"/>
      <c r="AXD58" s="528"/>
      <c r="AXE58" s="528"/>
      <c r="AXF58" s="528"/>
      <c r="AXG58" s="528"/>
      <c r="AXH58" s="528"/>
      <c r="AXI58" s="528"/>
      <c r="AXJ58" s="528"/>
      <c r="AXK58" s="528"/>
      <c r="AXL58" s="528"/>
      <c r="AXM58" s="528"/>
      <c r="AXN58" s="528"/>
      <c r="AXO58" s="528"/>
      <c r="AXP58" s="528"/>
      <c r="AXQ58" s="528"/>
      <c r="AXR58" s="528"/>
      <c r="AXS58" s="528"/>
      <c r="AXT58" s="528"/>
      <c r="AXU58" s="528"/>
      <c r="AXV58" s="528"/>
      <c r="AXW58" s="528"/>
      <c r="AXX58" s="528"/>
      <c r="AXY58" s="528"/>
      <c r="AXZ58" s="528"/>
      <c r="AYA58" s="528"/>
      <c r="AYB58" s="528"/>
      <c r="AYC58" s="528"/>
      <c r="AYD58" s="528"/>
      <c r="AYE58" s="528"/>
      <c r="AYF58" s="528"/>
      <c r="AYG58" s="528"/>
      <c r="AYH58" s="528"/>
      <c r="AYI58" s="528"/>
      <c r="AYJ58" s="528"/>
      <c r="AYK58" s="528"/>
      <c r="AYL58" s="528"/>
      <c r="AYM58" s="528"/>
      <c r="AYN58" s="528"/>
      <c r="AYO58" s="528"/>
      <c r="AYP58" s="528"/>
      <c r="AYQ58" s="528"/>
      <c r="AYR58" s="528"/>
      <c r="AYS58" s="528"/>
      <c r="AYT58" s="528"/>
      <c r="AYU58" s="528"/>
      <c r="AYV58" s="528"/>
      <c r="AYW58" s="528"/>
      <c r="AYX58" s="528"/>
      <c r="AYY58" s="528"/>
      <c r="AYZ58" s="528"/>
      <c r="AZA58" s="528"/>
      <c r="AZB58" s="528"/>
      <c r="AZC58" s="528"/>
      <c r="AZD58" s="528"/>
      <c r="AZE58" s="528"/>
      <c r="AZF58" s="528"/>
      <c r="AZG58" s="528"/>
      <c r="AZH58" s="528"/>
      <c r="AZI58" s="528"/>
      <c r="AZJ58" s="528"/>
      <c r="AZK58" s="528"/>
      <c r="AZL58" s="528"/>
      <c r="AZM58" s="528"/>
      <c r="AZN58" s="528"/>
      <c r="AZO58" s="528"/>
      <c r="AZP58" s="528"/>
      <c r="AZQ58" s="528"/>
      <c r="AZR58" s="528"/>
      <c r="AZS58" s="528"/>
      <c r="AZT58" s="528"/>
      <c r="AZU58" s="528"/>
      <c r="AZV58" s="528"/>
      <c r="AZW58" s="528"/>
      <c r="AZX58" s="528"/>
      <c r="AZY58" s="528"/>
      <c r="AZZ58" s="528"/>
      <c r="BAA58" s="528"/>
      <c r="BAB58" s="528"/>
      <c r="BAC58" s="528"/>
      <c r="BAD58" s="528"/>
      <c r="BAE58" s="528"/>
      <c r="BAF58" s="528"/>
      <c r="BAG58" s="528"/>
      <c r="BAH58" s="528"/>
      <c r="BAI58" s="528"/>
      <c r="BAJ58" s="528"/>
      <c r="BAK58" s="528"/>
      <c r="BAL58" s="528"/>
      <c r="BAM58" s="528"/>
      <c r="BAN58" s="528"/>
      <c r="BAO58" s="528"/>
      <c r="BAP58" s="528"/>
      <c r="BAQ58" s="528"/>
      <c r="BAR58" s="528"/>
      <c r="BAS58" s="528"/>
      <c r="BAT58" s="528"/>
      <c r="BAU58" s="528"/>
      <c r="BAV58" s="528"/>
      <c r="BAW58" s="528"/>
      <c r="BAX58" s="528"/>
      <c r="BAY58" s="528"/>
      <c r="BAZ58" s="528"/>
      <c r="BBA58" s="528"/>
      <c r="BBB58" s="528"/>
      <c r="BBC58" s="528"/>
      <c r="BBD58" s="528"/>
      <c r="BBE58" s="528"/>
      <c r="BBF58" s="528"/>
      <c r="BBG58" s="528"/>
      <c r="BBH58" s="528"/>
      <c r="BBI58" s="528"/>
      <c r="BBJ58" s="528"/>
      <c r="BBK58" s="528"/>
      <c r="BBL58" s="528"/>
      <c r="BBM58" s="528"/>
      <c r="BBN58" s="528"/>
      <c r="BBO58" s="528"/>
      <c r="BBP58" s="528"/>
      <c r="BBQ58" s="528"/>
      <c r="BBR58" s="528"/>
      <c r="BBS58" s="528"/>
      <c r="BBT58" s="528"/>
      <c r="BBU58" s="528"/>
      <c r="BBV58" s="528"/>
      <c r="BBW58" s="528"/>
      <c r="BBX58" s="528"/>
      <c r="BBY58" s="528"/>
      <c r="BBZ58" s="528"/>
      <c r="BCA58" s="528"/>
      <c r="BCB58" s="528"/>
      <c r="BCC58" s="528"/>
      <c r="BCD58" s="528"/>
      <c r="BCE58" s="528"/>
      <c r="BCF58" s="528"/>
      <c r="BCG58" s="528"/>
      <c r="BCH58" s="528"/>
      <c r="BCI58" s="528"/>
      <c r="BCJ58" s="528"/>
      <c r="BCK58" s="528"/>
      <c r="BCL58" s="528"/>
      <c r="BCM58" s="528"/>
      <c r="BCN58" s="528"/>
      <c r="BCO58" s="528"/>
      <c r="BCP58" s="528"/>
      <c r="BCQ58" s="528"/>
      <c r="BCR58" s="528"/>
      <c r="BCS58" s="528"/>
      <c r="BCT58" s="528"/>
      <c r="BCU58" s="528"/>
      <c r="BCV58" s="528"/>
      <c r="BCW58" s="528"/>
      <c r="BCX58" s="528"/>
      <c r="BCY58" s="528"/>
      <c r="BCZ58" s="528"/>
      <c r="BDA58" s="528"/>
      <c r="BDB58" s="528"/>
      <c r="BDC58" s="528"/>
      <c r="BDD58" s="528"/>
      <c r="BDE58" s="528"/>
      <c r="BDF58" s="528"/>
      <c r="BDG58" s="528"/>
      <c r="BDH58" s="528"/>
      <c r="BDI58" s="528"/>
      <c r="BDJ58" s="528"/>
      <c r="BDK58" s="528"/>
      <c r="BDL58" s="528"/>
      <c r="BDM58" s="528"/>
      <c r="BDN58" s="528"/>
      <c r="BDO58" s="528"/>
      <c r="BDP58" s="528"/>
      <c r="BDQ58" s="528"/>
      <c r="BDR58" s="528"/>
      <c r="BDS58" s="528"/>
      <c r="BDT58" s="528"/>
      <c r="BDU58" s="528"/>
      <c r="BDV58" s="528"/>
      <c r="BDW58" s="528"/>
      <c r="BDX58" s="528"/>
      <c r="BDY58" s="528"/>
      <c r="BDZ58" s="528"/>
      <c r="BEA58" s="528"/>
      <c r="BEB58" s="528"/>
      <c r="BEC58" s="528"/>
      <c r="BED58" s="528"/>
      <c r="BEE58" s="528"/>
      <c r="BEF58" s="528"/>
      <c r="BEG58" s="528"/>
      <c r="BEH58" s="528"/>
      <c r="BEI58" s="528"/>
      <c r="BEJ58" s="528"/>
      <c r="BEK58" s="528"/>
      <c r="BEL58" s="528"/>
      <c r="BEM58" s="528"/>
      <c r="BEN58" s="528"/>
      <c r="BEO58" s="528"/>
      <c r="BEP58" s="528"/>
      <c r="BEQ58" s="528"/>
      <c r="BER58" s="528"/>
      <c r="BES58" s="528"/>
      <c r="BET58" s="528"/>
      <c r="BEU58" s="528"/>
      <c r="BEV58" s="528"/>
      <c r="BEW58" s="528"/>
      <c r="BEX58" s="528"/>
      <c r="BEY58" s="528"/>
      <c r="BEZ58" s="528"/>
      <c r="BFA58" s="528"/>
      <c r="BFB58" s="528"/>
      <c r="BFC58" s="528"/>
      <c r="BFD58" s="528"/>
      <c r="BFE58" s="528"/>
      <c r="BFF58" s="528"/>
      <c r="BFG58" s="528"/>
      <c r="BFH58" s="528"/>
      <c r="BFI58" s="528"/>
      <c r="BFJ58" s="528"/>
      <c r="BFK58" s="528"/>
      <c r="BFL58" s="528"/>
      <c r="BFM58" s="528"/>
      <c r="BFN58" s="528"/>
      <c r="BFO58" s="528"/>
      <c r="BFP58" s="528"/>
      <c r="BFQ58" s="528"/>
      <c r="BFR58" s="528"/>
      <c r="BFS58" s="528"/>
      <c r="BFT58" s="528"/>
      <c r="BFU58" s="528"/>
      <c r="BFV58" s="528"/>
      <c r="BFW58" s="528"/>
      <c r="BFX58" s="528"/>
      <c r="BFY58" s="528"/>
      <c r="BFZ58" s="528"/>
      <c r="BGA58" s="528"/>
      <c r="BGB58" s="528"/>
      <c r="BGC58" s="528"/>
      <c r="BGD58" s="528"/>
      <c r="BGE58" s="528"/>
      <c r="BGF58" s="528"/>
      <c r="BGG58" s="528"/>
      <c r="BGH58" s="528"/>
      <c r="BGI58" s="528"/>
      <c r="BGJ58" s="528"/>
      <c r="BGK58" s="528"/>
      <c r="BGL58" s="528"/>
      <c r="BGM58" s="528"/>
      <c r="BGN58" s="528"/>
      <c r="BGO58" s="528"/>
      <c r="BGP58" s="528"/>
      <c r="BGQ58" s="528"/>
      <c r="BGR58" s="528"/>
      <c r="BGS58" s="528"/>
      <c r="BGT58" s="528"/>
      <c r="BGU58" s="528"/>
      <c r="BGV58" s="528"/>
      <c r="BGW58" s="528"/>
      <c r="BGX58" s="528"/>
      <c r="BGY58" s="528"/>
      <c r="BGZ58" s="528"/>
      <c r="BHA58" s="528"/>
      <c r="BHB58" s="528"/>
      <c r="BHC58" s="528"/>
      <c r="BHD58" s="528"/>
      <c r="BHE58" s="528"/>
      <c r="BHF58" s="528"/>
      <c r="BHG58" s="528"/>
      <c r="BHH58" s="528"/>
      <c r="BHI58" s="528"/>
      <c r="BHJ58" s="528"/>
      <c r="BHK58" s="528"/>
      <c r="BHL58" s="528"/>
      <c r="BHM58" s="528"/>
      <c r="BHN58" s="528"/>
      <c r="BHO58" s="528"/>
      <c r="BHP58" s="528"/>
      <c r="BHQ58" s="528"/>
      <c r="BHR58" s="528"/>
      <c r="BHS58" s="528"/>
      <c r="BHT58" s="528"/>
      <c r="BHU58" s="528"/>
      <c r="BHV58" s="528"/>
      <c r="BHW58" s="528"/>
      <c r="BHX58" s="528"/>
      <c r="BHY58" s="528"/>
      <c r="BHZ58" s="528"/>
      <c r="BIA58" s="528"/>
      <c r="BIB58" s="528"/>
      <c r="BIC58" s="528"/>
      <c r="BID58" s="528"/>
      <c r="BIE58" s="528"/>
      <c r="BIF58" s="528"/>
      <c r="BIG58" s="528"/>
      <c r="BIH58" s="528"/>
      <c r="BII58" s="528"/>
      <c r="BIJ58" s="528"/>
      <c r="BIK58" s="528"/>
      <c r="BIL58" s="528"/>
      <c r="BIM58" s="528"/>
      <c r="BIN58" s="528"/>
      <c r="BIO58" s="528"/>
      <c r="BIP58" s="528"/>
      <c r="BIQ58" s="528"/>
      <c r="BIR58" s="528"/>
      <c r="BIS58" s="528"/>
      <c r="BIT58" s="528"/>
      <c r="BIU58" s="528"/>
      <c r="BIV58" s="528"/>
      <c r="BIW58" s="528"/>
      <c r="BIX58" s="528"/>
      <c r="BIY58" s="528"/>
      <c r="BIZ58" s="528"/>
      <c r="BJA58" s="528"/>
      <c r="BJB58" s="528"/>
      <c r="BJC58" s="528"/>
      <c r="BJD58" s="528"/>
      <c r="BJE58" s="528"/>
      <c r="BJF58" s="528"/>
      <c r="BJG58" s="528"/>
      <c r="BJH58" s="528"/>
      <c r="BJI58" s="528"/>
      <c r="BJJ58" s="528"/>
      <c r="BJK58" s="528"/>
      <c r="BJL58" s="528"/>
      <c r="BJM58" s="528"/>
      <c r="BJN58" s="528"/>
      <c r="BJO58" s="528"/>
      <c r="BJP58" s="528"/>
      <c r="BJQ58" s="528"/>
      <c r="BJR58" s="528"/>
      <c r="BJS58" s="528"/>
      <c r="BJT58" s="528"/>
      <c r="BJU58" s="528"/>
      <c r="BJV58" s="528"/>
      <c r="BJW58" s="528"/>
      <c r="BJX58" s="528"/>
      <c r="BJY58" s="528"/>
      <c r="BJZ58" s="528"/>
      <c r="BKA58" s="528"/>
      <c r="BKB58" s="528"/>
      <c r="BKC58" s="528"/>
      <c r="BKD58" s="528"/>
      <c r="BKE58" s="528"/>
      <c r="BKF58" s="528"/>
      <c r="BKG58" s="528"/>
      <c r="BKH58" s="528"/>
      <c r="BKI58" s="528"/>
      <c r="BKJ58" s="528"/>
      <c r="BKK58" s="528"/>
      <c r="BKL58" s="528"/>
      <c r="BKM58" s="528"/>
      <c r="BKN58" s="528"/>
      <c r="BKO58" s="528"/>
      <c r="BKP58" s="528"/>
      <c r="BKQ58" s="528"/>
      <c r="BKR58" s="528"/>
      <c r="BKS58" s="528"/>
      <c r="BKT58" s="528"/>
      <c r="BKU58" s="528"/>
      <c r="BKV58" s="528"/>
      <c r="BKW58" s="528"/>
      <c r="BKX58" s="528"/>
      <c r="BKY58" s="528"/>
      <c r="BKZ58" s="528"/>
      <c r="BLA58" s="528"/>
      <c r="BLB58" s="528"/>
      <c r="BLC58" s="528"/>
      <c r="BLD58" s="528"/>
      <c r="BLE58" s="528"/>
      <c r="BLF58" s="528"/>
      <c r="BLG58" s="528"/>
      <c r="BLH58" s="528"/>
      <c r="BLI58" s="528"/>
      <c r="BLJ58" s="528"/>
      <c r="BLK58" s="528"/>
      <c r="BLL58" s="528"/>
      <c r="BLM58" s="528"/>
      <c r="BLN58" s="528"/>
      <c r="BLO58" s="528"/>
      <c r="BLP58" s="528"/>
      <c r="BLQ58" s="528"/>
      <c r="BLR58" s="528"/>
      <c r="BLS58" s="528"/>
      <c r="BLT58" s="528"/>
      <c r="BLU58" s="528"/>
      <c r="BLV58" s="528"/>
      <c r="BLW58" s="528"/>
      <c r="BLX58" s="528"/>
      <c r="BLY58" s="528"/>
      <c r="BLZ58" s="528"/>
      <c r="BMA58" s="528"/>
      <c r="BMB58" s="528"/>
      <c r="BMC58" s="528"/>
      <c r="BMD58" s="528"/>
      <c r="BME58" s="528"/>
      <c r="BMF58" s="528"/>
      <c r="BMG58" s="528"/>
      <c r="BMH58" s="528"/>
      <c r="BMI58" s="528"/>
      <c r="BMJ58" s="528"/>
      <c r="BMK58" s="528"/>
      <c r="BML58" s="528"/>
      <c r="BMM58" s="528"/>
      <c r="BMN58" s="528"/>
      <c r="BMO58" s="528"/>
      <c r="BMP58" s="528"/>
      <c r="BMQ58" s="528"/>
      <c r="BMR58" s="528"/>
      <c r="BMS58" s="528"/>
      <c r="BMT58" s="528"/>
      <c r="BMU58" s="528"/>
      <c r="BMV58" s="528"/>
      <c r="BMW58" s="528"/>
      <c r="BMX58" s="528"/>
      <c r="BMY58" s="528"/>
      <c r="BMZ58" s="528"/>
      <c r="BNA58" s="528"/>
      <c r="BNB58" s="528"/>
      <c r="BNC58" s="528"/>
      <c r="BND58" s="528"/>
      <c r="BNE58" s="528"/>
      <c r="BNF58" s="528"/>
      <c r="BNG58" s="528"/>
      <c r="BNH58" s="528"/>
      <c r="BNI58" s="528"/>
      <c r="BNJ58" s="528"/>
      <c r="BNK58" s="528"/>
      <c r="BNL58" s="528"/>
      <c r="BNM58" s="528"/>
      <c r="BNN58" s="528"/>
      <c r="BNO58" s="528"/>
      <c r="BNP58" s="528"/>
      <c r="BNQ58" s="528"/>
      <c r="BNR58" s="528"/>
      <c r="BNS58" s="528"/>
      <c r="BNT58" s="528"/>
      <c r="BNU58" s="528"/>
      <c r="BNV58" s="528"/>
      <c r="BNW58" s="528"/>
      <c r="BNX58" s="528"/>
      <c r="BNY58" s="528"/>
      <c r="BNZ58" s="528"/>
      <c r="BOA58" s="528"/>
      <c r="BOB58" s="528"/>
      <c r="BOC58" s="528"/>
      <c r="BOD58" s="528"/>
      <c r="BOE58" s="528"/>
      <c r="BOF58" s="528"/>
      <c r="BOG58" s="528"/>
      <c r="BOH58" s="528"/>
      <c r="BOI58" s="528"/>
      <c r="BOJ58" s="528"/>
      <c r="BOK58" s="528"/>
      <c r="BOL58" s="528"/>
      <c r="BOM58" s="528"/>
      <c r="BON58" s="528"/>
      <c r="BOO58" s="528"/>
      <c r="BOP58" s="528"/>
      <c r="BOQ58" s="528"/>
      <c r="BOR58" s="528"/>
      <c r="BOS58" s="528"/>
      <c r="BOT58" s="528"/>
      <c r="BOU58" s="528"/>
      <c r="BOV58" s="528"/>
      <c r="BOW58" s="528"/>
      <c r="BOX58" s="528"/>
      <c r="BOY58" s="528"/>
      <c r="BOZ58" s="528"/>
      <c r="BPA58" s="528"/>
      <c r="BPB58" s="528"/>
      <c r="BPC58" s="528"/>
      <c r="BPD58" s="528"/>
      <c r="BPE58" s="528"/>
      <c r="BPF58" s="528"/>
      <c r="BPG58" s="528"/>
      <c r="BPH58" s="528"/>
      <c r="BPI58" s="528"/>
      <c r="BPJ58" s="528"/>
      <c r="BPK58" s="528"/>
      <c r="BPL58" s="528"/>
      <c r="BPM58" s="528"/>
      <c r="BPN58" s="528"/>
      <c r="BPO58" s="528"/>
      <c r="BPP58" s="528"/>
      <c r="BPQ58" s="528"/>
      <c r="BPR58" s="528"/>
      <c r="BPS58" s="528"/>
      <c r="BPT58" s="528"/>
      <c r="BPU58" s="528"/>
      <c r="BPV58" s="528"/>
      <c r="BPW58" s="528"/>
      <c r="BPX58" s="528"/>
      <c r="BPY58" s="528"/>
      <c r="BPZ58" s="528"/>
      <c r="BQA58" s="528"/>
      <c r="BQB58" s="528"/>
      <c r="BQC58" s="528"/>
      <c r="BQD58" s="528"/>
      <c r="BQE58" s="528"/>
      <c r="BQF58" s="528"/>
      <c r="BQG58" s="528"/>
      <c r="BQH58" s="528"/>
      <c r="BQI58" s="528"/>
      <c r="BQJ58" s="528"/>
      <c r="BQK58" s="528"/>
      <c r="BQL58" s="528"/>
      <c r="BQM58" s="528"/>
      <c r="BQN58" s="528"/>
      <c r="BQO58" s="528"/>
      <c r="BQP58" s="528"/>
      <c r="BQQ58" s="528"/>
      <c r="BQR58" s="528"/>
      <c r="BQS58" s="528"/>
      <c r="BQT58" s="528"/>
      <c r="BQU58" s="528"/>
      <c r="BQV58" s="528"/>
      <c r="BQW58" s="528"/>
      <c r="BQX58" s="528"/>
      <c r="BQY58" s="528"/>
      <c r="BQZ58" s="528"/>
      <c r="BRA58" s="528"/>
      <c r="BRB58" s="528"/>
      <c r="BRC58" s="528"/>
      <c r="BRD58" s="528"/>
      <c r="BRE58" s="528"/>
      <c r="BRF58" s="528"/>
      <c r="BRG58" s="528"/>
      <c r="BRH58" s="528"/>
      <c r="BRI58" s="528"/>
      <c r="BRJ58" s="528"/>
      <c r="BRK58" s="528"/>
      <c r="BRL58" s="528"/>
      <c r="BRM58" s="528"/>
      <c r="BRN58" s="528"/>
      <c r="BRO58" s="528"/>
      <c r="BRP58" s="528"/>
      <c r="BRQ58" s="528"/>
      <c r="BRR58" s="528"/>
      <c r="BRS58" s="528"/>
      <c r="BRT58" s="528"/>
      <c r="BRU58" s="528"/>
      <c r="BRV58" s="528"/>
      <c r="BRW58" s="528"/>
      <c r="BRX58" s="528"/>
      <c r="BRY58" s="528"/>
      <c r="BRZ58" s="528"/>
      <c r="BSA58" s="528"/>
      <c r="BSB58" s="528"/>
      <c r="BSC58" s="528"/>
      <c r="BSD58" s="528"/>
      <c r="BSE58" s="528"/>
      <c r="BSF58" s="528"/>
      <c r="BSG58" s="528"/>
      <c r="BSH58" s="528"/>
      <c r="BSI58" s="528"/>
      <c r="BSJ58" s="528"/>
      <c r="BSK58" s="528"/>
      <c r="BSL58" s="528"/>
      <c r="BSM58" s="528"/>
      <c r="BSN58" s="528"/>
      <c r="BSO58" s="528"/>
      <c r="BSP58" s="528"/>
      <c r="BSQ58" s="528"/>
      <c r="BSR58" s="528"/>
      <c r="BSS58" s="528"/>
      <c r="BST58" s="528"/>
      <c r="BSU58" s="528"/>
      <c r="BSV58" s="528"/>
      <c r="BSW58" s="528"/>
      <c r="BSX58" s="528"/>
      <c r="BSY58" s="528"/>
      <c r="BSZ58" s="528"/>
      <c r="BTA58" s="528"/>
      <c r="BTB58" s="528"/>
      <c r="BTC58" s="528"/>
      <c r="BTD58" s="528"/>
      <c r="BTE58" s="528"/>
      <c r="BTF58" s="528"/>
      <c r="BTG58" s="528"/>
      <c r="BTH58" s="528"/>
      <c r="BTI58" s="528"/>
      <c r="BTJ58" s="528"/>
      <c r="BTK58" s="528"/>
      <c r="BTL58" s="528"/>
      <c r="BTM58" s="528"/>
      <c r="BTN58" s="528"/>
      <c r="BTO58" s="528"/>
      <c r="BTP58" s="528"/>
      <c r="BTQ58" s="528"/>
      <c r="BTR58" s="528"/>
      <c r="BTS58" s="528"/>
      <c r="BTT58" s="528"/>
      <c r="BTU58" s="528"/>
      <c r="BTV58" s="528"/>
      <c r="BTW58" s="528"/>
      <c r="BTX58" s="528"/>
      <c r="BTY58" s="528"/>
      <c r="BTZ58" s="528"/>
      <c r="BUA58" s="528"/>
      <c r="BUB58" s="528"/>
      <c r="BUC58" s="528"/>
      <c r="BUD58" s="528"/>
      <c r="BUE58" s="528"/>
      <c r="BUF58" s="528"/>
      <c r="BUG58" s="528"/>
      <c r="BUH58" s="528"/>
      <c r="BUI58" s="528"/>
      <c r="BUJ58" s="528"/>
      <c r="BUK58" s="528"/>
      <c r="BUL58" s="528"/>
      <c r="BUM58" s="528"/>
      <c r="BUN58" s="528"/>
      <c r="BUO58" s="528"/>
      <c r="BUP58" s="528"/>
      <c r="BUQ58" s="528"/>
      <c r="BUR58" s="528"/>
      <c r="BUS58" s="528"/>
      <c r="BUT58" s="528"/>
      <c r="BUU58" s="528"/>
      <c r="BUV58" s="528"/>
      <c r="BUW58" s="528"/>
      <c r="BUX58" s="528"/>
      <c r="BUY58" s="528"/>
      <c r="BUZ58" s="528"/>
      <c r="BVA58" s="528"/>
      <c r="BVB58" s="528"/>
      <c r="BVC58" s="528"/>
      <c r="BVD58" s="528"/>
      <c r="BVE58" s="528"/>
      <c r="BVF58" s="528"/>
      <c r="BVG58" s="528"/>
      <c r="BVH58" s="528"/>
      <c r="BVI58" s="528"/>
      <c r="BVJ58" s="528"/>
      <c r="BVK58" s="528"/>
      <c r="BVL58" s="528"/>
      <c r="BVM58" s="528"/>
      <c r="BVN58" s="528"/>
      <c r="BVO58" s="528"/>
      <c r="BVP58" s="528"/>
      <c r="BVQ58" s="528"/>
      <c r="BVR58" s="528"/>
      <c r="BVS58" s="528"/>
      <c r="BVT58" s="528"/>
      <c r="BVU58" s="528"/>
      <c r="BVV58" s="528"/>
      <c r="BVW58" s="528"/>
      <c r="BVX58" s="528"/>
      <c r="BVY58" s="528"/>
      <c r="BVZ58" s="528"/>
      <c r="BWA58" s="528"/>
      <c r="BWB58" s="528"/>
      <c r="BWC58" s="528"/>
      <c r="BWD58" s="528"/>
      <c r="BWE58" s="528"/>
      <c r="BWF58" s="528"/>
      <c r="BWG58" s="528"/>
      <c r="BWH58" s="528"/>
      <c r="BWI58" s="528"/>
      <c r="BWJ58" s="528"/>
      <c r="BWK58" s="528"/>
      <c r="BWL58" s="528"/>
      <c r="BWM58" s="528"/>
      <c r="BWN58" s="528"/>
      <c r="BWO58" s="528"/>
      <c r="BWP58" s="528"/>
      <c r="BWQ58" s="528"/>
      <c r="BWR58" s="528"/>
      <c r="BWS58" s="528"/>
      <c r="BWT58" s="528"/>
      <c r="BWU58" s="528"/>
      <c r="BWV58" s="528"/>
      <c r="BWW58" s="528"/>
      <c r="BWX58" s="528"/>
      <c r="BWY58" s="528"/>
      <c r="BWZ58" s="528"/>
      <c r="BXA58" s="528"/>
      <c r="BXB58" s="528"/>
      <c r="BXC58" s="528"/>
      <c r="BXD58" s="528"/>
      <c r="BXE58" s="528"/>
      <c r="BXF58" s="528"/>
      <c r="BXG58" s="528"/>
      <c r="BXH58" s="528"/>
      <c r="BXI58" s="528"/>
      <c r="BXJ58" s="528"/>
      <c r="BXK58" s="528"/>
      <c r="BXL58" s="528"/>
      <c r="BXM58" s="528"/>
      <c r="BXN58" s="528"/>
      <c r="BXO58" s="528"/>
      <c r="BXP58" s="528"/>
      <c r="BXQ58" s="528"/>
      <c r="BXR58" s="528"/>
      <c r="BXS58" s="528"/>
      <c r="BXT58" s="528"/>
      <c r="BXU58" s="528"/>
      <c r="BXV58" s="528"/>
      <c r="BXW58" s="528"/>
      <c r="BXX58" s="528"/>
      <c r="BXY58" s="528"/>
      <c r="BXZ58" s="528"/>
      <c r="BYA58" s="528"/>
      <c r="BYB58" s="528"/>
      <c r="BYC58" s="528"/>
      <c r="BYD58" s="528"/>
      <c r="BYE58" s="528"/>
      <c r="BYF58" s="528"/>
      <c r="BYG58" s="528"/>
      <c r="BYH58" s="528"/>
      <c r="BYI58" s="528"/>
      <c r="BYJ58" s="528"/>
      <c r="BYK58" s="528"/>
      <c r="BYL58" s="528"/>
      <c r="BYM58" s="528"/>
      <c r="BYN58" s="528"/>
      <c r="BYO58" s="528"/>
      <c r="BYP58" s="528"/>
      <c r="BYQ58" s="528"/>
      <c r="BYR58" s="528"/>
      <c r="BYS58" s="528"/>
      <c r="BYT58" s="528"/>
      <c r="BYU58" s="528"/>
      <c r="BYV58" s="528"/>
      <c r="BYW58" s="528"/>
      <c r="BYX58" s="528"/>
      <c r="BYY58" s="528"/>
      <c r="BYZ58" s="528"/>
      <c r="BZA58" s="528"/>
      <c r="BZB58" s="528"/>
      <c r="BZC58" s="528"/>
      <c r="BZD58" s="528"/>
      <c r="BZE58" s="528"/>
      <c r="BZF58" s="528"/>
      <c r="BZG58" s="528"/>
      <c r="BZH58" s="528"/>
      <c r="BZI58" s="528"/>
      <c r="BZJ58" s="528"/>
      <c r="BZK58" s="528"/>
      <c r="BZL58" s="528"/>
      <c r="BZM58" s="528"/>
      <c r="BZN58" s="528"/>
      <c r="BZO58" s="528"/>
      <c r="BZP58" s="528"/>
      <c r="BZQ58" s="528"/>
      <c r="BZR58" s="528"/>
      <c r="BZS58" s="528"/>
      <c r="BZT58" s="528"/>
      <c r="BZU58" s="528"/>
      <c r="BZV58" s="528"/>
      <c r="BZW58" s="528"/>
      <c r="BZX58" s="528"/>
      <c r="BZY58" s="528"/>
      <c r="BZZ58" s="528"/>
      <c r="CAA58" s="528"/>
      <c r="CAB58" s="528"/>
      <c r="CAC58" s="528"/>
      <c r="CAD58" s="528"/>
      <c r="CAE58" s="528"/>
      <c r="CAF58" s="528"/>
      <c r="CAG58" s="528"/>
      <c r="CAH58" s="528"/>
      <c r="CAI58" s="528"/>
      <c r="CAJ58" s="528"/>
      <c r="CAK58" s="528"/>
      <c r="CAL58" s="528"/>
      <c r="CAM58" s="528"/>
      <c r="CAN58" s="528"/>
      <c r="CAO58" s="528"/>
      <c r="CAP58" s="528"/>
      <c r="CAQ58" s="528"/>
      <c r="CAR58" s="528"/>
      <c r="CAS58" s="528"/>
      <c r="CAT58" s="528"/>
      <c r="CAU58" s="528"/>
      <c r="CAV58" s="528"/>
      <c r="CAW58" s="528"/>
      <c r="CAX58" s="528"/>
      <c r="CAY58" s="528"/>
      <c r="CAZ58" s="528"/>
      <c r="CBA58" s="528"/>
      <c r="CBB58" s="528"/>
      <c r="CBC58" s="528"/>
      <c r="CBD58" s="528"/>
      <c r="CBE58" s="528"/>
      <c r="CBF58" s="528"/>
      <c r="CBG58" s="528"/>
      <c r="CBH58" s="528"/>
      <c r="CBI58" s="528"/>
      <c r="CBJ58" s="528"/>
      <c r="CBK58" s="528"/>
      <c r="CBL58" s="528"/>
      <c r="CBM58" s="528"/>
      <c r="CBN58" s="528"/>
      <c r="CBO58" s="528"/>
      <c r="CBP58" s="528"/>
      <c r="CBQ58" s="528"/>
      <c r="CBR58" s="528"/>
      <c r="CBS58" s="528"/>
      <c r="CBT58" s="528"/>
      <c r="CBU58" s="528"/>
      <c r="CBV58" s="528"/>
      <c r="CBW58" s="528"/>
      <c r="CBX58" s="528"/>
      <c r="CBY58" s="528"/>
      <c r="CBZ58" s="528"/>
      <c r="CCA58" s="528"/>
      <c r="CCB58" s="528"/>
      <c r="CCC58" s="528"/>
      <c r="CCD58" s="528"/>
      <c r="CCE58" s="528"/>
      <c r="CCF58" s="528"/>
      <c r="CCG58" s="528"/>
      <c r="CCH58" s="528"/>
      <c r="CCI58" s="528"/>
      <c r="CCJ58" s="528"/>
      <c r="CCK58" s="528"/>
      <c r="CCL58" s="528"/>
      <c r="CCM58" s="528"/>
      <c r="CCN58" s="528"/>
      <c r="CCO58" s="528"/>
      <c r="CCP58" s="528"/>
      <c r="CCQ58" s="528"/>
      <c r="CCR58" s="528"/>
      <c r="CCS58" s="528"/>
      <c r="CCT58" s="528"/>
      <c r="CCU58" s="528"/>
      <c r="CCV58" s="528"/>
      <c r="CCW58" s="528"/>
      <c r="CCX58" s="528"/>
      <c r="CCY58" s="528"/>
      <c r="CCZ58" s="528"/>
      <c r="CDA58" s="528"/>
      <c r="CDB58" s="528"/>
      <c r="CDC58" s="528"/>
      <c r="CDD58" s="528"/>
      <c r="CDE58" s="528"/>
      <c r="CDF58" s="528"/>
      <c r="CDG58" s="528"/>
      <c r="CDH58" s="528"/>
      <c r="CDI58" s="528"/>
      <c r="CDJ58" s="528"/>
      <c r="CDK58" s="528"/>
      <c r="CDL58" s="528"/>
      <c r="CDM58" s="528"/>
      <c r="CDN58" s="528"/>
      <c r="CDO58" s="528"/>
      <c r="CDP58" s="528"/>
      <c r="CDQ58" s="528"/>
      <c r="CDR58" s="528"/>
      <c r="CDS58" s="528"/>
      <c r="CDT58" s="528"/>
      <c r="CDU58" s="528"/>
      <c r="CDV58" s="528"/>
      <c r="CDW58" s="528"/>
      <c r="CDX58" s="528"/>
      <c r="CDY58" s="528"/>
      <c r="CDZ58" s="528"/>
      <c r="CEA58" s="528"/>
      <c r="CEB58" s="528"/>
      <c r="CEC58" s="528"/>
      <c r="CED58" s="528"/>
      <c r="CEE58" s="528"/>
      <c r="CEF58" s="528"/>
      <c r="CEG58" s="528"/>
      <c r="CEH58" s="528"/>
      <c r="CEI58" s="528"/>
      <c r="CEJ58" s="528"/>
      <c r="CEK58" s="528"/>
      <c r="CEL58" s="528"/>
      <c r="CEM58" s="528"/>
      <c r="CEN58" s="528"/>
      <c r="CEO58" s="528"/>
      <c r="CEP58" s="528"/>
      <c r="CEQ58" s="528"/>
      <c r="CER58" s="528"/>
      <c r="CES58" s="528"/>
      <c r="CET58" s="528"/>
      <c r="CEU58" s="528"/>
      <c r="CEV58" s="528"/>
      <c r="CEW58" s="528"/>
      <c r="CEX58" s="528"/>
      <c r="CEY58" s="528"/>
      <c r="CEZ58" s="528"/>
      <c r="CFA58" s="528"/>
      <c r="CFB58" s="528"/>
      <c r="CFC58" s="528"/>
      <c r="CFD58" s="528"/>
      <c r="CFE58" s="528"/>
      <c r="CFF58" s="528"/>
      <c r="CFG58" s="528"/>
      <c r="CFH58" s="528"/>
      <c r="CFI58" s="528"/>
      <c r="CFJ58" s="528"/>
      <c r="CFK58" s="528"/>
      <c r="CFL58" s="528"/>
      <c r="CFM58" s="528"/>
      <c r="CFN58" s="528"/>
      <c r="CFO58" s="528"/>
      <c r="CFP58" s="528"/>
      <c r="CFQ58" s="528"/>
      <c r="CFR58" s="528"/>
      <c r="CFS58" s="528"/>
      <c r="CFT58" s="528"/>
      <c r="CFU58" s="528"/>
      <c r="CFV58" s="528"/>
      <c r="CFW58" s="528"/>
      <c r="CFX58" s="528"/>
      <c r="CFY58" s="528"/>
      <c r="CFZ58" s="528"/>
      <c r="CGA58" s="528"/>
      <c r="CGB58" s="528"/>
      <c r="CGC58" s="528"/>
      <c r="CGD58" s="528"/>
      <c r="CGE58" s="528"/>
      <c r="CGF58" s="528"/>
      <c r="CGG58" s="528"/>
      <c r="CGH58" s="528"/>
      <c r="CGI58" s="528"/>
      <c r="CGJ58" s="528"/>
      <c r="CGK58" s="528"/>
      <c r="CGL58" s="528"/>
      <c r="CGM58" s="528"/>
      <c r="CGN58" s="528"/>
      <c r="CGO58" s="528"/>
      <c r="CGP58" s="528"/>
      <c r="CGQ58" s="528"/>
      <c r="CGR58" s="528"/>
      <c r="CGS58" s="528"/>
      <c r="CGT58" s="528"/>
      <c r="CGU58" s="528"/>
      <c r="CGV58" s="528"/>
      <c r="CGW58" s="528"/>
      <c r="CGX58" s="528"/>
      <c r="CGY58" s="528"/>
      <c r="CGZ58" s="528"/>
      <c r="CHA58" s="528"/>
      <c r="CHB58" s="528"/>
      <c r="CHC58" s="528"/>
      <c r="CHD58" s="528"/>
      <c r="CHE58" s="528"/>
      <c r="CHF58" s="528"/>
      <c r="CHG58" s="528"/>
      <c r="CHH58" s="528"/>
      <c r="CHI58" s="528"/>
      <c r="CHJ58" s="528"/>
      <c r="CHK58" s="528"/>
      <c r="CHL58" s="528"/>
      <c r="CHM58" s="528"/>
      <c r="CHN58" s="528"/>
      <c r="CHO58" s="528"/>
      <c r="CHP58" s="528"/>
      <c r="CHQ58" s="528"/>
      <c r="CHR58" s="528"/>
      <c r="CHS58" s="528"/>
      <c r="CHT58" s="528"/>
      <c r="CHU58" s="528"/>
      <c r="CHV58" s="528"/>
      <c r="CHW58" s="528"/>
      <c r="CHX58" s="528"/>
      <c r="CHY58" s="528"/>
      <c r="CHZ58" s="528"/>
      <c r="CIA58" s="528"/>
      <c r="CIB58" s="528"/>
      <c r="CIC58" s="528"/>
      <c r="CID58" s="528"/>
      <c r="CIE58" s="528"/>
      <c r="CIF58" s="528"/>
      <c r="CIG58" s="528"/>
      <c r="CIH58" s="528"/>
      <c r="CII58" s="528"/>
      <c r="CIJ58" s="528"/>
      <c r="CIK58" s="528"/>
      <c r="CIL58" s="528"/>
      <c r="CIM58" s="528"/>
      <c r="CIN58" s="528"/>
      <c r="CIO58" s="528"/>
      <c r="CIP58" s="528"/>
      <c r="CIQ58" s="528"/>
      <c r="CIR58" s="528"/>
      <c r="CIS58" s="528"/>
      <c r="CIT58" s="528"/>
      <c r="CIU58" s="528"/>
      <c r="CIV58" s="528"/>
      <c r="CIW58" s="528"/>
      <c r="CIX58" s="528"/>
      <c r="CIY58" s="528"/>
      <c r="CIZ58" s="528"/>
      <c r="CJA58" s="528"/>
      <c r="CJB58" s="528"/>
      <c r="CJC58" s="528"/>
      <c r="CJD58" s="528"/>
      <c r="CJE58" s="528"/>
      <c r="CJF58" s="528"/>
      <c r="CJG58" s="528"/>
      <c r="CJH58" s="528"/>
      <c r="CJI58" s="528"/>
      <c r="CJJ58" s="528"/>
      <c r="CJK58" s="528"/>
      <c r="CJL58" s="528"/>
      <c r="CJM58" s="528"/>
      <c r="CJN58" s="528"/>
      <c r="CJO58" s="528"/>
      <c r="CJP58" s="528"/>
      <c r="CJQ58" s="528"/>
      <c r="CJR58" s="528"/>
      <c r="CJS58" s="528"/>
      <c r="CJT58" s="528"/>
      <c r="CJU58" s="528"/>
      <c r="CJV58" s="528"/>
      <c r="CJW58" s="528"/>
      <c r="CJX58" s="528"/>
      <c r="CJY58" s="528"/>
      <c r="CJZ58" s="528"/>
      <c r="CKA58" s="528"/>
      <c r="CKB58" s="528"/>
      <c r="CKC58" s="528"/>
      <c r="CKD58" s="528"/>
      <c r="CKE58" s="528"/>
      <c r="CKF58" s="528"/>
      <c r="CKG58" s="528"/>
      <c r="CKH58" s="528"/>
      <c r="CKI58" s="528"/>
      <c r="CKJ58" s="528"/>
      <c r="CKK58" s="528"/>
      <c r="CKL58" s="528"/>
      <c r="CKM58" s="528"/>
      <c r="CKN58" s="528"/>
      <c r="CKO58" s="528"/>
      <c r="CKP58" s="528"/>
      <c r="CKQ58" s="528"/>
      <c r="CKR58" s="528"/>
      <c r="CKS58" s="528"/>
      <c r="CKT58" s="528"/>
      <c r="CKU58" s="528"/>
      <c r="CKV58" s="528"/>
      <c r="CKW58" s="528"/>
      <c r="CKX58" s="528"/>
      <c r="CKY58" s="528"/>
      <c r="CKZ58" s="528"/>
      <c r="CLA58" s="528"/>
      <c r="CLB58" s="528"/>
      <c r="CLC58" s="528"/>
      <c r="CLD58" s="528"/>
      <c r="CLE58" s="528"/>
      <c r="CLF58" s="528"/>
      <c r="CLG58" s="528"/>
      <c r="CLH58" s="528"/>
      <c r="CLI58" s="528"/>
      <c r="CLJ58" s="528"/>
      <c r="CLK58" s="528"/>
      <c r="CLL58" s="528"/>
      <c r="CLM58" s="528"/>
      <c r="CLN58" s="528"/>
      <c r="CLO58" s="528"/>
      <c r="CLP58" s="528"/>
      <c r="CLQ58" s="528"/>
      <c r="CLR58" s="528"/>
      <c r="CLS58" s="528"/>
      <c r="CLT58" s="528"/>
      <c r="CLU58" s="528"/>
      <c r="CLV58" s="528"/>
      <c r="CLW58" s="528"/>
      <c r="CLX58" s="528"/>
      <c r="CLY58" s="528"/>
      <c r="CLZ58" s="528"/>
      <c r="CMA58" s="528"/>
      <c r="CMB58" s="528"/>
      <c r="CMC58" s="528"/>
      <c r="CMD58" s="528"/>
      <c r="CME58" s="528"/>
      <c r="CMF58" s="528"/>
      <c r="CMG58" s="528"/>
      <c r="CMH58" s="528"/>
      <c r="CMI58" s="528"/>
      <c r="CMJ58" s="528"/>
      <c r="CMK58" s="528"/>
      <c r="CML58" s="528"/>
      <c r="CMM58" s="528"/>
      <c r="CMN58" s="528"/>
      <c r="CMO58" s="528"/>
      <c r="CMP58" s="528"/>
      <c r="CMQ58" s="528"/>
      <c r="CMR58" s="528"/>
      <c r="CMS58" s="528"/>
      <c r="CMT58" s="528"/>
      <c r="CMU58" s="528"/>
      <c r="CMV58" s="528"/>
      <c r="CMW58" s="528"/>
      <c r="CMX58" s="528"/>
      <c r="CMY58" s="528"/>
      <c r="CMZ58" s="528"/>
      <c r="CNA58" s="528"/>
      <c r="CNB58" s="528"/>
      <c r="CNC58" s="528"/>
      <c r="CND58" s="528"/>
      <c r="CNE58" s="528"/>
      <c r="CNF58" s="528"/>
      <c r="CNG58" s="528"/>
      <c r="CNH58" s="528"/>
      <c r="CNI58" s="528"/>
      <c r="CNJ58" s="528"/>
      <c r="CNK58" s="528"/>
      <c r="CNL58" s="528"/>
      <c r="CNM58" s="528"/>
      <c r="CNN58" s="528"/>
      <c r="CNO58" s="528"/>
      <c r="CNP58" s="528"/>
      <c r="CNQ58" s="528"/>
      <c r="CNR58" s="528"/>
      <c r="CNS58" s="528"/>
      <c r="CNT58" s="528"/>
      <c r="CNU58" s="528"/>
      <c r="CNV58" s="528"/>
      <c r="CNW58" s="528"/>
      <c r="CNX58" s="528"/>
      <c r="CNY58" s="528"/>
      <c r="CNZ58" s="528"/>
      <c r="COA58" s="528"/>
      <c r="COB58" s="528"/>
      <c r="COC58" s="528"/>
      <c r="COD58" s="528"/>
      <c r="COE58" s="528"/>
      <c r="COF58" s="528"/>
      <c r="COG58" s="528"/>
      <c r="COH58" s="528"/>
      <c r="COI58" s="528"/>
      <c r="COJ58" s="528"/>
      <c r="COK58" s="528"/>
      <c r="COL58" s="528"/>
      <c r="COM58" s="528"/>
      <c r="CON58" s="528"/>
      <c r="COO58" s="528"/>
      <c r="COP58" s="528"/>
      <c r="COQ58" s="528"/>
      <c r="COR58" s="528"/>
      <c r="COS58" s="528"/>
      <c r="COT58" s="528"/>
      <c r="COU58" s="528"/>
      <c r="COV58" s="528"/>
      <c r="COW58" s="528"/>
      <c r="COX58" s="528"/>
      <c r="COY58" s="528"/>
      <c r="COZ58" s="528"/>
      <c r="CPA58" s="528"/>
      <c r="CPB58" s="528"/>
      <c r="CPC58" s="528"/>
      <c r="CPD58" s="528"/>
      <c r="CPE58" s="528"/>
      <c r="CPF58" s="528"/>
      <c r="CPG58" s="528"/>
      <c r="CPH58" s="528"/>
      <c r="CPI58" s="528"/>
      <c r="CPJ58" s="528"/>
      <c r="CPK58" s="528"/>
      <c r="CPL58" s="528"/>
      <c r="CPM58" s="528"/>
      <c r="CPN58" s="528"/>
      <c r="CPO58" s="528"/>
      <c r="CPP58" s="528"/>
      <c r="CPQ58" s="528"/>
      <c r="CPR58" s="528"/>
      <c r="CPS58" s="528"/>
      <c r="CPT58" s="528"/>
      <c r="CPU58" s="528"/>
      <c r="CPV58" s="528"/>
      <c r="CPW58" s="528"/>
      <c r="CPX58" s="528"/>
      <c r="CPY58" s="528"/>
      <c r="CPZ58" s="528"/>
      <c r="CQA58" s="528"/>
      <c r="CQB58" s="528"/>
      <c r="CQC58" s="528"/>
      <c r="CQD58" s="528"/>
      <c r="CQE58" s="528"/>
      <c r="CQF58" s="528"/>
      <c r="CQG58" s="528"/>
      <c r="CQH58" s="528"/>
      <c r="CQI58" s="528"/>
      <c r="CQJ58" s="528"/>
      <c r="CQK58" s="528"/>
      <c r="CQL58" s="528"/>
      <c r="CQM58" s="528"/>
      <c r="CQN58" s="528"/>
      <c r="CQO58" s="528"/>
      <c r="CQP58" s="528"/>
      <c r="CQQ58" s="528"/>
      <c r="CQR58" s="528"/>
      <c r="CQS58" s="528"/>
      <c r="CQT58" s="528"/>
      <c r="CQU58" s="528"/>
      <c r="CQV58" s="528"/>
      <c r="CQW58" s="528"/>
      <c r="CQX58" s="528"/>
      <c r="CQY58" s="528"/>
      <c r="CQZ58" s="528"/>
      <c r="CRA58" s="528"/>
      <c r="CRB58" s="528"/>
      <c r="CRC58" s="528"/>
      <c r="CRD58" s="528"/>
      <c r="CRE58" s="528"/>
      <c r="CRF58" s="528"/>
      <c r="CRG58" s="528"/>
      <c r="CRH58" s="528"/>
      <c r="CRI58" s="528"/>
      <c r="CRJ58" s="528"/>
      <c r="CRK58" s="528"/>
      <c r="CRL58" s="528"/>
      <c r="CRM58" s="528"/>
      <c r="CRN58" s="528"/>
      <c r="CRO58" s="528"/>
      <c r="CRP58" s="528"/>
      <c r="CRQ58" s="528"/>
      <c r="CRR58" s="528"/>
      <c r="CRS58" s="528"/>
      <c r="CRT58" s="528"/>
      <c r="CRU58" s="528"/>
      <c r="CRV58" s="528"/>
      <c r="CRW58" s="528"/>
      <c r="CRX58" s="528"/>
      <c r="CRY58" s="528"/>
      <c r="CRZ58" s="528"/>
      <c r="CSA58" s="528"/>
      <c r="CSB58" s="528"/>
      <c r="CSC58" s="528"/>
      <c r="CSD58" s="528"/>
      <c r="CSE58" s="528"/>
      <c r="CSF58" s="528"/>
      <c r="CSG58" s="528"/>
      <c r="CSH58" s="528"/>
      <c r="CSI58" s="528"/>
      <c r="CSJ58" s="528"/>
      <c r="CSK58" s="528"/>
      <c r="CSL58" s="528"/>
      <c r="CSM58" s="528"/>
      <c r="CSN58" s="528"/>
      <c r="CSO58" s="528"/>
      <c r="CSP58" s="528"/>
      <c r="CSQ58" s="528"/>
      <c r="CSR58" s="528"/>
      <c r="CSS58" s="528"/>
      <c r="CST58" s="528"/>
      <c r="CSU58" s="528"/>
      <c r="CSV58" s="528"/>
      <c r="CSW58" s="528"/>
      <c r="CSX58" s="528"/>
      <c r="CSY58" s="528"/>
      <c r="CSZ58" s="528"/>
      <c r="CTA58" s="528"/>
      <c r="CTB58" s="528"/>
      <c r="CTC58" s="528"/>
      <c r="CTD58" s="528"/>
      <c r="CTE58" s="528"/>
      <c r="CTF58" s="528"/>
      <c r="CTG58" s="528"/>
      <c r="CTH58" s="528"/>
      <c r="CTI58" s="528"/>
      <c r="CTJ58" s="528"/>
      <c r="CTK58" s="528"/>
      <c r="CTL58" s="528"/>
      <c r="CTM58" s="528"/>
      <c r="CTN58" s="528"/>
      <c r="CTO58" s="528"/>
      <c r="CTP58" s="528"/>
      <c r="CTQ58" s="528"/>
      <c r="CTR58" s="528"/>
      <c r="CTS58" s="528"/>
      <c r="CTT58" s="528"/>
      <c r="CTU58" s="528"/>
      <c r="CTV58" s="528"/>
      <c r="CTW58" s="528"/>
      <c r="CTX58" s="528"/>
      <c r="CTY58" s="528"/>
      <c r="CTZ58" s="528"/>
      <c r="CUA58" s="528"/>
      <c r="CUB58" s="528"/>
      <c r="CUC58" s="528"/>
      <c r="CUD58" s="528"/>
      <c r="CUE58" s="528"/>
      <c r="CUF58" s="528"/>
      <c r="CUG58" s="528"/>
      <c r="CUH58" s="528"/>
      <c r="CUI58" s="528"/>
      <c r="CUJ58" s="528"/>
      <c r="CUK58" s="528"/>
      <c r="CUL58" s="528"/>
      <c r="CUM58" s="528"/>
      <c r="CUN58" s="528"/>
      <c r="CUO58" s="528"/>
      <c r="CUP58" s="528"/>
      <c r="CUQ58" s="528"/>
      <c r="CUR58" s="528"/>
      <c r="CUS58" s="528"/>
      <c r="CUT58" s="528"/>
      <c r="CUU58" s="528"/>
      <c r="CUV58" s="528"/>
      <c r="CUW58" s="528"/>
      <c r="CUX58" s="528"/>
      <c r="CUY58" s="528"/>
      <c r="CUZ58" s="528"/>
      <c r="CVA58" s="528"/>
      <c r="CVB58" s="528"/>
      <c r="CVC58" s="528"/>
      <c r="CVD58" s="528"/>
      <c r="CVE58" s="528"/>
      <c r="CVF58" s="528"/>
      <c r="CVG58" s="528"/>
      <c r="CVH58" s="528"/>
      <c r="CVI58" s="528"/>
      <c r="CVJ58" s="528"/>
      <c r="CVK58" s="528"/>
      <c r="CVL58" s="528"/>
      <c r="CVM58" s="528"/>
      <c r="CVN58" s="528"/>
      <c r="CVO58" s="528"/>
      <c r="CVP58" s="528"/>
      <c r="CVQ58" s="528"/>
      <c r="CVR58" s="528"/>
      <c r="CVS58" s="528"/>
      <c r="CVT58" s="528"/>
      <c r="CVU58" s="528"/>
      <c r="CVV58" s="528"/>
      <c r="CVW58" s="528"/>
      <c r="CVX58" s="528"/>
      <c r="CVY58" s="528"/>
      <c r="CVZ58" s="528"/>
      <c r="CWA58" s="528"/>
      <c r="CWB58" s="528"/>
      <c r="CWC58" s="528"/>
      <c r="CWD58" s="528"/>
      <c r="CWE58" s="528"/>
      <c r="CWF58" s="528"/>
      <c r="CWG58" s="528"/>
      <c r="CWH58" s="528"/>
      <c r="CWI58" s="528"/>
      <c r="CWJ58" s="528"/>
      <c r="CWK58" s="528"/>
      <c r="CWL58" s="528"/>
      <c r="CWM58" s="528"/>
      <c r="CWN58" s="528"/>
      <c r="CWO58" s="528"/>
      <c r="CWP58" s="528"/>
      <c r="CWQ58" s="528"/>
      <c r="CWR58" s="528"/>
      <c r="CWS58" s="528"/>
      <c r="CWT58" s="528"/>
      <c r="CWU58" s="528"/>
      <c r="CWV58" s="528"/>
      <c r="CWW58" s="528"/>
      <c r="CWX58" s="528"/>
      <c r="CWY58" s="528"/>
      <c r="CWZ58" s="528"/>
      <c r="CXA58" s="528"/>
      <c r="CXB58" s="528"/>
      <c r="CXC58" s="528"/>
      <c r="CXD58" s="528"/>
      <c r="CXE58" s="528"/>
      <c r="CXF58" s="528"/>
      <c r="CXG58" s="528"/>
      <c r="CXH58" s="528"/>
      <c r="CXI58" s="528"/>
      <c r="CXJ58" s="528"/>
      <c r="CXK58" s="528"/>
      <c r="CXL58" s="528"/>
      <c r="CXM58" s="528"/>
      <c r="CXN58" s="528"/>
      <c r="CXO58" s="528"/>
      <c r="CXP58" s="528"/>
      <c r="CXQ58" s="528"/>
      <c r="CXR58" s="528"/>
      <c r="CXS58" s="528"/>
      <c r="CXT58" s="528"/>
      <c r="CXU58" s="528"/>
      <c r="CXV58" s="528"/>
      <c r="CXW58" s="528"/>
      <c r="CXX58" s="528"/>
      <c r="CXY58" s="528"/>
      <c r="CXZ58" s="528"/>
      <c r="CYA58" s="528"/>
      <c r="CYB58" s="528"/>
      <c r="CYC58" s="528"/>
      <c r="CYD58" s="528"/>
      <c r="CYE58" s="528"/>
      <c r="CYF58" s="528"/>
      <c r="CYG58" s="528"/>
      <c r="CYH58" s="528"/>
      <c r="CYI58" s="528"/>
      <c r="CYJ58" s="528"/>
      <c r="CYK58" s="528"/>
      <c r="CYL58" s="528"/>
      <c r="CYM58" s="528"/>
      <c r="CYN58" s="528"/>
      <c r="CYO58" s="528"/>
      <c r="CYP58" s="528"/>
      <c r="CYQ58" s="528"/>
      <c r="CYR58" s="528"/>
      <c r="CYS58" s="528"/>
      <c r="CYT58" s="528"/>
      <c r="CYU58" s="528"/>
      <c r="CYV58" s="528"/>
      <c r="CYW58" s="528"/>
      <c r="CYX58" s="528"/>
      <c r="CYY58" s="528"/>
      <c r="CYZ58" s="528"/>
      <c r="CZA58" s="528"/>
      <c r="CZB58" s="528"/>
      <c r="CZC58" s="528"/>
      <c r="CZD58" s="528"/>
      <c r="CZE58" s="528"/>
      <c r="CZF58" s="528"/>
      <c r="CZG58" s="528"/>
      <c r="CZH58" s="528"/>
      <c r="CZI58" s="528"/>
      <c r="CZJ58" s="528"/>
      <c r="CZK58" s="528"/>
      <c r="CZL58" s="528"/>
      <c r="CZM58" s="528"/>
      <c r="CZN58" s="528"/>
      <c r="CZO58" s="528"/>
      <c r="CZP58" s="528"/>
      <c r="CZQ58" s="528"/>
      <c r="CZR58" s="528"/>
      <c r="CZS58" s="528"/>
      <c r="CZT58" s="528"/>
      <c r="CZU58" s="528"/>
      <c r="CZV58" s="528"/>
      <c r="CZW58" s="528"/>
      <c r="CZX58" s="528"/>
      <c r="CZY58" s="528"/>
      <c r="CZZ58" s="528"/>
      <c r="DAA58" s="528"/>
      <c r="DAB58" s="528"/>
      <c r="DAC58" s="528"/>
      <c r="DAD58" s="528"/>
      <c r="DAE58" s="528"/>
      <c r="DAF58" s="528"/>
      <c r="DAG58" s="528"/>
      <c r="DAH58" s="528"/>
      <c r="DAI58" s="528"/>
      <c r="DAJ58" s="528"/>
      <c r="DAK58" s="528"/>
      <c r="DAL58" s="528"/>
      <c r="DAM58" s="528"/>
      <c r="DAN58" s="528"/>
      <c r="DAO58" s="528"/>
      <c r="DAP58" s="528"/>
      <c r="DAQ58" s="528"/>
      <c r="DAR58" s="528"/>
      <c r="DAS58" s="528"/>
      <c r="DAT58" s="528"/>
      <c r="DAU58" s="528"/>
      <c r="DAV58" s="528"/>
      <c r="DAW58" s="528"/>
      <c r="DAX58" s="528"/>
      <c r="DAY58" s="528"/>
      <c r="DAZ58" s="528"/>
      <c r="DBA58" s="528"/>
      <c r="DBB58" s="528"/>
      <c r="DBC58" s="528"/>
      <c r="DBD58" s="528"/>
      <c r="DBE58" s="528"/>
      <c r="DBF58" s="528"/>
      <c r="DBG58" s="528"/>
      <c r="DBH58" s="528"/>
      <c r="DBI58" s="528"/>
      <c r="DBJ58" s="528"/>
      <c r="DBK58" s="528"/>
      <c r="DBL58" s="528"/>
      <c r="DBM58" s="528"/>
      <c r="DBN58" s="528"/>
      <c r="DBO58" s="528"/>
      <c r="DBP58" s="528"/>
      <c r="DBQ58" s="528"/>
      <c r="DBR58" s="528"/>
      <c r="DBS58" s="528"/>
      <c r="DBT58" s="528"/>
      <c r="DBU58" s="528"/>
      <c r="DBV58" s="528"/>
      <c r="DBW58" s="528"/>
      <c r="DBX58" s="528"/>
      <c r="DBY58" s="528"/>
      <c r="DBZ58" s="528"/>
      <c r="DCA58" s="528"/>
      <c r="DCB58" s="528"/>
      <c r="DCC58" s="528"/>
      <c r="DCD58" s="528"/>
      <c r="DCE58" s="528"/>
      <c r="DCF58" s="528"/>
      <c r="DCG58" s="528"/>
      <c r="DCH58" s="528"/>
      <c r="DCI58" s="528"/>
      <c r="DCJ58" s="528"/>
      <c r="DCK58" s="528"/>
      <c r="DCL58" s="528"/>
      <c r="DCM58" s="528"/>
      <c r="DCN58" s="528"/>
      <c r="DCO58" s="528"/>
      <c r="DCP58" s="528"/>
      <c r="DCQ58" s="528"/>
      <c r="DCR58" s="528"/>
      <c r="DCS58" s="528"/>
      <c r="DCT58" s="528"/>
      <c r="DCU58" s="528"/>
      <c r="DCV58" s="528"/>
      <c r="DCW58" s="528"/>
      <c r="DCX58" s="528"/>
      <c r="DCY58" s="528"/>
      <c r="DCZ58" s="528"/>
      <c r="DDA58" s="528"/>
      <c r="DDB58" s="528"/>
      <c r="DDC58" s="528"/>
      <c r="DDD58" s="528"/>
      <c r="DDE58" s="528"/>
      <c r="DDF58" s="528"/>
      <c r="DDG58" s="528"/>
      <c r="DDH58" s="528"/>
      <c r="DDI58" s="528"/>
      <c r="DDJ58" s="528"/>
      <c r="DDK58" s="528"/>
      <c r="DDL58" s="528"/>
      <c r="DDM58" s="528"/>
      <c r="DDN58" s="528"/>
      <c r="DDO58" s="528"/>
      <c r="DDP58" s="528"/>
      <c r="DDQ58" s="528"/>
      <c r="DDR58" s="528"/>
      <c r="DDS58" s="528"/>
      <c r="DDT58" s="528"/>
      <c r="DDU58" s="528"/>
      <c r="DDV58" s="528"/>
      <c r="DDW58" s="528"/>
      <c r="DDX58" s="528"/>
      <c r="DDY58" s="528"/>
      <c r="DDZ58" s="528"/>
      <c r="DEA58" s="528"/>
      <c r="DEB58" s="528"/>
      <c r="DEC58" s="528"/>
      <c r="DED58" s="528"/>
      <c r="DEE58" s="528"/>
      <c r="DEF58" s="528"/>
      <c r="DEG58" s="528"/>
      <c r="DEH58" s="528"/>
      <c r="DEI58" s="528"/>
      <c r="DEJ58" s="528"/>
      <c r="DEK58" s="528"/>
      <c r="DEL58" s="528"/>
      <c r="DEM58" s="528"/>
      <c r="DEN58" s="528"/>
      <c r="DEO58" s="528"/>
      <c r="DEP58" s="528"/>
      <c r="DEQ58" s="528"/>
      <c r="DER58" s="528"/>
      <c r="DES58" s="528"/>
      <c r="DET58" s="528"/>
      <c r="DEU58" s="528"/>
      <c r="DEV58" s="528"/>
      <c r="DEW58" s="528"/>
      <c r="DEX58" s="528"/>
      <c r="DEY58" s="528"/>
      <c r="DEZ58" s="528"/>
      <c r="DFA58" s="528"/>
      <c r="DFB58" s="528"/>
      <c r="DFC58" s="528"/>
      <c r="DFD58" s="528"/>
      <c r="DFE58" s="528"/>
      <c r="DFF58" s="528"/>
      <c r="DFG58" s="528"/>
      <c r="DFH58" s="528"/>
      <c r="DFI58" s="528"/>
      <c r="DFJ58" s="528"/>
      <c r="DFK58" s="528"/>
      <c r="DFL58" s="528"/>
      <c r="DFM58" s="528"/>
      <c r="DFN58" s="528"/>
      <c r="DFO58" s="528"/>
      <c r="DFP58" s="528"/>
      <c r="DFQ58" s="528"/>
      <c r="DFR58" s="528"/>
      <c r="DFS58" s="528"/>
      <c r="DFT58" s="528"/>
      <c r="DFU58" s="528"/>
      <c r="DFV58" s="528"/>
      <c r="DFW58" s="528"/>
      <c r="DFX58" s="528"/>
      <c r="DFY58" s="528"/>
      <c r="DFZ58" s="528"/>
      <c r="DGA58" s="528"/>
      <c r="DGB58" s="528"/>
      <c r="DGC58" s="528"/>
      <c r="DGD58" s="528"/>
      <c r="DGE58" s="528"/>
      <c r="DGF58" s="528"/>
      <c r="DGG58" s="528"/>
      <c r="DGH58" s="528"/>
      <c r="DGI58" s="528"/>
      <c r="DGJ58" s="528"/>
      <c r="DGK58" s="528"/>
      <c r="DGL58" s="528"/>
      <c r="DGM58" s="528"/>
      <c r="DGN58" s="528"/>
      <c r="DGO58" s="528"/>
      <c r="DGP58" s="528"/>
      <c r="DGQ58" s="528"/>
      <c r="DGR58" s="528"/>
      <c r="DGS58" s="528"/>
      <c r="DGT58" s="528"/>
      <c r="DGU58" s="528"/>
      <c r="DGV58" s="528"/>
      <c r="DGW58" s="528"/>
      <c r="DGX58" s="528"/>
      <c r="DGY58" s="528"/>
      <c r="DGZ58" s="528"/>
      <c r="DHA58" s="528"/>
      <c r="DHB58" s="528"/>
      <c r="DHC58" s="528"/>
      <c r="DHD58" s="528"/>
      <c r="DHE58" s="528"/>
      <c r="DHF58" s="528"/>
      <c r="DHG58" s="528"/>
      <c r="DHH58" s="528"/>
      <c r="DHI58" s="528"/>
      <c r="DHJ58" s="528"/>
      <c r="DHK58" s="528"/>
      <c r="DHL58" s="528"/>
      <c r="DHM58" s="528"/>
      <c r="DHN58" s="528"/>
      <c r="DHO58" s="528"/>
      <c r="DHP58" s="528"/>
      <c r="DHQ58" s="528"/>
      <c r="DHR58" s="528"/>
      <c r="DHS58" s="528"/>
      <c r="DHT58" s="528"/>
      <c r="DHU58" s="528"/>
      <c r="DHV58" s="528"/>
      <c r="DHW58" s="528"/>
      <c r="DHX58" s="528"/>
      <c r="DHY58" s="528"/>
      <c r="DHZ58" s="528"/>
      <c r="DIA58" s="528"/>
      <c r="DIB58" s="528"/>
      <c r="DIC58" s="528"/>
      <c r="DID58" s="528"/>
      <c r="DIE58" s="528"/>
      <c r="DIF58" s="528"/>
      <c r="DIG58" s="528"/>
      <c r="DIH58" s="528"/>
      <c r="DII58" s="528"/>
      <c r="DIJ58" s="528"/>
      <c r="DIK58" s="528"/>
      <c r="DIL58" s="528"/>
      <c r="DIM58" s="528"/>
      <c r="DIN58" s="528"/>
      <c r="DIO58" s="528"/>
      <c r="DIP58" s="528"/>
      <c r="DIQ58" s="528"/>
      <c r="DIR58" s="528"/>
      <c r="DIS58" s="528"/>
      <c r="DIT58" s="528"/>
      <c r="DIU58" s="528"/>
      <c r="DIV58" s="528"/>
      <c r="DIW58" s="528"/>
      <c r="DIX58" s="528"/>
      <c r="DIY58" s="528"/>
      <c r="DIZ58" s="528"/>
      <c r="DJA58" s="528"/>
      <c r="DJB58" s="528"/>
      <c r="DJC58" s="528"/>
      <c r="DJD58" s="528"/>
      <c r="DJE58" s="528"/>
      <c r="DJF58" s="528"/>
      <c r="DJG58" s="528"/>
      <c r="DJH58" s="528"/>
      <c r="DJI58" s="528"/>
      <c r="DJJ58" s="528"/>
      <c r="DJK58" s="528"/>
      <c r="DJL58" s="528"/>
      <c r="DJM58" s="528"/>
      <c r="DJN58" s="528"/>
      <c r="DJO58" s="528"/>
      <c r="DJP58" s="528"/>
      <c r="DJQ58" s="528"/>
      <c r="DJR58" s="528"/>
      <c r="DJS58" s="528"/>
      <c r="DJT58" s="528"/>
      <c r="DJU58" s="528"/>
      <c r="DJV58" s="528"/>
      <c r="DJW58" s="528"/>
      <c r="DJX58" s="528"/>
      <c r="DJY58" s="528"/>
      <c r="DJZ58" s="528"/>
      <c r="DKA58" s="528"/>
      <c r="DKB58" s="528"/>
      <c r="DKC58" s="528"/>
      <c r="DKD58" s="528"/>
      <c r="DKE58" s="528"/>
      <c r="DKF58" s="528"/>
      <c r="DKG58" s="528"/>
      <c r="DKH58" s="528"/>
      <c r="DKI58" s="528"/>
      <c r="DKJ58" s="528"/>
      <c r="DKK58" s="528"/>
      <c r="DKL58" s="528"/>
      <c r="DKM58" s="528"/>
      <c r="DKN58" s="528"/>
      <c r="DKO58" s="528"/>
      <c r="DKP58" s="528"/>
      <c r="DKQ58" s="528"/>
      <c r="DKR58" s="528"/>
      <c r="DKS58" s="528"/>
      <c r="DKT58" s="528"/>
      <c r="DKU58" s="528"/>
      <c r="DKV58" s="528"/>
      <c r="DKW58" s="528"/>
      <c r="DKX58" s="528"/>
      <c r="DKY58" s="528"/>
      <c r="DKZ58" s="528"/>
      <c r="DLA58" s="528"/>
      <c r="DLB58" s="528"/>
      <c r="DLC58" s="528"/>
      <c r="DLD58" s="528"/>
      <c r="DLE58" s="528"/>
      <c r="DLF58" s="528"/>
      <c r="DLG58" s="528"/>
      <c r="DLH58" s="528"/>
      <c r="DLI58" s="528"/>
      <c r="DLJ58" s="528"/>
      <c r="DLK58" s="528"/>
      <c r="DLL58" s="528"/>
      <c r="DLM58" s="528"/>
      <c r="DLN58" s="528"/>
      <c r="DLO58" s="528"/>
      <c r="DLP58" s="528"/>
      <c r="DLQ58" s="528"/>
      <c r="DLR58" s="528"/>
      <c r="DLS58" s="528"/>
      <c r="DLT58" s="528"/>
      <c r="DLU58" s="528"/>
      <c r="DLV58" s="528"/>
      <c r="DLW58" s="528"/>
      <c r="DLX58" s="528"/>
      <c r="DLY58" s="528"/>
      <c r="DLZ58" s="528"/>
      <c r="DMA58" s="528"/>
      <c r="DMB58" s="528"/>
      <c r="DMC58" s="528"/>
      <c r="DMD58" s="528"/>
      <c r="DME58" s="528"/>
      <c r="DMF58" s="528"/>
      <c r="DMG58" s="528"/>
      <c r="DMH58" s="528"/>
      <c r="DMI58" s="528"/>
      <c r="DMJ58" s="528"/>
      <c r="DMK58" s="528"/>
      <c r="DML58" s="528"/>
      <c r="DMM58" s="528"/>
      <c r="DMN58" s="528"/>
      <c r="DMO58" s="528"/>
      <c r="DMP58" s="528"/>
      <c r="DMQ58" s="528"/>
      <c r="DMR58" s="528"/>
      <c r="DMS58" s="528"/>
      <c r="DMT58" s="528"/>
      <c r="DMU58" s="528"/>
      <c r="DMV58" s="528"/>
      <c r="DMW58" s="528"/>
      <c r="DMX58" s="528"/>
      <c r="DMY58" s="528"/>
      <c r="DMZ58" s="528"/>
      <c r="DNA58" s="528"/>
      <c r="DNB58" s="528"/>
      <c r="DNC58" s="528"/>
      <c r="DND58" s="528"/>
      <c r="DNE58" s="528"/>
      <c r="DNF58" s="528"/>
      <c r="DNG58" s="528"/>
      <c r="DNH58" s="528"/>
      <c r="DNI58" s="528"/>
      <c r="DNJ58" s="528"/>
      <c r="DNK58" s="528"/>
      <c r="DNL58" s="528"/>
      <c r="DNM58" s="528"/>
      <c r="DNN58" s="528"/>
      <c r="DNO58" s="528"/>
      <c r="DNP58" s="528"/>
      <c r="DNQ58" s="528"/>
      <c r="DNR58" s="528"/>
      <c r="DNS58" s="528"/>
      <c r="DNT58" s="528"/>
      <c r="DNU58" s="528"/>
      <c r="DNV58" s="528"/>
      <c r="DNW58" s="528"/>
      <c r="DNX58" s="528"/>
      <c r="DNY58" s="528"/>
      <c r="DNZ58" s="528"/>
      <c r="DOA58" s="528"/>
      <c r="DOB58" s="528"/>
      <c r="DOC58" s="528"/>
      <c r="DOD58" s="528"/>
      <c r="DOE58" s="528"/>
      <c r="DOF58" s="528"/>
      <c r="DOG58" s="528"/>
      <c r="DOH58" s="528"/>
      <c r="DOI58" s="528"/>
      <c r="DOJ58" s="528"/>
      <c r="DOK58" s="528"/>
      <c r="DOL58" s="528"/>
      <c r="DOM58" s="528"/>
      <c r="DON58" s="528"/>
      <c r="DOO58" s="528"/>
      <c r="DOP58" s="528"/>
      <c r="DOQ58" s="528"/>
      <c r="DOR58" s="528"/>
      <c r="DOS58" s="528"/>
      <c r="DOT58" s="528"/>
      <c r="DOU58" s="528"/>
      <c r="DOV58" s="528"/>
      <c r="DOW58" s="528"/>
      <c r="DOX58" s="528"/>
      <c r="DOY58" s="528"/>
      <c r="DOZ58" s="528"/>
      <c r="DPA58" s="528"/>
      <c r="DPB58" s="528"/>
      <c r="DPC58" s="528"/>
      <c r="DPD58" s="528"/>
      <c r="DPE58" s="528"/>
      <c r="DPF58" s="528"/>
      <c r="DPG58" s="528"/>
      <c r="DPH58" s="528"/>
      <c r="DPI58" s="528"/>
      <c r="DPJ58" s="528"/>
      <c r="DPK58" s="528"/>
      <c r="DPL58" s="528"/>
      <c r="DPM58" s="528"/>
      <c r="DPN58" s="528"/>
      <c r="DPO58" s="528"/>
      <c r="DPP58" s="528"/>
      <c r="DPQ58" s="528"/>
      <c r="DPR58" s="528"/>
      <c r="DPS58" s="528"/>
      <c r="DPT58" s="528"/>
      <c r="DPU58" s="528"/>
      <c r="DPV58" s="528"/>
      <c r="DPW58" s="528"/>
      <c r="DPX58" s="528"/>
      <c r="DPY58" s="528"/>
      <c r="DPZ58" s="528"/>
      <c r="DQA58" s="528"/>
      <c r="DQB58" s="528"/>
      <c r="DQC58" s="528"/>
      <c r="DQD58" s="528"/>
      <c r="DQE58" s="528"/>
      <c r="DQF58" s="528"/>
      <c r="DQG58" s="528"/>
      <c r="DQH58" s="528"/>
      <c r="DQI58" s="528"/>
      <c r="DQJ58" s="528"/>
      <c r="DQK58" s="528"/>
      <c r="DQL58" s="528"/>
      <c r="DQM58" s="528"/>
      <c r="DQN58" s="528"/>
      <c r="DQO58" s="528"/>
      <c r="DQP58" s="528"/>
      <c r="DQQ58" s="528"/>
      <c r="DQR58" s="528"/>
      <c r="DQS58" s="528"/>
      <c r="DQT58" s="528"/>
      <c r="DQU58" s="528"/>
      <c r="DQV58" s="528"/>
      <c r="DQW58" s="528"/>
      <c r="DQX58" s="528"/>
      <c r="DQY58" s="528"/>
      <c r="DQZ58" s="528"/>
      <c r="DRA58" s="528"/>
      <c r="DRB58" s="528"/>
      <c r="DRC58" s="528"/>
      <c r="DRD58" s="528"/>
      <c r="DRE58" s="528"/>
      <c r="DRF58" s="528"/>
      <c r="DRG58" s="528"/>
      <c r="DRH58" s="528"/>
      <c r="DRI58" s="528"/>
      <c r="DRJ58" s="528"/>
      <c r="DRK58" s="528"/>
      <c r="DRL58" s="528"/>
      <c r="DRM58" s="528"/>
      <c r="DRN58" s="528"/>
      <c r="DRO58" s="528"/>
      <c r="DRP58" s="528"/>
      <c r="DRQ58" s="528"/>
      <c r="DRR58" s="528"/>
      <c r="DRS58" s="528"/>
      <c r="DRT58" s="528"/>
      <c r="DRU58" s="528"/>
      <c r="DRV58" s="528"/>
      <c r="DRW58" s="528"/>
      <c r="DRX58" s="528"/>
      <c r="DRY58" s="528"/>
      <c r="DRZ58" s="528"/>
      <c r="DSA58" s="528"/>
      <c r="DSB58" s="528"/>
      <c r="DSC58" s="528"/>
      <c r="DSD58" s="528"/>
      <c r="DSE58" s="528"/>
      <c r="DSF58" s="528"/>
      <c r="DSG58" s="528"/>
      <c r="DSH58" s="528"/>
      <c r="DSI58" s="528"/>
      <c r="DSJ58" s="528"/>
      <c r="DSK58" s="528"/>
      <c r="DSL58" s="528"/>
      <c r="DSM58" s="528"/>
      <c r="DSN58" s="528"/>
      <c r="DSO58" s="528"/>
      <c r="DSP58" s="528"/>
      <c r="DSQ58" s="528"/>
      <c r="DSR58" s="528"/>
      <c r="DSS58" s="528"/>
      <c r="DST58" s="528"/>
      <c r="DSU58" s="528"/>
      <c r="DSV58" s="528"/>
      <c r="DSW58" s="528"/>
      <c r="DSX58" s="528"/>
      <c r="DSY58" s="528"/>
      <c r="DSZ58" s="528"/>
      <c r="DTA58" s="528"/>
      <c r="DTB58" s="528"/>
      <c r="DTC58" s="528"/>
      <c r="DTD58" s="528"/>
      <c r="DTE58" s="528"/>
      <c r="DTF58" s="528"/>
      <c r="DTG58" s="528"/>
      <c r="DTH58" s="528"/>
      <c r="DTI58" s="528"/>
      <c r="DTJ58" s="528"/>
      <c r="DTK58" s="528"/>
      <c r="DTL58" s="528"/>
      <c r="DTM58" s="528"/>
      <c r="DTN58" s="528"/>
      <c r="DTO58" s="528"/>
      <c r="DTP58" s="528"/>
      <c r="DTQ58" s="528"/>
      <c r="DTR58" s="528"/>
      <c r="DTS58" s="528"/>
      <c r="DTT58" s="528"/>
      <c r="DTU58" s="528"/>
      <c r="DTV58" s="528"/>
      <c r="DTW58" s="528"/>
      <c r="DTX58" s="528"/>
      <c r="DTY58" s="528"/>
      <c r="DTZ58" s="528"/>
      <c r="DUA58" s="528"/>
      <c r="DUB58" s="528"/>
      <c r="DUC58" s="528"/>
      <c r="DUD58" s="528"/>
      <c r="DUE58" s="528"/>
      <c r="DUF58" s="528"/>
      <c r="DUG58" s="528"/>
      <c r="DUH58" s="528"/>
      <c r="DUI58" s="528"/>
      <c r="DUJ58" s="528"/>
      <c r="DUK58" s="528"/>
      <c r="DUL58" s="528"/>
      <c r="DUM58" s="528"/>
      <c r="DUN58" s="528"/>
      <c r="DUO58" s="528"/>
      <c r="DUP58" s="528"/>
      <c r="DUQ58" s="528"/>
      <c r="DUR58" s="528"/>
      <c r="DUS58" s="528"/>
      <c r="DUT58" s="528"/>
      <c r="DUU58" s="528"/>
      <c r="DUV58" s="528"/>
      <c r="DUW58" s="528"/>
      <c r="DUX58" s="528"/>
      <c r="DUY58" s="528"/>
      <c r="DUZ58" s="528"/>
      <c r="DVA58" s="528"/>
      <c r="DVB58" s="528"/>
      <c r="DVC58" s="528"/>
      <c r="DVD58" s="528"/>
      <c r="DVE58" s="528"/>
      <c r="DVF58" s="528"/>
      <c r="DVG58" s="528"/>
      <c r="DVH58" s="528"/>
      <c r="DVI58" s="528"/>
      <c r="DVJ58" s="528"/>
      <c r="DVK58" s="528"/>
      <c r="DVL58" s="528"/>
      <c r="DVM58" s="528"/>
      <c r="DVN58" s="528"/>
      <c r="DVO58" s="528"/>
      <c r="DVP58" s="528"/>
      <c r="DVQ58" s="528"/>
      <c r="DVR58" s="528"/>
      <c r="DVS58" s="528"/>
      <c r="DVT58" s="528"/>
      <c r="DVU58" s="528"/>
      <c r="DVV58" s="528"/>
      <c r="DVW58" s="528"/>
      <c r="DVX58" s="528"/>
      <c r="DVY58" s="528"/>
      <c r="DVZ58" s="528"/>
      <c r="DWA58" s="528"/>
      <c r="DWB58" s="528"/>
      <c r="DWC58" s="528"/>
      <c r="DWD58" s="528"/>
      <c r="DWE58" s="528"/>
      <c r="DWF58" s="528"/>
      <c r="DWG58" s="528"/>
      <c r="DWH58" s="528"/>
      <c r="DWI58" s="528"/>
      <c r="DWJ58" s="528"/>
      <c r="DWK58" s="528"/>
      <c r="DWL58" s="528"/>
      <c r="DWM58" s="528"/>
      <c r="DWN58" s="528"/>
      <c r="DWO58" s="528"/>
      <c r="DWP58" s="528"/>
      <c r="DWQ58" s="528"/>
      <c r="DWR58" s="528"/>
      <c r="DWS58" s="528"/>
      <c r="DWT58" s="528"/>
      <c r="DWU58" s="528"/>
      <c r="DWV58" s="528"/>
      <c r="DWW58" s="528"/>
      <c r="DWX58" s="528"/>
      <c r="DWY58" s="528"/>
      <c r="DWZ58" s="528"/>
      <c r="DXA58" s="528"/>
      <c r="DXB58" s="528"/>
      <c r="DXC58" s="528"/>
      <c r="DXD58" s="528"/>
      <c r="DXE58" s="528"/>
      <c r="DXF58" s="528"/>
      <c r="DXG58" s="528"/>
      <c r="DXH58" s="528"/>
      <c r="DXI58" s="528"/>
      <c r="DXJ58" s="528"/>
      <c r="DXK58" s="528"/>
      <c r="DXL58" s="528"/>
      <c r="DXM58" s="528"/>
      <c r="DXN58" s="528"/>
      <c r="DXO58" s="528"/>
      <c r="DXP58" s="528"/>
      <c r="DXQ58" s="528"/>
      <c r="DXR58" s="528"/>
      <c r="DXS58" s="528"/>
      <c r="DXT58" s="528"/>
      <c r="DXU58" s="528"/>
      <c r="DXV58" s="528"/>
      <c r="DXW58" s="528"/>
      <c r="DXX58" s="528"/>
      <c r="DXY58" s="528"/>
      <c r="DXZ58" s="528"/>
      <c r="DYA58" s="528"/>
      <c r="DYB58" s="528"/>
      <c r="DYC58" s="528"/>
      <c r="DYD58" s="528"/>
      <c r="DYE58" s="528"/>
      <c r="DYF58" s="528"/>
      <c r="DYG58" s="528"/>
      <c r="DYH58" s="528"/>
      <c r="DYI58" s="528"/>
      <c r="DYJ58" s="528"/>
      <c r="DYK58" s="528"/>
      <c r="DYL58" s="528"/>
      <c r="DYM58" s="528"/>
      <c r="DYN58" s="528"/>
      <c r="DYO58" s="528"/>
      <c r="DYP58" s="528"/>
      <c r="DYQ58" s="528"/>
      <c r="DYR58" s="528"/>
      <c r="DYS58" s="528"/>
      <c r="DYT58" s="528"/>
      <c r="DYU58" s="528"/>
      <c r="DYV58" s="528"/>
      <c r="DYW58" s="528"/>
      <c r="DYX58" s="528"/>
      <c r="DYY58" s="528"/>
      <c r="DYZ58" s="528"/>
      <c r="DZA58" s="528"/>
      <c r="DZB58" s="528"/>
      <c r="DZC58" s="528"/>
      <c r="DZD58" s="528"/>
      <c r="DZE58" s="528"/>
      <c r="DZF58" s="528"/>
      <c r="DZG58" s="528"/>
      <c r="DZH58" s="528"/>
      <c r="DZI58" s="528"/>
      <c r="DZJ58" s="528"/>
      <c r="DZK58" s="528"/>
      <c r="DZL58" s="528"/>
      <c r="DZM58" s="528"/>
      <c r="DZN58" s="528"/>
      <c r="DZO58" s="528"/>
      <c r="DZP58" s="528"/>
      <c r="DZQ58" s="528"/>
      <c r="DZR58" s="528"/>
      <c r="DZS58" s="528"/>
      <c r="DZT58" s="528"/>
      <c r="DZU58" s="528"/>
      <c r="DZV58" s="528"/>
      <c r="DZW58" s="528"/>
      <c r="DZX58" s="528"/>
      <c r="DZY58" s="528"/>
      <c r="DZZ58" s="528"/>
      <c r="EAA58" s="528"/>
      <c r="EAB58" s="528"/>
      <c r="EAC58" s="528"/>
      <c r="EAD58" s="528"/>
      <c r="EAE58" s="528"/>
      <c r="EAF58" s="528"/>
      <c r="EAG58" s="528"/>
      <c r="EAH58" s="528"/>
      <c r="EAI58" s="528"/>
      <c r="EAJ58" s="528"/>
      <c r="EAK58" s="528"/>
      <c r="EAL58" s="528"/>
      <c r="EAM58" s="528"/>
      <c r="EAN58" s="528"/>
      <c r="EAO58" s="528"/>
      <c r="EAP58" s="528"/>
      <c r="EAQ58" s="528"/>
      <c r="EAR58" s="528"/>
      <c r="EAS58" s="528"/>
      <c r="EAT58" s="528"/>
      <c r="EAU58" s="528"/>
      <c r="EAV58" s="528"/>
      <c r="EAW58" s="528"/>
      <c r="EAX58" s="528"/>
      <c r="EAY58" s="528"/>
      <c r="EAZ58" s="528"/>
      <c r="EBA58" s="528"/>
      <c r="EBB58" s="528"/>
      <c r="EBC58" s="528"/>
      <c r="EBD58" s="528"/>
      <c r="EBE58" s="528"/>
      <c r="EBF58" s="528"/>
      <c r="EBG58" s="528"/>
      <c r="EBH58" s="528"/>
      <c r="EBI58" s="528"/>
      <c r="EBJ58" s="528"/>
      <c r="EBK58" s="528"/>
      <c r="EBL58" s="528"/>
      <c r="EBM58" s="528"/>
      <c r="EBN58" s="528"/>
      <c r="EBO58" s="528"/>
      <c r="EBP58" s="528"/>
      <c r="EBQ58" s="528"/>
      <c r="EBR58" s="528"/>
      <c r="EBS58" s="528"/>
      <c r="EBT58" s="528"/>
      <c r="EBU58" s="528"/>
      <c r="EBV58" s="528"/>
      <c r="EBW58" s="528"/>
      <c r="EBX58" s="528"/>
      <c r="EBY58" s="528"/>
      <c r="EBZ58" s="528"/>
      <c r="ECA58" s="528"/>
      <c r="ECB58" s="528"/>
      <c r="ECC58" s="528"/>
      <c r="ECD58" s="528"/>
      <c r="ECE58" s="528"/>
      <c r="ECF58" s="528"/>
      <c r="ECG58" s="528"/>
      <c r="ECH58" s="528"/>
      <c r="ECI58" s="528"/>
      <c r="ECJ58" s="528"/>
      <c r="ECK58" s="528"/>
      <c r="ECL58" s="528"/>
      <c r="ECM58" s="528"/>
      <c r="ECN58" s="528"/>
      <c r="ECO58" s="528"/>
      <c r="ECP58" s="528"/>
      <c r="ECQ58" s="528"/>
      <c r="ECR58" s="528"/>
      <c r="ECS58" s="528"/>
      <c r="ECT58" s="528"/>
      <c r="ECU58" s="528"/>
      <c r="ECV58" s="528"/>
      <c r="ECW58" s="528"/>
      <c r="ECX58" s="528"/>
      <c r="ECY58" s="528"/>
      <c r="ECZ58" s="528"/>
      <c r="EDA58" s="528"/>
      <c r="EDB58" s="528"/>
      <c r="EDC58" s="528"/>
      <c r="EDD58" s="528"/>
      <c r="EDE58" s="528"/>
      <c r="EDF58" s="528"/>
      <c r="EDG58" s="528"/>
      <c r="EDH58" s="528"/>
      <c r="EDI58" s="528"/>
      <c r="EDJ58" s="528"/>
      <c r="EDK58" s="528"/>
      <c r="EDL58" s="528"/>
      <c r="EDM58" s="528"/>
      <c r="EDN58" s="528"/>
      <c r="EDO58" s="528"/>
      <c r="EDP58" s="528"/>
      <c r="EDQ58" s="528"/>
      <c r="EDR58" s="528"/>
      <c r="EDS58" s="528"/>
      <c r="EDT58" s="528"/>
      <c r="EDU58" s="528"/>
      <c r="EDV58" s="528"/>
      <c r="EDW58" s="528"/>
      <c r="EDX58" s="528"/>
      <c r="EDY58" s="528"/>
      <c r="EDZ58" s="528"/>
      <c r="EEA58" s="528"/>
      <c r="EEB58" s="528"/>
      <c r="EEC58" s="528"/>
      <c r="EED58" s="528"/>
      <c r="EEE58" s="528"/>
      <c r="EEF58" s="528"/>
      <c r="EEG58" s="528"/>
      <c r="EEH58" s="528"/>
      <c r="EEI58" s="528"/>
      <c r="EEJ58" s="528"/>
      <c r="EEK58" s="528"/>
      <c r="EEL58" s="528"/>
      <c r="EEM58" s="528"/>
      <c r="EEN58" s="528"/>
      <c r="EEO58" s="528"/>
      <c r="EEP58" s="528"/>
      <c r="EEQ58" s="528"/>
      <c r="EER58" s="528"/>
      <c r="EES58" s="528"/>
      <c r="EET58" s="528"/>
      <c r="EEU58" s="528"/>
      <c r="EEV58" s="528"/>
      <c r="EEW58" s="528"/>
      <c r="EEX58" s="528"/>
      <c r="EEY58" s="528"/>
      <c r="EEZ58" s="528"/>
      <c r="EFA58" s="528"/>
      <c r="EFB58" s="528"/>
      <c r="EFC58" s="528"/>
      <c r="EFD58" s="528"/>
      <c r="EFE58" s="528"/>
      <c r="EFF58" s="528"/>
      <c r="EFG58" s="528"/>
      <c r="EFH58" s="528"/>
      <c r="EFI58" s="528"/>
      <c r="EFJ58" s="528"/>
      <c r="EFK58" s="528"/>
      <c r="EFL58" s="528"/>
      <c r="EFM58" s="528"/>
      <c r="EFN58" s="528"/>
      <c r="EFO58" s="528"/>
      <c r="EFP58" s="528"/>
      <c r="EFQ58" s="528"/>
      <c r="EFR58" s="528"/>
      <c r="EFS58" s="528"/>
      <c r="EFT58" s="528"/>
      <c r="EFU58" s="528"/>
      <c r="EFV58" s="528"/>
      <c r="EFW58" s="528"/>
      <c r="EFX58" s="528"/>
      <c r="EFY58" s="528"/>
      <c r="EFZ58" s="528"/>
      <c r="EGA58" s="528"/>
      <c r="EGB58" s="528"/>
      <c r="EGC58" s="528"/>
      <c r="EGD58" s="528"/>
      <c r="EGE58" s="528"/>
      <c r="EGF58" s="528"/>
      <c r="EGG58" s="528"/>
      <c r="EGH58" s="528"/>
      <c r="EGI58" s="528"/>
      <c r="EGJ58" s="528"/>
      <c r="EGK58" s="528"/>
      <c r="EGL58" s="528"/>
      <c r="EGM58" s="528"/>
      <c r="EGN58" s="528"/>
      <c r="EGO58" s="528"/>
      <c r="EGP58" s="528"/>
      <c r="EGQ58" s="528"/>
      <c r="EGR58" s="528"/>
      <c r="EGS58" s="528"/>
      <c r="EGT58" s="528"/>
      <c r="EGU58" s="528"/>
      <c r="EGV58" s="528"/>
      <c r="EGW58" s="528"/>
      <c r="EGX58" s="528"/>
      <c r="EGY58" s="528"/>
      <c r="EGZ58" s="528"/>
      <c r="EHA58" s="528"/>
      <c r="EHB58" s="528"/>
      <c r="EHC58" s="528"/>
      <c r="EHD58" s="528"/>
      <c r="EHE58" s="528"/>
      <c r="EHF58" s="528"/>
      <c r="EHG58" s="528"/>
      <c r="EHH58" s="528"/>
      <c r="EHI58" s="528"/>
      <c r="EHJ58" s="528"/>
      <c r="EHK58" s="528"/>
      <c r="EHL58" s="528"/>
      <c r="EHM58" s="528"/>
      <c r="EHN58" s="528"/>
      <c r="EHO58" s="528"/>
      <c r="EHP58" s="528"/>
      <c r="EHQ58" s="528"/>
      <c r="EHR58" s="528"/>
      <c r="EHS58" s="528"/>
      <c r="EHT58" s="528"/>
      <c r="EHU58" s="528"/>
      <c r="EHV58" s="528"/>
      <c r="EHW58" s="528"/>
      <c r="EHX58" s="528"/>
      <c r="EHY58" s="528"/>
      <c r="EHZ58" s="528"/>
      <c r="EIA58" s="528"/>
      <c r="EIB58" s="528"/>
      <c r="EIC58" s="528"/>
      <c r="EID58" s="528"/>
      <c r="EIE58" s="528"/>
      <c r="EIF58" s="528"/>
      <c r="EIG58" s="528"/>
      <c r="EIH58" s="528"/>
      <c r="EII58" s="528"/>
      <c r="EIJ58" s="528"/>
      <c r="EIK58" s="528"/>
      <c r="EIL58" s="528"/>
      <c r="EIM58" s="528"/>
      <c r="EIN58" s="528"/>
      <c r="EIO58" s="528"/>
      <c r="EIP58" s="528"/>
      <c r="EIQ58" s="528"/>
      <c r="EIR58" s="528"/>
      <c r="EIS58" s="528"/>
      <c r="EIT58" s="528"/>
      <c r="EIU58" s="528"/>
      <c r="EIV58" s="528"/>
      <c r="EIW58" s="528"/>
      <c r="EIX58" s="528"/>
      <c r="EIY58" s="528"/>
      <c r="EIZ58" s="528"/>
      <c r="EJA58" s="528"/>
      <c r="EJB58" s="528"/>
      <c r="EJC58" s="528"/>
      <c r="EJD58" s="528"/>
      <c r="EJE58" s="528"/>
      <c r="EJF58" s="528"/>
      <c r="EJG58" s="528"/>
      <c r="EJH58" s="528"/>
      <c r="EJI58" s="528"/>
      <c r="EJJ58" s="528"/>
      <c r="EJK58" s="528"/>
      <c r="EJL58" s="528"/>
      <c r="EJM58" s="528"/>
      <c r="EJN58" s="528"/>
      <c r="EJO58" s="528"/>
      <c r="EJP58" s="528"/>
      <c r="EJQ58" s="528"/>
      <c r="EJR58" s="528"/>
      <c r="EJS58" s="528"/>
      <c r="EJT58" s="528"/>
      <c r="EJU58" s="528"/>
      <c r="EJV58" s="528"/>
      <c r="EJW58" s="528"/>
      <c r="EJX58" s="528"/>
      <c r="EJY58" s="528"/>
      <c r="EJZ58" s="528"/>
      <c r="EKA58" s="528"/>
      <c r="EKB58" s="528"/>
      <c r="EKC58" s="528"/>
      <c r="EKD58" s="528"/>
      <c r="EKE58" s="528"/>
      <c r="EKF58" s="528"/>
      <c r="EKG58" s="528"/>
      <c r="EKH58" s="528"/>
      <c r="EKI58" s="528"/>
      <c r="EKJ58" s="528"/>
      <c r="EKK58" s="528"/>
      <c r="EKL58" s="528"/>
      <c r="EKM58" s="528"/>
      <c r="EKN58" s="528"/>
      <c r="EKO58" s="528"/>
      <c r="EKP58" s="528"/>
      <c r="EKQ58" s="528"/>
      <c r="EKR58" s="528"/>
      <c r="EKS58" s="528"/>
      <c r="EKT58" s="528"/>
      <c r="EKU58" s="528"/>
      <c r="EKV58" s="528"/>
      <c r="EKW58" s="528"/>
      <c r="EKX58" s="528"/>
      <c r="EKY58" s="528"/>
      <c r="EKZ58" s="528"/>
      <c r="ELA58" s="528"/>
      <c r="ELB58" s="528"/>
      <c r="ELC58" s="528"/>
      <c r="ELD58" s="528"/>
      <c r="ELE58" s="528"/>
      <c r="ELF58" s="528"/>
      <c r="ELG58" s="528"/>
      <c r="ELH58" s="528"/>
      <c r="ELI58" s="528"/>
      <c r="ELJ58" s="528"/>
      <c r="ELK58" s="528"/>
      <c r="ELL58" s="528"/>
      <c r="ELM58" s="528"/>
      <c r="ELN58" s="528"/>
      <c r="ELO58" s="528"/>
      <c r="ELP58" s="528"/>
      <c r="ELQ58" s="528"/>
      <c r="ELR58" s="528"/>
      <c r="ELS58" s="528"/>
      <c r="ELT58" s="528"/>
      <c r="ELU58" s="528"/>
      <c r="ELV58" s="528"/>
      <c r="ELW58" s="528"/>
      <c r="ELX58" s="528"/>
      <c r="ELY58" s="528"/>
      <c r="ELZ58" s="528"/>
      <c r="EMA58" s="528"/>
      <c r="EMB58" s="528"/>
      <c r="EMC58" s="528"/>
      <c r="EMD58" s="528"/>
      <c r="EME58" s="528"/>
      <c r="EMF58" s="528"/>
      <c r="EMG58" s="528"/>
      <c r="EMH58" s="528"/>
      <c r="EMI58" s="528"/>
      <c r="EMJ58" s="528"/>
      <c r="EMK58" s="528"/>
      <c r="EML58" s="528"/>
      <c r="EMM58" s="528"/>
      <c r="EMN58" s="528"/>
      <c r="EMO58" s="528"/>
      <c r="EMP58" s="528"/>
      <c r="EMQ58" s="528"/>
      <c r="EMR58" s="528"/>
      <c r="EMS58" s="528"/>
      <c r="EMT58" s="528"/>
      <c r="EMU58" s="528"/>
      <c r="EMV58" s="528"/>
      <c r="EMW58" s="528"/>
      <c r="EMX58" s="528"/>
      <c r="EMY58" s="528"/>
      <c r="EMZ58" s="528"/>
      <c r="ENA58" s="528"/>
      <c r="ENB58" s="528"/>
      <c r="ENC58" s="528"/>
      <c r="END58" s="528"/>
      <c r="ENE58" s="528"/>
      <c r="ENF58" s="528"/>
      <c r="ENG58" s="528"/>
      <c r="ENH58" s="528"/>
      <c r="ENI58" s="528"/>
      <c r="ENJ58" s="528"/>
      <c r="ENK58" s="528"/>
      <c r="ENL58" s="528"/>
      <c r="ENM58" s="528"/>
      <c r="ENN58" s="528"/>
      <c r="ENO58" s="528"/>
      <c r="ENP58" s="528"/>
      <c r="ENQ58" s="528"/>
      <c r="ENR58" s="528"/>
      <c r="ENS58" s="528"/>
      <c r="ENT58" s="528"/>
      <c r="ENU58" s="528"/>
      <c r="ENV58" s="528"/>
      <c r="ENW58" s="528"/>
      <c r="ENX58" s="528"/>
      <c r="ENY58" s="528"/>
      <c r="ENZ58" s="528"/>
      <c r="EOA58" s="528"/>
      <c r="EOB58" s="528"/>
      <c r="EOC58" s="528"/>
      <c r="EOD58" s="528"/>
      <c r="EOE58" s="528"/>
      <c r="EOF58" s="528"/>
      <c r="EOG58" s="528"/>
      <c r="EOH58" s="528"/>
      <c r="EOI58" s="528"/>
      <c r="EOJ58" s="528"/>
      <c r="EOK58" s="528"/>
      <c r="EOL58" s="528"/>
      <c r="EOM58" s="528"/>
      <c r="EON58" s="528"/>
      <c r="EOO58" s="528"/>
      <c r="EOP58" s="528"/>
      <c r="EOQ58" s="528"/>
      <c r="EOR58" s="528"/>
      <c r="EOS58" s="528"/>
      <c r="EOT58" s="528"/>
      <c r="EOU58" s="528"/>
      <c r="EOV58" s="528"/>
      <c r="EOW58" s="528"/>
      <c r="EOX58" s="528"/>
      <c r="EOY58" s="528"/>
      <c r="EOZ58" s="528"/>
      <c r="EPA58" s="528"/>
      <c r="EPB58" s="528"/>
      <c r="EPC58" s="528"/>
      <c r="EPD58" s="528"/>
      <c r="EPE58" s="528"/>
      <c r="EPF58" s="528"/>
      <c r="EPG58" s="528"/>
      <c r="EPH58" s="528"/>
      <c r="EPI58" s="528"/>
      <c r="EPJ58" s="528"/>
      <c r="EPK58" s="528"/>
      <c r="EPL58" s="528"/>
      <c r="EPM58" s="528"/>
      <c r="EPN58" s="528"/>
      <c r="EPO58" s="528"/>
      <c r="EPP58" s="528"/>
      <c r="EPQ58" s="528"/>
      <c r="EPR58" s="528"/>
      <c r="EPS58" s="528"/>
      <c r="EPT58" s="528"/>
      <c r="EPU58" s="528"/>
      <c r="EPV58" s="528"/>
      <c r="EPW58" s="528"/>
      <c r="EPX58" s="528"/>
      <c r="EPY58" s="528"/>
      <c r="EPZ58" s="528"/>
      <c r="EQA58" s="528"/>
      <c r="EQB58" s="528"/>
      <c r="EQC58" s="528"/>
      <c r="EQD58" s="528"/>
      <c r="EQE58" s="528"/>
      <c r="EQF58" s="528"/>
      <c r="EQG58" s="528"/>
      <c r="EQH58" s="528"/>
      <c r="EQI58" s="528"/>
      <c r="EQJ58" s="528"/>
      <c r="EQK58" s="528"/>
      <c r="EQL58" s="528"/>
      <c r="EQM58" s="528"/>
      <c r="EQN58" s="528"/>
      <c r="EQO58" s="528"/>
      <c r="EQP58" s="528"/>
      <c r="EQQ58" s="528"/>
      <c r="EQR58" s="528"/>
      <c r="EQS58" s="528"/>
      <c r="EQT58" s="528"/>
      <c r="EQU58" s="528"/>
      <c r="EQV58" s="528"/>
      <c r="EQW58" s="528"/>
      <c r="EQX58" s="528"/>
      <c r="EQY58" s="528"/>
      <c r="EQZ58" s="528"/>
      <c r="ERA58" s="528"/>
      <c r="ERB58" s="528"/>
      <c r="ERC58" s="528"/>
      <c r="ERD58" s="528"/>
      <c r="ERE58" s="528"/>
      <c r="ERF58" s="528"/>
      <c r="ERG58" s="528"/>
      <c r="ERH58" s="528"/>
      <c r="ERI58" s="528"/>
      <c r="ERJ58" s="528"/>
      <c r="ERK58" s="528"/>
      <c r="ERL58" s="528"/>
      <c r="ERM58" s="528"/>
      <c r="ERN58" s="528"/>
      <c r="ERO58" s="528"/>
      <c r="ERP58" s="528"/>
      <c r="ERQ58" s="528"/>
      <c r="ERR58" s="528"/>
      <c r="ERS58" s="528"/>
      <c r="ERT58" s="528"/>
      <c r="ERU58" s="528"/>
      <c r="ERV58" s="528"/>
      <c r="ERW58" s="528"/>
      <c r="ERX58" s="528"/>
      <c r="ERY58" s="528"/>
      <c r="ERZ58" s="528"/>
      <c r="ESA58" s="528"/>
      <c r="ESB58" s="528"/>
      <c r="ESC58" s="528"/>
      <c r="ESD58" s="528"/>
      <c r="ESE58" s="528"/>
      <c r="ESF58" s="528"/>
      <c r="ESG58" s="528"/>
      <c r="ESH58" s="528"/>
      <c r="ESI58" s="528"/>
      <c r="ESJ58" s="528"/>
      <c r="ESK58" s="528"/>
      <c r="ESL58" s="528"/>
      <c r="ESM58" s="528"/>
      <c r="ESN58" s="528"/>
      <c r="ESO58" s="528"/>
      <c r="ESP58" s="528"/>
      <c r="ESQ58" s="528"/>
      <c r="ESR58" s="528"/>
      <c r="ESS58" s="528"/>
      <c r="EST58" s="528"/>
      <c r="ESU58" s="528"/>
      <c r="ESV58" s="528"/>
      <c r="ESW58" s="528"/>
      <c r="ESX58" s="528"/>
      <c r="ESY58" s="528"/>
      <c r="ESZ58" s="528"/>
      <c r="ETA58" s="528"/>
      <c r="ETB58" s="528"/>
      <c r="ETC58" s="528"/>
      <c r="ETD58" s="528"/>
      <c r="ETE58" s="528"/>
      <c r="ETF58" s="528"/>
      <c r="ETG58" s="528"/>
      <c r="ETH58" s="528"/>
      <c r="ETI58" s="528"/>
      <c r="ETJ58" s="528"/>
      <c r="ETK58" s="528"/>
      <c r="ETL58" s="528"/>
      <c r="ETM58" s="528"/>
      <c r="ETN58" s="528"/>
      <c r="ETO58" s="528"/>
      <c r="ETP58" s="528"/>
      <c r="ETQ58" s="528"/>
      <c r="ETR58" s="528"/>
      <c r="ETS58" s="528"/>
      <c r="ETT58" s="528"/>
      <c r="ETU58" s="528"/>
      <c r="ETV58" s="528"/>
      <c r="ETW58" s="528"/>
      <c r="ETX58" s="528"/>
      <c r="ETY58" s="528"/>
      <c r="ETZ58" s="528"/>
      <c r="EUA58" s="528"/>
      <c r="EUB58" s="528"/>
      <c r="EUC58" s="528"/>
      <c r="EUD58" s="528"/>
      <c r="EUE58" s="528"/>
      <c r="EUF58" s="528"/>
      <c r="EUG58" s="528"/>
      <c r="EUH58" s="528"/>
      <c r="EUI58" s="528"/>
      <c r="EUJ58" s="528"/>
      <c r="EUK58" s="528"/>
      <c r="EUL58" s="528"/>
      <c r="EUM58" s="528"/>
      <c r="EUN58" s="528"/>
      <c r="EUO58" s="528"/>
      <c r="EUP58" s="528"/>
      <c r="EUQ58" s="528"/>
      <c r="EUR58" s="528"/>
      <c r="EUS58" s="528"/>
      <c r="EUT58" s="528"/>
      <c r="EUU58" s="528"/>
      <c r="EUV58" s="528"/>
      <c r="EUW58" s="528"/>
      <c r="EUX58" s="528"/>
      <c r="EUY58" s="528"/>
      <c r="EUZ58" s="528"/>
      <c r="EVA58" s="528"/>
      <c r="EVB58" s="528"/>
      <c r="EVC58" s="528"/>
      <c r="EVD58" s="528"/>
      <c r="EVE58" s="528"/>
      <c r="EVF58" s="528"/>
      <c r="EVG58" s="528"/>
      <c r="EVH58" s="528"/>
      <c r="EVI58" s="528"/>
      <c r="EVJ58" s="528"/>
      <c r="EVK58" s="528"/>
      <c r="EVL58" s="528"/>
      <c r="EVM58" s="528"/>
      <c r="EVN58" s="528"/>
      <c r="EVO58" s="528"/>
      <c r="EVP58" s="528"/>
      <c r="EVQ58" s="528"/>
      <c r="EVR58" s="528"/>
      <c r="EVS58" s="528"/>
      <c r="EVT58" s="528"/>
      <c r="EVU58" s="528"/>
      <c r="EVV58" s="528"/>
      <c r="EVW58" s="528"/>
      <c r="EVX58" s="528"/>
      <c r="EVY58" s="528"/>
      <c r="EVZ58" s="528"/>
      <c r="EWA58" s="528"/>
      <c r="EWB58" s="528"/>
      <c r="EWC58" s="528"/>
      <c r="EWD58" s="528"/>
      <c r="EWE58" s="528"/>
      <c r="EWF58" s="528"/>
      <c r="EWG58" s="528"/>
      <c r="EWH58" s="528"/>
      <c r="EWI58" s="528"/>
      <c r="EWJ58" s="528"/>
      <c r="EWK58" s="528"/>
      <c r="EWL58" s="528"/>
      <c r="EWM58" s="528"/>
      <c r="EWN58" s="528"/>
      <c r="EWO58" s="528"/>
      <c r="EWP58" s="528"/>
      <c r="EWQ58" s="528"/>
      <c r="EWR58" s="528"/>
      <c r="EWS58" s="528"/>
      <c r="EWT58" s="528"/>
      <c r="EWU58" s="528"/>
      <c r="EWV58" s="528"/>
      <c r="EWW58" s="528"/>
      <c r="EWX58" s="528"/>
      <c r="EWY58" s="528"/>
      <c r="EWZ58" s="528"/>
      <c r="EXA58" s="528"/>
      <c r="EXB58" s="528"/>
      <c r="EXC58" s="528"/>
      <c r="EXD58" s="528"/>
      <c r="EXE58" s="528"/>
      <c r="EXF58" s="528"/>
      <c r="EXG58" s="528"/>
      <c r="EXH58" s="528"/>
      <c r="EXI58" s="528"/>
      <c r="EXJ58" s="528"/>
      <c r="EXK58" s="528"/>
      <c r="EXL58" s="528"/>
      <c r="EXM58" s="528"/>
      <c r="EXN58" s="528"/>
      <c r="EXO58" s="528"/>
      <c r="EXP58" s="528"/>
      <c r="EXQ58" s="528"/>
      <c r="EXR58" s="528"/>
      <c r="EXS58" s="528"/>
      <c r="EXT58" s="528"/>
      <c r="EXU58" s="528"/>
      <c r="EXV58" s="528"/>
      <c r="EXW58" s="528"/>
      <c r="EXX58" s="528"/>
      <c r="EXY58" s="528"/>
      <c r="EXZ58" s="528"/>
      <c r="EYA58" s="528"/>
      <c r="EYB58" s="528"/>
      <c r="EYC58" s="528"/>
      <c r="EYD58" s="528"/>
      <c r="EYE58" s="528"/>
      <c r="EYF58" s="528"/>
      <c r="EYG58" s="528"/>
      <c r="EYH58" s="528"/>
      <c r="EYI58" s="528"/>
      <c r="EYJ58" s="528"/>
      <c r="EYK58" s="528"/>
      <c r="EYL58" s="528"/>
      <c r="EYM58" s="528"/>
      <c r="EYN58" s="528"/>
      <c r="EYO58" s="528"/>
      <c r="EYP58" s="528"/>
      <c r="EYQ58" s="528"/>
      <c r="EYR58" s="528"/>
      <c r="EYS58" s="528"/>
      <c r="EYT58" s="528"/>
      <c r="EYU58" s="528"/>
      <c r="EYV58" s="528"/>
      <c r="EYW58" s="528"/>
      <c r="EYX58" s="528"/>
      <c r="EYY58" s="528"/>
      <c r="EYZ58" s="528"/>
      <c r="EZA58" s="528"/>
      <c r="EZB58" s="528"/>
      <c r="EZC58" s="528"/>
      <c r="EZD58" s="528"/>
      <c r="EZE58" s="528"/>
      <c r="EZF58" s="528"/>
      <c r="EZG58" s="528"/>
      <c r="EZH58" s="528"/>
      <c r="EZI58" s="528"/>
      <c r="EZJ58" s="528"/>
      <c r="EZK58" s="528"/>
      <c r="EZL58" s="528"/>
      <c r="EZM58" s="528"/>
      <c r="EZN58" s="528"/>
      <c r="EZO58" s="528"/>
      <c r="EZP58" s="528"/>
      <c r="EZQ58" s="528"/>
      <c r="EZR58" s="528"/>
      <c r="EZS58" s="528"/>
      <c r="EZT58" s="528"/>
      <c r="EZU58" s="528"/>
      <c r="EZV58" s="528"/>
      <c r="EZW58" s="528"/>
      <c r="EZX58" s="528"/>
      <c r="EZY58" s="528"/>
      <c r="EZZ58" s="528"/>
      <c r="FAA58" s="528"/>
      <c r="FAB58" s="528"/>
      <c r="FAC58" s="528"/>
      <c r="FAD58" s="528"/>
      <c r="FAE58" s="528"/>
      <c r="FAF58" s="528"/>
      <c r="FAG58" s="528"/>
      <c r="FAH58" s="528"/>
      <c r="FAI58" s="528"/>
      <c r="FAJ58" s="528"/>
      <c r="FAK58" s="528"/>
      <c r="FAL58" s="528"/>
      <c r="FAM58" s="528"/>
      <c r="FAN58" s="528"/>
      <c r="FAO58" s="528"/>
      <c r="FAP58" s="528"/>
      <c r="FAQ58" s="528"/>
      <c r="FAR58" s="528"/>
      <c r="FAS58" s="528"/>
      <c r="FAT58" s="528"/>
      <c r="FAU58" s="528"/>
      <c r="FAV58" s="528"/>
      <c r="FAW58" s="528"/>
      <c r="FAX58" s="528"/>
      <c r="FAY58" s="528"/>
      <c r="FAZ58" s="528"/>
      <c r="FBA58" s="528"/>
      <c r="FBB58" s="528"/>
      <c r="FBC58" s="528"/>
      <c r="FBD58" s="528"/>
      <c r="FBE58" s="528"/>
      <c r="FBF58" s="528"/>
      <c r="FBG58" s="528"/>
      <c r="FBH58" s="528"/>
      <c r="FBI58" s="528"/>
      <c r="FBJ58" s="528"/>
      <c r="FBK58" s="528"/>
      <c r="FBL58" s="528"/>
      <c r="FBM58" s="528"/>
      <c r="FBN58" s="528"/>
      <c r="FBO58" s="528"/>
      <c r="FBP58" s="528"/>
      <c r="FBQ58" s="528"/>
      <c r="FBR58" s="528"/>
      <c r="FBS58" s="528"/>
      <c r="FBT58" s="528"/>
      <c r="FBU58" s="528"/>
      <c r="FBV58" s="528"/>
      <c r="FBW58" s="528"/>
      <c r="FBX58" s="528"/>
      <c r="FBY58" s="528"/>
      <c r="FBZ58" s="528"/>
      <c r="FCA58" s="528"/>
      <c r="FCB58" s="528"/>
      <c r="FCC58" s="528"/>
      <c r="FCD58" s="528"/>
      <c r="FCE58" s="528"/>
      <c r="FCF58" s="528"/>
      <c r="FCG58" s="528"/>
      <c r="FCH58" s="528"/>
      <c r="FCI58" s="528"/>
      <c r="FCJ58" s="528"/>
      <c r="FCK58" s="528"/>
      <c r="FCL58" s="528"/>
      <c r="FCM58" s="528"/>
      <c r="FCN58" s="528"/>
      <c r="FCO58" s="528"/>
      <c r="FCP58" s="528"/>
      <c r="FCQ58" s="528"/>
      <c r="FCR58" s="528"/>
      <c r="FCS58" s="528"/>
      <c r="FCT58" s="528"/>
      <c r="FCU58" s="528"/>
      <c r="FCV58" s="528"/>
      <c r="FCW58" s="528"/>
      <c r="FCX58" s="528"/>
      <c r="FCY58" s="528"/>
      <c r="FCZ58" s="528"/>
      <c r="FDA58" s="528"/>
      <c r="FDB58" s="528"/>
      <c r="FDC58" s="528"/>
      <c r="FDD58" s="528"/>
      <c r="FDE58" s="528"/>
      <c r="FDF58" s="528"/>
      <c r="FDG58" s="528"/>
      <c r="FDH58" s="528"/>
      <c r="FDI58" s="528"/>
      <c r="FDJ58" s="528"/>
      <c r="FDK58" s="528"/>
      <c r="FDL58" s="528"/>
      <c r="FDM58" s="528"/>
      <c r="FDN58" s="528"/>
      <c r="FDO58" s="528"/>
      <c r="FDP58" s="528"/>
      <c r="FDQ58" s="528"/>
      <c r="FDR58" s="528"/>
      <c r="FDS58" s="528"/>
      <c r="FDT58" s="528"/>
      <c r="FDU58" s="528"/>
      <c r="FDV58" s="528"/>
      <c r="FDW58" s="528"/>
      <c r="FDX58" s="528"/>
      <c r="FDY58" s="528"/>
      <c r="FDZ58" s="528"/>
      <c r="FEA58" s="528"/>
      <c r="FEB58" s="528"/>
      <c r="FEC58" s="528"/>
      <c r="FED58" s="528"/>
      <c r="FEE58" s="528"/>
      <c r="FEF58" s="528"/>
      <c r="FEG58" s="528"/>
      <c r="FEH58" s="528"/>
      <c r="FEI58" s="528"/>
      <c r="FEJ58" s="528"/>
      <c r="FEK58" s="528"/>
      <c r="FEL58" s="528"/>
      <c r="FEM58" s="528"/>
      <c r="FEN58" s="528"/>
      <c r="FEO58" s="528"/>
      <c r="FEP58" s="528"/>
      <c r="FEQ58" s="528"/>
      <c r="FER58" s="528"/>
      <c r="FES58" s="528"/>
      <c r="FET58" s="528"/>
      <c r="FEU58" s="528"/>
      <c r="FEV58" s="528"/>
      <c r="FEW58" s="528"/>
      <c r="FEX58" s="528"/>
      <c r="FEY58" s="528"/>
      <c r="FEZ58" s="528"/>
      <c r="FFA58" s="528"/>
      <c r="FFB58" s="528"/>
      <c r="FFC58" s="528"/>
      <c r="FFD58" s="528"/>
      <c r="FFE58" s="528"/>
      <c r="FFF58" s="528"/>
      <c r="FFG58" s="528"/>
      <c r="FFH58" s="528"/>
      <c r="FFI58" s="528"/>
      <c r="FFJ58" s="528"/>
      <c r="FFK58" s="528"/>
      <c r="FFL58" s="528"/>
      <c r="FFM58" s="528"/>
      <c r="FFN58" s="528"/>
      <c r="FFO58" s="528"/>
      <c r="FFP58" s="528"/>
      <c r="FFQ58" s="528"/>
      <c r="FFR58" s="528"/>
      <c r="FFS58" s="528"/>
      <c r="FFT58" s="528"/>
      <c r="FFU58" s="528"/>
      <c r="FFV58" s="528"/>
      <c r="FFW58" s="528"/>
      <c r="FFX58" s="528"/>
      <c r="FFY58" s="528"/>
      <c r="FFZ58" s="528"/>
      <c r="FGA58" s="528"/>
      <c r="FGB58" s="528"/>
      <c r="FGC58" s="528"/>
      <c r="FGD58" s="528"/>
      <c r="FGE58" s="528"/>
      <c r="FGF58" s="528"/>
      <c r="FGG58" s="528"/>
      <c r="FGH58" s="528"/>
      <c r="FGI58" s="528"/>
      <c r="FGJ58" s="528"/>
      <c r="FGK58" s="528"/>
      <c r="FGL58" s="528"/>
      <c r="FGM58" s="528"/>
      <c r="FGN58" s="528"/>
      <c r="FGO58" s="528"/>
      <c r="FGP58" s="528"/>
      <c r="FGQ58" s="528"/>
      <c r="FGR58" s="528"/>
      <c r="FGS58" s="528"/>
      <c r="FGT58" s="528"/>
      <c r="FGU58" s="528"/>
      <c r="FGV58" s="528"/>
      <c r="FGW58" s="528"/>
      <c r="FGX58" s="528"/>
      <c r="FGY58" s="528"/>
      <c r="FGZ58" s="528"/>
      <c r="FHA58" s="528"/>
      <c r="FHB58" s="528"/>
      <c r="FHC58" s="528"/>
      <c r="FHD58" s="528"/>
      <c r="FHE58" s="528"/>
      <c r="FHF58" s="528"/>
      <c r="FHG58" s="528"/>
      <c r="FHH58" s="528"/>
      <c r="FHI58" s="528"/>
      <c r="FHJ58" s="528"/>
      <c r="FHK58" s="528"/>
      <c r="FHL58" s="528"/>
      <c r="FHM58" s="528"/>
      <c r="FHN58" s="528"/>
      <c r="FHO58" s="528"/>
      <c r="FHP58" s="528"/>
      <c r="FHQ58" s="528"/>
      <c r="FHR58" s="528"/>
      <c r="FHS58" s="528"/>
      <c r="FHT58" s="528"/>
      <c r="FHU58" s="528"/>
      <c r="FHV58" s="528"/>
      <c r="FHW58" s="528"/>
      <c r="FHX58" s="528"/>
      <c r="FHY58" s="528"/>
      <c r="FHZ58" s="528"/>
      <c r="FIA58" s="528"/>
      <c r="FIB58" s="528"/>
      <c r="FIC58" s="528"/>
      <c r="FID58" s="528"/>
      <c r="FIE58" s="528"/>
      <c r="FIF58" s="528"/>
      <c r="FIG58" s="528"/>
      <c r="FIH58" s="528"/>
      <c r="FII58" s="528"/>
      <c r="FIJ58" s="528"/>
      <c r="FIK58" s="528"/>
      <c r="FIL58" s="528"/>
      <c r="FIM58" s="528"/>
      <c r="FIN58" s="528"/>
      <c r="FIO58" s="528"/>
      <c r="FIP58" s="528"/>
      <c r="FIQ58" s="528"/>
      <c r="FIR58" s="528"/>
      <c r="FIS58" s="528"/>
      <c r="FIT58" s="528"/>
      <c r="FIU58" s="528"/>
      <c r="FIV58" s="528"/>
      <c r="FIW58" s="528"/>
      <c r="FIX58" s="528"/>
      <c r="FIY58" s="528"/>
      <c r="FIZ58" s="528"/>
      <c r="FJA58" s="528"/>
      <c r="FJB58" s="528"/>
      <c r="FJC58" s="528"/>
      <c r="FJD58" s="528"/>
      <c r="FJE58" s="528"/>
      <c r="FJF58" s="528"/>
      <c r="FJG58" s="528"/>
      <c r="FJH58" s="528"/>
      <c r="FJI58" s="528"/>
      <c r="FJJ58" s="528"/>
      <c r="FJK58" s="528"/>
      <c r="FJL58" s="528"/>
      <c r="FJM58" s="528"/>
      <c r="FJN58" s="528"/>
      <c r="FJO58" s="528"/>
      <c r="FJP58" s="528"/>
      <c r="FJQ58" s="528"/>
      <c r="FJR58" s="528"/>
      <c r="FJS58" s="528"/>
      <c r="FJT58" s="528"/>
      <c r="FJU58" s="528"/>
      <c r="FJV58" s="528"/>
      <c r="FJW58" s="528"/>
      <c r="FJX58" s="528"/>
      <c r="FJY58" s="528"/>
      <c r="FJZ58" s="528"/>
      <c r="FKA58" s="528"/>
      <c r="FKB58" s="528"/>
      <c r="FKC58" s="528"/>
      <c r="FKD58" s="528"/>
      <c r="FKE58" s="528"/>
      <c r="FKF58" s="528"/>
      <c r="FKG58" s="528"/>
      <c r="FKH58" s="528"/>
      <c r="FKI58" s="528"/>
      <c r="FKJ58" s="528"/>
      <c r="FKK58" s="528"/>
      <c r="FKL58" s="528"/>
      <c r="FKM58" s="528"/>
      <c r="FKN58" s="528"/>
      <c r="FKO58" s="528"/>
      <c r="FKP58" s="528"/>
      <c r="FKQ58" s="528"/>
      <c r="FKR58" s="528"/>
      <c r="FKS58" s="528"/>
      <c r="FKT58" s="528"/>
      <c r="FKU58" s="528"/>
      <c r="FKV58" s="528"/>
      <c r="FKW58" s="528"/>
      <c r="FKX58" s="528"/>
      <c r="FKY58" s="528"/>
      <c r="FKZ58" s="528"/>
      <c r="FLA58" s="528"/>
      <c r="FLB58" s="528"/>
      <c r="FLC58" s="528"/>
      <c r="FLD58" s="528"/>
      <c r="FLE58" s="528"/>
      <c r="FLF58" s="528"/>
      <c r="FLG58" s="528"/>
      <c r="FLH58" s="528"/>
      <c r="FLI58" s="528"/>
      <c r="FLJ58" s="528"/>
      <c r="FLK58" s="528"/>
      <c r="FLL58" s="528"/>
      <c r="FLM58" s="528"/>
      <c r="FLN58" s="528"/>
      <c r="FLO58" s="528"/>
      <c r="FLP58" s="528"/>
      <c r="FLQ58" s="528"/>
      <c r="FLR58" s="528"/>
      <c r="FLS58" s="528"/>
      <c r="FLT58" s="528"/>
      <c r="FLU58" s="528"/>
      <c r="FLV58" s="528"/>
      <c r="FLW58" s="528"/>
      <c r="FLX58" s="528"/>
      <c r="FLY58" s="528"/>
      <c r="FLZ58" s="528"/>
      <c r="FMA58" s="528"/>
      <c r="FMB58" s="528"/>
      <c r="FMC58" s="528"/>
      <c r="FMD58" s="528"/>
      <c r="FME58" s="528"/>
      <c r="FMF58" s="528"/>
      <c r="FMG58" s="528"/>
      <c r="FMH58" s="528"/>
      <c r="FMI58" s="528"/>
      <c r="FMJ58" s="528"/>
      <c r="FMK58" s="528"/>
      <c r="FML58" s="528"/>
      <c r="FMM58" s="528"/>
      <c r="FMN58" s="528"/>
      <c r="FMO58" s="528"/>
      <c r="FMP58" s="528"/>
      <c r="FMQ58" s="528"/>
      <c r="FMR58" s="528"/>
      <c r="FMS58" s="528"/>
      <c r="FMT58" s="528"/>
      <c r="FMU58" s="528"/>
      <c r="FMV58" s="528"/>
      <c r="FMW58" s="528"/>
      <c r="FMX58" s="528"/>
      <c r="FMY58" s="528"/>
      <c r="FMZ58" s="528"/>
      <c r="FNA58" s="528"/>
      <c r="FNB58" s="528"/>
      <c r="FNC58" s="528"/>
      <c r="FND58" s="528"/>
      <c r="FNE58" s="528"/>
      <c r="FNF58" s="528"/>
      <c r="FNG58" s="528"/>
      <c r="FNH58" s="528"/>
      <c r="FNI58" s="528"/>
      <c r="FNJ58" s="528"/>
      <c r="FNK58" s="528"/>
      <c r="FNL58" s="528"/>
      <c r="FNM58" s="528"/>
      <c r="FNN58" s="528"/>
      <c r="FNO58" s="528"/>
      <c r="FNP58" s="528"/>
      <c r="FNQ58" s="528"/>
      <c r="FNR58" s="528"/>
      <c r="FNS58" s="528"/>
      <c r="FNT58" s="528"/>
      <c r="FNU58" s="528"/>
      <c r="FNV58" s="528"/>
      <c r="FNW58" s="528"/>
      <c r="FNX58" s="528"/>
      <c r="FNY58" s="528"/>
      <c r="FNZ58" s="528"/>
      <c r="FOA58" s="528"/>
      <c r="FOB58" s="528"/>
      <c r="FOC58" s="528"/>
      <c r="FOD58" s="528"/>
      <c r="FOE58" s="528"/>
      <c r="FOF58" s="528"/>
      <c r="FOG58" s="528"/>
      <c r="FOH58" s="528"/>
      <c r="FOI58" s="528"/>
      <c r="FOJ58" s="528"/>
      <c r="FOK58" s="528"/>
      <c r="FOL58" s="528"/>
      <c r="FOM58" s="528"/>
      <c r="FON58" s="528"/>
      <c r="FOO58" s="528"/>
      <c r="FOP58" s="528"/>
      <c r="FOQ58" s="528"/>
      <c r="FOR58" s="528"/>
      <c r="FOS58" s="528"/>
      <c r="FOT58" s="528"/>
      <c r="FOU58" s="528"/>
      <c r="FOV58" s="528"/>
      <c r="FOW58" s="528"/>
      <c r="FOX58" s="528"/>
      <c r="FOY58" s="528"/>
      <c r="FOZ58" s="528"/>
      <c r="FPA58" s="528"/>
      <c r="FPB58" s="528"/>
      <c r="FPC58" s="528"/>
      <c r="FPD58" s="528"/>
      <c r="FPE58" s="528"/>
      <c r="FPF58" s="528"/>
      <c r="FPG58" s="528"/>
      <c r="FPH58" s="528"/>
      <c r="FPI58" s="528"/>
      <c r="FPJ58" s="528"/>
      <c r="FPK58" s="528"/>
      <c r="FPL58" s="528"/>
      <c r="FPM58" s="528"/>
      <c r="FPN58" s="528"/>
      <c r="FPO58" s="528"/>
      <c r="FPP58" s="528"/>
      <c r="FPQ58" s="528"/>
      <c r="FPR58" s="528"/>
      <c r="FPS58" s="528"/>
      <c r="FPT58" s="528"/>
      <c r="FPU58" s="528"/>
      <c r="FPV58" s="528"/>
      <c r="FPW58" s="528"/>
      <c r="FPX58" s="528"/>
      <c r="FPY58" s="528"/>
      <c r="FPZ58" s="528"/>
      <c r="FQA58" s="528"/>
      <c r="FQB58" s="528"/>
      <c r="FQC58" s="528"/>
      <c r="FQD58" s="528"/>
      <c r="FQE58" s="528"/>
      <c r="FQF58" s="528"/>
      <c r="FQG58" s="528"/>
      <c r="FQH58" s="528"/>
      <c r="FQI58" s="528"/>
      <c r="FQJ58" s="528"/>
      <c r="FQK58" s="528"/>
      <c r="FQL58" s="528"/>
      <c r="FQM58" s="528"/>
      <c r="FQN58" s="528"/>
      <c r="FQO58" s="528"/>
      <c r="FQP58" s="528"/>
      <c r="FQQ58" s="528"/>
      <c r="FQR58" s="528"/>
      <c r="FQS58" s="528"/>
      <c r="FQT58" s="528"/>
      <c r="FQU58" s="528"/>
      <c r="FQV58" s="528"/>
      <c r="FQW58" s="528"/>
      <c r="FQX58" s="528"/>
      <c r="FQY58" s="528"/>
      <c r="FQZ58" s="528"/>
      <c r="FRA58" s="528"/>
      <c r="FRB58" s="528"/>
      <c r="FRC58" s="528"/>
      <c r="FRD58" s="528"/>
      <c r="FRE58" s="528"/>
      <c r="FRF58" s="528"/>
      <c r="FRG58" s="528"/>
      <c r="FRH58" s="528"/>
      <c r="FRI58" s="528"/>
      <c r="FRJ58" s="528"/>
      <c r="FRK58" s="528"/>
      <c r="FRL58" s="528"/>
      <c r="FRM58" s="528"/>
      <c r="FRN58" s="528"/>
      <c r="FRO58" s="528"/>
      <c r="FRP58" s="528"/>
      <c r="FRQ58" s="528"/>
      <c r="FRR58" s="528"/>
      <c r="FRS58" s="528"/>
      <c r="FRT58" s="528"/>
      <c r="FRU58" s="528"/>
      <c r="FRV58" s="528"/>
      <c r="FRW58" s="528"/>
      <c r="FRX58" s="528"/>
      <c r="FRY58" s="528"/>
      <c r="FRZ58" s="528"/>
      <c r="FSA58" s="528"/>
      <c r="FSB58" s="528"/>
      <c r="FSC58" s="528"/>
      <c r="FSD58" s="528"/>
      <c r="FSE58" s="528"/>
      <c r="FSF58" s="528"/>
      <c r="FSG58" s="528"/>
      <c r="FSH58" s="528"/>
      <c r="FSI58" s="528"/>
      <c r="FSJ58" s="528"/>
      <c r="FSK58" s="528"/>
      <c r="FSL58" s="528"/>
      <c r="FSM58" s="528"/>
      <c r="FSN58" s="528"/>
      <c r="FSO58" s="528"/>
      <c r="FSP58" s="528"/>
      <c r="FSQ58" s="528"/>
      <c r="FSR58" s="528"/>
      <c r="FSS58" s="528"/>
      <c r="FST58" s="528"/>
      <c r="FSU58" s="528"/>
      <c r="FSV58" s="528"/>
      <c r="FSW58" s="528"/>
      <c r="FSX58" s="528"/>
      <c r="FSY58" s="528"/>
      <c r="FSZ58" s="528"/>
      <c r="FTA58" s="528"/>
      <c r="FTB58" s="528"/>
      <c r="FTC58" s="528"/>
      <c r="FTD58" s="528"/>
      <c r="FTE58" s="528"/>
      <c r="FTF58" s="528"/>
      <c r="FTG58" s="528"/>
      <c r="FTH58" s="528"/>
      <c r="FTI58" s="528"/>
      <c r="FTJ58" s="528"/>
      <c r="FTK58" s="528"/>
      <c r="FTL58" s="528"/>
      <c r="FTM58" s="528"/>
      <c r="FTN58" s="528"/>
      <c r="FTO58" s="528"/>
      <c r="FTP58" s="528"/>
      <c r="FTQ58" s="528"/>
      <c r="FTR58" s="528"/>
      <c r="FTS58" s="528"/>
      <c r="FTT58" s="528"/>
      <c r="FTU58" s="528"/>
      <c r="FTV58" s="528"/>
      <c r="FTW58" s="528"/>
      <c r="FTX58" s="528"/>
      <c r="FTY58" s="528"/>
      <c r="FTZ58" s="528"/>
      <c r="FUA58" s="528"/>
      <c r="FUB58" s="528"/>
      <c r="FUC58" s="528"/>
      <c r="FUD58" s="528"/>
      <c r="FUE58" s="528"/>
      <c r="FUF58" s="528"/>
      <c r="FUG58" s="528"/>
      <c r="FUH58" s="528"/>
      <c r="FUI58" s="528"/>
      <c r="FUJ58" s="528"/>
      <c r="FUK58" s="528"/>
      <c r="FUL58" s="528"/>
      <c r="FUM58" s="528"/>
      <c r="FUN58" s="528"/>
      <c r="FUO58" s="528"/>
      <c r="FUP58" s="528"/>
      <c r="FUQ58" s="528"/>
      <c r="FUR58" s="528"/>
      <c r="FUS58" s="528"/>
      <c r="FUT58" s="528"/>
      <c r="FUU58" s="528"/>
      <c r="FUV58" s="528"/>
      <c r="FUW58" s="528"/>
      <c r="FUX58" s="528"/>
      <c r="FUY58" s="528"/>
      <c r="FUZ58" s="528"/>
      <c r="FVA58" s="528"/>
      <c r="FVB58" s="528"/>
      <c r="FVC58" s="528"/>
      <c r="FVD58" s="528"/>
      <c r="FVE58" s="528"/>
      <c r="FVF58" s="528"/>
      <c r="FVG58" s="528"/>
      <c r="FVH58" s="528"/>
      <c r="FVI58" s="528"/>
      <c r="FVJ58" s="528"/>
      <c r="FVK58" s="528"/>
      <c r="FVL58" s="528"/>
      <c r="FVM58" s="528"/>
      <c r="FVN58" s="528"/>
      <c r="FVO58" s="528"/>
      <c r="FVP58" s="528"/>
      <c r="FVQ58" s="528"/>
      <c r="FVR58" s="528"/>
      <c r="FVS58" s="528"/>
      <c r="FVT58" s="528"/>
      <c r="FVU58" s="528"/>
      <c r="FVV58" s="528"/>
      <c r="FVW58" s="528"/>
      <c r="FVX58" s="528"/>
      <c r="FVY58" s="528"/>
      <c r="FVZ58" s="528"/>
      <c r="FWA58" s="528"/>
      <c r="FWB58" s="528"/>
      <c r="FWC58" s="528"/>
      <c r="FWD58" s="528"/>
      <c r="FWE58" s="528"/>
      <c r="FWF58" s="528"/>
      <c r="FWG58" s="528"/>
      <c r="FWH58" s="528"/>
      <c r="FWI58" s="528"/>
      <c r="FWJ58" s="528"/>
      <c r="FWK58" s="528"/>
      <c r="FWL58" s="528"/>
      <c r="FWM58" s="528"/>
      <c r="FWN58" s="528"/>
      <c r="FWO58" s="528"/>
      <c r="FWP58" s="528"/>
      <c r="FWQ58" s="528"/>
      <c r="FWR58" s="528"/>
      <c r="FWS58" s="528"/>
      <c r="FWT58" s="528"/>
      <c r="FWU58" s="528"/>
      <c r="FWV58" s="528"/>
      <c r="FWW58" s="528"/>
      <c r="FWX58" s="528"/>
      <c r="FWY58" s="528"/>
      <c r="FWZ58" s="528"/>
      <c r="FXA58" s="528"/>
      <c r="FXB58" s="528"/>
      <c r="FXC58" s="528"/>
      <c r="FXD58" s="528"/>
      <c r="FXE58" s="528"/>
      <c r="FXF58" s="528"/>
      <c r="FXG58" s="528"/>
      <c r="FXH58" s="528"/>
      <c r="FXI58" s="528"/>
      <c r="FXJ58" s="528"/>
      <c r="FXK58" s="528"/>
      <c r="FXL58" s="528"/>
      <c r="FXM58" s="528"/>
      <c r="FXN58" s="528"/>
      <c r="FXO58" s="528"/>
      <c r="FXP58" s="528"/>
      <c r="FXQ58" s="528"/>
      <c r="FXR58" s="528"/>
      <c r="FXS58" s="528"/>
      <c r="FXT58" s="528"/>
      <c r="FXU58" s="528"/>
      <c r="FXV58" s="528"/>
      <c r="FXW58" s="528"/>
      <c r="FXX58" s="528"/>
      <c r="FXY58" s="528"/>
      <c r="FXZ58" s="528"/>
      <c r="FYA58" s="528"/>
      <c r="FYB58" s="528"/>
      <c r="FYC58" s="528"/>
      <c r="FYD58" s="528"/>
      <c r="FYE58" s="528"/>
      <c r="FYF58" s="528"/>
      <c r="FYG58" s="528"/>
      <c r="FYH58" s="528"/>
      <c r="FYI58" s="528"/>
      <c r="FYJ58" s="528"/>
      <c r="FYK58" s="528"/>
      <c r="FYL58" s="528"/>
      <c r="FYM58" s="528"/>
      <c r="FYN58" s="528"/>
      <c r="FYO58" s="528"/>
      <c r="FYP58" s="528"/>
      <c r="FYQ58" s="528"/>
      <c r="FYR58" s="528"/>
      <c r="FYS58" s="528"/>
      <c r="FYT58" s="528"/>
      <c r="FYU58" s="528"/>
      <c r="FYV58" s="528"/>
      <c r="FYW58" s="528"/>
      <c r="FYX58" s="528"/>
      <c r="FYY58" s="528"/>
      <c r="FYZ58" s="528"/>
      <c r="FZA58" s="528"/>
      <c r="FZB58" s="528"/>
      <c r="FZC58" s="528"/>
      <c r="FZD58" s="528"/>
      <c r="FZE58" s="528"/>
      <c r="FZF58" s="528"/>
      <c r="FZG58" s="528"/>
      <c r="FZH58" s="528"/>
      <c r="FZI58" s="528"/>
      <c r="FZJ58" s="528"/>
      <c r="FZK58" s="528"/>
      <c r="FZL58" s="528"/>
      <c r="FZM58" s="528"/>
      <c r="FZN58" s="528"/>
      <c r="FZO58" s="528"/>
      <c r="FZP58" s="528"/>
      <c r="FZQ58" s="528"/>
      <c r="FZR58" s="528"/>
      <c r="FZS58" s="528"/>
      <c r="FZT58" s="528"/>
      <c r="FZU58" s="528"/>
      <c r="FZV58" s="528"/>
      <c r="FZW58" s="528"/>
      <c r="FZX58" s="528"/>
      <c r="FZY58" s="528"/>
      <c r="FZZ58" s="528"/>
      <c r="GAA58" s="528"/>
      <c r="GAB58" s="528"/>
      <c r="GAC58" s="528"/>
      <c r="GAD58" s="528"/>
      <c r="GAE58" s="528"/>
      <c r="GAF58" s="528"/>
      <c r="GAG58" s="528"/>
      <c r="GAH58" s="528"/>
      <c r="GAI58" s="528"/>
      <c r="GAJ58" s="528"/>
      <c r="GAK58" s="528"/>
      <c r="GAL58" s="528"/>
      <c r="GAM58" s="528"/>
      <c r="GAN58" s="528"/>
      <c r="GAO58" s="528"/>
      <c r="GAP58" s="528"/>
      <c r="GAQ58" s="528"/>
      <c r="GAR58" s="528"/>
      <c r="GAS58" s="528"/>
      <c r="GAT58" s="528"/>
      <c r="GAU58" s="528"/>
      <c r="GAV58" s="528"/>
      <c r="GAW58" s="528"/>
      <c r="GAX58" s="528"/>
      <c r="GAY58" s="528"/>
      <c r="GAZ58" s="528"/>
      <c r="GBA58" s="528"/>
      <c r="GBB58" s="528"/>
      <c r="GBC58" s="528"/>
      <c r="GBD58" s="528"/>
      <c r="GBE58" s="528"/>
      <c r="GBF58" s="528"/>
      <c r="GBG58" s="528"/>
      <c r="GBH58" s="528"/>
      <c r="GBI58" s="528"/>
      <c r="GBJ58" s="528"/>
      <c r="GBK58" s="528"/>
      <c r="GBL58" s="528"/>
      <c r="GBM58" s="528"/>
      <c r="GBN58" s="528"/>
      <c r="GBO58" s="528"/>
      <c r="GBP58" s="528"/>
      <c r="GBQ58" s="528"/>
      <c r="GBR58" s="528"/>
      <c r="GBS58" s="528"/>
      <c r="GBT58" s="528"/>
      <c r="GBU58" s="528"/>
      <c r="GBV58" s="528"/>
      <c r="GBW58" s="528"/>
      <c r="GBX58" s="528"/>
      <c r="GBY58" s="528"/>
      <c r="GBZ58" s="528"/>
      <c r="GCA58" s="528"/>
      <c r="GCB58" s="528"/>
      <c r="GCC58" s="528"/>
      <c r="GCD58" s="528"/>
      <c r="GCE58" s="528"/>
      <c r="GCF58" s="528"/>
      <c r="GCG58" s="528"/>
      <c r="GCH58" s="528"/>
      <c r="GCI58" s="528"/>
      <c r="GCJ58" s="528"/>
      <c r="GCK58" s="528"/>
      <c r="GCL58" s="528"/>
      <c r="GCM58" s="528"/>
      <c r="GCN58" s="528"/>
      <c r="GCO58" s="528"/>
      <c r="GCP58" s="528"/>
      <c r="GCQ58" s="528"/>
      <c r="GCR58" s="528"/>
      <c r="GCS58" s="528"/>
      <c r="GCT58" s="528"/>
      <c r="GCU58" s="528"/>
      <c r="GCV58" s="528"/>
      <c r="GCW58" s="528"/>
      <c r="GCX58" s="528"/>
      <c r="GCY58" s="528"/>
      <c r="GCZ58" s="528"/>
      <c r="GDA58" s="528"/>
      <c r="GDB58" s="528"/>
      <c r="GDC58" s="528"/>
      <c r="GDD58" s="528"/>
      <c r="GDE58" s="528"/>
      <c r="GDF58" s="528"/>
      <c r="GDG58" s="528"/>
      <c r="GDH58" s="528"/>
      <c r="GDI58" s="528"/>
      <c r="GDJ58" s="528"/>
      <c r="GDK58" s="528"/>
      <c r="GDL58" s="528"/>
      <c r="GDM58" s="528"/>
      <c r="GDN58" s="528"/>
      <c r="GDO58" s="528"/>
      <c r="GDP58" s="528"/>
      <c r="GDQ58" s="528"/>
      <c r="GDR58" s="528"/>
      <c r="GDS58" s="528"/>
      <c r="GDT58" s="528"/>
      <c r="GDU58" s="528"/>
      <c r="GDV58" s="528"/>
      <c r="GDW58" s="528"/>
      <c r="GDX58" s="528"/>
      <c r="GDY58" s="528"/>
      <c r="GDZ58" s="528"/>
      <c r="GEA58" s="528"/>
      <c r="GEB58" s="528"/>
      <c r="GEC58" s="528"/>
      <c r="GED58" s="528"/>
      <c r="GEE58" s="528"/>
      <c r="GEF58" s="528"/>
      <c r="GEG58" s="528"/>
      <c r="GEH58" s="528"/>
      <c r="GEI58" s="528"/>
      <c r="GEJ58" s="528"/>
      <c r="GEK58" s="528"/>
      <c r="GEL58" s="528"/>
      <c r="GEM58" s="528"/>
      <c r="GEN58" s="528"/>
      <c r="GEO58" s="528"/>
      <c r="GEP58" s="528"/>
      <c r="GEQ58" s="528"/>
      <c r="GER58" s="528"/>
      <c r="GES58" s="528"/>
      <c r="GET58" s="528"/>
      <c r="GEU58" s="528"/>
      <c r="GEV58" s="528"/>
      <c r="GEW58" s="528"/>
      <c r="GEX58" s="528"/>
      <c r="GEY58" s="528"/>
      <c r="GEZ58" s="528"/>
      <c r="GFA58" s="528"/>
      <c r="GFB58" s="528"/>
      <c r="GFC58" s="528"/>
      <c r="GFD58" s="528"/>
      <c r="GFE58" s="528"/>
      <c r="GFF58" s="528"/>
      <c r="GFG58" s="528"/>
      <c r="GFH58" s="528"/>
      <c r="GFI58" s="528"/>
      <c r="GFJ58" s="528"/>
      <c r="GFK58" s="528"/>
      <c r="GFL58" s="528"/>
      <c r="GFM58" s="528"/>
      <c r="GFN58" s="528"/>
      <c r="GFO58" s="528"/>
      <c r="GFP58" s="528"/>
      <c r="GFQ58" s="528"/>
      <c r="GFR58" s="528"/>
      <c r="GFS58" s="528"/>
      <c r="GFT58" s="528"/>
      <c r="GFU58" s="528"/>
      <c r="GFV58" s="528"/>
      <c r="GFW58" s="528"/>
      <c r="GFX58" s="528"/>
      <c r="GFY58" s="528"/>
      <c r="GFZ58" s="528"/>
      <c r="GGA58" s="528"/>
      <c r="GGB58" s="528"/>
      <c r="GGC58" s="528"/>
      <c r="GGD58" s="528"/>
      <c r="GGE58" s="528"/>
      <c r="GGF58" s="528"/>
      <c r="GGG58" s="528"/>
      <c r="GGH58" s="528"/>
      <c r="GGI58" s="528"/>
      <c r="GGJ58" s="528"/>
      <c r="GGK58" s="528"/>
      <c r="GGL58" s="528"/>
      <c r="GGM58" s="528"/>
      <c r="GGN58" s="528"/>
      <c r="GGO58" s="528"/>
      <c r="GGP58" s="528"/>
      <c r="GGQ58" s="528"/>
      <c r="GGR58" s="528"/>
      <c r="GGS58" s="528"/>
      <c r="GGT58" s="528"/>
      <c r="GGU58" s="528"/>
      <c r="GGV58" s="528"/>
      <c r="GGW58" s="528"/>
      <c r="GGX58" s="528"/>
      <c r="GGY58" s="528"/>
      <c r="GGZ58" s="528"/>
      <c r="GHA58" s="528"/>
      <c r="GHB58" s="528"/>
      <c r="GHC58" s="528"/>
      <c r="GHD58" s="528"/>
      <c r="GHE58" s="528"/>
      <c r="GHF58" s="528"/>
      <c r="GHG58" s="528"/>
      <c r="GHH58" s="528"/>
      <c r="GHI58" s="528"/>
      <c r="GHJ58" s="528"/>
      <c r="GHK58" s="528"/>
      <c r="GHL58" s="528"/>
      <c r="GHM58" s="528"/>
      <c r="GHN58" s="528"/>
      <c r="GHO58" s="528"/>
      <c r="GHP58" s="528"/>
      <c r="GHQ58" s="528"/>
      <c r="GHR58" s="528"/>
      <c r="GHS58" s="528"/>
      <c r="GHT58" s="528"/>
      <c r="GHU58" s="528"/>
      <c r="GHV58" s="528"/>
      <c r="GHW58" s="528"/>
      <c r="GHX58" s="528"/>
      <c r="GHY58" s="528"/>
      <c r="GHZ58" s="528"/>
      <c r="GIA58" s="528"/>
      <c r="GIB58" s="528"/>
      <c r="GIC58" s="528"/>
      <c r="GID58" s="528"/>
      <c r="GIE58" s="528"/>
      <c r="GIF58" s="528"/>
      <c r="GIG58" s="528"/>
      <c r="GIH58" s="528"/>
      <c r="GII58" s="528"/>
      <c r="GIJ58" s="528"/>
      <c r="GIK58" s="528"/>
      <c r="GIL58" s="528"/>
      <c r="GIM58" s="528"/>
      <c r="GIN58" s="528"/>
      <c r="GIO58" s="528"/>
      <c r="GIP58" s="528"/>
      <c r="GIQ58" s="528"/>
      <c r="GIR58" s="528"/>
      <c r="GIS58" s="528"/>
      <c r="GIT58" s="528"/>
      <c r="GIU58" s="528"/>
      <c r="GIV58" s="528"/>
      <c r="GIW58" s="528"/>
      <c r="GIX58" s="528"/>
      <c r="GIY58" s="528"/>
      <c r="GIZ58" s="528"/>
      <c r="GJA58" s="528"/>
      <c r="GJB58" s="528"/>
      <c r="GJC58" s="528"/>
      <c r="GJD58" s="528"/>
      <c r="GJE58" s="528"/>
      <c r="GJF58" s="528"/>
      <c r="GJG58" s="528"/>
      <c r="GJH58" s="528"/>
      <c r="GJI58" s="528"/>
      <c r="GJJ58" s="528"/>
      <c r="GJK58" s="528"/>
      <c r="GJL58" s="528"/>
      <c r="GJM58" s="528"/>
      <c r="GJN58" s="528"/>
      <c r="GJO58" s="528"/>
      <c r="GJP58" s="528"/>
      <c r="GJQ58" s="528"/>
      <c r="GJR58" s="528"/>
      <c r="GJS58" s="528"/>
      <c r="GJT58" s="528"/>
      <c r="GJU58" s="528"/>
      <c r="GJV58" s="528"/>
      <c r="GJW58" s="528"/>
      <c r="GJX58" s="528"/>
      <c r="GJY58" s="528"/>
      <c r="GJZ58" s="528"/>
      <c r="GKA58" s="528"/>
      <c r="GKB58" s="528"/>
      <c r="GKC58" s="528"/>
      <c r="GKD58" s="528"/>
      <c r="GKE58" s="528"/>
      <c r="GKF58" s="528"/>
      <c r="GKG58" s="528"/>
      <c r="GKH58" s="528"/>
      <c r="GKI58" s="528"/>
      <c r="GKJ58" s="528"/>
      <c r="GKK58" s="528"/>
      <c r="GKL58" s="528"/>
      <c r="GKM58" s="528"/>
      <c r="GKN58" s="528"/>
      <c r="GKO58" s="528"/>
      <c r="GKP58" s="528"/>
      <c r="GKQ58" s="528"/>
      <c r="GKR58" s="528"/>
      <c r="GKS58" s="528"/>
      <c r="GKT58" s="528"/>
      <c r="GKU58" s="528"/>
      <c r="GKV58" s="528"/>
      <c r="GKW58" s="528"/>
      <c r="GKX58" s="528"/>
      <c r="GKY58" s="528"/>
      <c r="GKZ58" s="528"/>
      <c r="GLA58" s="528"/>
      <c r="GLB58" s="528"/>
      <c r="GLC58" s="528"/>
      <c r="GLD58" s="528"/>
      <c r="GLE58" s="528"/>
      <c r="GLF58" s="528"/>
      <c r="GLG58" s="528"/>
      <c r="GLH58" s="528"/>
      <c r="GLI58" s="528"/>
      <c r="GLJ58" s="528"/>
      <c r="GLK58" s="528"/>
      <c r="GLL58" s="528"/>
      <c r="GLM58" s="528"/>
      <c r="GLN58" s="528"/>
      <c r="GLO58" s="528"/>
      <c r="GLP58" s="528"/>
      <c r="GLQ58" s="528"/>
      <c r="GLR58" s="528"/>
      <c r="GLS58" s="528"/>
      <c r="GLT58" s="528"/>
      <c r="GLU58" s="528"/>
      <c r="GLV58" s="528"/>
      <c r="GLW58" s="528"/>
      <c r="GLX58" s="528"/>
      <c r="GLY58" s="528"/>
      <c r="GLZ58" s="528"/>
      <c r="GMA58" s="528"/>
      <c r="GMB58" s="528"/>
      <c r="GMC58" s="528"/>
      <c r="GMD58" s="528"/>
      <c r="GME58" s="528"/>
      <c r="GMF58" s="528"/>
      <c r="GMG58" s="528"/>
      <c r="GMH58" s="528"/>
      <c r="GMI58" s="528"/>
      <c r="GMJ58" s="528"/>
      <c r="GMK58" s="528"/>
      <c r="GML58" s="528"/>
      <c r="GMM58" s="528"/>
      <c r="GMN58" s="528"/>
      <c r="GMO58" s="528"/>
      <c r="GMP58" s="528"/>
      <c r="GMQ58" s="528"/>
      <c r="GMR58" s="528"/>
      <c r="GMS58" s="528"/>
      <c r="GMT58" s="528"/>
      <c r="GMU58" s="528"/>
      <c r="GMV58" s="528"/>
      <c r="GMW58" s="528"/>
      <c r="GMX58" s="528"/>
      <c r="GMY58" s="528"/>
      <c r="GMZ58" s="528"/>
      <c r="GNA58" s="528"/>
      <c r="GNB58" s="528"/>
      <c r="GNC58" s="528"/>
      <c r="GND58" s="528"/>
      <c r="GNE58" s="528"/>
      <c r="GNF58" s="528"/>
      <c r="GNG58" s="528"/>
      <c r="GNH58" s="528"/>
      <c r="GNI58" s="528"/>
      <c r="GNJ58" s="528"/>
      <c r="GNK58" s="528"/>
      <c r="GNL58" s="528"/>
      <c r="GNM58" s="528"/>
      <c r="GNN58" s="528"/>
      <c r="GNO58" s="528"/>
      <c r="GNP58" s="528"/>
      <c r="GNQ58" s="528"/>
      <c r="GNR58" s="528"/>
      <c r="GNS58" s="528"/>
      <c r="GNT58" s="528"/>
      <c r="GNU58" s="528"/>
      <c r="GNV58" s="528"/>
      <c r="GNW58" s="528"/>
      <c r="GNX58" s="528"/>
      <c r="GNY58" s="528"/>
      <c r="GNZ58" s="528"/>
      <c r="GOA58" s="528"/>
      <c r="GOB58" s="528"/>
      <c r="GOC58" s="528"/>
      <c r="GOD58" s="528"/>
      <c r="GOE58" s="528"/>
      <c r="GOF58" s="528"/>
      <c r="GOG58" s="528"/>
      <c r="GOH58" s="528"/>
      <c r="GOI58" s="528"/>
      <c r="GOJ58" s="528"/>
      <c r="GOK58" s="528"/>
      <c r="GOL58" s="528"/>
      <c r="GOM58" s="528"/>
      <c r="GON58" s="528"/>
      <c r="GOO58" s="528"/>
      <c r="GOP58" s="528"/>
      <c r="GOQ58" s="528"/>
      <c r="GOR58" s="528"/>
      <c r="GOS58" s="528"/>
      <c r="GOT58" s="528"/>
      <c r="GOU58" s="528"/>
      <c r="GOV58" s="528"/>
      <c r="GOW58" s="528"/>
      <c r="GOX58" s="528"/>
      <c r="GOY58" s="528"/>
      <c r="GOZ58" s="528"/>
      <c r="GPA58" s="528"/>
      <c r="GPB58" s="528"/>
      <c r="GPC58" s="528"/>
      <c r="GPD58" s="528"/>
      <c r="GPE58" s="528"/>
      <c r="GPF58" s="528"/>
      <c r="GPG58" s="528"/>
      <c r="GPH58" s="528"/>
      <c r="GPI58" s="528"/>
      <c r="GPJ58" s="528"/>
      <c r="GPK58" s="528"/>
      <c r="GPL58" s="528"/>
      <c r="GPM58" s="528"/>
      <c r="GPN58" s="528"/>
      <c r="GPO58" s="528"/>
      <c r="GPP58" s="528"/>
      <c r="GPQ58" s="528"/>
      <c r="GPR58" s="528"/>
      <c r="GPS58" s="528"/>
      <c r="GPT58" s="528"/>
      <c r="GPU58" s="528"/>
      <c r="GPV58" s="528"/>
      <c r="GPW58" s="528"/>
      <c r="GPX58" s="528"/>
      <c r="GPY58" s="528"/>
      <c r="GPZ58" s="528"/>
      <c r="GQA58" s="528"/>
      <c r="GQB58" s="528"/>
      <c r="GQC58" s="528"/>
      <c r="GQD58" s="528"/>
      <c r="GQE58" s="528"/>
      <c r="GQF58" s="528"/>
      <c r="GQG58" s="528"/>
      <c r="GQH58" s="528"/>
      <c r="GQI58" s="528"/>
      <c r="GQJ58" s="528"/>
      <c r="GQK58" s="528"/>
      <c r="GQL58" s="528"/>
      <c r="GQM58" s="528"/>
      <c r="GQN58" s="528"/>
      <c r="GQO58" s="528"/>
      <c r="GQP58" s="528"/>
      <c r="GQQ58" s="528"/>
      <c r="GQR58" s="528"/>
      <c r="GQS58" s="528"/>
      <c r="GQT58" s="528"/>
      <c r="GQU58" s="528"/>
      <c r="GQV58" s="528"/>
      <c r="GQW58" s="528"/>
      <c r="GQX58" s="528"/>
      <c r="GQY58" s="528"/>
      <c r="GQZ58" s="528"/>
      <c r="GRA58" s="528"/>
      <c r="GRB58" s="528"/>
      <c r="GRC58" s="528"/>
      <c r="GRD58" s="528"/>
      <c r="GRE58" s="528"/>
      <c r="GRF58" s="528"/>
      <c r="GRG58" s="528"/>
      <c r="GRH58" s="528"/>
      <c r="GRI58" s="528"/>
      <c r="GRJ58" s="528"/>
      <c r="GRK58" s="528"/>
      <c r="GRL58" s="528"/>
      <c r="GRM58" s="528"/>
      <c r="GRN58" s="528"/>
      <c r="GRO58" s="528"/>
      <c r="GRP58" s="528"/>
      <c r="GRQ58" s="528"/>
      <c r="GRR58" s="528"/>
      <c r="GRS58" s="528"/>
      <c r="GRT58" s="528"/>
      <c r="GRU58" s="528"/>
      <c r="GRV58" s="528"/>
      <c r="GRW58" s="528"/>
      <c r="GRX58" s="528"/>
      <c r="GRY58" s="528"/>
      <c r="GRZ58" s="528"/>
      <c r="GSA58" s="528"/>
      <c r="GSB58" s="528"/>
      <c r="GSC58" s="528"/>
      <c r="GSD58" s="528"/>
      <c r="GSE58" s="528"/>
      <c r="GSF58" s="528"/>
      <c r="GSG58" s="528"/>
      <c r="GSH58" s="528"/>
      <c r="GSI58" s="528"/>
      <c r="GSJ58" s="528"/>
      <c r="GSK58" s="528"/>
      <c r="GSL58" s="528"/>
      <c r="GSM58" s="528"/>
      <c r="GSN58" s="528"/>
      <c r="GSO58" s="528"/>
      <c r="GSP58" s="528"/>
      <c r="GSQ58" s="528"/>
      <c r="GSR58" s="528"/>
      <c r="GSS58" s="528"/>
      <c r="GST58" s="528"/>
      <c r="GSU58" s="528"/>
      <c r="GSV58" s="528"/>
      <c r="GSW58" s="528"/>
      <c r="GSX58" s="528"/>
      <c r="GSY58" s="528"/>
      <c r="GSZ58" s="528"/>
      <c r="GTA58" s="528"/>
      <c r="GTB58" s="528"/>
      <c r="GTC58" s="528"/>
      <c r="GTD58" s="528"/>
      <c r="GTE58" s="528"/>
      <c r="GTF58" s="528"/>
      <c r="GTG58" s="528"/>
      <c r="GTH58" s="528"/>
      <c r="GTI58" s="528"/>
      <c r="GTJ58" s="528"/>
      <c r="GTK58" s="528"/>
      <c r="GTL58" s="528"/>
      <c r="GTM58" s="528"/>
      <c r="GTN58" s="528"/>
      <c r="GTO58" s="528"/>
      <c r="GTP58" s="528"/>
      <c r="GTQ58" s="528"/>
      <c r="GTR58" s="528"/>
      <c r="GTS58" s="528"/>
      <c r="GTT58" s="528"/>
      <c r="GTU58" s="528"/>
      <c r="GTV58" s="528"/>
      <c r="GTW58" s="528"/>
      <c r="GTX58" s="528"/>
      <c r="GTY58" s="528"/>
      <c r="GTZ58" s="528"/>
      <c r="GUA58" s="528"/>
      <c r="GUB58" s="528"/>
      <c r="GUC58" s="528"/>
      <c r="GUD58" s="528"/>
      <c r="GUE58" s="528"/>
      <c r="GUF58" s="528"/>
      <c r="GUG58" s="528"/>
      <c r="GUH58" s="528"/>
      <c r="GUI58" s="528"/>
      <c r="GUJ58" s="528"/>
      <c r="GUK58" s="528"/>
      <c r="GUL58" s="528"/>
      <c r="GUM58" s="528"/>
      <c r="GUN58" s="528"/>
      <c r="GUO58" s="528"/>
      <c r="GUP58" s="528"/>
      <c r="GUQ58" s="528"/>
      <c r="GUR58" s="528"/>
      <c r="GUS58" s="528"/>
      <c r="GUT58" s="528"/>
      <c r="GUU58" s="528"/>
      <c r="GUV58" s="528"/>
      <c r="GUW58" s="528"/>
      <c r="GUX58" s="528"/>
      <c r="GUY58" s="528"/>
      <c r="GUZ58" s="528"/>
      <c r="GVA58" s="528"/>
      <c r="GVB58" s="528"/>
      <c r="GVC58" s="528"/>
      <c r="GVD58" s="528"/>
      <c r="GVE58" s="528"/>
      <c r="GVF58" s="528"/>
      <c r="GVG58" s="528"/>
      <c r="GVH58" s="528"/>
      <c r="GVI58" s="528"/>
      <c r="GVJ58" s="528"/>
      <c r="GVK58" s="528"/>
      <c r="GVL58" s="528"/>
      <c r="GVM58" s="528"/>
      <c r="GVN58" s="528"/>
      <c r="GVO58" s="528"/>
      <c r="GVP58" s="528"/>
      <c r="GVQ58" s="528"/>
      <c r="GVR58" s="528"/>
      <c r="GVS58" s="528"/>
      <c r="GVT58" s="528"/>
      <c r="GVU58" s="528"/>
      <c r="GVV58" s="528"/>
      <c r="GVW58" s="528"/>
      <c r="GVX58" s="528"/>
      <c r="GVY58" s="528"/>
      <c r="GVZ58" s="528"/>
      <c r="GWA58" s="528"/>
      <c r="GWB58" s="528"/>
      <c r="GWC58" s="528"/>
      <c r="GWD58" s="528"/>
      <c r="GWE58" s="528"/>
      <c r="GWF58" s="528"/>
      <c r="GWG58" s="528"/>
      <c r="GWH58" s="528"/>
      <c r="GWI58" s="528"/>
      <c r="GWJ58" s="528"/>
      <c r="GWK58" s="528"/>
      <c r="GWL58" s="528"/>
      <c r="GWM58" s="528"/>
      <c r="GWN58" s="528"/>
      <c r="GWO58" s="528"/>
      <c r="GWP58" s="528"/>
      <c r="GWQ58" s="528"/>
      <c r="GWR58" s="528"/>
      <c r="GWS58" s="528"/>
      <c r="GWT58" s="528"/>
      <c r="GWU58" s="528"/>
      <c r="GWV58" s="528"/>
      <c r="GWW58" s="528"/>
      <c r="GWX58" s="528"/>
      <c r="GWY58" s="528"/>
      <c r="GWZ58" s="528"/>
      <c r="GXA58" s="528"/>
      <c r="GXB58" s="528"/>
      <c r="GXC58" s="528"/>
      <c r="GXD58" s="528"/>
      <c r="GXE58" s="528"/>
      <c r="GXF58" s="528"/>
      <c r="GXG58" s="528"/>
      <c r="GXH58" s="528"/>
      <c r="GXI58" s="528"/>
      <c r="GXJ58" s="528"/>
      <c r="GXK58" s="528"/>
      <c r="GXL58" s="528"/>
      <c r="GXM58" s="528"/>
      <c r="GXN58" s="528"/>
      <c r="GXO58" s="528"/>
      <c r="GXP58" s="528"/>
      <c r="GXQ58" s="528"/>
      <c r="GXR58" s="528"/>
      <c r="GXS58" s="528"/>
      <c r="GXT58" s="528"/>
      <c r="GXU58" s="528"/>
      <c r="GXV58" s="528"/>
      <c r="GXW58" s="528"/>
      <c r="GXX58" s="528"/>
      <c r="GXY58" s="528"/>
      <c r="GXZ58" s="528"/>
      <c r="GYA58" s="528"/>
      <c r="GYB58" s="528"/>
      <c r="GYC58" s="528"/>
      <c r="GYD58" s="528"/>
      <c r="GYE58" s="528"/>
      <c r="GYF58" s="528"/>
      <c r="GYG58" s="528"/>
      <c r="GYH58" s="528"/>
      <c r="GYI58" s="528"/>
      <c r="GYJ58" s="528"/>
      <c r="GYK58" s="528"/>
      <c r="GYL58" s="528"/>
      <c r="GYM58" s="528"/>
      <c r="GYN58" s="528"/>
      <c r="GYO58" s="528"/>
      <c r="GYP58" s="528"/>
      <c r="GYQ58" s="528"/>
      <c r="GYR58" s="528"/>
      <c r="GYS58" s="528"/>
      <c r="GYT58" s="528"/>
      <c r="GYU58" s="528"/>
      <c r="GYV58" s="528"/>
      <c r="GYW58" s="528"/>
      <c r="GYX58" s="528"/>
      <c r="GYY58" s="528"/>
      <c r="GYZ58" s="528"/>
      <c r="GZA58" s="528"/>
      <c r="GZB58" s="528"/>
      <c r="GZC58" s="528"/>
      <c r="GZD58" s="528"/>
      <c r="GZE58" s="528"/>
      <c r="GZF58" s="528"/>
      <c r="GZG58" s="528"/>
      <c r="GZH58" s="528"/>
      <c r="GZI58" s="528"/>
      <c r="GZJ58" s="528"/>
      <c r="GZK58" s="528"/>
      <c r="GZL58" s="528"/>
      <c r="GZM58" s="528"/>
      <c r="GZN58" s="528"/>
      <c r="GZO58" s="528"/>
      <c r="GZP58" s="528"/>
      <c r="GZQ58" s="528"/>
      <c r="GZR58" s="528"/>
      <c r="GZS58" s="528"/>
      <c r="GZT58" s="528"/>
      <c r="GZU58" s="528"/>
      <c r="GZV58" s="528"/>
      <c r="GZW58" s="528"/>
      <c r="GZX58" s="528"/>
      <c r="GZY58" s="528"/>
      <c r="GZZ58" s="528"/>
      <c r="HAA58" s="528"/>
      <c r="HAB58" s="528"/>
      <c r="HAC58" s="528"/>
      <c r="HAD58" s="528"/>
      <c r="HAE58" s="528"/>
      <c r="HAF58" s="528"/>
      <c r="HAG58" s="528"/>
      <c r="HAH58" s="528"/>
      <c r="HAI58" s="528"/>
      <c r="HAJ58" s="528"/>
      <c r="HAK58" s="528"/>
      <c r="HAL58" s="528"/>
      <c r="HAM58" s="528"/>
      <c r="HAN58" s="528"/>
      <c r="HAO58" s="528"/>
      <c r="HAP58" s="528"/>
      <c r="HAQ58" s="528"/>
      <c r="HAR58" s="528"/>
      <c r="HAS58" s="528"/>
      <c r="HAT58" s="528"/>
      <c r="HAU58" s="528"/>
      <c r="HAV58" s="528"/>
      <c r="HAW58" s="528"/>
      <c r="HAX58" s="528"/>
      <c r="HAY58" s="528"/>
      <c r="HAZ58" s="528"/>
      <c r="HBA58" s="528"/>
      <c r="HBB58" s="528"/>
      <c r="HBC58" s="528"/>
      <c r="HBD58" s="528"/>
      <c r="HBE58" s="528"/>
      <c r="HBF58" s="528"/>
      <c r="HBG58" s="528"/>
      <c r="HBH58" s="528"/>
      <c r="HBI58" s="528"/>
      <c r="HBJ58" s="528"/>
      <c r="HBK58" s="528"/>
      <c r="HBL58" s="528"/>
      <c r="HBM58" s="528"/>
      <c r="HBN58" s="528"/>
      <c r="HBO58" s="528"/>
      <c r="HBP58" s="528"/>
      <c r="HBQ58" s="528"/>
      <c r="HBR58" s="528"/>
      <c r="HBS58" s="528"/>
      <c r="HBT58" s="528"/>
      <c r="HBU58" s="528"/>
      <c r="HBV58" s="528"/>
      <c r="HBW58" s="528"/>
      <c r="HBX58" s="528"/>
      <c r="HBY58" s="528"/>
      <c r="HBZ58" s="528"/>
      <c r="HCA58" s="528"/>
      <c r="HCB58" s="528"/>
      <c r="HCC58" s="528"/>
      <c r="HCD58" s="528"/>
      <c r="HCE58" s="528"/>
      <c r="HCF58" s="528"/>
      <c r="HCG58" s="528"/>
      <c r="HCH58" s="528"/>
      <c r="HCI58" s="528"/>
      <c r="HCJ58" s="528"/>
      <c r="HCK58" s="528"/>
      <c r="HCL58" s="528"/>
      <c r="HCM58" s="528"/>
      <c r="HCN58" s="528"/>
      <c r="HCO58" s="528"/>
      <c r="HCP58" s="528"/>
      <c r="HCQ58" s="528"/>
      <c r="HCR58" s="528"/>
      <c r="HCS58" s="528"/>
      <c r="HCT58" s="528"/>
      <c r="HCU58" s="528"/>
      <c r="HCV58" s="528"/>
      <c r="HCW58" s="528"/>
      <c r="HCX58" s="528"/>
      <c r="HCY58" s="528"/>
      <c r="HCZ58" s="528"/>
      <c r="HDA58" s="528"/>
      <c r="HDB58" s="528"/>
      <c r="HDC58" s="528"/>
      <c r="HDD58" s="528"/>
      <c r="HDE58" s="528"/>
      <c r="HDF58" s="528"/>
      <c r="HDG58" s="528"/>
      <c r="HDH58" s="528"/>
      <c r="HDI58" s="528"/>
      <c r="HDJ58" s="528"/>
      <c r="HDK58" s="528"/>
      <c r="HDL58" s="528"/>
      <c r="HDM58" s="528"/>
      <c r="HDN58" s="528"/>
      <c r="HDO58" s="528"/>
      <c r="HDP58" s="528"/>
      <c r="HDQ58" s="528"/>
      <c r="HDR58" s="528"/>
      <c r="HDS58" s="528"/>
      <c r="HDT58" s="528"/>
      <c r="HDU58" s="528"/>
      <c r="HDV58" s="528"/>
      <c r="HDW58" s="528"/>
      <c r="HDX58" s="528"/>
      <c r="HDY58" s="528"/>
      <c r="HDZ58" s="528"/>
      <c r="HEA58" s="528"/>
      <c r="HEB58" s="528"/>
      <c r="HEC58" s="528"/>
      <c r="HED58" s="528"/>
      <c r="HEE58" s="528"/>
      <c r="HEF58" s="528"/>
      <c r="HEG58" s="528"/>
      <c r="HEH58" s="528"/>
      <c r="HEI58" s="528"/>
      <c r="HEJ58" s="528"/>
      <c r="HEK58" s="528"/>
      <c r="HEL58" s="528"/>
      <c r="HEM58" s="528"/>
      <c r="HEN58" s="528"/>
      <c r="HEO58" s="528"/>
      <c r="HEP58" s="528"/>
      <c r="HEQ58" s="528"/>
      <c r="HER58" s="528"/>
      <c r="HES58" s="528"/>
      <c r="HET58" s="528"/>
      <c r="HEU58" s="528"/>
      <c r="HEV58" s="528"/>
      <c r="HEW58" s="528"/>
      <c r="HEX58" s="528"/>
      <c r="HEY58" s="528"/>
      <c r="HEZ58" s="528"/>
      <c r="HFA58" s="528"/>
      <c r="HFB58" s="528"/>
      <c r="HFC58" s="528"/>
      <c r="HFD58" s="528"/>
      <c r="HFE58" s="528"/>
      <c r="HFF58" s="528"/>
      <c r="HFG58" s="528"/>
      <c r="HFH58" s="528"/>
      <c r="HFI58" s="528"/>
      <c r="HFJ58" s="528"/>
      <c r="HFK58" s="528"/>
      <c r="HFL58" s="528"/>
      <c r="HFM58" s="528"/>
      <c r="HFN58" s="528"/>
      <c r="HFO58" s="528"/>
      <c r="HFP58" s="528"/>
      <c r="HFQ58" s="528"/>
      <c r="HFR58" s="528"/>
      <c r="HFS58" s="528"/>
      <c r="HFT58" s="528"/>
      <c r="HFU58" s="528"/>
      <c r="HFV58" s="528"/>
      <c r="HFW58" s="528"/>
      <c r="HFX58" s="528"/>
      <c r="HFY58" s="528"/>
      <c r="HFZ58" s="528"/>
      <c r="HGA58" s="528"/>
      <c r="HGB58" s="528"/>
      <c r="HGC58" s="528"/>
      <c r="HGD58" s="528"/>
      <c r="HGE58" s="528"/>
      <c r="HGF58" s="528"/>
      <c r="HGG58" s="528"/>
      <c r="HGH58" s="528"/>
      <c r="HGI58" s="528"/>
      <c r="HGJ58" s="528"/>
      <c r="HGK58" s="528"/>
      <c r="HGL58" s="528"/>
      <c r="HGM58" s="528"/>
      <c r="HGN58" s="528"/>
      <c r="HGO58" s="528"/>
      <c r="HGP58" s="528"/>
      <c r="HGQ58" s="528"/>
      <c r="HGR58" s="528"/>
      <c r="HGS58" s="528"/>
      <c r="HGT58" s="528"/>
      <c r="HGU58" s="528"/>
      <c r="HGV58" s="528"/>
      <c r="HGW58" s="528"/>
      <c r="HGX58" s="528"/>
      <c r="HGY58" s="528"/>
      <c r="HGZ58" s="528"/>
      <c r="HHA58" s="528"/>
      <c r="HHB58" s="528"/>
      <c r="HHC58" s="528"/>
      <c r="HHD58" s="528"/>
      <c r="HHE58" s="528"/>
      <c r="HHF58" s="528"/>
      <c r="HHG58" s="528"/>
      <c r="HHH58" s="528"/>
      <c r="HHI58" s="528"/>
      <c r="HHJ58" s="528"/>
      <c r="HHK58" s="528"/>
      <c r="HHL58" s="528"/>
      <c r="HHM58" s="528"/>
      <c r="HHN58" s="528"/>
      <c r="HHO58" s="528"/>
      <c r="HHP58" s="528"/>
      <c r="HHQ58" s="528"/>
      <c r="HHR58" s="528"/>
      <c r="HHS58" s="528"/>
      <c r="HHT58" s="528"/>
      <c r="HHU58" s="528"/>
      <c r="HHV58" s="528"/>
      <c r="HHW58" s="528"/>
      <c r="HHX58" s="528"/>
      <c r="HHY58" s="528"/>
      <c r="HHZ58" s="528"/>
      <c r="HIA58" s="528"/>
      <c r="HIB58" s="528"/>
      <c r="HIC58" s="528"/>
      <c r="HID58" s="528"/>
      <c r="HIE58" s="528"/>
      <c r="HIF58" s="528"/>
      <c r="HIG58" s="528"/>
      <c r="HIH58" s="528"/>
      <c r="HII58" s="528"/>
      <c r="HIJ58" s="528"/>
      <c r="HIK58" s="528"/>
      <c r="HIL58" s="528"/>
      <c r="HIM58" s="528"/>
      <c r="HIN58" s="528"/>
      <c r="HIO58" s="528"/>
      <c r="HIP58" s="528"/>
      <c r="HIQ58" s="528"/>
      <c r="HIR58" s="528"/>
      <c r="HIS58" s="528"/>
      <c r="HIT58" s="528"/>
      <c r="HIU58" s="528"/>
      <c r="HIV58" s="528"/>
      <c r="HIW58" s="528"/>
      <c r="HIX58" s="528"/>
      <c r="HIY58" s="528"/>
      <c r="HIZ58" s="528"/>
      <c r="HJA58" s="528"/>
      <c r="HJB58" s="528"/>
      <c r="HJC58" s="528"/>
      <c r="HJD58" s="528"/>
      <c r="HJE58" s="528"/>
      <c r="HJF58" s="528"/>
      <c r="HJG58" s="528"/>
      <c r="HJH58" s="528"/>
      <c r="HJI58" s="528"/>
      <c r="HJJ58" s="528"/>
      <c r="HJK58" s="528"/>
      <c r="HJL58" s="528"/>
      <c r="HJM58" s="528"/>
      <c r="HJN58" s="528"/>
      <c r="HJO58" s="528"/>
      <c r="HJP58" s="528"/>
      <c r="HJQ58" s="528"/>
      <c r="HJR58" s="528"/>
      <c r="HJS58" s="528"/>
      <c r="HJT58" s="528"/>
      <c r="HJU58" s="528"/>
      <c r="HJV58" s="528"/>
      <c r="HJW58" s="528"/>
      <c r="HJX58" s="528"/>
      <c r="HJY58" s="528"/>
      <c r="HJZ58" s="528"/>
      <c r="HKA58" s="528"/>
      <c r="HKB58" s="528"/>
      <c r="HKC58" s="528"/>
      <c r="HKD58" s="528"/>
      <c r="HKE58" s="528"/>
      <c r="HKF58" s="528"/>
      <c r="HKG58" s="528"/>
      <c r="HKH58" s="528"/>
      <c r="HKI58" s="528"/>
      <c r="HKJ58" s="528"/>
      <c r="HKK58" s="528"/>
      <c r="HKL58" s="528"/>
      <c r="HKM58" s="528"/>
      <c r="HKN58" s="528"/>
      <c r="HKO58" s="528"/>
      <c r="HKP58" s="528"/>
      <c r="HKQ58" s="528"/>
      <c r="HKR58" s="528"/>
      <c r="HKS58" s="528"/>
      <c r="HKT58" s="528"/>
      <c r="HKU58" s="528"/>
      <c r="HKV58" s="528"/>
      <c r="HKW58" s="528"/>
      <c r="HKX58" s="528"/>
      <c r="HKY58" s="528"/>
      <c r="HKZ58" s="528"/>
      <c r="HLA58" s="528"/>
      <c r="HLB58" s="528"/>
      <c r="HLC58" s="528"/>
      <c r="HLD58" s="528"/>
      <c r="HLE58" s="528"/>
      <c r="HLF58" s="528"/>
      <c r="HLG58" s="528"/>
      <c r="HLH58" s="528"/>
      <c r="HLI58" s="528"/>
      <c r="HLJ58" s="528"/>
      <c r="HLK58" s="528"/>
      <c r="HLL58" s="528"/>
      <c r="HLM58" s="528"/>
      <c r="HLN58" s="528"/>
      <c r="HLO58" s="528"/>
      <c r="HLP58" s="528"/>
      <c r="HLQ58" s="528"/>
      <c r="HLR58" s="528"/>
      <c r="HLS58" s="528"/>
      <c r="HLT58" s="528"/>
      <c r="HLU58" s="528"/>
      <c r="HLV58" s="528"/>
      <c r="HLW58" s="528"/>
      <c r="HLX58" s="528"/>
      <c r="HLY58" s="528"/>
      <c r="HLZ58" s="528"/>
      <c r="HMA58" s="528"/>
      <c r="HMB58" s="528"/>
      <c r="HMC58" s="528"/>
      <c r="HMD58" s="528"/>
      <c r="HME58" s="528"/>
      <c r="HMF58" s="528"/>
      <c r="HMG58" s="528"/>
      <c r="HMH58" s="528"/>
      <c r="HMI58" s="528"/>
      <c r="HMJ58" s="528"/>
      <c r="HMK58" s="528"/>
      <c r="HML58" s="528"/>
      <c r="HMM58" s="528"/>
      <c r="HMN58" s="528"/>
      <c r="HMO58" s="528"/>
      <c r="HMP58" s="528"/>
      <c r="HMQ58" s="528"/>
      <c r="HMR58" s="528"/>
      <c r="HMS58" s="528"/>
      <c r="HMT58" s="528"/>
      <c r="HMU58" s="528"/>
      <c r="HMV58" s="528"/>
      <c r="HMW58" s="528"/>
      <c r="HMX58" s="528"/>
      <c r="HMY58" s="528"/>
      <c r="HMZ58" s="528"/>
      <c r="HNA58" s="528"/>
      <c r="HNB58" s="528"/>
      <c r="HNC58" s="528"/>
      <c r="HND58" s="528"/>
      <c r="HNE58" s="528"/>
      <c r="HNF58" s="528"/>
      <c r="HNG58" s="528"/>
      <c r="HNH58" s="528"/>
      <c r="HNI58" s="528"/>
      <c r="HNJ58" s="528"/>
      <c r="HNK58" s="528"/>
      <c r="HNL58" s="528"/>
      <c r="HNM58" s="528"/>
      <c r="HNN58" s="528"/>
      <c r="HNO58" s="528"/>
      <c r="HNP58" s="528"/>
      <c r="HNQ58" s="528"/>
      <c r="HNR58" s="528"/>
      <c r="HNS58" s="528"/>
      <c r="HNT58" s="528"/>
      <c r="HNU58" s="528"/>
      <c r="HNV58" s="528"/>
      <c r="HNW58" s="528"/>
      <c r="HNX58" s="528"/>
      <c r="HNY58" s="528"/>
      <c r="HNZ58" s="528"/>
      <c r="HOA58" s="528"/>
      <c r="HOB58" s="528"/>
      <c r="HOC58" s="528"/>
      <c r="HOD58" s="528"/>
      <c r="HOE58" s="528"/>
      <c r="HOF58" s="528"/>
      <c r="HOG58" s="528"/>
      <c r="HOH58" s="528"/>
      <c r="HOI58" s="528"/>
      <c r="HOJ58" s="528"/>
      <c r="HOK58" s="528"/>
      <c r="HOL58" s="528"/>
      <c r="HOM58" s="528"/>
      <c r="HON58" s="528"/>
      <c r="HOO58" s="528"/>
      <c r="HOP58" s="528"/>
      <c r="HOQ58" s="528"/>
      <c r="HOR58" s="528"/>
      <c r="HOS58" s="528"/>
      <c r="HOT58" s="528"/>
      <c r="HOU58" s="528"/>
      <c r="HOV58" s="528"/>
      <c r="HOW58" s="528"/>
      <c r="HOX58" s="528"/>
      <c r="HOY58" s="528"/>
      <c r="HOZ58" s="528"/>
      <c r="HPA58" s="528"/>
      <c r="HPB58" s="528"/>
      <c r="HPC58" s="528"/>
      <c r="HPD58" s="528"/>
      <c r="HPE58" s="528"/>
      <c r="HPF58" s="528"/>
      <c r="HPG58" s="528"/>
      <c r="HPH58" s="528"/>
      <c r="HPI58" s="528"/>
      <c r="HPJ58" s="528"/>
      <c r="HPK58" s="528"/>
      <c r="HPL58" s="528"/>
      <c r="HPM58" s="528"/>
      <c r="HPN58" s="528"/>
      <c r="HPO58" s="528"/>
      <c r="HPP58" s="528"/>
      <c r="HPQ58" s="528"/>
      <c r="HPR58" s="528"/>
      <c r="HPS58" s="528"/>
      <c r="HPT58" s="528"/>
      <c r="HPU58" s="528"/>
      <c r="HPV58" s="528"/>
      <c r="HPW58" s="528"/>
      <c r="HPX58" s="528"/>
      <c r="HPY58" s="528"/>
      <c r="HPZ58" s="528"/>
      <c r="HQA58" s="528"/>
      <c r="HQB58" s="528"/>
      <c r="HQC58" s="528"/>
      <c r="HQD58" s="528"/>
      <c r="HQE58" s="528"/>
      <c r="HQF58" s="528"/>
      <c r="HQG58" s="528"/>
      <c r="HQH58" s="528"/>
      <c r="HQI58" s="528"/>
      <c r="HQJ58" s="528"/>
      <c r="HQK58" s="528"/>
      <c r="HQL58" s="528"/>
      <c r="HQM58" s="528"/>
      <c r="HQN58" s="528"/>
      <c r="HQO58" s="528"/>
      <c r="HQP58" s="528"/>
      <c r="HQQ58" s="528"/>
      <c r="HQR58" s="528"/>
      <c r="HQS58" s="528"/>
      <c r="HQT58" s="528"/>
      <c r="HQU58" s="528"/>
      <c r="HQV58" s="528"/>
      <c r="HQW58" s="528"/>
      <c r="HQX58" s="528"/>
      <c r="HQY58" s="528"/>
      <c r="HQZ58" s="528"/>
      <c r="HRA58" s="528"/>
      <c r="HRB58" s="528"/>
      <c r="HRC58" s="528"/>
      <c r="HRD58" s="528"/>
      <c r="HRE58" s="528"/>
      <c r="HRF58" s="528"/>
      <c r="HRG58" s="528"/>
      <c r="HRH58" s="528"/>
      <c r="HRI58" s="528"/>
      <c r="HRJ58" s="528"/>
      <c r="HRK58" s="528"/>
      <c r="HRL58" s="528"/>
      <c r="HRM58" s="528"/>
      <c r="HRN58" s="528"/>
      <c r="HRO58" s="528"/>
      <c r="HRP58" s="528"/>
      <c r="HRQ58" s="528"/>
      <c r="HRR58" s="528"/>
      <c r="HRS58" s="528"/>
      <c r="HRT58" s="528"/>
      <c r="HRU58" s="528"/>
      <c r="HRV58" s="528"/>
      <c r="HRW58" s="528"/>
      <c r="HRX58" s="528"/>
      <c r="HRY58" s="528"/>
      <c r="HRZ58" s="528"/>
      <c r="HSA58" s="528"/>
      <c r="HSB58" s="528"/>
      <c r="HSC58" s="528"/>
      <c r="HSD58" s="528"/>
      <c r="HSE58" s="528"/>
      <c r="HSF58" s="528"/>
      <c r="HSG58" s="528"/>
      <c r="HSH58" s="528"/>
      <c r="HSI58" s="528"/>
      <c r="HSJ58" s="528"/>
      <c r="HSK58" s="528"/>
      <c r="HSL58" s="528"/>
      <c r="HSM58" s="528"/>
      <c r="HSN58" s="528"/>
      <c r="HSO58" s="528"/>
      <c r="HSP58" s="528"/>
      <c r="HSQ58" s="528"/>
      <c r="HSR58" s="528"/>
      <c r="HSS58" s="528"/>
      <c r="HST58" s="528"/>
      <c r="HSU58" s="528"/>
      <c r="HSV58" s="528"/>
      <c r="HSW58" s="528"/>
      <c r="HSX58" s="528"/>
      <c r="HSY58" s="528"/>
      <c r="HSZ58" s="528"/>
      <c r="HTA58" s="528"/>
      <c r="HTB58" s="528"/>
      <c r="HTC58" s="528"/>
      <c r="HTD58" s="528"/>
      <c r="HTE58" s="528"/>
      <c r="HTF58" s="528"/>
      <c r="HTG58" s="528"/>
      <c r="HTH58" s="528"/>
      <c r="HTI58" s="528"/>
      <c r="HTJ58" s="528"/>
      <c r="HTK58" s="528"/>
      <c r="HTL58" s="528"/>
      <c r="HTM58" s="528"/>
      <c r="HTN58" s="528"/>
      <c r="HTO58" s="528"/>
      <c r="HTP58" s="528"/>
      <c r="HTQ58" s="528"/>
      <c r="HTR58" s="528"/>
      <c r="HTS58" s="528"/>
      <c r="HTT58" s="528"/>
      <c r="HTU58" s="528"/>
      <c r="HTV58" s="528"/>
      <c r="HTW58" s="528"/>
      <c r="HTX58" s="528"/>
      <c r="HTY58" s="528"/>
      <c r="HTZ58" s="528"/>
      <c r="HUA58" s="528"/>
      <c r="HUB58" s="528"/>
      <c r="HUC58" s="528"/>
      <c r="HUD58" s="528"/>
      <c r="HUE58" s="528"/>
      <c r="HUF58" s="528"/>
      <c r="HUG58" s="528"/>
      <c r="HUH58" s="528"/>
      <c r="HUI58" s="528"/>
      <c r="HUJ58" s="528"/>
      <c r="HUK58" s="528"/>
      <c r="HUL58" s="528"/>
      <c r="HUM58" s="528"/>
      <c r="HUN58" s="528"/>
      <c r="HUO58" s="528"/>
      <c r="HUP58" s="528"/>
      <c r="HUQ58" s="528"/>
      <c r="HUR58" s="528"/>
      <c r="HUS58" s="528"/>
      <c r="HUT58" s="528"/>
      <c r="HUU58" s="528"/>
      <c r="HUV58" s="528"/>
      <c r="HUW58" s="528"/>
      <c r="HUX58" s="528"/>
      <c r="HUY58" s="528"/>
      <c r="HUZ58" s="528"/>
      <c r="HVA58" s="528"/>
      <c r="HVB58" s="528"/>
      <c r="HVC58" s="528"/>
      <c r="HVD58" s="528"/>
      <c r="HVE58" s="528"/>
      <c r="HVF58" s="528"/>
      <c r="HVG58" s="528"/>
      <c r="HVH58" s="528"/>
      <c r="HVI58" s="528"/>
      <c r="HVJ58" s="528"/>
      <c r="HVK58" s="528"/>
      <c r="HVL58" s="528"/>
      <c r="HVM58" s="528"/>
      <c r="HVN58" s="528"/>
      <c r="HVO58" s="528"/>
      <c r="HVP58" s="528"/>
      <c r="HVQ58" s="528"/>
      <c r="HVR58" s="528"/>
      <c r="HVS58" s="528"/>
      <c r="HVT58" s="528"/>
      <c r="HVU58" s="528"/>
      <c r="HVV58" s="528"/>
      <c r="HVW58" s="528"/>
      <c r="HVX58" s="528"/>
      <c r="HVY58" s="528"/>
      <c r="HVZ58" s="528"/>
      <c r="HWA58" s="528"/>
      <c r="HWB58" s="528"/>
      <c r="HWC58" s="528"/>
      <c r="HWD58" s="528"/>
      <c r="HWE58" s="528"/>
      <c r="HWF58" s="528"/>
      <c r="HWG58" s="528"/>
      <c r="HWH58" s="528"/>
      <c r="HWI58" s="528"/>
      <c r="HWJ58" s="528"/>
      <c r="HWK58" s="528"/>
      <c r="HWL58" s="528"/>
      <c r="HWM58" s="528"/>
      <c r="HWN58" s="528"/>
      <c r="HWO58" s="528"/>
      <c r="HWP58" s="528"/>
      <c r="HWQ58" s="528"/>
      <c r="HWR58" s="528"/>
      <c r="HWS58" s="528"/>
      <c r="HWT58" s="528"/>
      <c r="HWU58" s="528"/>
      <c r="HWV58" s="528"/>
      <c r="HWW58" s="528"/>
      <c r="HWX58" s="528"/>
      <c r="HWY58" s="528"/>
      <c r="HWZ58" s="528"/>
      <c r="HXA58" s="528"/>
      <c r="HXB58" s="528"/>
      <c r="HXC58" s="528"/>
      <c r="HXD58" s="528"/>
      <c r="HXE58" s="528"/>
      <c r="HXF58" s="528"/>
      <c r="HXG58" s="528"/>
      <c r="HXH58" s="528"/>
      <c r="HXI58" s="528"/>
      <c r="HXJ58" s="528"/>
      <c r="HXK58" s="528"/>
      <c r="HXL58" s="528"/>
      <c r="HXM58" s="528"/>
      <c r="HXN58" s="528"/>
      <c r="HXO58" s="528"/>
      <c r="HXP58" s="528"/>
      <c r="HXQ58" s="528"/>
      <c r="HXR58" s="528"/>
      <c r="HXS58" s="528"/>
      <c r="HXT58" s="528"/>
      <c r="HXU58" s="528"/>
      <c r="HXV58" s="528"/>
      <c r="HXW58" s="528"/>
      <c r="HXX58" s="528"/>
      <c r="HXY58" s="528"/>
      <c r="HXZ58" s="528"/>
      <c r="HYA58" s="528"/>
      <c r="HYB58" s="528"/>
      <c r="HYC58" s="528"/>
      <c r="HYD58" s="528"/>
      <c r="HYE58" s="528"/>
      <c r="HYF58" s="528"/>
      <c r="HYG58" s="528"/>
      <c r="HYH58" s="528"/>
      <c r="HYI58" s="528"/>
      <c r="HYJ58" s="528"/>
      <c r="HYK58" s="528"/>
      <c r="HYL58" s="528"/>
      <c r="HYM58" s="528"/>
      <c r="HYN58" s="528"/>
      <c r="HYO58" s="528"/>
      <c r="HYP58" s="528"/>
      <c r="HYQ58" s="528"/>
      <c r="HYR58" s="528"/>
      <c r="HYS58" s="528"/>
      <c r="HYT58" s="528"/>
      <c r="HYU58" s="528"/>
      <c r="HYV58" s="528"/>
      <c r="HYW58" s="528"/>
      <c r="HYX58" s="528"/>
      <c r="HYY58" s="528"/>
      <c r="HYZ58" s="528"/>
      <c r="HZA58" s="528"/>
      <c r="HZB58" s="528"/>
      <c r="HZC58" s="528"/>
      <c r="HZD58" s="528"/>
      <c r="HZE58" s="528"/>
      <c r="HZF58" s="528"/>
      <c r="HZG58" s="528"/>
      <c r="HZH58" s="528"/>
      <c r="HZI58" s="528"/>
      <c r="HZJ58" s="528"/>
      <c r="HZK58" s="528"/>
      <c r="HZL58" s="528"/>
      <c r="HZM58" s="528"/>
      <c r="HZN58" s="528"/>
      <c r="HZO58" s="528"/>
      <c r="HZP58" s="528"/>
      <c r="HZQ58" s="528"/>
      <c r="HZR58" s="528"/>
      <c r="HZS58" s="528"/>
      <c r="HZT58" s="528"/>
      <c r="HZU58" s="528"/>
      <c r="HZV58" s="528"/>
      <c r="HZW58" s="528"/>
      <c r="HZX58" s="528"/>
      <c r="HZY58" s="528"/>
      <c r="HZZ58" s="528"/>
      <c r="IAA58" s="528"/>
      <c r="IAB58" s="528"/>
      <c r="IAC58" s="528"/>
      <c r="IAD58" s="528"/>
      <c r="IAE58" s="528"/>
      <c r="IAF58" s="528"/>
      <c r="IAG58" s="528"/>
      <c r="IAH58" s="528"/>
      <c r="IAI58" s="528"/>
      <c r="IAJ58" s="528"/>
      <c r="IAK58" s="528"/>
      <c r="IAL58" s="528"/>
      <c r="IAM58" s="528"/>
      <c r="IAN58" s="528"/>
      <c r="IAO58" s="528"/>
      <c r="IAP58" s="528"/>
      <c r="IAQ58" s="528"/>
      <c r="IAR58" s="528"/>
      <c r="IAS58" s="528"/>
      <c r="IAT58" s="528"/>
      <c r="IAU58" s="528"/>
      <c r="IAV58" s="528"/>
      <c r="IAW58" s="528"/>
      <c r="IAX58" s="528"/>
      <c r="IAY58" s="528"/>
      <c r="IAZ58" s="528"/>
      <c r="IBA58" s="528"/>
      <c r="IBB58" s="528"/>
      <c r="IBC58" s="528"/>
      <c r="IBD58" s="528"/>
      <c r="IBE58" s="528"/>
      <c r="IBF58" s="528"/>
      <c r="IBG58" s="528"/>
      <c r="IBH58" s="528"/>
      <c r="IBI58" s="528"/>
      <c r="IBJ58" s="528"/>
      <c r="IBK58" s="528"/>
      <c r="IBL58" s="528"/>
      <c r="IBM58" s="528"/>
      <c r="IBN58" s="528"/>
      <c r="IBO58" s="528"/>
      <c r="IBP58" s="528"/>
      <c r="IBQ58" s="528"/>
      <c r="IBR58" s="528"/>
      <c r="IBS58" s="528"/>
      <c r="IBT58" s="528"/>
      <c r="IBU58" s="528"/>
      <c r="IBV58" s="528"/>
      <c r="IBW58" s="528"/>
      <c r="IBX58" s="528"/>
      <c r="IBY58" s="528"/>
      <c r="IBZ58" s="528"/>
      <c r="ICA58" s="528"/>
      <c r="ICB58" s="528"/>
      <c r="ICC58" s="528"/>
      <c r="ICD58" s="528"/>
      <c r="ICE58" s="528"/>
      <c r="ICF58" s="528"/>
      <c r="ICG58" s="528"/>
      <c r="ICH58" s="528"/>
      <c r="ICI58" s="528"/>
      <c r="ICJ58" s="528"/>
      <c r="ICK58" s="528"/>
      <c r="ICL58" s="528"/>
      <c r="ICM58" s="528"/>
      <c r="ICN58" s="528"/>
      <c r="ICO58" s="528"/>
      <c r="ICP58" s="528"/>
      <c r="ICQ58" s="528"/>
      <c r="ICR58" s="528"/>
      <c r="ICS58" s="528"/>
      <c r="ICT58" s="528"/>
      <c r="ICU58" s="528"/>
      <c r="ICV58" s="528"/>
      <c r="ICW58" s="528"/>
      <c r="ICX58" s="528"/>
      <c r="ICY58" s="528"/>
      <c r="ICZ58" s="528"/>
      <c r="IDA58" s="528"/>
      <c r="IDB58" s="528"/>
      <c r="IDC58" s="528"/>
      <c r="IDD58" s="528"/>
      <c r="IDE58" s="528"/>
      <c r="IDF58" s="528"/>
      <c r="IDG58" s="528"/>
      <c r="IDH58" s="528"/>
      <c r="IDI58" s="528"/>
      <c r="IDJ58" s="528"/>
      <c r="IDK58" s="528"/>
      <c r="IDL58" s="528"/>
      <c r="IDM58" s="528"/>
      <c r="IDN58" s="528"/>
      <c r="IDO58" s="528"/>
      <c r="IDP58" s="528"/>
      <c r="IDQ58" s="528"/>
      <c r="IDR58" s="528"/>
      <c r="IDS58" s="528"/>
      <c r="IDT58" s="528"/>
      <c r="IDU58" s="528"/>
      <c r="IDV58" s="528"/>
      <c r="IDW58" s="528"/>
      <c r="IDX58" s="528"/>
      <c r="IDY58" s="528"/>
      <c r="IDZ58" s="528"/>
      <c r="IEA58" s="528"/>
      <c r="IEB58" s="528"/>
      <c r="IEC58" s="528"/>
      <c r="IED58" s="528"/>
      <c r="IEE58" s="528"/>
      <c r="IEF58" s="528"/>
      <c r="IEG58" s="528"/>
      <c r="IEH58" s="528"/>
      <c r="IEI58" s="528"/>
      <c r="IEJ58" s="528"/>
      <c r="IEK58" s="528"/>
      <c r="IEL58" s="528"/>
      <c r="IEM58" s="528"/>
      <c r="IEN58" s="528"/>
      <c r="IEO58" s="528"/>
      <c r="IEP58" s="528"/>
      <c r="IEQ58" s="528"/>
      <c r="IER58" s="528"/>
      <c r="IES58" s="528"/>
      <c r="IET58" s="528"/>
      <c r="IEU58" s="528"/>
      <c r="IEV58" s="528"/>
      <c r="IEW58" s="528"/>
      <c r="IEX58" s="528"/>
      <c r="IEY58" s="528"/>
      <c r="IEZ58" s="528"/>
      <c r="IFA58" s="528"/>
      <c r="IFB58" s="528"/>
      <c r="IFC58" s="528"/>
      <c r="IFD58" s="528"/>
      <c r="IFE58" s="528"/>
      <c r="IFF58" s="528"/>
      <c r="IFG58" s="528"/>
      <c r="IFH58" s="528"/>
      <c r="IFI58" s="528"/>
      <c r="IFJ58" s="528"/>
      <c r="IFK58" s="528"/>
      <c r="IFL58" s="528"/>
      <c r="IFM58" s="528"/>
      <c r="IFN58" s="528"/>
      <c r="IFO58" s="528"/>
      <c r="IFP58" s="528"/>
      <c r="IFQ58" s="528"/>
      <c r="IFR58" s="528"/>
      <c r="IFS58" s="528"/>
      <c r="IFT58" s="528"/>
      <c r="IFU58" s="528"/>
      <c r="IFV58" s="528"/>
      <c r="IFW58" s="528"/>
      <c r="IFX58" s="528"/>
      <c r="IFY58" s="528"/>
      <c r="IFZ58" s="528"/>
      <c r="IGA58" s="528"/>
      <c r="IGB58" s="528"/>
      <c r="IGC58" s="528"/>
      <c r="IGD58" s="528"/>
      <c r="IGE58" s="528"/>
      <c r="IGF58" s="528"/>
      <c r="IGG58" s="528"/>
      <c r="IGH58" s="528"/>
      <c r="IGI58" s="528"/>
      <c r="IGJ58" s="528"/>
      <c r="IGK58" s="528"/>
      <c r="IGL58" s="528"/>
      <c r="IGM58" s="528"/>
      <c r="IGN58" s="528"/>
      <c r="IGO58" s="528"/>
      <c r="IGP58" s="528"/>
      <c r="IGQ58" s="528"/>
      <c r="IGR58" s="528"/>
      <c r="IGS58" s="528"/>
      <c r="IGT58" s="528"/>
      <c r="IGU58" s="528"/>
      <c r="IGV58" s="528"/>
      <c r="IGW58" s="528"/>
      <c r="IGX58" s="528"/>
      <c r="IGY58" s="528"/>
      <c r="IGZ58" s="528"/>
      <c r="IHA58" s="528"/>
      <c r="IHB58" s="528"/>
      <c r="IHC58" s="528"/>
      <c r="IHD58" s="528"/>
      <c r="IHE58" s="528"/>
      <c r="IHF58" s="528"/>
      <c r="IHG58" s="528"/>
      <c r="IHH58" s="528"/>
      <c r="IHI58" s="528"/>
      <c r="IHJ58" s="528"/>
      <c r="IHK58" s="528"/>
      <c r="IHL58" s="528"/>
      <c r="IHM58" s="528"/>
      <c r="IHN58" s="528"/>
      <c r="IHO58" s="528"/>
      <c r="IHP58" s="528"/>
      <c r="IHQ58" s="528"/>
      <c r="IHR58" s="528"/>
      <c r="IHS58" s="528"/>
      <c r="IHT58" s="528"/>
      <c r="IHU58" s="528"/>
      <c r="IHV58" s="528"/>
      <c r="IHW58" s="528"/>
      <c r="IHX58" s="528"/>
      <c r="IHY58" s="528"/>
      <c r="IHZ58" s="528"/>
      <c r="IIA58" s="528"/>
      <c r="IIB58" s="528"/>
      <c r="IIC58" s="528"/>
      <c r="IID58" s="528"/>
      <c r="IIE58" s="528"/>
      <c r="IIF58" s="528"/>
      <c r="IIG58" s="528"/>
      <c r="IIH58" s="528"/>
      <c r="III58" s="528"/>
      <c r="IIJ58" s="528"/>
      <c r="IIK58" s="528"/>
      <c r="IIL58" s="528"/>
      <c r="IIM58" s="528"/>
      <c r="IIN58" s="528"/>
      <c r="IIO58" s="528"/>
      <c r="IIP58" s="528"/>
      <c r="IIQ58" s="528"/>
      <c r="IIR58" s="528"/>
      <c r="IIS58" s="528"/>
      <c r="IIT58" s="528"/>
      <c r="IIU58" s="528"/>
      <c r="IIV58" s="528"/>
      <c r="IIW58" s="528"/>
      <c r="IIX58" s="528"/>
      <c r="IIY58" s="528"/>
      <c r="IIZ58" s="528"/>
      <c r="IJA58" s="528"/>
      <c r="IJB58" s="528"/>
      <c r="IJC58" s="528"/>
      <c r="IJD58" s="528"/>
      <c r="IJE58" s="528"/>
      <c r="IJF58" s="528"/>
      <c r="IJG58" s="528"/>
      <c r="IJH58" s="528"/>
      <c r="IJI58" s="528"/>
      <c r="IJJ58" s="528"/>
      <c r="IJK58" s="528"/>
      <c r="IJL58" s="528"/>
      <c r="IJM58" s="528"/>
      <c r="IJN58" s="528"/>
      <c r="IJO58" s="528"/>
      <c r="IJP58" s="528"/>
      <c r="IJQ58" s="528"/>
      <c r="IJR58" s="528"/>
      <c r="IJS58" s="528"/>
      <c r="IJT58" s="528"/>
      <c r="IJU58" s="528"/>
      <c r="IJV58" s="528"/>
      <c r="IJW58" s="528"/>
      <c r="IJX58" s="528"/>
      <c r="IJY58" s="528"/>
      <c r="IJZ58" s="528"/>
      <c r="IKA58" s="528"/>
      <c r="IKB58" s="528"/>
      <c r="IKC58" s="528"/>
      <c r="IKD58" s="528"/>
      <c r="IKE58" s="528"/>
      <c r="IKF58" s="528"/>
      <c r="IKG58" s="528"/>
      <c r="IKH58" s="528"/>
      <c r="IKI58" s="528"/>
      <c r="IKJ58" s="528"/>
      <c r="IKK58" s="528"/>
      <c r="IKL58" s="528"/>
      <c r="IKM58" s="528"/>
      <c r="IKN58" s="528"/>
      <c r="IKO58" s="528"/>
      <c r="IKP58" s="528"/>
      <c r="IKQ58" s="528"/>
      <c r="IKR58" s="528"/>
      <c r="IKS58" s="528"/>
      <c r="IKT58" s="528"/>
      <c r="IKU58" s="528"/>
      <c r="IKV58" s="528"/>
      <c r="IKW58" s="528"/>
      <c r="IKX58" s="528"/>
      <c r="IKY58" s="528"/>
      <c r="IKZ58" s="528"/>
      <c r="ILA58" s="528"/>
      <c r="ILB58" s="528"/>
      <c r="ILC58" s="528"/>
      <c r="ILD58" s="528"/>
      <c r="ILE58" s="528"/>
      <c r="ILF58" s="528"/>
      <c r="ILG58" s="528"/>
      <c r="ILH58" s="528"/>
      <c r="ILI58" s="528"/>
      <c r="ILJ58" s="528"/>
      <c r="ILK58" s="528"/>
      <c r="ILL58" s="528"/>
      <c r="ILM58" s="528"/>
      <c r="ILN58" s="528"/>
      <c r="ILO58" s="528"/>
      <c r="ILP58" s="528"/>
      <c r="ILQ58" s="528"/>
      <c r="ILR58" s="528"/>
      <c r="ILS58" s="528"/>
      <c r="ILT58" s="528"/>
      <c r="ILU58" s="528"/>
      <c r="ILV58" s="528"/>
      <c r="ILW58" s="528"/>
      <c r="ILX58" s="528"/>
      <c r="ILY58" s="528"/>
      <c r="ILZ58" s="528"/>
      <c r="IMA58" s="528"/>
      <c r="IMB58" s="528"/>
      <c r="IMC58" s="528"/>
      <c r="IMD58" s="528"/>
      <c r="IME58" s="528"/>
      <c r="IMF58" s="528"/>
      <c r="IMG58" s="528"/>
      <c r="IMH58" s="528"/>
      <c r="IMI58" s="528"/>
      <c r="IMJ58" s="528"/>
      <c r="IMK58" s="528"/>
      <c r="IML58" s="528"/>
      <c r="IMM58" s="528"/>
      <c r="IMN58" s="528"/>
      <c r="IMO58" s="528"/>
      <c r="IMP58" s="528"/>
      <c r="IMQ58" s="528"/>
      <c r="IMR58" s="528"/>
      <c r="IMS58" s="528"/>
      <c r="IMT58" s="528"/>
      <c r="IMU58" s="528"/>
      <c r="IMV58" s="528"/>
      <c r="IMW58" s="528"/>
      <c r="IMX58" s="528"/>
      <c r="IMY58" s="528"/>
      <c r="IMZ58" s="528"/>
      <c r="INA58" s="528"/>
      <c r="INB58" s="528"/>
      <c r="INC58" s="528"/>
      <c r="IND58" s="528"/>
      <c r="INE58" s="528"/>
      <c r="INF58" s="528"/>
      <c r="ING58" s="528"/>
      <c r="INH58" s="528"/>
      <c r="INI58" s="528"/>
      <c r="INJ58" s="528"/>
      <c r="INK58" s="528"/>
      <c r="INL58" s="528"/>
      <c r="INM58" s="528"/>
      <c r="INN58" s="528"/>
      <c r="INO58" s="528"/>
      <c r="INP58" s="528"/>
      <c r="INQ58" s="528"/>
      <c r="INR58" s="528"/>
      <c r="INS58" s="528"/>
      <c r="INT58" s="528"/>
      <c r="INU58" s="528"/>
      <c r="INV58" s="528"/>
      <c r="INW58" s="528"/>
      <c r="INX58" s="528"/>
      <c r="INY58" s="528"/>
      <c r="INZ58" s="528"/>
      <c r="IOA58" s="528"/>
      <c r="IOB58" s="528"/>
      <c r="IOC58" s="528"/>
      <c r="IOD58" s="528"/>
      <c r="IOE58" s="528"/>
      <c r="IOF58" s="528"/>
      <c r="IOG58" s="528"/>
      <c r="IOH58" s="528"/>
      <c r="IOI58" s="528"/>
      <c r="IOJ58" s="528"/>
      <c r="IOK58" s="528"/>
      <c r="IOL58" s="528"/>
      <c r="IOM58" s="528"/>
      <c r="ION58" s="528"/>
      <c r="IOO58" s="528"/>
      <c r="IOP58" s="528"/>
      <c r="IOQ58" s="528"/>
      <c r="IOR58" s="528"/>
      <c r="IOS58" s="528"/>
      <c r="IOT58" s="528"/>
      <c r="IOU58" s="528"/>
      <c r="IOV58" s="528"/>
      <c r="IOW58" s="528"/>
      <c r="IOX58" s="528"/>
      <c r="IOY58" s="528"/>
      <c r="IOZ58" s="528"/>
      <c r="IPA58" s="528"/>
      <c r="IPB58" s="528"/>
      <c r="IPC58" s="528"/>
      <c r="IPD58" s="528"/>
      <c r="IPE58" s="528"/>
      <c r="IPF58" s="528"/>
      <c r="IPG58" s="528"/>
      <c r="IPH58" s="528"/>
      <c r="IPI58" s="528"/>
      <c r="IPJ58" s="528"/>
      <c r="IPK58" s="528"/>
      <c r="IPL58" s="528"/>
      <c r="IPM58" s="528"/>
      <c r="IPN58" s="528"/>
      <c r="IPO58" s="528"/>
      <c r="IPP58" s="528"/>
      <c r="IPQ58" s="528"/>
      <c r="IPR58" s="528"/>
      <c r="IPS58" s="528"/>
      <c r="IPT58" s="528"/>
      <c r="IPU58" s="528"/>
      <c r="IPV58" s="528"/>
      <c r="IPW58" s="528"/>
      <c r="IPX58" s="528"/>
      <c r="IPY58" s="528"/>
      <c r="IPZ58" s="528"/>
      <c r="IQA58" s="528"/>
      <c r="IQB58" s="528"/>
      <c r="IQC58" s="528"/>
      <c r="IQD58" s="528"/>
      <c r="IQE58" s="528"/>
      <c r="IQF58" s="528"/>
      <c r="IQG58" s="528"/>
      <c r="IQH58" s="528"/>
      <c r="IQI58" s="528"/>
      <c r="IQJ58" s="528"/>
      <c r="IQK58" s="528"/>
      <c r="IQL58" s="528"/>
      <c r="IQM58" s="528"/>
      <c r="IQN58" s="528"/>
      <c r="IQO58" s="528"/>
      <c r="IQP58" s="528"/>
      <c r="IQQ58" s="528"/>
      <c r="IQR58" s="528"/>
      <c r="IQS58" s="528"/>
      <c r="IQT58" s="528"/>
      <c r="IQU58" s="528"/>
      <c r="IQV58" s="528"/>
      <c r="IQW58" s="528"/>
      <c r="IQX58" s="528"/>
      <c r="IQY58" s="528"/>
      <c r="IQZ58" s="528"/>
      <c r="IRA58" s="528"/>
      <c r="IRB58" s="528"/>
      <c r="IRC58" s="528"/>
      <c r="IRD58" s="528"/>
      <c r="IRE58" s="528"/>
      <c r="IRF58" s="528"/>
      <c r="IRG58" s="528"/>
      <c r="IRH58" s="528"/>
      <c r="IRI58" s="528"/>
      <c r="IRJ58" s="528"/>
      <c r="IRK58" s="528"/>
      <c r="IRL58" s="528"/>
      <c r="IRM58" s="528"/>
      <c r="IRN58" s="528"/>
      <c r="IRO58" s="528"/>
      <c r="IRP58" s="528"/>
      <c r="IRQ58" s="528"/>
      <c r="IRR58" s="528"/>
      <c r="IRS58" s="528"/>
      <c r="IRT58" s="528"/>
      <c r="IRU58" s="528"/>
      <c r="IRV58" s="528"/>
      <c r="IRW58" s="528"/>
      <c r="IRX58" s="528"/>
      <c r="IRY58" s="528"/>
      <c r="IRZ58" s="528"/>
      <c r="ISA58" s="528"/>
      <c r="ISB58" s="528"/>
      <c r="ISC58" s="528"/>
      <c r="ISD58" s="528"/>
      <c r="ISE58" s="528"/>
      <c r="ISF58" s="528"/>
      <c r="ISG58" s="528"/>
      <c r="ISH58" s="528"/>
      <c r="ISI58" s="528"/>
      <c r="ISJ58" s="528"/>
      <c r="ISK58" s="528"/>
      <c r="ISL58" s="528"/>
      <c r="ISM58" s="528"/>
      <c r="ISN58" s="528"/>
      <c r="ISO58" s="528"/>
      <c r="ISP58" s="528"/>
      <c r="ISQ58" s="528"/>
      <c r="ISR58" s="528"/>
      <c r="ISS58" s="528"/>
      <c r="IST58" s="528"/>
      <c r="ISU58" s="528"/>
      <c r="ISV58" s="528"/>
      <c r="ISW58" s="528"/>
      <c r="ISX58" s="528"/>
      <c r="ISY58" s="528"/>
      <c r="ISZ58" s="528"/>
      <c r="ITA58" s="528"/>
      <c r="ITB58" s="528"/>
      <c r="ITC58" s="528"/>
      <c r="ITD58" s="528"/>
      <c r="ITE58" s="528"/>
      <c r="ITF58" s="528"/>
      <c r="ITG58" s="528"/>
      <c r="ITH58" s="528"/>
      <c r="ITI58" s="528"/>
      <c r="ITJ58" s="528"/>
      <c r="ITK58" s="528"/>
      <c r="ITL58" s="528"/>
      <c r="ITM58" s="528"/>
      <c r="ITN58" s="528"/>
      <c r="ITO58" s="528"/>
      <c r="ITP58" s="528"/>
      <c r="ITQ58" s="528"/>
      <c r="ITR58" s="528"/>
      <c r="ITS58" s="528"/>
      <c r="ITT58" s="528"/>
      <c r="ITU58" s="528"/>
      <c r="ITV58" s="528"/>
      <c r="ITW58" s="528"/>
      <c r="ITX58" s="528"/>
      <c r="ITY58" s="528"/>
      <c r="ITZ58" s="528"/>
      <c r="IUA58" s="528"/>
      <c r="IUB58" s="528"/>
      <c r="IUC58" s="528"/>
      <c r="IUD58" s="528"/>
      <c r="IUE58" s="528"/>
      <c r="IUF58" s="528"/>
      <c r="IUG58" s="528"/>
      <c r="IUH58" s="528"/>
      <c r="IUI58" s="528"/>
      <c r="IUJ58" s="528"/>
      <c r="IUK58" s="528"/>
      <c r="IUL58" s="528"/>
      <c r="IUM58" s="528"/>
      <c r="IUN58" s="528"/>
      <c r="IUO58" s="528"/>
      <c r="IUP58" s="528"/>
      <c r="IUQ58" s="528"/>
      <c r="IUR58" s="528"/>
      <c r="IUS58" s="528"/>
      <c r="IUT58" s="528"/>
      <c r="IUU58" s="528"/>
      <c r="IUV58" s="528"/>
      <c r="IUW58" s="528"/>
      <c r="IUX58" s="528"/>
      <c r="IUY58" s="528"/>
      <c r="IUZ58" s="528"/>
      <c r="IVA58" s="528"/>
      <c r="IVB58" s="528"/>
      <c r="IVC58" s="528"/>
      <c r="IVD58" s="528"/>
      <c r="IVE58" s="528"/>
      <c r="IVF58" s="528"/>
      <c r="IVG58" s="528"/>
      <c r="IVH58" s="528"/>
      <c r="IVI58" s="528"/>
      <c r="IVJ58" s="528"/>
      <c r="IVK58" s="528"/>
      <c r="IVL58" s="528"/>
      <c r="IVM58" s="528"/>
      <c r="IVN58" s="528"/>
      <c r="IVO58" s="528"/>
      <c r="IVP58" s="528"/>
      <c r="IVQ58" s="528"/>
      <c r="IVR58" s="528"/>
      <c r="IVS58" s="528"/>
      <c r="IVT58" s="528"/>
      <c r="IVU58" s="528"/>
      <c r="IVV58" s="528"/>
      <c r="IVW58" s="528"/>
      <c r="IVX58" s="528"/>
      <c r="IVY58" s="528"/>
      <c r="IVZ58" s="528"/>
      <c r="IWA58" s="528"/>
      <c r="IWB58" s="528"/>
      <c r="IWC58" s="528"/>
      <c r="IWD58" s="528"/>
      <c r="IWE58" s="528"/>
      <c r="IWF58" s="528"/>
      <c r="IWG58" s="528"/>
      <c r="IWH58" s="528"/>
      <c r="IWI58" s="528"/>
      <c r="IWJ58" s="528"/>
      <c r="IWK58" s="528"/>
      <c r="IWL58" s="528"/>
      <c r="IWM58" s="528"/>
      <c r="IWN58" s="528"/>
      <c r="IWO58" s="528"/>
      <c r="IWP58" s="528"/>
      <c r="IWQ58" s="528"/>
      <c r="IWR58" s="528"/>
      <c r="IWS58" s="528"/>
      <c r="IWT58" s="528"/>
      <c r="IWU58" s="528"/>
      <c r="IWV58" s="528"/>
      <c r="IWW58" s="528"/>
      <c r="IWX58" s="528"/>
      <c r="IWY58" s="528"/>
      <c r="IWZ58" s="528"/>
      <c r="IXA58" s="528"/>
      <c r="IXB58" s="528"/>
      <c r="IXC58" s="528"/>
      <c r="IXD58" s="528"/>
      <c r="IXE58" s="528"/>
      <c r="IXF58" s="528"/>
      <c r="IXG58" s="528"/>
      <c r="IXH58" s="528"/>
      <c r="IXI58" s="528"/>
      <c r="IXJ58" s="528"/>
      <c r="IXK58" s="528"/>
      <c r="IXL58" s="528"/>
      <c r="IXM58" s="528"/>
      <c r="IXN58" s="528"/>
      <c r="IXO58" s="528"/>
      <c r="IXP58" s="528"/>
      <c r="IXQ58" s="528"/>
      <c r="IXR58" s="528"/>
      <c r="IXS58" s="528"/>
      <c r="IXT58" s="528"/>
      <c r="IXU58" s="528"/>
      <c r="IXV58" s="528"/>
      <c r="IXW58" s="528"/>
      <c r="IXX58" s="528"/>
      <c r="IXY58" s="528"/>
      <c r="IXZ58" s="528"/>
      <c r="IYA58" s="528"/>
      <c r="IYB58" s="528"/>
      <c r="IYC58" s="528"/>
      <c r="IYD58" s="528"/>
      <c r="IYE58" s="528"/>
      <c r="IYF58" s="528"/>
      <c r="IYG58" s="528"/>
      <c r="IYH58" s="528"/>
      <c r="IYI58" s="528"/>
      <c r="IYJ58" s="528"/>
      <c r="IYK58" s="528"/>
      <c r="IYL58" s="528"/>
      <c r="IYM58" s="528"/>
      <c r="IYN58" s="528"/>
      <c r="IYO58" s="528"/>
      <c r="IYP58" s="528"/>
      <c r="IYQ58" s="528"/>
      <c r="IYR58" s="528"/>
      <c r="IYS58" s="528"/>
      <c r="IYT58" s="528"/>
      <c r="IYU58" s="528"/>
      <c r="IYV58" s="528"/>
      <c r="IYW58" s="528"/>
      <c r="IYX58" s="528"/>
      <c r="IYY58" s="528"/>
      <c r="IYZ58" s="528"/>
      <c r="IZA58" s="528"/>
      <c r="IZB58" s="528"/>
      <c r="IZC58" s="528"/>
      <c r="IZD58" s="528"/>
      <c r="IZE58" s="528"/>
      <c r="IZF58" s="528"/>
      <c r="IZG58" s="528"/>
      <c r="IZH58" s="528"/>
      <c r="IZI58" s="528"/>
      <c r="IZJ58" s="528"/>
      <c r="IZK58" s="528"/>
      <c r="IZL58" s="528"/>
      <c r="IZM58" s="528"/>
      <c r="IZN58" s="528"/>
      <c r="IZO58" s="528"/>
      <c r="IZP58" s="528"/>
      <c r="IZQ58" s="528"/>
      <c r="IZR58" s="528"/>
      <c r="IZS58" s="528"/>
      <c r="IZT58" s="528"/>
      <c r="IZU58" s="528"/>
      <c r="IZV58" s="528"/>
      <c r="IZW58" s="528"/>
      <c r="IZX58" s="528"/>
      <c r="IZY58" s="528"/>
      <c r="IZZ58" s="528"/>
      <c r="JAA58" s="528"/>
      <c r="JAB58" s="528"/>
      <c r="JAC58" s="528"/>
      <c r="JAD58" s="528"/>
      <c r="JAE58" s="528"/>
      <c r="JAF58" s="528"/>
      <c r="JAG58" s="528"/>
      <c r="JAH58" s="528"/>
      <c r="JAI58" s="528"/>
      <c r="JAJ58" s="528"/>
      <c r="JAK58" s="528"/>
      <c r="JAL58" s="528"/>
      <c r="JAM58" s="528"/>
      <c r="JAN58" s="528"/>
      <c r="JAO58" s="528"/>
      <c r="JAP58" s="528"/>
      <c r="JAQ58" s="528"/>
      <c r="JAR58" s="528"/>
      <c r="JAS58" s="528"/>
      <c r="JAT58" s="528"/>
      <c r="JAU58" s="528"/>
      <c r="JAV58" s="528"/>
      <c r="JAW58" s="528"/>
      <c r="JAX58" s="528"/>
      <c r="JAY58" s="528"/>
      <c r="JAZ58" s="528"/>
      <c r="JBA58" s="528"/>
      <c r="JBB58" s="528"/>
      <c r="JBC58" s="528"/>
      <c r="JBD58" s="528"/>
      <c r="JBE58" s="528"/>
      <c r="JBF58" s="528"/>
      <c r="JBG58" s="528"/>
      <c r="JBH58" s="528"/>
      <c r="JBI58" s="528"/>
      <c r="JBJ58" s="528"/>
      <c r="JBK58" s="528"/>
      <c r="JBL58" s="528"/>
      <c r="JBM58" s="528"/>
      <c r="JBN58" s="528"/>
      <c r="JBO58" s="528"/>
      <c r="JBP58" s="528"/>
      <c r="JBQ58" s="528"/>
      <c r="JBR58" s="528"/>
      <c r="JBS58" s="528"/>
      <c r="JBT58" s="528"/>
      <c r="JBU58" s="528"/>
      <c r="JBV58" s="528"/>
      <c r="JBW58" s="528"/>
      <c r="JBX58" s="528"/>
      <c r="JBY58" s="528"/>
      <c r="JBZ58" s="528"/>
      <c r="JCA58" s="528"/>
      <c r="JCB58" s="528"/>
      <c r="JCC58" s="528"/>
      <c r="JCD58" s="528"/>
      <c r="JCE58" s="528"/>
      <c r="JCF58" s="528"/>
      <c r="JCG58" s="528"/>
      <c r="JCH58" s="528"/>
      <c r="JCI58" s="528"/>
      <c r="JCJ58" s="528"/>
      <c r="JCK58" s="528"/>
      <c r="JCL58" s="528"/>
      <c r="JCM58" s="528"/>
      <c r="JCN58" s="528"/>
      <c r="JCO58" s="528"/>
      <c r="JCP58" s="528"/>
      <c r="JCQ58" s="528"/>
      <c r="JCR58" s="528"/>
      <c r="JCS58" s="528"/>
      <c r="JCT58" s="528"/>
      <c r="JCU58" s="528"/>
      <c r="JCV58" s="528"/>
      <c r="JCW58" s="528"/>
      <c r="JCX58" s="528"/>
      <c r="JCY58" s="528"/>
      <c r="JCZ58" s="528"/>
      <c r="JDA58" s="528"/>
      <c r="JDB58" s="528"/>
      <c r="JDC58" s="528"/>
      <c r="JDD58" s="528"/>
      <c r="JDE58" s="528"/>
      <c r="JDF58" s="528"/>
      <c r="JDG58" s="528"/>
      <c r="JDH58" s="528"/>
      <c r="JDI58" s="528"/>
      <c r="JDJ58" s="528"/>
      <c r="JDK58" s="528"/>
      <c r="JDL58" s="528"/>
      <c r="JDM58" s="528"/>
      <c r="JDN58" s="528"/>
      <c r="JDO58" s="528"/>
      <c r="JDP58" s="528"/>
      <c r="JDQ58" s="528"/>
      <c r="JDR58" s="528"/>
      <c r="JDS58" s="528"/>
      <c r="JDT58" s="528"/>
      <c r="JDU58" s="528"/>
      <c r="JDV58" s="528"/>
      <c r="JDW58" s="528"/>
      <c r="JDX58" s="528"/>
      <c r="JDY58" s="528"/>
      <c r="JDZ58" s="528"/>
      <c r="JEA58" s="528"/>
      <c r="JEB58" s="528"/>
      <c r="JEC58" s="528"/>
      <c r="JED58" s="528"/>
      <c r="JEE58" s="528"/>
      <c r="JEF58" s="528"/>
      <c r="JEG58" s="528"/>
      <c r="JEH58" s="528"/>
      <c r="JEI58" s="528"/>
      <c r="JEJ58" s="528"/>
      <c r="JEK58" s="528"/>
      <c r="JEL58" s="528"/>
      <c r="JEM58" s="528"/>
      <c r="JEN58" s="528"/>
      <c r="JEO58" s="528"/>
      <c r="JEP58" s="528"/>
      <c r="JEQ58" s="528"/>
      <c r="JER58" s="528"/>
      <c r="JES58" s="528"/>
      <c r="JET58" s="528"/>
      <c r="JEU58" s="528"/>
      <c r="JEV58" s="528"/>
      <c r="JEW58" s="528"/>
      <c r="JEX58" s="528"/>
      <c r="JEY58" s="528"/>
      <c r="JEZ58" s="528"/>
      <c r="JFA58" s="528"/>
      <c r="JFB58" s="528"/>
      <c r="JFC58" s="528"/>
      <c r="JFD58" s="528"/>
      <c r="JFE58" s="528"/>
      <c r="JFF58" s="528"/>
      <c r="JFG58" s="528"/>
      <c r="JFH58" s="528"/>
      <c r="JFI58" s="528"/>
      <c r="JFJ58" s="528"/>
      <c r="JFK58" s="528"/>
      <c r="JFL58" s="528"/>
      <c r="JFM58" s="528"/>
      <c r="JFN58" s="528"/>
      <c r="JFO58" s="528"/>
      <c r="JFP58" s="528"/>
      <c r="JFQ58" s="528"/>
      <c r="JFR58" s="528"/>
      <c r="JFS58" s="528"/>
      <c r="JFT58" s="528"/>
      <c r="JFU58" s="528"/>
      <c r="JFV58" s="528"/>
      <c r="JFW58" s="528"/>
      <c r="JFX58" s="528"/>
      <c r="JFY58" s="528"/>
      <c r="JFZ58" s="528"/>
      <c r="JGA58" s="528"/>
      <c r="JGB58" s="528"/>
      <c r="JGC58" s="528"/>
      <c r="JGD58" s="528"/>
      <c r="JGE58" s="528"/>
      <c r="JGF58" s="528"/>
      <c r="JGG58" s="528"/>
      <c r="JGH58" s="528"/>
      <c r="JGI58" s="528"/>
      <c r="JGJ58" s="528"/>
      <c r="JGK58" s="528"/>
      <c r="JGL58" s="528"/>
      <c r="JGM58" s="528"/>
      <c r="JGN58" s="528"/>
      <c r="JGO58" s="528"/>
      <c r="JGP58" s="528"/>
      <c r="JGQ58" s="528"/>
      <c r="JGR58" s="528"/>
      <c r="JGS58" s="528"/>
      <c r="JGT58" s="528"/>
      <c r="JGU58" s="528"/>
      <c r="JGV58" s="528"/>
      <c r="JGW58" s="528"/>
      <c r="JGX58" s="528"/>
      <c r="JGY58" s="528"/>
      <c r="JGZ58" s="528"/>
      <c r="JHA58" s="528"/>
      <c r="JHB58" s="528"/>
      <c r="JHC58" s="528"/>
      <c r="JHD58" s="528"/>
      <c r="JHE58" s="528"/>
      <c r="JHF58" s="528"/>
      <c r="JHG58" s="528"/>
      <c r="JHH58" s="528"/>
      <c r="JHI58" s="528"/>
      <c r="JHJ58" s="528"/>
      <c r="JHK58" s="528"/>
      <c r="JHL58" s="528"/>
      <c r="JHM58" s="528"/>
      <c r="JHN58" s="528"/>
      <c r="JHO58" s="528"/>
      <c r="JHP58" s="528"/>
      <c r="JHQ58" s="528"/>
      <c r="JHR58" s="528"/>
      <c r="JHS58" s="528"/>
      <c r="JHT58" s="528"/>
      <c r="JHU58" s="528"/>
      <c r="JHV58" s="528"/>
      <c r="JHW58" s="528"/>
      <c r="JHX58" s="528"/>
      <c r="JHY58" s="528"/>
      <c r="JHZ58" s="528"/>
      <c r="JIA58" s="528"/>
      <c r="JIB58" s="528"/>
      <c r="JIC58" s="528"/>
      <c r="JID58" s="528"/>
      <c r="JIE58" s="528"/>
      <c r="JIF58" s="528"/>
      <c r="JIG58" s="528"/>
      <c r="JIH58" s="528"/>
      <c r="JII58" s="528"/>
      <c r="JIJ58" s="528"/>
      <c r="JIK58" s="528"/>
      <c r="JIL58" s="528"/>
      <c r="JIM58" s="528"/>
      <c r="JIN58" s="528"/>
      <c r="JIO58" s="528"/>
      <c r="JIP58" s="528"/>
      <c r="JIQ58" s="528"/>
      <c r="JIR58" s="528"/>
      <c r="JIS58" s="528"/>
      <c r="JIT58" s="528"/>
      <c r="JIU58" s="528"/>
      <c r="JIV58" s="528"/>
      <c r="JIW58" s="528"/>
      <c r="JIX58" s="528"/>
      <c r="JIY58" s="528"/>
      <c r="JIZ58" s="528"/>
      <c r="JJA58" s="528"/>
      <c r="JJB58" s="528"/>
      <c r="JJC58" s="528"/>
      <c r="JJD58" s="528"/>
      <c r="JJE58" s="528"/>
      <c r="JJF58" s="528"/>
      <c r="JJG58" s="528"/>
      <c r="JJH58" s="528"/>
      <c r="JJI58" s="528"/>
      <c r="JJJ58" s="528"/>
      <c r="JJK58" s="528"/>
      <c r="JJL58" s="528"/>
      <c r="JJM58" s="528"/>
      <c r="JJN58" s="528"/>
      <c r="JJO58" s="528"/>
      <c r="JJP58" s="528"/>
      <c r="JJQ58" s="528"/>
      <c r="JJR58" s="528"/>
      <c r="JJS58" s="528"/>
      <c r="JJT58" s="528"/>
      <c r="JJU58" s="528"/>
      <c r="JJV58" s="528"/>
      <c r="JJW58" s="528"/>
      <c r="JJX58" s="528"/>
      <c r="JJY58" s="528"/>
      <c r="JJZ58" s="528"/>
      <c r="JKA58" s="528"/>
      <c r="JKB58" s="528"/>
      <c r="JKC58" s="528"/>
      <c r="JKD58" s="528"/>
      <c r="JKE58" s="528"/>
      <c r="JKF58" s="528"/>
      <c r="JKG58" s="528"/>
      <c r="JKH58" s="528"/>
      <c r="JKI58" s="528"/>
      <c r="JKJ58" s="528"/>
      <c r="JKK58" s="528"/>
      <c r="JKL58" s="528"/>
      <c r="JKM58" s="528"/>
      <c r="JKN58" s="528"/>
      <c r="JKO58" s="528"/>
      <c r="JKP58" s="528"/>
      <c r="JKQ58" s="528"/>
      <c r="JKR58" s="528"/>
      <c r="JKS58" s="528"/>
      <c r="JKT58" s="528"/>
      <c r="JKU58" s="528"/>
      <c r="JKV58" s="528"/>
      <c r="JKW58" s="528"/>
      <c r="JKX58" s="528"/>
      <c r="JKY58" s="528"/>
      <c r="JKZ58" s="528"/>
      <c r="JLA58" s="528"/>
      <c r="JLB58" s="528"/>
      <c r="JLC58" s="528"/>
      <c r="JLD58" s="528"/>
      <c r="JLE58" s="528"/>
      <c r="JLF58" s="528"/>
      <c r="JLG58" s="528"/>
      <c r="JLH58" s="528"/>
      <c r="JLI58" s="528"/>
      <c r="JLJ58" s="528"/>
      <c r="JLK58" s="528"/>
      <c r="JLL58" s="528"/>
      <c r="JLM58" s="528"/>
      <c r="JLN58" s="528"/>
      <c r="JLO58" s="528"/>
      <c r="JLP58" s="528"/>
      <c r="JLQ58" s="528"/>
      <c r="JLR58" s="528"/>
      <c r="JLS58" s="528"/>
      <c r="JLT58" s="528"/>
      <c r="JLU58" s="528"/>
      <c r="JLV58" s="528"/>
      <c r="JLW58" s="528"/>
      <c r="JLX58" s="528"/>
      <c r="JLY58" s="528"/>
      <c r="JLZ58" s="528"/>
      <c r="JMA58" s="528"/>
      <c r="JMB58" s="528"/>
      <c r="JMC58" s="528"/>
      <c r="JMD58" s="528"/>
      <c r="JME58" s="528"/>
      <c r="JMF58" s="528"/>
      <c r="JMG58" s="528"/>
      <c r="JMH58" s="528"/>
      <c r="JMI58" s="528"/>
      <c r="JMJ58" s="528"/>
      <c r="JMK58" s="528"/>
      <c r="JML58" s="528"/>
      <c r="JMM58" s="528"/>
      <c r="JMN58" s="528"/>
      <c r="JMO58" s="528"/>
      <c r="JMP58" s="528"/>
      <c r="JMQ58" s="528"/>
      <c r="JMR58" s="528"/>
      <c r="JMS58" s="528"/>
      <c r="JMT58" s="528"/>
      <c r="JMU58" s="528"/>
      <c r="JMV58" s="528"/>
      <c r="JMW58" s="528"/>
      <c r="JMX58" s="528"/>
      <c r="JMY58" s="528"/>
      <c r="JMZ58" s="528"/>
      <c r="JNA58" s="528"/>
      <c r="JNB58" s="528"/>
      <c r="JNC58" s="528"/>
      <c r="JND58" s="528"/>
      <c r="JNE58" s="528"/>
      <c r="JNF58" s="528"/>
      <c r="JNG58" s="528"/>
      <c r="JNH58" s="528"/>
      <c r="JNI58" s="528"/>
      <c r="JNJ58" s="528"/>
      <c r="JNK58" s="528"/>
      <c r="JNL58" s="528"/>
      <c r="JNM58" s="528"/>
      <c r="JNN58" s="528"/>
      <c r="JNO58" s="528"/>
      <c r="JNP58" s="528"/>
      <c r="JNQ58" s="528"/>
      <c r="JNR58" s="528"/>
      <c r="JNS58" s="528"/>
      <c r="JNT58" s="528"/>
      <c r="JNU58" s="528"/>
      <c r="JNV58" s="528"/>
      <c r="JNW58" s="528"/>
      <c r="JNX58" s="528"/>
      <c r="JNY58" s="528"/>
      <c r="JNZ58" s="528"/>
      <c r="JOA58" s="528"/>
      <c r="JOB58" s="528"/>
      <c r="JOC58" s="528"/>
      <c r="JOD58" s="528"/>
      <c r="JOE58" s="528"/>
      <c r="JOF58" s="528"/>
      <c r="JOG58" s="528"/>
      <c r="JOH58" s="528"/>
      <c r="JOI58" s="528"/>
      <c r="JOJ58" s="528"/>
      <c r="JOK58" s="528"/>
      <c r="JOL58" s="528"/>
      <c r="JOM58" s="528"/>
      <c r="JON58" s="528"/>
      <c r="JOO58" s="528"/>
      <c r="JOP58" s="528"/>
      <c r="JOQ58" s="528"/>
      <c r="JOR58" s="528"/>
      <c r="JOS58" s="528"/>
      <c r="JOT58" s="528"/>
      <c r="JOU58" s="528"/>
      <c r="JOV58" s="528"/>
      <c r="JOW58" s="528"/>
      <c r="JOX58" s="528"/>
      <c r="JOY58" s="528"/>
      <c r="JOZ58" s="528"/>
      <c r="JPA58" s="528"/>
      <c r="JPB58" s="528"/>
      <c r="JPC58" s="528"/>
      <c r="JPD58" s="528"/>
      <c r="JPE58" s="528"/>
      <c r="JPF58" s="528"/>
      <c r="JPG58" s="528"/>
      <c r="JPH58" s="528"/>
      <c r="JPI58" s="528"/>
      <c r="JPJ58" s="528"/>
      <c r="JPK58" s="528"/>
      <c r="JPL58" s="528"/>
      <c r="JPM58" s="528"/>
      <c r="JPN58" s="528"/>
      <c r="JPO58" s="528"/>
      <c r="JPP58" s="528"/>
      <c r="JPQ58" s="528"/>
      <c r="JPR58" s="528"/>
      <c r="JPS58" s="528"/>
      <c r="JPT58" s="528"/>
      <c r="JPU58" s="528"/>
      <c r="JPV58" s="528"/>
      <c r="JPW58" s="528"/>
      <c r="JPX58" s="528"/>
      <c r="JPY58" s="528"/>
      <c r="JPZ58" s="528"/>
      <c r="JQA58" s="528"/>
      <c r="JQB58" s="528"/>
      <c r="JQC58" s="528"/>
      <c r="JQD58" s="528"/>
      <c r="JQE58" s="528"/>
      <c r="JQF58" s="528"/>
      <c r="JQG58" s="528"/>
      <c r="JQH58" s="528"/>
      <c r="JQI58" s="528"/>
      <c r="JQJ58" s="528"/>
      <c r="JQK58" s="528"/>
      <c r="JQL58" s="528"/>
      <c r="JQM58" s="528"/>
      <c r="JQN58" s="528"/>
      <c r="JQO58" s="528"/>
      <c r="JQP58" s="528"/>
      <c r="JQQ58" s="528"/>
      <c r="JQR58" s="528"/>
      <c r="JQS58" s="528"/>
      <c r="JQT58" s="528"/>
      <c r="JQU58" s="528"/>
      <c r="JQV58" s="528"/>
      <c r="JQW58" s="528"/>
      <c r="JQX58" s="528"/>
      <c r="JQY58" s="528"/>
      <c r="JQZ58" s="528"/>
      <c r="JRA58" s="528"/>
      <c r="JRB58" s="528"/>
      <c r="JRC58" s="528"/>
      <c r="JRD58" s="528"/>
      <c r="JRE58" s="528"/>
      <c r="JRF58" s="528"/>
      <c r="JRG58" s="528"/>
      <c r="JRH58" s="528"/>
      <c r="JRI58" s="528"/>
      <c r="JRJ58" s="528"/>
      <c r="JRK58" s="528"/>
      <c r="JRL58" s="528"/>
      <c r="JRM58" s="528"/>
      <c r="JRN58" s="528"/>
      <c r="JRO58" s="528"/>
      <c r="JRP58" s="528"/>
      <c r="JRQ58" s="528"/>
      <c r="JRR58" s="528"/>
      <c r="JRS58" s="528"/>
      <c r="JRT58" s="528"/>
      <c r="JRU58" s="528"/>
      <c r="JRV58" s="528"/>
      <c r="JRW58" s="528"/>
      <c r="JRX58" s="528"/>
      <c r="JRY58" s="528"/>
      <c r="JRZ58" s="528"/>
      <c r="JSA58" s="528"/>
      <c r="JSB58" s="528"/>
      <c r="JSC58" s="528"/>
      <c r="JSD58" s="528"/>
      <c r="JSE58" s="528"/>
      <c r="JSF58" s="528"/>
      <c r="JSG58" s="528"/>
      <c r="JSH58" s="528"/>
      <c r="JSI58" s="528"/>
      <c r="JSJ58" s="528"/>
      <c r="JSK58" s="528"/>
      <c r="JSL58" s="528"/>
      <c r="JSM58" s="528"/>
      <c r="JSN58" s="528"/>
      <c r="JSO58" s="528"/>
      <c r="JSP58" s="528"/>
      <c r="JSQ58" s="528"/>
      <c r="JSR58" s="528"/>
      <c r="JSS58" s="528"/>
      <c r="JST58" s="528"/>
      <c r="JSU58" s="528"/>
      <c r="JSV58" s="528"/>
      <c r="JSW58" s="528"/>
      <c r="JSX58" s="528"/>
      <c r="JSY58" s="528"/>
      <c r="JSZ58" s="528"/>
      <c r="JTA58" s="528"/>
      <c r="JTB58" s="528"/>
      <c r="JTC58" s="528"/>
      <c r="JTD58" s="528"/>
      <c r="JTE58" s="528"/>
      <c r="JTF58" s="528"/>
      <c r="JTG58" s="528"/>
      <c r="JTH58" s="528"/>
      <c r="JTI58" s="528"/>
      <c r="JTJ58" s="528"/>
      <c r="JTK58" s="528"/>
      <c r="JTL58" s="528"/>
      <c r="JTM58" s="528"/>
      <c r="JTN58" s="528"/>
      <c r="JTO58" s="528"/>
      <c r="JTP58" s="528"/>
      <c r="JTQ58" s="528"/>
      <c r="JTR58" s="528"/>
      <c r="JTS58" s="528"/>
      <c r="JTT58" s="528"/>
      <c r="JTU58" s="528"/>
      <c r="JTV58" s="528"/>
      <c r="JTW58" s="528"/>
      <c r="JTX58" s="528"/>
      <c r="JTY58" s="528"/>
      <c r="JTZ58" s="528"/>
      <c r="JUA58" s="528"/>
      <c r="JUB58" s="528"/>
      <c r="JUC58" s="528"/>
      <c r="JUD58" s="528"/>
      <c r="JUE58" s="528"/>
      <c r="JUF58" s="528"/>
      <c r="JUG58" s="528"/>
      <c r="JUH58" s="528"/>
      <c r="JUI58" s="528"/>
      <c r="JUJ58" s="528"/>
      <c r="JUK58" s="528"/>
      <c r="JUL58" s="528"/>
      <c r="JUM58" s="528"/>
      <c r="JUN58" s="528"/>
      <c r="JUO58" s="528"/>
      <c r="JUP58" s="528"/>
      <c r="JUQ58" s="528"/>
      <c r="JUR58" s="528"/>
      <c r="JUS58" s="528"/>
      <c r="JUT58" s="528"/>
      <c r="JUU58" s="528"/>
      <c r="JUV58" s="528"/>
      <c r="JUW58" s="528"/>
      <c r="JUX58" s="528"/>
      <c r="JUY58" s="528"/>
      <c r="JUZ58" s="528"/>
      <c r="JVA58" s="528"/>
      <c r="JVB58" s="528"/>
      <c r="JVC58" s="528"/>
      <c r="JVD58" s="528"/>
      <c r="JVE58" s="528"/>
      <c r="JVF58" s="528"/>
      <c r="JVG58" s="528"/>
      <c r="JVH58" s="528"/>
      <c r="JVI58" s="528"/>
      <c r="JVJ58" s="528"/>
      <c r="JVK58" s="528"/>
      <c r="JVL58" s="528"/>
      <c r="JVM58" s="528"/>
      <c r="JVN58" s="528"/>
      <c r="JVO58" s="528"/>
      <c r="JVP58" s="528"/>
      <c r="JVQ58" s="528"/>
      <c r="JVR58" s="528"/>
      <c r="JVS58" s="528"/>
      <c r="JVT58" s="528"/>
      <c r="JVU58" s="528"/>
      <c r="JVV58" s="528"/>
      <c r="JVW58" s="528"/>
      <c r="JVX58" s="528"/>
      <c r="JVY58" s="528"/>
      <c r="JVZ58" s="528"/>
      <c r="JWA58" s="528"/>
      <c r="JWB58" s="528"/>
      <c r="JWC58" s="528"/>
      <c r="JWD58" s="528"/>
      <c r="JWE58" s="528"/>
      <c r="JWF58" s="528"/>
      <c r="JWG58" s="528"/>
      <c r="JWH58" s="528"/>
      <c r="JWI58" s="528"/>
      <c r="JWJ58" s="528"/>
      <c r="JWK58" s="528"/>
      <c r="JWL58" s="528"/>
      <c r="JWM58" s="528"/>
      <c r="JWN58" s="528"/>
      <c r="JWO58" s="528"/>
      <c r="JWP58" s="528"/>
      <c r="JWQ58" s="528"/>
      <c r="JWR58" s="528"/>
      <c r="JWS58" s="528"/>
      <c r="JWT58" s="528"/>
      <c r="JWU58" s="528"/>
      <c r="JWV58" s="528"/>
      <c r="JWW58" s="528"/>
      <c r="JWX58" s="528"/>
      <c r="JWY58" s="528"/>
      <c r="JWZ58" s="528"/>
      <c r="JXA58" s="528"/>
      <c r="JXB58" s="528"/>
      <c r="JXC58" s="528"/>
      <c r="JXD58" s="528"/>
      <c r="JXE58" s="528"/>
      <c r="JXF58" s="528"/>
      <c r="JXG58" s="528"/>
      <c r="JXH58" s="528"/>
      <c r="JXI58" s="528"/>
      <c r="JXJ58" s="528"/>
      <c r="JXK58" s="528"/>
      <c r="JXL58" s="528"/>
      <c r="JXM58" s="528"/>
      <c r="JXN58" s="528"/>
      <c r="JXO58" s="528"/>
      <c r="JXP58" s="528"/>
      <c r="JXQ58" s="528"/>
      <c r="JXR58" s="528"/>
      <c r="JXS58" s="528"/>
      <c r="JXT58" s="528"/>
      <c r="JXU58" s="528"/>
      <c r="JXV58" s="528"/>
      <c r="JXW58" s="528"/>
      <c r="JXX58" s="528"/>
      <c r="JXY58" s="528"/>
      <c r="JXZ58" s="528"/>
      <c r="JYA58" s="528"/>
      <c r="JYB58" s="528"/>
      <c r="JYC58" s="528"/>
      <c r="JYD58" s="528"/>
      <c r="JYE58" s="528"/>
      <c r="JYF58" s="528"/>
      <c r="JYG58" s="528"/>
      <c r="JYH58" s="528"/>
      <c r="JYI58" s="528"/>
      <c r="JYJ58" s="528"/>
      <c r="JYK58" s="528"/>
      <c r="JYL58" s="528"/>
      <c r="JYM58" s="528"/>
      <c r="JYN58" s="528"/>
      <c r="JYO58" s="528"/>
      <c r="JYP58" s="528"/>
      <c r="JYQ58" s="528"/>
      <c r="JYR58" s="528"/>
      <c r="JYS58" s="528"/>
      <c r="JYT58" s="528"/>
      <c r="JYU58" s="528"/>
      <c r="JYV58" s="528"/>
      <c r="JYW58" s="528"/>
      <c r="JYX58" s="528"/>
      <c r="JYY58" s="528"/>
      <c r="JYZ58" s="528"/>
      <c r="JZA58" s="528"/>
      <c r="JZB58" s="528"/>
      <c r="JZC58" s="528"/>
      <c r="JZD58" s="528"/>
      <c r="JZE58" s="528"/>
      <c r="JZF58" s="528"/>
      <c r="JZG58" s="528"/>
      <c r="JZH58" s="528"/>
      <c r="JZI58" s="528"/>
      <c r="JZJ58" s="528"/>
      <c r="JZK58" s="528"/>
      <c r="JZL58" s="528"/>
      <c r="JZM58" s="528"/>
      <c r="JZN58" s="528"/>
      <c r="JZO58" s="528"/>
      <c r="JZP58" s="528"/>
      <c r="JZQ58" s="528"/>
      <c r="JZR58" s="528"/>
      <c r="JZS58" s="528"/>
      <c r="JZT58" s="528"/>
      <c r="JZU58" s="528"/>
      <c r="JZV58" s="528"/>
      <c r="JZW58" s="528"/>
      <c r="JZX58" s="528"/>
      <c r="JZY58" s="528"/>
      <c r="JZZ58" s="528"/>
      <c r="KAA58" s="528"/>
      <c r="KAB58" s="528"/>
      <c r="KAC58" s="528"/>
      <c r="KAD58" s="528"/>
      <c r="KAE58" s="528"/>
      <c r="KAF58" s="528"/>
      <c r="KAG58" s="528"/>
      <c r="KAH58" s="528"/>
      <c r="KAI58" s="528"/>
      <c r="KAJ58" s="528"/>
      <c r="KAK58" s="528"/>
      <c r="KAL58" s="528"/>
      <c r="KAM58" s="528"/>
      <c r="KAN58" s="528"/>
      <c r="KAO58" s="528"/>
      <c r="KAP58" s="528"/>
      <c r="KAQ58" s="528"/>
      <c r="KAR58" s="528"/>
      <c r="KAS58" s="528"/>
      <c r="KAT58" s="528"/>
      <c r="KAU58" s="528"/>
      <c r="KAV58" s="528"/>
      <c r="KAW58" s="528"/>
      <c r="KAX58" s="528"/>
      <c r="KAY58" s="528"/>
      <c r="KAZ58" s="528"/>
      <c r="KBA58" s="528"/>
      <c r="KBB58" s="528"/>
      <c r="KBC58" s="528"/>
      <c r="KBD58" s="528"/>
      <c r="KBE58" s="528"/>
      <c r="KBF58" s="528"/>
      <c r="KBG58" s="528"/>
      <c r="KBH58" s="528"/>
      <c r="KBI58" s="528"/>
      <c r="KBJ58" s="528"/>
      <c r="KBK58" s="528"/>
      <c r="KBL58" s="528"/>
      <c r="KBM58" s="528"/>
      <c r="KBN58" s="528"/>
      <c r="KBO58" s="528"/>
      <c r="KBP58" s="528"/>
      <c r="KBQ58" s="528"/>
      <c r="KBR58" s="528"/>
      <c r="KBS58" s="528"/>
      <c r="KBT58" s="528"/>
      <c r="KBU58" s="528"/>
      <c r="KBV58" s="528"/>
      <c r="KBW58" s="528"/>
      <c r="KBX58" s="528"/>
      <c r="KBY58" s="528"/>
      <c r="KBZ58" s="528"/>
      <c r="KCA58" s="528"/>
      <c r="KCB58" s="528"/>
      <c r="KCC58" s="528"/>
      <c r="KCD58" s="528"/>
      <c r="KCE58" s="528"/>
      <c r="KCF58" s="528"/>
      <c r="KCG58" s="528"/>
      <c r="KCH58" s="528"/>
      <c r="KCI58" s="528"/>
      <c r="KCJ58" s="528"/>
      <c r="KCK58" s="528"/>
      <c r="KCL58" s="528"/>
      <c r="KCM58" s="528"/>
      <c r="KCN58" s="528"/>
      <c r="KCO58" s="528"/>
      <c r="KCP58" s="528"/>
      <c r="KCQ58" s="528"/>
      <c r="KCR58" s="528"/>
      <c r="KCS58" s="528"/>
      <c r="KCT58" s="528"/>
      <c r="KCU58" s="528"/>
      <c r="KCV58" s="528"/>
      <c r="KCW58" s="528"/>
      <c r="KCX58" s="528"/>
      <c r="KCY58" s="528"/>
      <c r="KCZ58" s="528"/>
      <c r="KDA58" s="528"/>
      <c r="KDB58" s="528"/>
      <c r="KDC58" s="528"/>
      <c r="KDD58" s="528"/>
      <c r="KDE58" s="528"/>
      <c r="KDF58" s="528"/>
      <c r="KDG58" s="528"/>
      <c r="KDH58" s="528"/>
      <c r="KDI58" s="528"/>
      <c r="KDJ58" s="528"/>
      <c r="KDK58" s="528"/>
      <c r="KDL58" s="528"/>
      <c r="KDM58" s="528"/>
      <c r="KDN58" s="528"/>
      <c r="KDO58" s="528"/>
      <c r="KDP58" s="528"/>
      <c r="KDQ58" s="528"/>
      <c r="KDR58" s="528"/>
      <c r="KDS58" s="528"/>
      <c r="KDT58" s="528"/>
      <c r="KDU58" s="528"/>
      <c r="KDV58" s="528"/>
      <c r="KDW58" s="528"/>
      <c r="KDX58" s="528"/>
      <c r="KDY58" s="528"/>
      <c r="KDZ58" s="528"/>
      <c r="KEA58" s="528"/>
      <c r="KEB58" s="528"/>
      <c r="KEC58" s="528"/>
      <c r="KED58" s="528"/>
      <c r="KEE58" s="528"/>
      <c r="KEF58" s="528"/>
      <c r="KEG58" s="528"/>
      <c r="KEH58" s="528"/>
      <c r="KEI58" s="528"/>
      <c r="KEJ58" s="528"/>
      <c r="KEK58" s="528"/>
      <c r="KEL58" s="528"/>
      <c r="KEM58" s="528"/>
      <c r="KEN58" s="528"/>
      <c r="KEO58" s="528"/>
      <c r="KEP58" s="528"/>
      <c r="KEQ58" s="528"/>
      <c r="KER58" s="528"/>
      <c r="KES58" s="528"/>
      <c r="KET58" s="528"/>
      <c r="KEU58" s="528"/>
      <c r="KEV58" s="528"/>
      <c r="KEW58" s="528"/>
      <c r="KEX58" s="528"/>
      <c r="KEY58" s="528"/>
      <c r="KEZ58" s="528"/>
      <c r="KFA58" s="528"/>
      <c r="KFB58" s="528"/>
      <c r="KFC58" s="528"/>
      <c r="KFD58" s="528"/>
      <c r="KFE58" s="528"/>
      <c r="KFF58" s="528"/>
      <c r="KFG58" s="528"/>
      <c r="KFH58" s="528"/>
      <c r="KFI58" s="528"/>
      <c r="KFJ58" s="528"/>
      <c r="KFK58" s="528"/>
      <c r="KFL58" s="528"/>
      <c r="KFM58" s="528"/>
      <c r="KFN58" s="528"/>
      <c r="KFO58" s="528"/>
      <c r="KFP58" s="528"/>
      <c r="KFQ58" s="528"/>
      <c r="KFR58" s="528"/>
      <c r="KFS58" s="528"/>
      <c r="KFT58" s="528"/>
      <c r="KFU58" s="528"/>
      <c r="KFV58" s="528"/>
      <c r="KFW58" s="528"/>
      <c r="KFX58" s="528"/>
      <c r="KFY58" s="528"/>
      <c r="KFZ58" s="528"/>
      <c r="KGA58" s="528"/>
      <c r="KGB58" s="528"/>
      <c r="KGC58" s="528"/>
      <c r="KGD58" s="528"/>
      <c r="KGE58" s="528"/>
      <c r="KGF58" s="528"/>
      <c r="KGG58" s="528"/>
      <c r="KGH58" s="528"/>
      <c r="KGI58" s="528"/>
      <c r="KGJ58" s="528"/>
      <c r="KGK58" s="528"/>
      <c r="KGL58" s="528"/>
      <c r="KGM58" s="528"/>
      <c r="KGN58" s="528"/>
      <c r="KGO58" s="528"/>
      <c r="KGP58" s="528"/>
      <c r="KGQ58" s="528"/>
      <c r="KGR58" s="528"/>
      <c r="KGS58" s="528"/>
      <c r="KGT58" s="528"/>
      <c r="KGU58" s="528"/>
      <c r="KGV58" s="528"/>
      <c r="KGW58" s="528"/>
      <c r="KGX58" s="528"/>
      <c r="KGY58" s="528"/>
      <c r="KGZ58" s="528"/>
      <c r="KHA58" s="528"/>
      <c r="KHB58" s="528"/>
      <c r="KHC58" s="528"/>
      <c r="KHD58" s="528"/>
      <c r="KHE58" s="528"/>
      <c r="KHF58" s="528"/>
      <c r="KHG58" s="528"/>
      <c r="KHH58" s="528"/>
      <c r="KHI58" s="528"/>
      <c r="KHJ58" s="528"/>
      <c r="KHK58" s="528"/>
      <c r="KHL58" s="528"/>
      <c r="KHM58" s="528"/>
      <c r="KHN58" s="528"/>
      <c r="KHO58" s="528"/>
      <c r="KHP58" s="528"/>
      <c r="KHQ58" s="528"/>
      <c r="KHR58" s="528"/>
      <c r="KHS58" s="528"/>
      <c r="KHT58" s="528"/>
      <c r="KHU58" s="528"/>
      <c r="KHV58" s="528"/>
      <c r="KHW58" s="528"/>
      <c r="KHX58" s="528"/>
      <c r="KHY58" s="528"/>
      <c r="KHZ58" s="528"/>
      <c r="KIA58" s="528"/>
      <c r="KIB58" s="528"/>
      <c r="KIC58" s="528"/>
      <c r="KID58" s="528"/>
      <c r="KIE58" s="528"/>
      <c r="KIF58" s="528"/>
      <c r="KIG58" s="528"/>
      <c r="KIH58" s="528"/>
      <c r="KII58" s="528"/>
      <c r="KIJ58" s="528"/>
      <c r="KIK58" s="528"/>
      <c r="KIL58" s="528"/>
      <c r="KIM58" s="528"/>
      <c r="KIN58" s="528"/>
      <c r="KIO58" s="528"/>
      <c r="KIP58" s="528"/>
      <c r="KIQ58" s="528"/>
      <c r="KIR58" s="528"/>
      <c r="KIS58" s="528"/>
      <c r="KIT58" s="528"/>
      <c r="KIU58" s="528"/>
      <c r="KIV58" s="528"/>
      <c r="KIW58" s="528"/>
      <c r="KIX58" s="528"/>
      <c r="KIY58" s="528"/>
      <c r="KIZ58" s="528"/>
      <c r="KJA58" s="528"/>
      <c r="KJB58" s="528"/>
      <c r="KJC58" s="528"/>
      <c r="KJD58" s="528"/>
      <c r="KJE58" s="528"/>
      <c r="KJF58" s="528"/>
      <c r="KJG58" s="528"/>
      <c r="KJH58" s="528"/>
      <c r="KJI58" s="528"/>
      <c r="KJJ58" s="528"/>
      <c r="KJK58" s="528"/>
      <c r="KJL58" s="528"/>
      <c r="KJM58" s="528"/>
      <c r="KJN58" s="528"/>
      <c r="KJO58" s="528"/>
      <c r="KJP58" s="528"/>
      <c r="KJQ58" s="528"/>
      <c r="KJR58" s="528"/>
      <c r="KJS58" s="528"/>
      <c r="KJT58" s="528"/>
      <c r="KJU58" s="528"/>
      <c r="KJV58" s="528"/>
      <c r="KJW58" s="528"/>
      <c r="KJX58" s="528"/>
      <c r="KJY58" s="528"/>
      <c r="KJZ58" s="528"/>
      <c r="KKA58" s="528"/>
      <c r="KKB58" s="528"/>
      <c r="KKC58" s="528"/>
      <c r="KKD58" s="528"/>
      <c r="KKE58" s="528"/>
      <c r="KKF58" s="528"/>
      <c r="KKG58" s="528"/>
      <c r="KKH58" s="528"/>
      <c r="KKI58" s="528"/>
      <c r="KKJ58" s="528"/>
      <c r="KKK58" s="528"/>
      <c r="KKL58" s="528"/>
      <c r="KKM58" s="528"/>
      <c r="KKN58" s="528"/>
      <c r="KKO58" s="528"/>
      <c r="KKP58" s="528"/>
      <c r="KKQ58" s="528"/>
      <c r="KKR58" s="528"/>
      <c r="KKS58" s="528"/>
      <c r="KKT58" s="528"/>
      <c r="KKU58" s="528"/>
      <c r="KKV58" s="528"/>
      <c r="KKW58" s="528"/>
      <c r="KKX58" s="528"/>
      <c r="KKY58" s="528"/>
      <c r="KKZ58" s="528"/>
      <c r="KLA58" s="528"/>
      <c r="KLB58" s="528"/>
      <c r="KLC58" s="528"/>
      <c r="KLD58" s="528"/>
      <c r="KLE58" s="528"/>
      <c r="KLF58" s="528"/>
      <c r="KLG58" s="528"/>
      <c r="KLH58" s="528"/>
      <c r="KLI58" s="528"/>
      <c r="KLJ58" s="528"/>
      <c r="KLK58" s="528"/>
      <c r="KLL58" s="528"/>
      <c r="KLM58" s="528"/>
      <c r="KLN58" s="528"/>
      <c r="KLO58" s="528"/>
      <c r="KLP58" s="528"/>
      <c r="KLQ58" s="528"/>
      <c r="KLR58" s="528"/>
      <c r="KLS58" s="528"/>
      <c r="KLT58" s="528"/>
      <c r="KLU58" s="528"/>
      <c r="KLV58" s="528"/>
      <c r="KLW58" s="528"/>
      <c r="KLX58" s="528"/>
      <c r="KLY58" s="528"/>
      <c r="KLZ58" s="528"/>
      <c r="KMA58" s="528"/>
      <c r="KMB58" s="528"/>
      <c r="KMC58" s="528"/>
      <c r="KMD58" s="528"/>
      <c r="KME58" s="528"/>
      <c r="KMF58" s="528"/>
      <c r="KMG58" s="528"/>
      <c r="KMH58" s="528"/>
      <c r="KMI58" s="528"/>
      <c r="KMJ58" s="528"/>
      <c r="KMK58" s="528"/>
      <c r="KML58" s="528"/>
      <c r="KMM58" s="528"/>
      <c r="KMN58" s="528"/>
      <c r="KMO58" s="528"/>
      <c r="KMP58" s="528"/>
      <c r="KMQ58" s="528"/>
      <c r="KMR58" s="528"/>
      <c r="KMS58" s="528"/>
      <c r="KMT58" s="528"/>
      <c r="KMU58" s="528"/>
      <c r="KMV58" s="528"/>
      <c r="KMW58" s="528"/>
      <c r="KMX58" s="528"/>
      <c r="KMY58" s="528"/>
      <c r="KMZ58" s="528"/>
      <c r="KNA58" s="528"/>
      <c r="KNB58" s="528"/>
      <c r="KNC58" s="528"/>
      <c r="KND58" s="528"/>
      <c r="KNE58" s="528"/>
      <c r="KNF58" s="528"/>
      <c r="KNG58" s="528"/>
      <c r="KNH58" s="528"/>
      <c r="KNI58" s="528"/>
      <c r="KNJ58" s="528"/>
      <c r="KNK58" s="528"/>
      <c r="KNL58" s="528"/>
      <c r="KNM58" s="528"/>
      <c r="KNN58" s="528"/>
      <c r="KNO58" s="528"/>
      <c r="KNP58" s="528"/>
      <c r="KNQ58" s="528"/>
      <c r="KNR58" s="528"/>
      <c r="KNS58" s="528"/>
      <c r="KNT58" s="528"/>
      <c r="KNU58" s="528"/>
      <c r="KNV58" s="528"/>
      <c r="KNW58" s="528"/>
      <c r="KNX58" s="528"/>
      <c r="KNY58" s="528"/>
      <c r="KNZ58" s="528"/>
      <c r="KOA58" s="528"/>
      <c r="KOB58" s="528"/>
      <c r="KOC58" s="528"/>
      <c r="KOD58" s="528"/>
      <c r="KOE58" s="528"/>
      <c r="KOF58" s="528"/>
      <c r="KOG58" s="528"/>
      <c r="KOH58" s="528"/>
      <c r="KOI58" s="528"/>
      <c r="KOJ58" s="528"/>
      <c r="KOK58" s="528"/>
      <c r="KOL58" s="528"/>
      <c r="KOM58" s="528"/>
      <c r="KON58" s="528"/>
      <c r="KOO58" s="528"/>
      <c r="KOP58" s="528"/>
      <c r="KOQ58" s="528"/>
      <c r="KOR58" s="528"/>
      <c r="KOS58" s="528"/>
      <c r="KOT58" s="528"/>
      <c r="KOU58" s="528"/>
      <c r="KOV58" s="528"/>
      <c r="KOW58" s="528"/>
      <c r="KOX58" s="528"/>
      <c r="KOY58" s="528"/>
      <c r="KOZ58" s="528"/>
      <c r="KPA58" s="528"/>
      <c r="KPB58" s="528"/>
      <c r="KPC58" s="528"/>
      <c r="KPD58" s="528"/>
      <c r="KPE58" s="528"/>
      <c r="KPF58" s="528"/>
      <c r="KPG58" s="528"/>
      <c r="KPH58" s="528"/>
      <c r="KPI58" s="528"/>
      <c r="KPJ58" s="528"/>
      <c r="KPK58" s="528"/>
      <c r="KPL58" s="528"/>
      <c r="KPM58" s="528"/>
      <c r="KPN58" s="528"/>
      <c r="KPO58" s="528"/>
      <c r="KPP58" s="528"/>
      <c r="KPQ58" s="528"/>
      <c r="KPR58" s="528"/>
      <c r="KPS58" s="528"/>
      <c r="KPT58" s="528"/>
      <c r="KPU58" s="528"/>
      <c r="KPV58" s="528"/>
      <c r="KPW58" s="528"/>
      <c r="KPX58" s="528"/>
      <c r="KPY58" s="528"/>
      <c r="KPZ58" s="528"/>
      <c r="KQA58" s="528"/>
      <c r="KQB58" s="528"/>
      <c r="KQC58" s="528"/>
      <c r="KQD58" s="528"/>
      <c r="KQE58" s="528"/>
      <c r="KQF58" s="528"/>
      <c r="KQG58" s="528"/>
      <c r="KQH58" s="528"/>
      <c r="KQI58" s="528"/>
      <c r="KQJ58" s="528"/>
      <c r="KQK58" s="528"/>
      <c r="KQL58" s="528"/>
      <c r="KQM58" s="528"/>
      <c r="KQN58" s="528"/>
      <c r="KQO58" s="528"/>
      <c r="KQP58" s="528"/>
      <c r="KQQ58" s="528"/>
      <c r="KQR58" s="528"/>
      <c r="KQS58" s="528"/>
      <c r="KQT58" s="528"/>
      <c r="KQU58" s="528"/>
      <c r="KQV58" s="528"/>
      <c r="KQW58" s="528"/>
      <c r="KQX58" s="528"/>
      <c r="KQY58" s="528"/>
      <c r="KQZ58" s="528"/>
      <c r="KRA58" s="528"/>
      <c r="KRB58" s="528"/>
      <c r="KRC58" s="528"/>
      <c r="KRD58" s="528"/>
      <c r="KRE58" s="528"/>
      <c r="KRF58" s="528"/>
      <c r="KRG58" s="528"/>
      <c r="KRH58" s="528"/>
      <c r="KRI58" s="528"/>
      <c r="KRJ58" s="528"/>
      <c r="KRK58" s="528"/>
      <c r="KRL58" s="528"/>
      <c r="KRM58" s="528"/>
      <c r="KRN58" s="528"/>
      <c r="KRO58" s="528"/>
      <c r="KRP58" s="528"/>
      <c r="KRQ58" s="528"/>
      <c r="KRR58" s="528"/>
      <c r="KRS58" s="528"/>
      <c r="KRT58" s="528"/>
      <c r="KRU58" s="528"/>
      <c r="KRV58" s="528"/>
      <c r="KRW58" s="528"/>
      <c r="KRX58" s="528"/>
      <c r="KRY58" s="528"/>
      <c r="KRZ58" s="528"/>
      <c r="KSA58" s="528"/>
      <c r="KSB58" s="528"/>
      <c r="KSC58" s="528"/>
      <c r="KSD58" s="528"/>
      <c r="KSE58" s="528"/>
      <c r="KSF58" s="528"/>
      <c r="KSG58" s="528"/>
      <c r="KSH58" s="528"/>
      <c r="KSI58" s="528"/>
      <c r="KSJ58" s="528"/>
      <c r="KSK58" s="528"/>
      <c r="KSL58" s="528"/>
      <c r="KSM58" s="528"/>
      <c r="KSN58" s="528"/>
      <c r="KSO58" s="528"/>
      <c r="KSP58" s="528"/>
      <c r="KSQ58" s="528"/>
      <c r="KSR58" s="528"/>
      <c r="KSS58" s="528"/>
      <c r="KST58" s="528"/>
      <c r="KSU58" s="528"/>
      <c r="KSV58" s="528"/>
      <c r="KSW58" s="528"/>
      <c r="KSX58" s="528"/>
      <c r="KSY58" s="528"/>
      <c r="KSZ58" s="528"/>
      <c r="KTA58" s="528"/>
      <c r="KTB58" s="528"/>
      <c r="KTC58" s="528"/>
      <c r="KTD58" s="528"/>
      <c r="KTE58" s="528"/>
      <c r="KTF58" s="528"/>
      <c r="KTG58" s="528"/>
      <c r="KTH58" s="528"/>
      <c r="KTI58" s="528"/>
      <c r="KTJ58" s="528"/>
      <c r="KTK58" s="528"/>
      <c r="KTL58" s="528"/>
      <c r="KTM58" s="528"/>
      <c r="KTN58" s="528"/>
      <c r="KTO58" s="528"/>
      <c r="KTP58" s="528"/>
      <c r="KTQ58" s="528"/>
      <c r="KTR58" s="528"/>
      <c r="KTS58" s="528"/>
      <c r="KTT58" s="528"/>
      <c r="KTU58" s="528"/>
      <c r="KTV58" s="528"/>
      <c r="KTW58" s="528"/>
      <c r="KTX58" s="528"/>
      <c r="KTY58" s="528"/>
      <c r="KTZ58" s="528"/>
      <c r="KUA58" s="528"/>
      <c r="KUB58" s="528"/>
      <c r="KUC58" s="528"/>
      <c r="KUD58" s="528"/>
      <c r="KUE58" s="528"/>
      <c r="KUF58" s="528"/>
      <c r="KUG58" s="528"/>
      <c r="KUH58" s="528"/>
      <c r="KUI58" s="528"/>
      <c r="KUJ58" s="528"/>
      <c r="KUK58" s="528"/>
      <c r="KUL58" s="528"/>
      <c r="KUM58" s="528"/>
      <c r="KUN58" s="528"/>
      <c r="KUO58" s="528"/>
      <c r="KUP58" s="528"/>
      <c r="KUQ58" s="528"/>
      <c r="KUR58" s="528"/>
      <c r="KUS58" s="528"/>
      <c r="KUT58" s="528"/>
      <c r="KUU58" s="528"/>
      <c r="KUV58" s="528"/>
      <c r="KUW58" s="528"/>
      <c r="KUX58" s="528"/>
      <c r="KUY58" s="528"/>
      <c r="KUZ58" s="528"/>
      <c r="KVA58" s="528"/>
      <c r="KVB58" s="528"/>
      <c r="KVC58" s="528"/>
      <c r="KVD58" s="528"/>
      <c r="KVE58" s="528"/>
      <c r="KVF58" s="528"/>
      <c r="KVG58" s="528"/>
      <c r="KVH58" s="528"/>
      <c r="KVI58" s="528"/>
      <c r="KVJ58" s="528"/>
      <c r="KVK58" s="528"/>
      <c r="KVL58" s="528"/>
      <c r="KVM58" s="528"/>
      <c r="KVN58" s="528"/>
      <c r="KVO58" s="528"/>
      <c r="KVP58" s="528"/>
      <c r="KVQ58" s="528"/>
      <c r="KVR58" s="528"/>
      <c r="KVS58" s="528"/>
      <c r="KVT58" s="528"/>
      <c r="KVU58" s="528"/>
      <c r="KVV58" s="528"/>
      <c r="KVW58" s="528"/>
      <c r="KVX58" s="528"/>
      <c r="KVY58" s="528"/>
      <c r="KVZ58" s="528"/>
      <c r="KWA58" s="528"/>
      <c r="KWB58" s="528"/>
      <c r="KWC58" s="528"/>
      <c r="KWD58" s="528"/>
      <c r="KWE58" s="528"/>
      <c r="KWF58" s="528"/>
      <c r="KWG58" s="528"/>
      <c r="KWH58" s="528"/>
      <c r="KWI58" s="528"/>
      <c r="KWJ58" s="528"/>
      <c r="KWK58" s="528"/>
      <c r="KWL58" s="528"/>
      <c r="KWM58" s="528"/>
      <c r="KWN58" s="528"/>
      <c r="KWO58" s="528"/>
      <c r="KWP58" s="528"/>
      <c r="KWQ58" s="528"/>
      <c r="KWR58" s="528"/>
      <c r="KWS58" s="528"/>
      <c r="KWT58" s="528"/>
      <c r="KWU58" s="528"/>
      <c r="KWV58" s="528"/>
      <c r="KWW58" s="528"/>
      <c r="KWX58" s="528"/>
      <c r="KWY58" s="528"/>
      <c r="KWZ58" s="528"/>
      <c r="KXA58" s="528"/>
      <c r="KXB58" s="528"/>
      <c r="KXC58" s="528"/>
      <c r="KXD58" s="528"/>
      <c r="KXE58" s="528"/>
      <c r="KXF58" s="528"/>
      <c r="KXG58" s="528"/>
      <c r="KXH58" s="528"/>
      <c r="KXI58" s="528"/>
      <c r="KXJ58" s="528"/>
      <c r="KXK58" s="528"/>
      <c r="KXL58" s="528"/>
      <c r="KXM58" s="528"/>
      <c r="KXN58" s="528"/>
      <c r="KXO58" s="528"/>
      <c r="KXP58" s="528"/>
      <c r="KXQ58" s="528"/>
      <c r="KXR58" s="528"/>
      <c r="KXS58" s="528"/>
      <c r="KXT58" s="528"/>
      <c r="KXU58" s="528"/>
      <c r="KXV58" s="528"/>
      <c r="KXW58" s="528"/>
      <c r="KXX58" s="528"/>
      <c r="KXY58" s="528"/>
      <c r="KXZ58" s="528"/>
      <c r="KYA58" s="528"/>
      <c r="KYB58" s="528"/>
      <c r="KYC58" s="528"/>
      <c r="KYD58" s="528"/>
      <c r="KYE58" s="528"/>
      <c r="KYF58" s="528"/>
      <c r="KYG58" s="528"/>
      <c r="KYH58" s="528"/>
      <c r="KYI58" s="528"/>
      <c r="KYJ58" s="528"/>
      <c r="KYK58" s="528"/>
      <c r="KYL58" s="528"/>
      <c r="KYM58" s="528"/>
      <c r="KYN58" s="528"/>
      <c r="KYO58" s="528"/>
      <c r="KYP58" s="528"/>
      <c r="KYQ58" s="528"/>
      <c r="KYR58" s="528"/>
      <c r="KYS58" s="528"/>
      <c r="KYT58" s="528"/>
      <c r="KYU58" s="528"/>
      <c r="KYV58" s="528"/>
      <c r="KYW58" s="528"/>
      <c r="KYX58" s="528"/>
      <c r="KYY58" s="528"/>
      <c r="KYZ58" s="528"/>
      <c r="KZA58" s="528"/>
      <c r="KZB58" s="528"/>
      <c r="KZC58" s="528"/>
      <c r="KZD58" s="528"/>
      <c r="KZE58" s="528"/>
      <c r="KZF58" s="528"/>
      <c r="KZG58" s="528"/>
      <c r="KZH58" s="528"/>
      <c r="KZI58" s="528"/>
      <c r="KZJ58" s="528"/>
      <c r="KZK58" s="528"/>
      <c r="KZL58" s="528"/>
      <c r="KZM58" s="528"/>
      <c r="KZN58" s="528"/>
      <c r="KZO58" s="528"/>
      <c r="KZP58" s="528"/>
      <c r="KZQ58" s="528"/>
      <c r="KZR58" s="528"/>
      <c r="KZS58" s="528"/>
      <c r="KZT58" s="528"/>
      <c r="KZU58" s="528"/>
      <c r="KZV58" s="528"/>
      <c r="KZW58" s="528"/>
      <c r="KZX58" s="528"/>
      <c r="KZY58" s="528"/>
      <c r="KZZ58" s="528"/>
      <c r="LAA58" s="528"/>
      <c r="LAB58" s="528"/>
      <c r="LAC58" s="528"/>
      <c r="LAD58" s="528"/>
      <c r="LAE58" s="528"/>
      <c r="LAF58" s="528"/>
      <c r="LAG58" s="528"/>
      <c r="LAH58" s="528"/>
      <c r="LAI58" s="528"/>
      <c r="LAJ58" s="528"/>
      <c r="LAK58" s="528"/>
      <c r="LAL58" s="528"/>
      <c r="LAM58" s="528"/>
      <c r="LAN58" s="528"/>
      <c r="LAO58" s="528"/>
      <c r="LAP58" s="528"/>
      <c r="LAQ58" s="528"/>
      <c r="LAR58" s="528"/>
      <c r="LAS58" s="528"/>
      <c r="LAT58" s="528"/>
      <c r="LAU58" s="528"/>
      <c r="LAV58" s="528"/>
      <c r="LAW58" s="528"/>
      <c r="LAX58" s="528"/>
      <c r="LAY58" s="528"/>
      <c r="LAZ58" s="528"/>
      <c r="LBA58" s="528"/>
      <c r="LBB58" s="528"/>
      <c r="LBC58" s="528"/>
      <c r="LBD58" s="528"/>
      <c r="LBE58" s="528"/>
      <c r="LBF58" s="528"/>
      <c r="LBG58" s="528"/>
      <c r="LBH58" s="528"/>
      <c r="LBI58" s="528"/>
      <c r="LBJ58" s="528"/>
      <c r="LBK58" s="528"/>
      <c r="LBL58" s="528"/>
      <c r="LBM58" s="528"/>
      <c r="LBN58" s="528"/>
      <c r="LBO58" s="528"/>
      <c r="LBP58" s="528"/>
      <c r="LBQ58" s="528"/>
      <c r="LBR58" s="528"/>
      <c r="LBS58" s="528"/>
      <c r="LBT58" s="528"/>
      <c r="LBU58" s="528"/>
      <c r="LBV58" s="528"/>
      <c r="LBW58" s="528"/>
      <c r="LBX58" s="528"/>
      <c r="LBY58" s="528"/>
      <c r="LBZ58" s="528"/>
      <c r="LCA58" s="528"/>
      <c r="LCB58" s="528"/>
      <c r="LCC58" s="528"/>
      <c r="LCD58" s="528"/>
      <c r="LCE58" s="528"/>
      <c r="LCF58" s="528"/>
      <c r="LCG58" s="528"/>
      <c r="LCH58" s="528"/>
      <c r="LCI58" s="528"/>
      <c r="LCJ58" s="528"/>
      <c r="LCK58" s="528"/>
      <c r="LCL58" s="528"/>
      <c r="LCM58" s="528"/>
      <c r="LCN58" s="528"/>
      <c r="LCO58" s="528"/>
      <c r="LCP58" s="528"/>
      <c r="LCQ58" s="528"/>
      <c r="LCR58" s="528"/>
      <c r="LCS58" s="528"/>
      <c r="LCT58" s="528"/>
      <c r="LCU58" s="528"/>
      <c r="LCV58" s="528"/>
      <c r="LCW58" s="528"/>
      <c r="LCX58" s="528"/>
      <c r="LCY58" s="528"/>
      <c r="LCZ58" s="528"/>
      <c r="LDA58" s="528"/>
      <c r="LDB58" s="528"/>
      <c r="LDC58" s="528"/>
      <c r="LDD58" s="528"/>
      <c r="LDE58" s="528"/>
      <c r="LDF58" s="528"/>
      <c r="LDG58" s="528"/>
      <c r="LDH58" s="528"/>
      <c r="LDI58" s="528"/>
      <c r="LDJ58" s="528"/>
      <c r="LDK58" s="528"/>
      <c r="LDL58" s="528"/>
      <c r="LDM58" s="528"/>
      <c r="LDN58" s="528"/>
      <c r="LDO58" s="528"/>
      <c r="LDP58" s="528"/>
      <c r="LDQ58" s="528"/>
      <c r="LDR58" s="528"/>
      <c r="LDS58" s="528"/>
      <c r="LDT58" s="528"/>
      <c r="LDU58" s="528"/>
      <c r="LDV58" s="528"/>
      <c r="LDW58" s="528"/>
      <c r="LDX58" s="528"/>
      <c r="LDY58" s="528"/>
      <c r="LDZ58" s="528"/>
      <c r="LEA58" s="528"/>
      <c r="LEB58" s="528"/>
      <c r="LEC58" s="528"/>
      <c r="LED58" s="528"/>
      <c r="LEE58" s="528"/>
      <c r="LEF58" s="528"/>
      <c r="LEG58" s="528"/>
      <c r="LEH58" s="528"/>
      <c r="LEI58" s="528"/>
      <c r="LEJ58" s="528"/>
      <c r="LEK58" s="528"/>
      <c r="LEL58" s="528"/>
      <c r="LEM58" s="528"/>
      <c r="LEN58" s="528"/>
      <c r="LEO58" s="528"/>
      <c r="LEP58" s="528"/>
      <c r="LEQ58" s="528"/>
      <c r="LER58" s="528"/>
      <c r="LES58" s="528"/>
      <c r="LET58" s="528"/>
      <c r="LEU58" s="528"/>
      <c r="LEV58" s="528"/>
      <c r="LEW58" s="528"/>
      <c r="LEX58" s="528"/>
      <c r="LEY58" s="528"/>
      <c r="LEZ58" s="528"/>
      <c r="LFA58" s="528"/>
      <c r="LFB58" s="528"/>
      <c r="LFC58" s="528"/>
      <c r="LFD58" s="528"/>
      <c r="LFE58" s="528"/>
      <c r="LFF58" s="528"/>
      <c r="LFG58" s="528"/>
      <c r="LFH58" s="528"/>
      <c r="LFI58" s="528"/>
      <c r="LFJ58" s="528"/>
      <c r="LFK58" s="528"/>
      <c r="LFL58" s="528"/>
      <c r="LFM58" s="528"/>
      <c r="LFN58" s="528"/>
      <c r="LFO58" s="528"/>
      <c r="LFP58" s="528"/>
      <c r="LFQ58" s="528"/>
      <c r="LFR58" s="528"/>
      <c r="LFS58" s="528"/>
      <c r="LFT58" s="528"/>
      <c r="LFU58" s="528"/>
      <c r="LFV58" s="528"/>
      <c r="LFW58" s="528"/>
      <c r="LFX58" s="528"/>
      <c r="LFY58" s="528"/>
      <c r="LFZ58" s="528"/>
      <c r="LGA58" s="528"/>
      <c r="LGB58" s="528"/>
      <c r="LGC58" s="528"/>
      <c r="LGD58" s="528"/>
      <c r="LGE58" s="528"/>
      <c r="LGF58" s="528"/>
      <c r="LGG58" s="528"/>
      <c r="LGH58" s="528"/>
      <c r="LGI58" s="528"/>
      <c r="LGJ58" s="528"/>
      <c r="LGK58" s="528"/>
      <c r="LGL58" s="528"/>
      <c r="LGM58" s="528"/>
      <c r="LGN58" s="528"/>
      <c r="LGO58" s="528"/>
      <c r="LGP58" s="528"/>
      <c r="LGQ58" s="528"/>
      <c r="LGR58" s="528"/>
      <c r="LGS58" s="528"/>
      <c r="LGT58" s="528"/>
      <c r="LGU58" s="528"/>
      <c r="LGV58" s="528"/>
      <c r="LGW58" s="528"/>
      <c r="LGX58" s="528"/>
      <c r="LGY58" s="528"/>
      <c r="LGZ58" s="528"/>
      <c r="LHA58" s="528"/>
      <c r="LHB58" s="528"/>
      <c r="LHC58" s="528"/>
      <c r="LHD58" s="528"/>
      <c r="LHE58" s="528"/>
      <c r="LHF58" s="528"/>
      <c r="LHG58" s="528"/>
      <c r="LHH58" s="528"/>
      <c r="LHI58" s="528"/>
      <c r="LHJ58" s="528"/>
      <c r="LHK58" s="528"/>
      <c r="LHL58" s="528"/>
      <c r="LHM58" s="528"/>
      <c r="LHN58" s="528"/>
      <c r="LHO58" s="528"/>
      <c r="LHP58" s="528"/>
      <c r="LHQ58" s="528"/>
      <c r="LHR58" s="528"/>
      <c r="LHS58" s="528"/>
      <c r="LHT58" s="528"/>
      <c r="LHU58" s="528"/>
      <c r="LHV58" s="528"/>
      <c r="LHW58" s="528"/>
      <c r="LHX58" s="528"/>
      <c r="LHY58" s="528"/>
      <c r="LHZ58" s="528"/>
      <c r="LIA58" s="528"/>
      <c r="LIB58" s="528"/>
      <c r="LIC58" s="528"/>
      <c r="LID58" s="528"/>
      <c r="LIE58" s="528"/>
      <c r="LIF58" s="528"/>
      <c r="LIG58" s="528"/>
      <c r="LIH58" s="528"/>
      <c r="LII58" s="528"/>
      <c r="LIJ58" s="528"/>
      <c r="LIK58" s="528"/>
      <c r="LIL58" s="528"/>
      <c r="LIM58" s="528"/>
      <c r="LIN58" s="528"/>
      <c r="LIO58" s="528"/>
      <c r="LIP58" s="528"/>
      <c r="LIQ58" s="528"/>
      <c r="LIR58" s="528"/>
      <c r="LIS58" s="528"/>
      <c r="LIT58" s="528"/>
      <c r="LIU58" s="528"/>
      <c r="LIV58" s="528"/>
      <c r="LIW58" s="528"/>
      <c r="LIX58" s="528"/>
      <c r="LIY58" s="528"/>
      <c r="LIZ58" s="528"/>
      <c r="LJA58" s="528"/>
      <c r="LJB58" s="528"/>
      <c r="LJC58" s="528"/>
      <c r="LJD58" s="528"/>
      <c r="LJE58" s="528"/>
      <c r="LJF58" s="528"/>
      <c r="LJG58" s="528"/>
      <c r="LJH58" s="528"/>
      <c r="LJI58" s="528"/>
      <c r="LJJ58" s="528"/>
      <c r="LJK58" s="528"/>
      <c r="LJL58" s="528"/>
      <c r="LJM58" s="528"/>
      <c r="LJN58" s="528"/>
      <c r="LJO58" s="528"/>
      <c r="LJP58" s="528"/>
      <c r="LJQ58" s="528"/>
      <c r="LJR58" s="528"/>
      <c r="LJS58" s="528"/>
      <c r="LJT58" s="528"/>
      <c r="LJU58" s="528"/>
      <c r="LJV58" s="528"/>
      <c r="LJW58" s="528"/>
      <c r="LJX58" s="528"/>
      <c r="LJY58" s="528"/>
      <c r="LJZ58" s="528"/>
      <c r="LKA58" s="528"/>
      <c r="LKB58" s="528"/>
      <c r="LKC58" s="528"/>
      <c r="LKD58" s="528"/>
      <c r="LKE58" s="528"/>
      <c r="LKF58" s="528"/>
      <c r="LKG58" s="528"/>
      <c r="LKH58" s="528"/>
      <c r="LKI58" s="528"/>
      <c r="LKJ58" s="528"/>
      <c r="LKK58" s="528"/>
      <c r="LKL58" s="528"/>
      <c r="LKM58" s="528"/>
      <c r="LKN58" s="528"/>
      <c r="LKO58" s="528"/>
      <c r="LKP58" s="528"/>
      <c r="LKQ58" s="528"/>
      <c r="LKR58" s="528"/>
      <c r="LKS58" s="528"/>
      <c r="LKT58" s="528"/>
      <c r="LKU58" s="528"/>
      <c r="LKV58" s="528"/>
      <c r="LKW58" s="528"/>
      <c r="LKX58" s="528"/>
      <c r="LKY58" s="528"/>
      <c r="LKZ58" s="528"/>
      <c r="LLA58" s="528"/>
      <c r="LLB58" s="528"/>
      <c r="LLC58" s="528"/>
      <c r="LLD58" s="528"/>
      <c r="LLE58" s="528"/>
      <c r="LLF58" s="528"/>
      <c r="LLG58" s="528"/>
      <c r="LLH58" s="528"/>
      <c r="LLI58" s="528"/>
      <c r="LLJ58" s="528"/>
      <c r="LLK58" s="528"/>
      <c r="LLL58" s="528"/>
      <c r="LLM58" s="528"/>
      <c r="LLN58" s="528"/>
      <c r="LLO58" s="528"/>
      <c r="LLP58" s="528"/>
      <c r="LLQ58" s="528"/>
      <c r="LLR58" s="528"/>
      <c r="LLS58" s="528"/>
      <c r="LLT58" s="528"/>
      <c r="LLU58" s="528"/>
      <c r="LLV58" s="528"/>
      <c r="LLW58" s="528"/>
      <c r="LLX58" s="528"/>
      <c r="LLY58" s="528"/>
      <c r="LLZ58" s="528"/>
      <c r="LMA58" s="528"/>
      <c r="LMB58" s="528"/>
      <c r="LMC58" s="528"/>
      <c r="LMD58" s="528"/>
      <c r="LME58" s="528"/>
      <c r="LMF58" s="528"/>
      <c r="LMG58" s="528"/>
      <c r="LMH58" s="528"/>
      <c r="LMI58" s="528"/>
      <c r="LMJ58" s="528"/>
      <c r="LMK58" s="528"/>
      <c r="LML58" s="528"/>
      <c r="LMM58" s="528"/>
      <c r="LMN58" s="528"/>
      <c r="LMO58" s="528"/>
      <c r="LMP58" s="528"/>
      <c r="LMQ58" s="528"/>
      <c r="LMR58" s="528"/>
      <c r="LMS58" s="528"/>
      <c r="LMT58" s="528"/>
      <c r="LMU58" s="528"/>
      <c r="LMV58" s="528"/>
      <c r="LMW58" s="528"/>
      <c r="LMX58" s="528"/>
      <c r="LMY58" s="528"/>
      <c r="LMZ58" s="528"/>
      <c r="LNA58" s="528"/>
      <c r="LNB58" s="528"/>
      <c r="LNC58" s="528"/>
      <c r="LND58" s="528"/>
      <c r="LNE58" s="528"/>
      <c r="LNF58" s="528"/>
      <c r="LNG58" s="528"/>
      <c r="LNH58" s="528"/>
      <c r="LNI58" s="528"/>
      <c r="LNJ58" s="528"/>
      <c r="LNK58" s="528"/>
      <c r="LNL58" s="528"/>
      <c r="LNM58" s="528"/>
      <c r="LNN58" s="528"/>
      <c r="LNO58" s="528"/>
      <c r="LNP58" s="528"/>
      <c r="LNQ58" s="528"/>
      <c r="LNR58" s="528"/>
      <c r="LNS58" s="528"/>
      <c r="LNT58" s="528"/>
      <c r="LNU58" s="528"/>
      <c r="LNV58" s="528"/>
      <c r="LNW58" s="528"/>
      <c r="LNX58" s="528"/>
      <c r="LNY58" s="528"/>
      <c r="LNZ58" s="528"/>
      <c r="LOA58" s="528"/>
      <c r="LOB58" s="528"/>
      <c r="LOC58" s="528"/>
      <c r="LOD58" s="528"/>
      <c r="LOE58" s="528"/>
      <c r="LOF58" s="528"/>
      <c r="LOG58" s="528"/>
      <c r="LOH58" s="528"/>
      <c r="LOI58" s="528"/>
      <c r="LOJ58" s="528"/>
      <c r="LOK58" s="528"/>
      <c r="LOL58" s="528"/>
      <c r="LOM58" s="528"/>
      <c r="LON58" s="528"/>
      <c r="LOO58" s="528"/>
      <c r="LOP58" s="528"/>
      <c r="LOQ58" s="528"/>
      <c r="LOR58" s="528"/>
      <c r="LOS58" s="528"/>
      <c r="LOT58" s="528"/>
      <c r="LOU58" s="528"/>
      <c r="LOV58" s="528"/>
      <c r="LOW58" s="528"/>
      <c r="LOX58" s="528"/>
      <c r="LOY58" s="528"/>
      <c r="LOZ58" s="528"/>
      <c r="LPA58" s="528"/>
      <c r="LPB58" s="528"/>
      <c r="LPC58" s="528"/>
      <c r="LPD58" s="528"/>
      <c r="LPE58" s="528"/>
      <c r="LPF58" s="528"/>
      <c r="LPG58" s="528"/>
      <c r="LPH58" s="528"/>
      <c r="LPI58" s="528"/>
      <c r="LPJ58" s="528"/>
      <c r="LPK58" s="528"/>
      <c r="LPL58" s="528"/>
      <c r="LPM58" s="528"/>
      <c r="LPN58" s="528"/>
      <c r="LPO58" s="528"/>
      <c r="LPP58" s="528"/>
      <c r="LPQ58" s="528"/>
      <c r="LPR58" s="528"/>
      <c r="LPS58" s="528"/>
      <c r="LPT58" s="528"/>
      <c r="LPU58" s="528"/>
      <c r="LPV58" s="528"/>
      <c r="LPW58" s="528"/>
      <c r="LPX58" s="528"/>
      <c r="LPY58" s="528"/>
      <c r="LPZ58" s="528"/>
      <c r="LQA58" s="528"/>
      <c r="LQB58" s="528"/>
      <c r="LQC58" s="528"/>
      <c r="LQD58" s="528"/>
      <c r="LQE58" s="528"/>
      <c r="LQF58" s="528"/>
      <c r="LQG58" s="528"/>
      <c r="LQH58" s="528"/>
      <c r="LQI58" s="528"/>
      <c r="LQJ58" s="528"/>
      <c r="LQK58" s="528"/>
      <c r="LQL58" s="528"/>
      <c r="LQM58" s="528"/>
      <c r="LQN58" s="528"/>
      <c r="LQO58" s="528"/>
      <c r="LQP58" s="528"/>
      <c r="LQQ58" s="528"/>
      <c r="LQR58" s="528"/>
      <c r="LQS58" s="528"/>
      <c r="LQT58" s="528"/>
      <c r="LQU58" s="528"/>
      <c r="LQV58" s="528"/>
      <c r="LQW58" s="528"/>
      <c r="LQX58" s="528"/>
      <c r="LQY58" s="528"/>
      <c r="LQZ58" s="528"/>
      <c r="LRA58" s="528"/>
      <c r="LRB58" s="528"/>
      <c r="LRC58" s="528"/>
      <c r="LRD58" s="528"/>
      <c r="LRE58" s="528"/>
      <c r="LRF58" s="528"/>
      <c r="LRG58" s="528"/>
      <c r="LRH58" s="528"/>
      <c r="LRI58" s="528"/>
      <c r="LRJ58" s="528"/>
      <c r="LRK58" s="528"/>
      <c r="LRL58" s="528"/>
      <c r="LRM58" s="528"/>
      <c r="LRN58" s="528"/>
      <c r="LRO58" s="528"/>
      <c r="LRP58" s="528"/>
      <c r="LRQ58" s="528"/>
      <c r="LRR58" s="528"/>
      <c r="LRS58" s="528"/>
      <c r="LRT58" s="528"/>
      <c r="LRU58" s="528"/>
      <c r="LRV58" s="528"/>
      <c r="LRW58" s="528"/>
      <c r="LRX58" s="528"/>
      <c r="LRY58" s="528"/>
      <c r="LRZ58" s="528"/>
      <c r="LSA58" s="528"/>
      <c r="LSB58" s="528"/>
      <c r="LSC58" s="528"/>
      <c r="LSD58" s="528"/>
      <c r="LSE58" s="528"/>
      <c r="LSF58" s="528"/>
      <c r="LSG58" s="528"/>
      <c r="LSH58" s="528"/>
      <c r="LSI58" s="528"/>
      <c r="LSJ58" s="528"/>
      <c r="LSK58" s="528"/>
      <c r="LSL58" s="528"/>
      <c r="LSM58" s="528"/>
      <c r="LSN58" s="528"/>
      <c r="LSO58" s="528"/>
      <c r="LSP58" s="528"/>
      <c r="LSQ58" s="528"/>
      <c r="LSR58" s="528"/>
      <c r="LSS58" s="528"/>
      <c r="LST58" s="528"/>
      <c r="LSU58" s="528"/>
      <c r="LSV58" s="528"/>
      <c r="LSW58" s="528"/>
      <c r="LSX58" s="528"/>
      <c r="LSY58" s="528"/>
      <c r="LSZ58" s="528"/>
      <c r="LTA58" s="528"/>
      <c r="LTB58" s="528"/>
      <c r="LTC58" s="528"/>
      <c r="LTD58" s="528"/>
      <c r="LTE58" s="528"/>
      <c r="LTF58" s="528"/>
      <c r="LTG58" s="528"/>
      <c r="LTH58" s="528"/>
      <c r="LTI58" s="528"/>
      <c r="LTJ58" s="528"/>
      <c r="LTK58" s="528"/>
      <c r="LTL58" s="528"/>
      <c r="LTM58" s="528"/>
      <c r="LTN58" s="528"/>
      <c r="LTO58" s="528"/>
      <c r="LTP58" s="528"/>
      <c r="LTQ58" s="528"/>
      <c r="LTR58" s="528"/>
      <c r="LTS58" s="528"/>
      <c r="LTT58" s="528"/>
      <c r="LTU58" s="528"/>
      <c r="LTV58" s="528"/>
      <c r="LTW58" s="528"/>
      <c r="LTX58" s="528"/>
      <c r="LTY58" s="528"/>
      <c r="LTZ58" s="528"/>
      <c r="LUA58" s="528"/>
      <c r="LUB58" s="528"/>
      <c r="LUC58" s="528"/>
      <c r="LUD58" s="528"/>
      <c r="LUE58" s="528"/>
      <c r="LUF58" s="528"/>
      <c r="LUG58" s="528"/>
      <c r="LUH58" s="528"/>
      <c r="LUI58" s="528"/>
      <c r="LUJ58" s="528"/>
      <c r="LUK58" s="528"/>
      <c r="LUL58" s="528"/>
      <c r="LUM58" s="528"/>
      <c r="LUN58" s="528"/>
      <c r="LUO58" s="528"/>
      <c r="LUP58" s="528"/>
      <c r="LUQ58" s="528"/>
      <c r="LUR58" s="528"/>
      <c r="LUS58" s="528"/>
      <c r="LUT58" s="528"/>
      <c r="LUU58" s="528"/>
      <c r="LUV58" s="528"/>
      <c r="LUW58" s="528"/>
      <c r="LUX58" s="528"/>
      <c r="LUY58" s="528"/>
      <c r="LUZ58" s="528"/>
      <c r="LVA58" s="528"/>
      <c r="LVB58" s="528"/>
      <c r="LVC58" s="528"/>
      <c r="LVD58" s="528"/>
      <c r="LVE58" s="528"/>
      <c r="LVF58" s="528"/>
      <c r="LVG58" s="528"/>
      <c r="LVH58" s="528"/>
      <c r="LVI58" s="528"/>
      <c r="LVJ58" s="528"/>
      <c r="LVK58" s="528"/>
      <c r="LVL58" s="528"/>
      <c r="LVM58" s="528"/>
      <c r="LVN58" s="528"/>
      <c r="LVO58" s="528"/>
      <c r="LVP58" s="528"/>
      <c r="LVQ58" s="528"/>
      <c r="LVR58" s="528"/>
      <c r="LVS58" s="528"/>
      <c r="LVT58" s="528"/>
      <c r="LVU58" s="528"/>
      <c r="LVV58" s="528"/>
      <c r="LVW58" s="528"/>
      <c r="LVX58" s="528"/>
      <c r="LVY58" s="528"/>
      <c r="LVZ58" s="528"/>
      <c r="LWA58" s="528"/>
      <c r="LWB58" s="528"/>
      <c r="LWC58" s="528"/>
      <c r="LWD58" s="528"/>
      <c r="LWE58" s="528"/>
      <c r="LWF58" s="528"/>
      <c r="LWG58" s="528"/>
      <c r="LWH58" s="528"/>
      <c r="LWI58" s="528"/>
      <c r="LWJ58" s="528"/>
      <c r="LWK58" s="528"/>
      <c r="LWL58" s="528"/>
      <c r="LWM58" s="528"/>
      <c r="LWN58" s="528"/>
      <c r="LWO58" s="528"/>
      <c r="LWP58" s="528"/>
      <c r="LWQ58" s="528"/>
      <c r="LWR58" s="528"/>
      <c r="LWS58" s="528"/>
      <c r="LWT58" s="528"/>
      <c r="LWU58" s="528"/>
      <c r="LWV58" s="528"/>
      <c r="LWW58" s="528"/>
      <c r="LWX58" s="528"/>
      <c r="LWY58" s="528"/>
      <c r="LWZ58" s="528"/>
      <c r="LXA58" s="528"/>
      <c r="LXB58" s="528"/>
      <c r="LXC58" s="528"/>
      <c r="LXD58" s="528"/>
      <c r="LXE58" s="528"/>
      <c r="LXF58" s="528"/>
      <c r="LXG58" s="528"/>
      <c r="LXH58" s="528"/>
      <c r="LXI58" s="528"/>
      <c r="LXJ58" s="528"/>
      <c r="LXK58" s="528"/>
      <c r="LXL58" s="528"/>
      <c r="LXM58" s="528"/>
      <c r="LXN58" s="528"/>
      <c r="LXO58" s="528"/>
      <c r="LXP58" s="528"/>
      <c r="LXQ58" s="528"/>
      <c r="LXR58" s="528"/>
      <c r="LXS58" s="528"/>
      <c r="LXT58" s="528"/>
      <c r="LXU58" s="528"/>
      <c r="LXV58" s="528"/>
      <c r="LXW58" s="528"/>
      <c r="LXX58" s="528"/>
      <c r="LXY58" s="528"/>
      <c r="LXZ58" s="528"/>
      <c r="LYA58" s="528"/>
      <c r="LYB58" s="528"/>
      <c r="LYC58" s="528"/>
      <c r="LYD58" s="528"/>
      <c r="LYE58" s="528"/>
      <c r="LYF58" s="528"/>
      <c r="LYG58" s="528"/>
      <c r="LYH58" s="528"/>
      <c r="LYI58" s="528"/>
      <c r="LYJ58" s="528"/>
      <c r="LYK58" s="528"/>
      <c r="LYL58" s="528"/>
      <c r="LYM58" s="528"/>
      <c r="LYN58" s="528"/>
      <c r="LYO58" s="528"/>
      <c r="LYP58" s="528"/>
      <c r="LYQ58" s="528"/>
      <c r="LYR58" s="528"/>
      <c r="LYS58" s="528"/>
      <c r="LYT58" s="528"/>
      <c r="LYU58" s="528"/>
      <c r="LYV58" s="528"/>
      <c r="LYW58" s="528"/>
      <c r="LYX58" s="528"/>
      <c r="LYY58" s="528"/>
      <c r="LYZ58" s="528"/>
      <c r="LZA58" s="528"/>
      <c r="LZB58" s="528"/>
      <c r="LZC58" s="528"/>
      <c r="LZD58" s="528"/>
      <c r="LZE58" s="528"/>
      <c r="LZF58" s="528"/>
      <c r="LZG58" s="528"/>
      <c r="LZH58" s="528"/>
      <c r="LZI58" s="528"/>
      <c r="LZJ58" s="528"/>
      <c r="LZK58" s="528"/>
      <c r="LZL58" s="528"/>
      <c r="LZM58" s="528"/>
      <c r="LZN58" s="528"/>
      <c r="LZO58" s="528"/>
      <c r="LZP58" s="528"/>
      <c r="LZQ58" s="528"/>
      <c r="LZR58" s="528"/>
      <c r="LZS58" s="528"/>
      <c r="LZT58" s="528"/>
      <c r="LZU58" s="528"/>
      <c r="LZV58" s="528"/>
      <c r="LZW58" s="528"/>
      <c r="LZX58" s="528"/>
      <c r="LZY58" s="528"/>
      <c r="LZZ58" s="528"/>
      <c r="MAA58" s="528"/>
      <c r="MAB58" s="528"/>
      <c r="MAC58" s="528"/>
      <c r="MAD58" s="528"/>
      <c r="MAE58" s="528"/>
      <c r="MAF58" s="528"/>
      <c r="MAG58" s="528"/>
      <c r="MAH58" s="528"/>
      <c r="MAI58" s="528"/>
      <c r="MAJ58" s="528"/>
      <c r="MAK58" s="528"/>
      <c r="MAL58" s="528"/>
      <c r="MAM58" s="528"/>
      <c r="MAN58" s="528"/>
      <c r="MAO58" s="528"/>
      <c r="MAP58" s="528"/>
      <c r="MAQ58" s="528"/>
      <c r="MAR58" s="528"/>
      <c r="MAS58" s="528"/>
      <c r="MAT58" s="528"/>
      <c r="MAU58" s="528"/>
      <c r="MAV58" s="528"/>
      <c r="MAW58" s="528"/>
      <c r="MAX58" s="528"/>
      <c r="MAY58" s="528"/>
      <c r="MAZ58" s="528"/>
      <c r="MBA58" s="528"/>
      <c r="MBB58" s="528"/>
      <c r="MBC58" s="528"/>
      <c r="MBD58" s="528"/>
      <c r="MBE58" s="528"/>
      <c r="MBF58" s="528"/>
      <c r="MBG58" s="528"/>
      <c r="MBH58" s="528"/>
      <c r="MBI58" s="528"/>
      <c r="MBJ58" s="528"/>
      <c r="MBK58" s="528"/>
      <c r="MBL58" s="528"/>
      <c r="MBM58" s="528"/>
      <c r="MBN58" s="528"/>
      <c r="MBO58" s="528"/>
      <c r="MBP58" s="528"/>
      <c r="MBQ58" s="528"/>
      <c r="MBR58" s="528"/>
      <c r="MBS58" s="528"/>
      <c r="MBT58" s="528"/>
      <c r="MBU58" s="528"/>
      <c r="MBV58" s="528"/>
      <c r="MBW58" s="528"/>
      <c r="MBX58" s="528"/>
      <c r="MBY58" s="528"/>
      <c r="MBZ58" s="528"/>
      <c r="MCA58" s="528"/>
      <c r="MCB58" s="528"/>
      <c r="MCC58" s="528"/>
      <c r="MCD58" s="528"/>
      <c r="MCE58" s="528"/>
      <c r="MCF58" s="528"/>
      <c r="MCG58" s="528"/>
      <c r="MCH58" s="528"/>
      <c r="MCI58" s="528"/>
      <c r="MCJ58" s="528"/>
      <c r="MCK58" s="528"/>
      <c r="MCL58" s="528"/>
      <c r="MCM58" s="528"/>
      <c r="MCN58" s="528"/>
      <c r="MCO58" s="528"/>
      <c r="MCP58" s="528"/>
      <c r="MCQ58" s="528"/>
      <c r="MCR58" s="528"/>
      <c r="MCS58" s="528"/>
      <c r="MCT58" s="528"/>
      <c r="MCU58" s="528"/>
      <c r="MCV58" s="528"/>
      <c r="MCW58" s="528"/>
      <c r="MCX58" s="528"/>
      <c r="MCY58" s="528"/>
      <c r="MCZ58" s="528"/>
      <c r="MDA58" s="528"/>
      <c r="MDB58" s="528"/>
      <c r="MDC58" s="528"/>
      <c r="MDD58" s="528"/>
      <c r="MDE58" s="528"/>
      <c r="MDF58" s="528"/>
      <c r="MDG58" s="528"/>
      <c r="MDH58" s="528"/>
      <c r="MDI58" s="528"/>
      <c r="MDJ58" s="528"/>
      <c r="MDK58" s="528"/>
      <c r="MDL58" s="528"/>
      <c r="MDM58" s="528"/>
      <c r="MDN58" s="528"/>
      <c r="MDO58" s="528"/>
      <c r="MDP58" s="528"/>
      <c r="MDQ58" s="528"/>
      <c r="MDR58" s="528"/>
      <c r="MDS58" s="528"/>
      <c r="MDT58" s="528"/>
      <c r="MDU58" s="528"/>
      <c r="MDV58" s="528"/>
      <c r="MDW58" s="528"/>
      <c r="MDX58" s="528"/>
      <c r="MDY58" s="528"/>
      <c r="MDZ58" s="528"/>
      <c r="MEA58" s="528"/>
      <c r="MEB58" s="528"/>
      <c r="MEC58" s="528"/>
      <c r="MED58" s="528"/>
      <c r="MEE58" s="528"/>
      <c r="MEF58" s="528"/>
      <c r="MEG58" s="528"/>
      <c r="MEH58" s="528"/>
      <c r="MEI58" s="528"/>
      <c r="MEJ58" s="528"/>
      <c r="MEK58" s="528"/>
      <c r="MEL58" s="528"/>
      <c r="MEM58" s="528"/>
      <c r="MEN58" s="528"/>
      <c r="MEO58" s="528"/>
      <c r="MEP58" s="528"/>
      <c r="MEQ58" s="528"/>
      <c r="MER58" s="528"/>
      <c r="MES58" s="528"/>
      <c r="MET58" s="528"/>
      <c r="MEU58" s="528"/>
      <c r="MEV58" s="528"/>
      <c r="MEW58" s="528"/>
      <c r="MEX58" s="528"/>
      <c r="MEY58" s="528"/>
      <c r="MEZ58" s="528"/>
      <c r="MFA58" s="528"/>
      <c r="MFB58" s="528"/>
      <c r="MFC58" s="528"/>
      <c r="MFD58" s="528"/>
      <c r="MFE58" s="528"/>
      <c r="MFF58" s="528"/>
      <c r="MFG58" s="528"/>
      <c r="MFH58" s="528"/>
      <c r="MFI58" s="528"/>
      <c r="MFJ58" s="528"/>
      <c r="MFK58" s="528"/>
      <c r="MFL58" s="528"/>
      <c r="MFM58" s="528"/>
      <c r="MFN58" s="528"/>
      <c r="MFO58" s="528"/>
      <c r="MFP58" s="528"/>
      <c r="MFQ58" s="528"/>
      <c r="MFR58" s="528"/>
      <c r="MFS58" s="528"/>
      <c r="MFT58" s="528"/>
      <c r="MFU58" s="528"/>
      <c r="MFV58" s="528"/>
      <c r="MFW58" s="528"/>
      <c r="MFX58" s="528"/>
      <c r="MFY58" s="528"/>
      <c r="MFZ58" s="528"/>
      <c r="MGA58" s="528"/>
      <c r="MGB58" s="528"/>
      <c r="MGC58" s="528"/>
      <c r="MGD58" s="528"/>
      <c r="MGE58" s="528"/>
      <c r="MGF58" s="528"/>
      <c r="MGG58" s="528"/>
      <c r="MGH58" s="528"/>
      <c r="MGI58" s="528"/>
      <c r="MGJ58" s="528"/>
      <c r="MGK58" s="528"/>
      <c r="MGL58" s="528"/>
      <c r="MGM58" s="528"/>
      <c r="MGN58" s="528"/>
      <c r="MGO58" s="528"/>
      <c r="MGP58" s="528"/>
      <c r="MGQ58" s="528"/>
      <c r="MGR58" s="528"/>
      <c r="MGS58" s="528"/>
      <c r="MGT58" s="528"/>
      <c r="MGU58" s="528"/>
      <c r="MGV58" s="528"/>
      <c r="MGW58" s="528"/>
      <c r="MGX58" s="528"/>
      <c r="MGY58" s="528"/>
      <c r="MGZ58" s="528"/>
      <c r="MHA58" s="528"/>
      <c r="MHB58" s="528"/>
      <c r="MHC58" s="528"/>
      <c r="MHD58" s="528"/>
      <c r="MHE58" s="528"/>
      <c r="MHF58" s="528"/>
      <c r="MHG58" s="528"/>
      <c r="MHH58" s="528"/>
      <c r="MHI58" s="528"/>
      <c r="MHJ58" s="528"/>
      <c r="MHK58" s="528"/>
      <c r="MHL58" s="528"/>
      <c r="MHM58" s="528"/>
      <c r="MHN58" s="528"/>
      <c r="MHO58" s="528"/>
      <c r="MHP58" s="528"/>
      <c r="MHQ58" s="528"/>
      <c r="MHR58" s="528"/>
      <c r="MHS58" s="528"/>
      <c r="MHT58" s="528"/>
      <c r="MHU58" s="528"/>
      <c r="MHV58" s="528"/>
      <c r="MHW58" s="528"/>
      <c r="MHX58" s="528"/>
      <c r="MHY58" s="528"/>
      <c r="MHZ58" s="528"/>
      <c r="MIA58" s="528"/>
      <c r="MIB58" s="528"/>
      <c r="MIC58" s="528"/>
      <c r="MID58" s="528"/>
      <c r="MIE58" s="528"/>
      <c r="MIF58" s="528"/>
      <c r="MIG58" s="528"/>
      <c r="MIH58" s="528"/>
      <c r="MII58" s="528"/>
      <c r="MIJ58" s="528"/>
      <c r="MIK58" s="528"/>
      <c r="MIL58" s="528"/>
      <c r="MIM58" s="528"/>
      <c r="MIN58" s="528"/>
      <c r="MIO58" s="528"/>
      <c r="MIP58" s="528"/>
      <c r="MIQ58" s="528"/>
      <c r="MIR58" s="528"/>
      <c r="MIS58" s="528"/>
      <c r="MIT58" s="528"/>
      <c r="MIU58" s="528"/>
      <c r="MIV58" s="528"/>
      <c r="MIW58" s="528"/>
      <c r="MIX58" s="528"/>
      <c r="MIY58" s="528"/>
      <c r="MIZ58" s="528"/>
      <c r="MJA58" s="528"/>
      <c r="MJB58" s="528"/>
      <c r="MJC58" s="528"/>
      <c r="MJD58" s="528"/>
      <c r="MJE58" s="528"/>
      <c r="MJF58" s="528"/>
      <c r="MJG58" s="528"/>
      <c r="MJH58" s="528"/>
      <c r="MJI58" s="528"/>
      <c r="MJJ58" s="528"/>
      <c r="MJK58" s="528"/>
      <c r="MJL58" s="528"/>
      <c r="MJM58" s="528"/>
      <c r="MJN58" s="528"/>
      <c r="MJO58" s="528"/>
      <c r="MJP58" s="528"/>
      <c r="MJQ58" s="528"/>
      <c r="MJR58" s="528"/>
      <c r="MJS58" s="528"/>
      <c r="MJT58" s="528"/>
      <c r="MJU58" s="528"/>
      <c r="MJV58" s="528"/>
      <c r="MJW58" s="528"/>
      <c r="MJX58" s="528"/>
      <c r="MJY58" s="528"/>
      <c r="MJZ58" s="528"/>
      <c r="MKA58" s="528"/>
      <c r="MKB58" s="528"/>
      <c r="MKC58" s="528"/>
      <c r="MKD58" s="528"/>
      <c r="MKE58" s="528"/>
      <c r="MKF58" s="528"/>
      <c r="MKG58" s="528"/>
      <c r="MKH58" s="528"/>
      <c r="MKI58" s="528"/>
      <c r="MKJ58" s="528"/>
      <c r="MKK58" s="528"/>
      <c r="MKL58" s="528"/>
      <c r="MKM58" s="528"/>
      <c r="MKN58" s="528"/>
      <c r="MKO58" s="528"/>
      <c r="MKP58" s="528"/>
      <c r="MKQ58" s="528"/>
      <c r="MKR58" s="528"/>
      <c r="MKS58" s="528"/>
      <c r="MKT58" s="528"/>
      <c r="MKU58" s="528"/>
      <c r="MKV58" s="528"/>
      <c r="MKW58" s="528"/>
      <c r="MKX58" s="528"/>
      <c r="MKY58" s="528"/>
      <c r="MKZ58" s="528"/>
      <c r="MLA58" s="528"/>
      <c r="MLB58" s="528"/>
      <c r="MLC58" s="528"/>
      <c r="MLD58" s="528"/>
      <c r="MLE58" s="528"/>
      <c r="MLF58" s="528"/>
      <c r="MLG58" s="528"/>
      <c r="MLH58" s="528"/>
      <c r="MLI58" s="528"/>
      <c r="MLJ58" s="528"/>
      <c r="MLK58" s="528"/>
      <c r="MLL58" s="528"/>
      <c r="MLM58" s="528"/>
      <c r="MLN58" s="528"/>
      <c r="MLO58" s="528"/>
      <c r="MLP58" s="528"/>
      <c r="MLQ58" s="528"/>
      <c r="MLR58" s="528"/>
      <c r="MLS58" s="528"/>
      <c r="MLT58" s="528"/>
      <c r="MLU58" s="528"/>
      <c r="MLV58" s="528"/>
      <c r="MLW58" s="528"/>
      <c r="MLX58" s="528"/>
      <c r="MLY58" s="528"/>
      <c r="MLZ58" s="528"/>
      <c r="MMA58" s="528"/>
      <c r="MMB58" s="528"/>
      <c r="MMC58" s="528"/>
      <c r="MMD58" s="528"/>
      <c r="MME58" s="528"/>
      <c r="MMF58" s="528"/>
      <c r="MMG58" s="528"/>
      <c r="MMH58" s="528"/>
      <c r="MMI58" s="528"/>
      <c r="MMJ58" s="528"/>
      <c r="MMK58" s="528"/>
      <c r="MML58" s="528"/>
      <c r="MMM58" s="528"/>
      <c r="MMN58" s="528"/>
      <c r="MMO58" s="528"/>
      <c r="MMP58" s="528"/>
      <c r="MMQ58" s="528"/>
      <c r="MMR58" s="528"/>
      <c r="MMS58" s="528"/>
      <c r="MMT58" s="528"/>
      <c r="MMU58" s="528"/>
      <c r="MMV58" s="528"/>
      <c r="MMW58" s="528"/>
      <c r="MMX58" s="528"/>
      <c r="MMY58" s="528"/>
      <c r="MMZ58" s="528"/>
      <c r="MNA58" s="528"/>
      <c r="MNB58" s="528"/>
      <c r="MNC58" s="528"/>
      <c r="MND58" s="528"/>
      <c r="MNE58" s="528"/>
      <c r="MNF58" s="528"/>
      <c r="MNG58" s="528"/>
      <c r="MNH58" s="528"/>
      <c r="MNI58" s="528"/>
      <c r="MNJ58" s="528"/>
      <c r="MNK58" s="528"/>
      <c r="MNL58" s="528"/>
      <c r="MNM58" s="528"/>
      <c r="MNN58" s="528"/>
      <c r="MNO58" s="528"/>
      <c r="MNP58" s="528"/>
      <c r="MNQ58" s="528"/>
      <c r="MNR58" s="528"/>
      <c r="MNS58" s="528"/>
      <c r="MNT58" s="528"/>
      <c r="MNU58" s="528"/>
      <c r="MNV58" s="528"/>
      <c r="MNW58" s="528"/>
      <c r="MNX58" s="528"/>
      <c r="MNY58" s="528"/>
      <c r="MNZ58" s="528"/>
      <c r="MOA58" s="528"/>
      <c r="MOB58" s="528"/>
      <c r="MOC58" s="528"/>
      <c r="MOD58" s="528"/>
      <c r="MOE58" s="528"/>
      <c r="MOF58" s="528"/>
      <c r="MOG58" s="528"/>
      <c r="MOH58" s="528"/>
      <c r="MOI58" s="528"/>
      <c r="MOJ58" s="528"/>
      <c r="MOK58" s="528"/>
      <c r="MOL58" s="528"/>
      <c r="MOM58" s="528"/>
      <c r="MON58" s="528"/>
      <c r="MOO58" s="528"/>
      <c r="MOP58" s="528"/>
      <c r="MOQ58" s="528"/>
      <c r="MOR58" s="528"/>
      <c r="MOS58" s="528"/>
      <c r="MOT58" s="528"/>
      <c r="MOU58" s="528"/>
      <c r="MOV58" s="528"/>
      <c r="MOW58" s="528"/>
      <c r="MOX58" s="528"/>
      <c r="MOY58" s="528"/>
      <c r="MOZ58" s="528"/>
      <c r="MPA58" s="528"/>
      <c r="MPB58" s="528"/>
      <c r="MPC58" s="528"/>
      <c r="MPD58" s="528"/>
      <c r="MPE58" s="528"/>
      <c r="MPF58" s="528"/>
      <c r="MPG58" s="528"/>
      <c r="MPH58" s="528"/>
      <c r="MPI58" s="528"/>
      <c r="MPJ58" s="528"/>
      <c r="MPK58" s="528"/>
      <c r="MPL58" s="528"/>
      <c r="MPM58" s="528"/>
      <c r="MPN58" s="528"/>
      <c r="MPO58" s="528"/>
      <c r="MPP58" s="528"/>
      <c r="MPQ58" s="528"/>
      <c r="MPR58" s="528"/>
      <c r="MPS58" s="528"/>
      <c r="MPT58" s="528"/>
      <c r="MPU58" s="528"/>
      <c r="MPV58" s="528"/>
      <c r="MPW58" s="528"/>
      <c r="MPX58" s="528"/>
      <c r="MPY58" s="528"/>
      <c r="MPZ58" s="528"/>
      <c r="MQA58" s="528"/>
      <c r="MQB58" s="528"/>
      <c r="MQC58" s="528"/>
      <c r="MQD58" s="528"/>
      <c r="MQE58" s="528"/>
      <c r="MQF58" s="528"/>
      <c r="MQG58" s="528"/>
      <c r="MQH58" s="528"/>
      <c r="MQI58" s="528"/>
      <c r="MQJ58" s="528"/>
      <c r="MQK58" s="528"/>
      <c r="MQL58" s="528"/>
      <c r="MQM58" s="528"/>
      <c r="MQN58" s="528"/>
      <c r="MQO58" s="528"/>
      <c r="MQP58" s="528"/>
      <c r="MQQ58" s="528"/>
      <c r="MQR58" s="528"/>
      <c r="MQS58" s="528"/>
      <c r="MQT58" s="528"/>
      <c r="MQU58" s="528"/>
      <c r="MQV58" s="528"/>
      <c r="MQW58" s="528"/>
      <c r="MQX58" s="528"/>
      <c r="MQY58" s="528"/>
      <c r="MQZ58" s="528"/>
      <c r="MRA58" s="528"/>
      <c r="MRB58" s="528"/>
      <c r="MRC58" s="528"/>
      <c r="MRD58" s="528"/>
      <c r="MRE58" s="528"/>
      <c r="MRF58" s="528"/>
      <c r="MRG58" s="528"/>
      <c r="MRH58" s="528"/>
      <c r="MRI58" s="528"/>
      <c r="MRJ58" s="528"/>
      <c r="MRK58" s="528"/>
      <c r="MRL58" s="528"/>
      <c r="MRM58" s="528"/>
      <c r="MRN58" s="528"/>
      <c r="MRO58" s="528"/>
      <c r="MRP58" s="528"/>
      <c r="MRQ58" s="528"/>
      <c r="MRR58" s="528"/>
      <c r="MRS58" s="528"/>
      <c r="MRT58" s="528"/>
      <c r="MRU58" s="528"/>
      <c r="MRV58" s="528"/>
      <c r="MRW58" s="528"/>
      <c r="MRX58" s="528"/>
      <c r="MRY58" s="528"/>
      <c r="MRZ58" s="528"/>
      <c r="MSA58" s="528"/>
      <c r="MSB58" s="528"/>
      <c r="MSC58" s="528"/>
      <c r="MSD58" s="528"/>
      <c r="MSE58" s="528"/>
      <c r="MSF58" s="528"/>
      <c r="MSG58" s="528"/>
      <c r="MSH58" s="528"/>
      <c r="MSI58" s="528"/>
      <c r="MSJ58" s="528"/>
      <c r="MSK58" s="528"/>
      <c r="MSL58" s="528"/>
      <c r="MSM58" s="528"/>
      <c r="MSN58" s="528"/>
      <c r="MSO58" s="528"/>
      <c r="MSP58" s="528"/>
      <c r="MSQ58" s="528"/>
      <c r="MSR58" s="528"/>
      <c r="MSS58" s="528"/>
      <c r="MST58" s="528"/>
      <c r="MSU58" s="528"/>
      <c r="MSV58" s="528"/>
      <c r="MSW58" s="528"/>
      <c r="MSX58" s="528"/>
      <c r="MSY58" s="528"/>
      <c r="MSZ58" s="528"/>
      <c r="MTA58" s="528"/>
      <c r="MTB58" s="528"/>
      <c r="MTC58" s="528"/>
      <c r="MTD58" s="528"/>
      <c r="MTE58" s="528"/>
      <c r="MTF58" s="528"/>
      <c r="MTG58" s="528"/>
      <c r="MTH58" s="528"/>
      <c r="MTI58" s="528"/>
      <c r="MTJ58" s="528"/>
      <c r="MTK58" s="528"/>
      <c r="MTL58" s="528"/>
      <c r="MTM58" s="528"/>
      <c r="MTN58" s="528"/>
      <c r="MTO58" s="528"/>
      <c r="MTP58" s="528"/>
      <c r="MTQ58" s="528"/>
      <c r="MTR58" s="528"/>
      <c r="MTS58" s="528"/>
      <c r="MTT58" s="528"/>
      <c r="MTU58" s="528"/>
      <c r="MTV58" s="528"/>
      <c r="MTW58" s="528"/>
      <c r="MTX58" s="528"/>
      <c r="MTY58" s="528"/>
      <c r="MTZ58" s="528"/>
      <c r="MUA58" s="528"/>
      <c r="MUB58" s="528"/>
      <c r="MUC58" s="528"/>
      <c r="MUD58" s="528"/>
      <c r="MUE58" s="528"/>
      <c r="MUF58" s="528"/>
      <c r="MUG58" s="528"/>
      <c r="MUH58" s="528"/>
      <c r="MUI58" s="528"/>
      <c r="MUJ58" s="528"/>
      <c r="MUK58" s="528"/>
      <c r="MUL58" s="528"/>
      <c r="MUM58" s="528"/>
      <c r="MUN58" s="528"/>
      <c r="MUO58" s="528"/>
      <c r="MUP58" s="528"/>
      <c r="MUQ58" s="528"/>
      <c r="MUR58" s="528"/>
      <c r="MUS58" s="528"/>
      <c r="MUT58" s="528"/>
      <c r="MUU58" s="528"/>
      <c r="MUV58" s="528"/>
      <c r="MUW58" s="528"/>
      <c r="MUX58" s="528"/>
      <c r="MUY58" s="528"/>
      <c r="MUZ58" s="528"/>
      <c r="MVA58" s="528"/>
      <c r="MVB58" s="528"/>
      <c r="MVC58" s="528"/>
      <c r="MVD58" s="528"/>
      <c r="MVE58" s="528"/>
      <c r="MVF58" s="528"/>
      <c r="MVG58" s="528"/>
      <c r="MVH58" s="528"/>
      <c r="MVI58" s="528"/>
      <c r="MVJ58" s="528"/>
      <c r="MVK58" s="528"/>
      <c r="MVL58" s="528"/>
      <c r="MVM58" s="528"/>
      <c r="MVN58" s="528"/>
      <c r="MVO58" s="528"/>
      <c r="MVP58" s="528"/>
      <c r="MVQ58" s="528"/>
      <c r="MVR58" s="528"/>
      <c r="MVS58" s="528"/>
      <c r="MVT58" s="528"/>
      <c r="MVU58" s="528"/>
      <c r="MVV58" s="528"/>
      <c r="MVW58" s="528"/>
      <c r="MVX58" s="528"/>
      <c r="MVY58" s="528"/>
      <c r="MVZ58" s="528"/>
      <c r="MWA58" s="528"/>
      <c r="MWB58" s="528"/>
      <c r="MWC58" s="528"/>
      <c r="MWD58" s="528"/>
      <c r="MWE58" s="528"/>
      <c r="MWF58" s="528"/>
      <c r="MWG58" s="528"/>
      <c r="MWH58" s="528"/>
      <c r="MWI58" s="528"/>
      <c r="MWJ58" s="528"/>
      <c r="MWK58" s="528"/>
      <c r="MWL58" s="528"/>
      <c r="MWM58" s="528"/>
      <c r="MWN58" s="528"/>
      <c r="MWO58" s="528"/>
      <c r="MWP58" s="528"/>
      <c r="MWQ58" s="528"/>
      <c r="MWR58" s="528"/>
      <c r="MWS58" s="528"/>
      <c r="MWT58" s="528"/>
      <c r="MWU58" s="528"/>
      <c r="MWV58" s="528"/>
      <c r="MWW58" s="528"/>
      <c r="MWX58" s="528"/>
      <c r="MWY58" s="528"/>
      <c r="MWZ58" s="528"/>
      <c r="MXA58" s="528"/>
      <c r="MXB58" s="528"/>
      <c r="MXC58" s="528"/>
      <c r="MXD58" s="528"/>
      <c r="MXE58" s="528"/>
      <c r="MXF58" s="528"/>
      <c r="MXG58" s="528"/>
      <c r="MXH58" s="528"/>
      <c r="MXI58" s="528"/>
      <c r="MXJ58" s="528"/>
      <c r="MXK58" s="528"/>
      <c r="MXL58" s="528"/>
      <c r="MXM58" s="528"/>
      <c r="MXN58" s="528"/>
      <c r="MXO58" s="528"/>
      <c r="MXP58" s="528"/>
      <c r="MXQ58" s="528"/>
      <c r="MXR58" s="528"/>
      <c r="MXS58" s="528"/>
      <c r="MXT58" s="528"/>
      <c r="MXU58" s="528"/>
      <c r="MXV58" s="528"/>
      <c r="MXW58" s="528"/>
      <c r="MXX58" s="528"/>
      <c r="MXY58" s="528"/>
      <c r="MXZ58" s="528"/>
      <c r="MYA58" s="528"/>
      <c r="MYB58" s="528"/>
      <c r="MYC58" s="528"/>
      <c r="MYD58" s="528"/>
      <c r="MYE58" s="528"/>
      <c r="MYF58" s="528"/>
      <c r="MYG58" s="528"/>
      <c r="MYH58" s="528"/>
      <c r="MYI58" s="528"/>
      <c r="MYJ58" s="528"/>
      <c r="MYK58" s="528"/>
      <c r="MYL58" s="528"/>
      <c r="MYM58" s="528"/>
      <c r="MYN58" s="528"/>
      <c r="MYO58" s="528"/>
      <c r="MYP58" s="528"/>
      <c r="MYQ58" s="528"/>
      <c r="MYR58" s="528"/>
      <c r="MYS58" s="528"/>
      <c r="MYT58" s="528"/>
      <c r="MYU58" s="528"/>
      <c r="MYV58" s="528"/>
      <c r="MYW58" s="528"/>
      <c r="MYX58" s="528"/>
      <c r="MYY58" s="528"/>
      <c r="MYZ58" s="528"/>
      <c r="MZA58" s="528"/>
      <c r="MZB58" s="528"/>
      <c r="MZC58" s="528"/>
      <c r="MZD58" s="528"/>
      <c r="MZE58" s="528"/>
      <c r="MZF58" s="528"/>
      <c r="MZG58" s="528"/>
      <c r="MZH58" s="528"/>
      <c r="MZI58" s="528"/>
      <c r="MZJ58" s="528"/>
      <c r="MZK58" s="528"/>
      <c r="MZL58" s="528"/>
      <c r="MZM58" s="528"/>
      <c r="MZN58" s="528"/>
      <c r="MZO58" s="528"/>
      <c r="MZP58" s="528"/>
      <c r="MZQ58" s="528"/>
      <c r="MZR58" s="528"/>
      <c r="MZS58" s="528"/>
      <c r="MZT58" s="528"/>
      <c r="MZU58" s="528"/>
      <c r="MZV58" s="528"/>
      <c r="MZW58" s="528"/>
      <c r="MZX58" s="528"/>
      <c r="MZY58" s="528"/>
      <c r="MZZ58" s="528"/>
      <c r="NAA58" s="528"/>
      <c r="NAB58" s="528"/>
      <c r="NAC58" s="528"/>
      <c r="NAD58" s="528"/>
      <c r="NAE58" s="528"/>
      <c r="NAF58" s="528"/>
      <c r="NAG58" s="528"/>
      <c r="NAH58" s="528"/>
      <c r="NAI58" s="528"/>
      <c r="NAJ58" s="528"/>
      <c r="NAK58" s="528"/>
      <c r="NAL58" s="528"/>
      <c r="NAM58" s="528"/>
      <c r="NAN58" s="528"/>
      <c r="NAO58" s="528"/>
      <c r="NAP58" s="528"/>
      <c r="NAQ58" s="528"/>
      <c r="NAR58" s="528"/>
      <c r="NAS58" s="528"/>
      <c r="NAT58" s="528"/>
      <c r="NAU58" s="528"/>
      <c r="NAV58" s="528"/>
      <c r="NAW58" s="528"/>
      <c r="NAX58" s="528"/>
      <c r="NAY58" s="528"/>
      <c r="NAZ58" s="528"/>
      <c r="NBA58" s="528"/>
      <c r="NBB58" s="528"/>
      <c r="NBC58" s="528"/>
      <c r="NBD58" s="528"/>
      <c r="NBE58" s="528"/>
      <c r="NBF58" s="528"/>
      <c r="NBG58" s="528"/>
      <c r="NBH58" s="528"/>
      <c r="NBI58" s="528"/>
      <c r="NBJ58" s="528"/>
      <c r="NBK58" s="528"/>
      <c r="NBL58" s="528"/>
      <c r="NBM58" s="528"/>
      <c r="NBN58" s="528"/>
      <c r="NBO58" s="528"/>
      <c r="NBP58" s="528"/>
      <c r="NBQ58" s="528"/>
      <c r="NBR58" s="528"/>
      <c r="NBS58" s="528"/>
      <c r="NBT58" s="528"/>
      <c r="NBU58" s="528"/>
      <c r="NBV58" s="528"/>
      <c r="NBW58" s="528"/>
      <c r="NBX58" s="528"/>
      <c r="NBY58" s="528"/>
      <c r="NBZ58" s="528"/>
      <c r="NCA58" s="528"/>
      <c r="NCB58" s="528"/>
      <c r="NCC58" s="528"/>
      <c r="NCD58" s="528"/>
      <c r="NCE58" s="528"/>
      <c r="NCF58" s="528"/>
      <c r="NCG58" s="528"/>
      <c r="NCH58" s="528"/>
      <c r="NCI58" s="528"/>
      <c r="NCJ58" s="528"/>
      <c r="NCK58" s="528"/>
      <c r="NCL58" s="528"/>
      <c r="NCM58" s="528"/>
      <c r="NCN58" s="528"/>
      <c r="NCO58" s="528"/>
      <c r="NCP58" s="528"/>
      <c r="NCQ58" s="528"/>
      <c r="NCR58" s="528"/>
      <c r="NCS58" s="528"/>
      <c r="NCT58" s="528"/>
      <c r="NCU58" s="528"/>
      <c r="NCV58" s="528"/>
      <c r="NCW58" s="528"/>
      <c r="NCX58" s="528"/>
      <c r="NCY58" s="528"/>
      <c r="NCZ58" s="528"/>
      <c r="NDA58" s="528"/>
      <c r="NDB58" s="528"/>
      <c r="NDC58" s="528"/>
      <c r="NDD58" s="528"/>
      <c r="NDE58" s="528"/>
      <c r="NDF58" s="528"/>
      <c r="NDG58" s="528"/>
      <c r="NDH58" s="528"/>
      <c r="NDI58" s="528"/>
      <c r="NDJ58" s="528"/>
      <c r="NDK58" s="528"/>
      <c r="NDL58" s="528"/>
      <c r="NDM58" s="528"/>
      <c r="NDN58" s="528"/>
      <c r="NDO58" s="528"/>
      <c r="NDP58" s="528"/>
      <c r="NDQ58" s="528"/>
      <c r="NDR58" s="528"/>
      <c r="NDS58" s="528"/>
      <c r="NDT58" s="528"/>
      <c r="NDU58" s="528"/>
      <c r="NDV58" s="528"/>
      <c r="NDW58" s="528"/>
      <c r="NDX58" s="528"/>
      <c r="NDY58" s="528"/>
      <c r="NDZ58" s="528"/>
      <c r="NEA58" s="528"/>
      <c r="NEB58" s="528"/>
      <c r="NEC58" s="528"/>
      <c r="NED58" s="528"/>
      <c r="NEE58" s="528"/>
      <c r="NEF58" s="528"/>
      <c r="NEG58" s="528"/>
      <c r="NEH58" s="528"/>
      <c r="NEI58" s="528"/>
      <c r="NEJ58" s="528"/>
      <c r="NEK58" s="528"/>
      <c r="NEL58" s="528"/>
      <c r="NEM58" s="528"/>
      <c r="NEN58" s="528"/>
      <c r="NEO58" s="528"/>
      <c r="NEP58" s="528"/>
      <c r="NEQ58" s="528"/>
      <c r="NER58" s="528"/>
      <c r="NES58" s="528"/>
      <c r="NET58" s="528"/>
      <c r="NEU58" s="528"/>
      <c r="NEV58" s="528"/>
      <c r="NEW58" s="528"/>
      <c r="NEX58" s="528"/>
      <c r="NEY58" s="528"/>
      <c r="NEZ58" s="528"/>
      <c r="NFA58" s="528"/>
      <c r="NFB58" s="528"/>
      <c r="NFC58" s="528"/>
      <c r="NFD58" s="528"/>
      <c r="NFE58" s="528"/>
      <c r="NFF58" s="528"/>
      <c r="NFG58" s="528"/>
      <c r="NFH58" s="528"/>
      <c r="NFI58" s="528"/>
      <c r="NFJ58" s="528"/>
      <c r="NFK58" s="528"/>
      <c r="NFL58" s="528"/>
      <c r="NFM58" s="528"/>
      <c r="NFN58" s="528"/>
      <c r="NFO58" s="528"/>
      <c r="NFP58" s="528"/>
      <c r="NFQ58" s="528"/>
      <c r="NFR58" s="528"/>
      <c r="NFS58" s="528"/>
      <c r="NFT58" s="528"/>
      <c r="NFU58" s="528"/>
      <c r="NFV58" s="528"/>
      <c r="NFW58" s="528"/>
      <c r="NFX58" s="528"/>
      <c r="NFY58" s="528"/>
      <c r="NFZ58" s="528"/>
      <c r="NGA58" s="528"/>
      <c r="NGB58" s="528"/>
      <c r="NGC58" s="528"/>
      <c r="NGD58" s="528"/>
      <c r="NGE58" s="528"/>
      <c r="NGF58" s="528"/>
      <c r="NGG58" s="528"/>
      <c r="NGH58" s="528"/>
      <c r="NGI58" s="528"/>
      <c r="NGJ58" s="528"/>
      <c r="NGK58" s="528"/>
      <c r="NGL58" s="528"/>
      <c r="NGM58" s="528"/>
      <c r="NGN58" s="528"/>
      <c r="NGO58" s="528"/>
      <c r="NGP58" s="528"/>
      <c r="NGQ58" s="528"/>
      <c r="NGR58" s="528"/>
      <c r="NGS58" s="528"/>
      <c r="NGT58" s="528"/>
      <c r="NGU58" s="528"/>
      <c r="NGV58" s="528"/>
      <c r="NGW58" s="528"/>
      <c r="NGX58" s="528"/>
      <c r="NGY58" s="528"/>
      <c r="NGZ58" s="528"/>
      <c r="NHA58" s="528"/>
      <c r="NHB58" s="528"/>
      <c r="NHC58" s="528"/>
      <c r="NHD58" s="528"/>
      <c r="NHE58" s="528"/>
      <c r="NHF58" s="528"/>
      <c r="NHG58" s="528"/>
      <c r="NHH58" s="528"/>
      <c r="NHI58" s="528"/>
      <c r="NHJ58" s="528"/>
      <c r="NHK58" s="528"/>
      <c r="NHL58" s="528"/>
      <c r="NHM58" s="528"/>
      <c r="NHN58" s="528"/>
      <c r="NHO58" s="528"/>
      <c r="NHP58" s="528"/>
      <c r="NHQ58" s="528"/>
      <c r="NHR58" s="528"/>
      <c r="NHS58" s="528"/>
      <c r="NHT58" s="528"/>
      <c r="NHU58" s="528"/>
      <c r="NHV58" s="528"/>
      <c r="NHW58" s="528"/>
      <c r="NHX58" s="528"/>
      <c r="NHY58" s="528"/>
      <c r="NHZ58" s="528"/>
      <c r="NIA58" s="528"/>
      <c r="NIB58" s="528"/>
      <c r="NIC58" s="528"/>
      <c r="NID58" s="528"/>
      <c r="NIE58" s="528"/>
      <c r="NIF58" s="528"/>
      <c r="NIG58" s="528"/>
      <c r="NIH58" s="528"/>
      <c r="NII58" s="528"/>
      <c r="NIJ58" s="528"/>
      <c r="NIK58" s="528"/>
      <c r="NIL58" s="528"/>
      <c r="NIM58" s="528"/>
      <c r="NIN58" s="528"/>
      <c r="NIO58" s="528"/>
      <c r="NIP58" s="528"/>
      <c r="NIQ58" s="528"/>
      <c r="NIR58" s="528"/>
      <c r="NIS58" s="528"/>
      <c r="NIT58" s="528"/>
      <c r="NIU58" s="528"/>
      <c r="NIV58" s="528"/>
      <c r="NIW58" s="528"/>
      <c r="NIX58" s="528"/>
      <c r="NIY58" s="528"/>
      <c r="NIZ58" s="528"/>
      <c r="NJA58" s="528"/>
      <c r="NJB58" s="528"/>
      <c r="NJC58" s="528"/>
      <c r="NJD58" s="528"/>
      <c r="NJE58" s="528"/>
      <c r="NJF58" s="528"/>
      <c r="NJG58" s="528"/>
      <c r="NJH58" s="528"/>
      <c r="NJI58" s="528"/>
      <c r="NJJ58" s="528"/>
      <c r="NJK58" s="528"/>
      <c r="NJL58" s="528"/>
      <c r="NJM58" s="528"/>
      <c r="NJN58" s="528"/>
      <c r="NJO58" s="528"/>
      <c r="NJP58" s="528"/>
      <c r="NJQ58" s="528"/>
      <c r="NJR58" s="528"/>
      <c r="NJS58" s="528"/>
      <c r="NJT58" s="528"/>
      <c r="NJU58" s="528"/>
      <c r="NJV58" s="528"/>
      <c r="NJW58" s="528"/>
      <c r="NJX58" s="528"/>
      <c r="NJY58" s="528"/>
      <c r="NJZ58" s="528"/>
      <c r="NKA58" s="528"/>
      <c r="NKB58" s="528"/>
      <c r="NKC58" s="528"/>
      <c r="NKD58" s="528"/>
      <c r="NKE58" s="528"/>
      <c r="NKF58" s="528"/>
      <c r="NKG58" s="528"/>
      <c r="NKH58" s="528"/>
      <c r="NKI58" s="528"/>
      <c r="NKJ58" s="528"/>
      <c r="NKK58" s="528"/>
      <c r="NKL58" s="528"/>
      <c r="NKM58" s="528"/>
      <c r="NKN58" s="528"/>
      <c r="NKO58" s="528"/>
      <c r="NKP58" s="528"/>
      <c r="NKQ58" s="528"/>
      <c r="NKR58" s="528"/>
      <c r="NKS58" s="528"/>
      <c r="NKT58" s="528"/>
      <c r="NKU58" s="528"/>
      <c r="NKV58" s="528"/>
      <c r="NKW58" s="528"/>
      <c r="NKX58" s="528"/>
      <c r="NKY58" s="528"/>
      <c r="NKZ58" s="528"/>
      <c r="NLA58" s="528"/>
      <c r="NLB58" s="528"/>
      <c r="NLC58" s="528"/>
      <c r="NLD58" s="528"/>
      <c r="NLE58" s="528"/>
      <c r="NLF58" s="528"/>
      <c r="NLG58" s="528"/>
      <c r="NLH58" s="528"/>
      <c r="NLI58" s="528"/>
      <c r="NLJ58" s="528"/>
      <c r="NLK58" s="528"/>
      <c r="NLL58" s="528"/>
      <c r="NLM58" s="528"/>
      <c r="NLN58" s="528"/>
      <c r="NLO58" s="528"/>
      <c r="NLP58" s="528"/>
      <c r="NLQ58" s="528"/>
      <c r="NLR58" s="528"/>
      <c r="NLS58" s="528"/>
      <c r="NLT58" s="528"/>
      <c r="NLU58" s="528"/>
      <c r="NLV58" s="528"/>
      <c r="NLW58" s="528"/>
      <c r="NLX58" s="528"/>
      <c r="NLY58" s="528"/>
      <c r="NLZ58" s="528"/>
      <c r="NMA58" s="528"/>
      <c r="NMB58" s="528"/>
      <c r="NMC58" s="528"/>
      <c r="NMD58" s="528"/>
      <c r="NME58" s="528"/>
      <c r="NMF58" s="528"/>
      <c r="NMG58" s="528"/>
      <c r="NMH58" s="528"/>
      <c r="NMI58" s="528"/>
      <c r="NMJ58" s="528"/>
      <c r="NMK58" s="528"/>
      <c r="NML58" s="528"/>
      <c r="NMM58" s="528"/>
      <c r="NMN58" s="528"/>
      <c r="NMO58" s="528"/>
      <c r="NMP58" s="528"/>
      <c r="NMQ58" s="528"/>
      <c r="NMR58" s="528"/>
      <c r="NMS58" s="528"/>
      <c r="NMT58" s="528"/>
      <c r="NMU58" s="528"/>
      <c r="NMV58" s="528"/>
      <c r="NMW58" s="528"/>
      <c r="NMX58" s="528"/>
      <c r="NMY58" s="528"/>
      <c r="NMZ58" s="528"/>
      <c r="NNA58" s="528"/>
      <c r="NNB58" s="528"/>
      <c r="NNC58" s="528"/>
      <c r="NND58" s="528"/>
      <c r="NNE58" s="528"/>
      <c r="NNF58" s="528"/>
      <c r="NNG58" s="528"/>
      <c r="NNH58" s="528"/>
      <c r="NNI58" s="528"/>
      <c r="NNJ58" s="528"/>
      <c r="NNK58" s="528"/>
      <c r="NNL58" s="528"/>
      <c r="NNM58" s="528"/>
      <c r="NNN58" s="528"/>
      <c r="NNO58" s="528"/>
      <c r="NNP58" s="528"/>
      <c r="NNQ58" s="528"/>
      <c r="NNR58" s="528"/>
      <c r="NNS58" s="528"/>
      <c r="NNT58" s="528"/>
      <c r="NNU58" s="528"/>
      <c r="NNV58" s="528"/>
      <c r="NNW58" s="528"/>
      <c r="NNX58" s="528"/>
      <c r="NNY58" s="528"/>
      <c r="NNZ58" s="528"/>
      <c r="NOA58" s="528"/>
      <c r="NOB58" s="528"/>
      <c r="NOC58" s="528"/>
      <c r="NOD58" s="528"/>
      <c r="NOE58" s="528"/>
      <c r="NOF58" s="528"/>
      <c r="NOG58" s="528"/>
      <c r="NOH58" s="528"/>
      <c r="NOI58" s="528"/>
      <c r="NOJ58" s="528"/>
      <c r="NOK58" s="528"/>
      <c r="NOL58" s="528"/>
      <c r="NOM58" s="528"/>
      <c r="NON58" s="528"/>
      <c r="NOO58" s="528"/>
      <c r="NOP58" s="528"/>
      <c r="NOQ58" s="528"/>
      <c r="NOR58" s="528"/>
      <c r="NOS58" s="528"/>
      <c r="NOT58" s="528"/>
      <c r="NOU58" s="528"/>
      <c r="NOV58" s="528"/>
      <c r="NOW58" s="528"/>
      <c r="NOX58" s="528"/>
      <c r="NOY58" s="528"/>
      <c r="NOZ58" s="528"/>
      <c r="NPA58" s="528"/>
      <c r="NPB58" s="528"/>
      <c r="NPC58" s="528"/>
      <c r="NPD58" s="528"/>
      <c r="NPE58" s="528"/>
      <c r="NPF58" s="528"/>
      <c r="NPG58" s="528"/>
      <c r="NPH58" s="528"/>
      <c r="NPI58" s="528"/>
      <c r="NPJ58" s="528"/>
      <c r="NPK58" s="528"/>
      <c r="NPL58" s="528"/>
      <c r="NPM58" s="528"/>
      <c r="NPN58" s="528"/>
      <c r="NPO58" s="528"/>
      <c r="NPP58" s="528"/>
      <c r="NPQ58" s="528"/>
      <c r="NPR58" s="528"/>
      <c r="NPS58" s="528"/>
      <c r="NPT58" s="528"/>
      <c r="NPU58" s="528"/>
      <c r="NPV58" s="528"/>
      <c r="NPW58" s="528"/>
      <c r="NPX58" s="528"/>
      <c r="NPY58" s="528"/>
      <c r="NPZ58" s="528"/>
      <c r="NQA58" s="528"/>
      <c r="NQB58" s="528"/>
      <c r="NQC58" s="528"/>
      <c r="NQD58" s="528"/>
      <c r="NQE58" s="528"/>
      <c r="NQF58" s="528"/>
      <c r="NQG58" s="528"/>
      <c r="NQH58" s="528"/>
      <c r="NQI58" s="528"/>
      <c r="NQJ58" s="528"/>
      <c r="NQK58" s="528"/>
      <c r="NQL58" s="528"/>
      <c r="NQM58" s="528"/>
      <c r="NQN58" s="528"/>
      <c r="NQO58" s="528"/>
      <c r="NQP58" s="528"/>
      <c r="NQQ58" s="528"/>
      <c r="NQR58" s="528"/>
      <c r="NQS58" s="528"/>
      <c r="NQT58" s="528"/>
      <c r="NQU58" s="528"/>
      <c r="NQV58" s="528"/>
      <c r="NQW58" s="528"/>
      <c r="NQX58" s="528"/>
      <c r="NQY58" s="528"/>
      <c r="NQZ58" s="528"/>
      <c r="NRA58" s="528"/>
      <c r="NRB58" s="528"/>
      <c r="NRC58" s="528"/>
      <c r="NRD58" s="528"/>
      <c r="NRE58" s="528"/>
      <c r="NRF58" s="528"/>
      <c r="NRG58" s="528"/>
      <c r="NRH58" s="528"/>
      <c r="NRI58" s="528"/>
      <c r="NRJ58" s="528"/>
      <c r="NRK58" s="528"/>
      <c r="NRL58" s="528"/>
      <c r="NRM58" s="528"/>
      <c r="NRN58" s="528"/>
      <c r="NRO58" s="528"/>
      <c r="NRP58" s="528"/>
      <c r="NRQ58" s="528"/>
      <c r="NRR58" s="528"/>
      <c r="NRS58" s="528"/>
      <c r="NRT58" s="528"/>
      <c r="NRU58" s="528"/>
      <c r="NRV58" s="528"/>
      <c r="NRW58" s="528"/>
      <c r="NRX58" s="528"/>
      <c r="NRY58" s="528"/>
      <c r="NRZ58" s="528"/>
      <c r="NSA58" s="528"/>
      <c r="NSB58" s="528"/>
      <c r="NSC58" s="528"/>
      <c r="NSD58" s="528"/>
      <c r="NSE58" s="528"/>
      <c r="NSF58" s="528"/>
      <c r="NSG58" s="528"/>
      <c r="NSH58" s="528"/>
      <c r="NSI58" s="528"/>
      <c r="NSJ58" s="528"/>
      <c r="NSK58" s="528"/>
      <c r="NSL58" s="528"/>
      <c r="NSM58" s="528"/>
      <c r="NSN58" s="528"/>
      <c r="NSO58" s="528"/>
      <c r="NSP58" s="528"/>
      <c r="NSQ58" s="528"/>
      <c r="NSR58" s="528"/>
      <c r="NSS58" s="528"/>
      <c r="NST58" s="528"/>
      <c r="NSU58" s="528"/>
      <c r="NSV58" s="528"/>
      <c r="NSW58" s="528"/>
      <c r="NSX58" s="528"/>
      <c r="NSY58" s="528"/>
      <c r="NSZ58" s="528"/>
      <c r="NTA58" s="528"/>
      <c r="NTB58" s="528"/>
      <c r="NTC58" s="528"/>
      <c r="NTD58" s="528"/>
      <c r="NTE58" s="528"/>
      <c r="NTF58" s="528"/>
      <c r="NTG58" s="528"/>
      <c r="NTH58" s="528"/>
      <c r="NTI58" s="528"/>
      <c r="NTJ58" s="528"/>
      <c r="NTK58" s="528"/>
      <c r="NTL58" s="528"/>
      <c r="NTM58" s="528"/>
      <c r="NTN58" s="528"/>
      <c r="NTO58" s="528"/>
      <c r="NTP58" s="528"/>
      <c r="NTQ58" s="528"/>
      <c r="NTR58" s="528"/>
      <c r="NTS58" s="528"/>
      <c r="NTT58" s="528"/>
      <c r="NTU58" s="528"/>
      <c r="NTV58" s="528"/>
      <c r="NTW58" s="528"/>
      <c r="NTX58" s="528"/>
      <c r="NTY58" s="528"/>
      <c r="NTZ58" s="528"/>
      <c r="NUA58" s="528"/>
      <c r="NUB58" s="528"/>
      <c r="NUC58" s="528"/>
      <c r="NUD58" s="528"/>
      <c r="NUE58" s="528"/>
      <c r="NUF58" s="528"/>
      <c r="NUG58" s="528"/>
      <c r="NUH58" s="528"/>
      <c r="NUI58" s="528"/>
      <c r="NUJ58" s="528"/>
      <c r="NUK58" s="528"/>
      <c r="NUL58" s="528"/>
      <c r="NUM58" s="528"/>
      <c r="NUN58" s="528"/>
      <c r="NUO58" s="528"/>
      <c r="NUP58" s="528"/>
      <c r="NUQ58" s="528"/>
      <c r="NUR58" s="528"/>
      <c r="NUS58" s="528"/>
      <c r="NUT58" s="528"/>
      <c r="NUU58" s="528"/>
      <c r="NUV58" s="528"/>
      <c r="NUW58" s="528"/>
      <c r="NUX58" s="528"/>
      <c r="NUY58" s="528"/>
      <c r="NUZ58" s="528"/>
      <c r="NVA58" s="528"/>
      <c r="NVB58" s="528"/>
      <c r="NVC58" s="528"/>
      <c r="NVD58" s="528"/>
      <c r="NVE58" s="528"/>
      <c r="NVF58" s="528"/>
      <c r="NVG58" s="528"/>
      <c r="NVH58" s="528"/>
      <c r="NVI58" s="528"/>
      <c r="NVJ58" s="528"/>
      <c r="NVK58" s="528"/>
      <c r="NVL58" s="528"/>
      <c r="NVM58" s="528"/>
      <c r="NVN58" s="528"/>
      <c r="NVO58" s="528"/>
      <c r="NVP58" s="528"/>
      <c r="NVQ58" s="528"/>
      <c r="NVR58" s="528"/>
      <c r="NVS58" s="528"/>
      <c r="NVT58" s="528"/>
      <c r="NVU58" s="528"/>
      <c r="NVV58" s="528"/>
      <c r="NVW58" s="528"/>
      <c r="NVX58" s="528"/>
      <c r="NVY58" s="528"/>
      <c r="NVZ58" s="528"/>
      <c r="NWA58" s="528"/>
      <c r="NWB58" s="528"/>
      <c r="NWC58" s="528"/>
      <c r="NWD58" s="528"/>
      <c r="NWE58" s="528"/>
      <c r="NWF58" s="528"/>
      <c r="NWG58" s="528"/>
      <c r="NWH58" s="528"/>
      <c r="NWI58" s="528"/>
      <c r="NWJ58" s="528"/>
      <c r="NWK58" s="528"/>
      <c r="NWL58" s="528"/>
      <c r="NWM58" s="528"/>
      <c r="NWN58" s="528"/>
      <c r="NWO58" s="528"/>
      <c r="NWP58" s="528"/>
      <c r="NWQ58" s="528"/>
      <c r="NWR58" s="528"/>
      <c r="NWS58" s="528"/>
      <c r="NWT58" s="528"/>
      <c r="NWU58" s="528"/>
      <c r="NWV58" s="528"/>
      <c r="NWW58" s="528"/>
      <c r="NWX58" s="528"/>
      <c r="NWY58" s="528"/>
      <c r="NWZ58" s="528"/>
      <c r="NXA58" s="528"/>
      <c r="NXB58" s="528"/>
      <c r="NXC58" s="528"/>
      <c r="NXD58" s="528"/>
      <c r="NXE58" s="528"/>
      <c r="NXF58" s="528"/>
      <c r="NXG58" s="528"/>
      <c r="NXH58" s="528"/>
      <c r="NXI58" s="528"/>
      <c r="NXJ58" s="528"/>
      <c r="NXK58" s="528"/>
      <c r="NXL58" s="528"/>
      <c r="NXM58" s="528"/>
      <c r="NXN58" s="528"/>
      <c r="NXO58" s="528"/>
      <c r="NXP58" s="528"/>
      <c r="NXQ58" s="528"/>
      <c r="NXR58" s="528"/>
      <c r="NXS58" s="528"/>
      <c r="NXT58" s="528"/>
      <c r="NXU58" s="528"/>
      <c r="NXV58" s="528"/>
      <c r="NXW58" s="528"/>
      <c r="NXX58" s="528"/>
      <c r="NXY58" s="528"/>
      <c r="NXZ58" s="528"/>
      <c r="NYA58" s="528"/>
      <c r="NYB58" s="528"/>
      <c r="NYC58" s="528"/>
      <c r="NYD58" s="528"/>
      <c r="NYE58" s="528"/>
      <c r="NYF58" s="528"/>
      <c r="NYG58" s="528"/>
      <c r="NYH58" s="528"/>
      <c r="NYI58" s="528"/>
      <c r="NYJ58" s="528"/>
      <c r="NYK58" s="528"/>
      <c r="NYL58" s="528"/>
      <c r="NYM58" s="528"/>
      <c r="NYN58" s="528"/>
      <c r="NYO58" s="528"/>
      <c r="NYP58" s="528"/>
      <c r="NYQ58" s="528"/>
      <c r="NYR58" s="528"/>
      <c r="NYS58" s="528"/>
      <c r="NYT58" s="528"/>
      <c r="NYU58" s="528"/>
      <c r="NYV58" s="528"/>
      <c r="NYW58" s="528"/>
      <c r="NYX58" s="528"/>
      <c r="NYY58" s="528"/>
      <c r="NYZ58" s="528"/>
      <c r="NZA58" s="528"/>
      <c r="NZB58" s="528"/>
      <c r="NZC58" s="528"/>
      <c r="NZD58" s="528"/>
      <c r="NZE58" s="528"/>
      <c r="NZF58" s="528"/>
      <c r="NZG58" s="528"/>
      <c r="NZH58" s="528"/>
      <c r="NZI58" s="528"/>
      <c r="NZJ58" s="528"/>
      <c r="NZK58" s="528"/>
      <c r="NZL58" s="528"/>
      <c r="NZM58" s="528"/>
      <c r="NZN58" s="528"/>
      <c r="NZO58" s="528"/>
      <c r="NZP58" s="528"/>
      <c r="NZQ58" s="528"/>
      <c r="NZR58" s="528"/>
      <c r="NZS58" s="528"/>
      <c r="NZT58" s="528"/>
      <c r="NZU58" s="528"/>
      <c r="NZV58" s="528"/>
      <c r="NZW58" s="528"/>
      <c r="NZX58" s="528"/>
      <c r="NZY58" s="528"/>
      <c r="NZZ58" s="528"/>
      <c r="OAA58" s="528"/>
      <c r="OAB58" s="528"/>
      <c r="OAC58" s="528"/>
      <c r="OAD58" s="528"/>
      <c r="OAE58" s="528"/>
      <c r="OAF58" s="528"/>
      <c r="OAG58" s="528"/>
      <c r="OAH58" s="528"/>
      <c r="OAI58" s="528"/>
      <c r="OAJ58" s="528"/>
      <c r="OAK58" s="528"/>
      <c r="OAL58" s="528"/>
      <c r="OAM58" s="528"/>
      <c r="OAN58" s="528"/>
      <c r="OAO58" s="528"/>
      <c r="OAP58" s="528"/>
      <c r="OAQ58" s="528"/>
      <c r="OAR58" s="528"/>
      <c r="OAS58" s="528"/>
      <c r="OAT58" s="528"/>
      <c r="OAU58" s="528"/>
      <c r="OAV58" s="528"/>
      <c r="OAW58" s="528"/>
      <c r="OAX58" s="528"/>
      <c r="OAY58" s="528"/>
      <c r="OAZ58" s="528"/>
      <c r="OBA58" s="528"/>
      <c r="OBB58" s="528"/>
      <c r="OBC58" s="528"/>
      <c r="OBD58" s="528"/>
      <c r="OBE58" s="528"/>
      <c r="OBF58" s="528"/>
      <c r="OBG58" s="528"/>
      <c r="OBH58" s="528"/>
      <c r="OBI58" s="528"/>
      <c r="OBJ58" s="528"/>
      <c r="OBK58" s="528"/>
      <c r="OBL58" s="528"/>
      <c r="OBM58" s="528"/>
      <c r="OBN58" s="528"/>
      <c r="OBO58" s="528"/>
      <c r="OBP58" s="528"/>
      <c r="OBQ58" s="528"/>
      <c r="OBR58" s="528"/>
      <c r="OBS58" s="528"/>
      <c r="OBT58" s="528"/>
      <c r="OBU58" s="528"/>
      <c r="OBV58" s="528"/>
      <c r="OBW58" s="528"/>
      <c r="OBX58" s="528"/>
      <c r="OBY58" s="528"/>
      <c r="OBZ58" s="528"/>
      <c r="OCA58" s="528"/>
      <c r="OCB58" s="528"/>
      <c r="OCC58" s="528"/>
      <c r="OCD58" s="528"/>
      <c r="OCE58" s="528"/>
      <c r="OCF58" s="528"/>
      <c r="OCG58" s="528"/>
      <c r="OCH58" s="528"/>
      <c r="OCI58" s="528"/>
      <c r="OCJ58" s="528"/>
      <c r="OCK58" s="528"/>
      <c r="OCL58" s="528"/>
      <c r="OCM58" s="528"/>
      <c r="OCN58" s="528"/>
      <c r="OCO58" s="528"/>
      <c r="OCP58" s="528"/>
      <c r="OCQ58" s="528"/>
      <c r="OCR58" s="528"/>
      <c r="OCS58" s="528"/>
      <c r="OCT58" s="528"/>
      <c r="OCU58" s="528"/>
      <c r="OCV58" s="528"/>
      <c r="OCW58" s="528"/>
      <c r="OCX58" s="528"/>
      <c r="OCY58" s="528"/>
      <c r="OCZ58" s="528"/>
      <c r="ODA58" s="528"/>
      <c r="ODB58" s="528"/>
      <c r="ODC58" s="528"/>
      <c r="ODD58" s="528"/>
      <c r="ODE58" s="528"/>
      <c r="ODF58" s="528"/>
      <c r="ODG58" s="528"/>
      <c r="ODH58" s="528"/>
      <c r="ODI58" s="528"/>
      <c r="ODJ58" s="528"/>
      <c r="ODK58" s="528"/>
      <c r="ODL58" s="528"/>
      <c r="ODM58" s="528"/>
      <c r="ODN58" s="528"/>
      <c r="ODO58" s="528"/>
      <c r="ODP58" s="528"/>
      <c r="ODQ58" s="528"/>
      <c r="ODR58" s="528"/>
      <c r="ODS58" s="528"/>
      <c r="ODT58" s="528"/>
      <c r="ODU58" s="528"/>
      <c r="ODV58" s="528"/>
      <c r="ODW58" s="528"/>
      <c r="ODX58" s="528"/>
      <c r="ODY58" s="528"/>
      <c r="ODZ58" s="528"/>
      <c r="OEA58" s="528"/>
      <c r="OEB58" s="528"/>
      <c r="OEC58" s="528"/>
      <c r="OED58" s="528"/>
      <c r="OEE58" s="528"/>
      <c r="OEF58" s="528"/>
      <c r="OEG58" s="528"/>
      <c r="OEH58" s="528"/>
      <c r="OEI58" s="528"/>
      <c r="OEJ58" s="528"/>
      <c r="OEK58" s="528"/>
      <c r="OEL58" s="528"/>
      <c r="OEM58" s="528"/>
      <c r="OEN58" s="528"/>
      <c r="OEO58" s="528"/>
      <c r="OEP58" s="528"/>
      <c r="OEQ58" s="528"/>
      <c r="OER58" s="528"/>
      <c r="OES58" s="528"/>
      <c r="OET58" s="528"/>
      <c r="OEU58" s="528"/>
      <c r="OEV58" s="528"/>
      <c r="OEW58" s="528"/>
      <c r="OEX58" s="528"/>
      <c r="OEY58" s="528"/>
      <c r="OEZ58" s="528"/>
      <c r="OFA58" s="528"/>
      <c r="OFB58" s="528"/>
      <c r="OFC58" s="528"/>
      <c r="OFD58" s="528"/>
      <c r="OFE58" s="528"/>
      <c r="OFF58" s="528"/>
      <c r="OFG58" s="528"/>
      <c r="OFH58" s="528"/>
      <c r="OFI58" s="528"/>
      <c r="OFJ58" s="528"/>
      <c r="OFK58" s="528"/>
      <c r="OFL58" s="528"/>
      <c r="OFM58" s="528"/>
      <c r="OFN58" s="528"/>
      <c r="OFO58" s="528"/>
      <c r="OFP58" s="528"/>
      <c r="OFQ58" s="528"/>
      <c r="OFR58" s="528"/>
      <c r="OFS58" s="528"/>
      <c r="OFT58" s="528"/>
      <c r="OFU58" s="528"/>
      <c r="OFV58" s="528"/>
      <c r="OFW58" s="528"/>
      <c r="OFX58" s="528"/>
      <c r="OFY58" s="528"/>
      <c r="OFZ58" s="528"/>
      <c r="OGA58" s="528"/>
      <c r="OGB58" s="528"/>
      <c r="OGC58" s="528"/>
      <c r="OGD58" s="528"/>
      <c r="OGE58" s="528"/>
      <c r="OGF58" s="528"/>
      <c r="OGG58" s="528"/>
      <c r="OGH58" s="528"/>
      <c r="OGI58" s="528"/>
      <c r="OGJ58" s="528"/>
      <c r="OGK58" s="528"/>
      <c r="OGL58" s="528"/>
      <c r="OGM58" s="528"/>
      <c r="OGN58" s="528"/>
      <c r="OGO58" s="528"/>
      <c r="OGP58" s="528"/>
      <c r="OGQ58" s="528"/>
      <c r="OGR58" s="528"/>
      <c r="OGS58" s="528"/>
      <c r="OGT58" s="528"/>
      <c r="OGU58" s="528"/>
      <c r="OGV58" s="528"/>
      <c r="OGW58" s="528"/>
      <c r="OGX58" s="528"/>
      <c r="OGY58" s="528"/>
      <c r="OGZ58" s="528"/>
      <c r="OHA58" s="528"/>
      <c r="OHB58" s="528"/>
      <c r="OHC58" s="528"/>
      <c r="OHD58" s="528"/>
      <c r="OHE58" s="528"/>
      <c r="OHF58" s="528"/>
      <c r="OHG58" s="528"/>
      <c r="OHH58" s="528"/>
      <c r="OHI58" s="528"/>
      <c r="OHJ58" s="528"/>
      <c r="OHK58" s="528"/>
      <c r="OHL58" s="528"/>
      <c r="OHM58" s="528"/>
      <c r="OHN58" s="528"/>
      <c r="OHO58" s="528"/>
      <c r="OHP58" s="528"/>
      <c r="OHQ58" s="528"/>
      <c r="OHR58" s="528"/>
      <c r="OHS58" s="528"/>
      <c r="OHT58" s="528"/>
      <c r="OHU58" s="528"/>
      <c r="OHV58" s="528"/>
      <c r="OHW58" s="528"/>
      <c r="OHX58" s="528"/>
      <c r="OHY58" s="528"/>
      <c r="OHZ58" s="528"/>
      <c r="OIA58" s="528"/>
      <c r="OIB58" s="528"/>
      <c r="OIC58" s="528"/>
      <c r="OID58" s="528"/>
      <c r="OIE58" s="528"/>
      <c r="OIF58" s="528"/>
      <c r="OIG58" s="528"/>
      <c r="OIH58" s="528"/>
      <c r="OII58" s="528"/>
      <c r="OIJ58" s="528"/>
      <c r="OIK58" s="528"/>
      <c r="OIL58" s="528"/>
      <c r="OIM58" s="528"/>
      <c r="OIN58" s="528"/>
      <c r="OIO58" s="528"/>
      <c r="OIP58" s="528"/>
      <c r="OIQ58" s="528"/>
      <c r="OIR58" s="528"/>
      <c r="OIS58" s="528"/>
      <c r="OIT58" s="528"/>
      <c r="OIU58" s="528"/>
      <c r="OIV58" s="528"/>
      <c r="OIW58" s="528"/>
      <c r="OIX58" s="528"/>
      <c r="OIY58" s="528"/>
      <c r="OIZ58" s="528"/>
      <c r="OJA58" s="528"/>
      <c r="OJB58" s="528"/>
      <c r="OJC58" s="528"/>
      <c r="OJD58" s="528"/>
      <c r="OJE58" s="528"/>
      <c r="OJF58" s="528"/>
      <c r="OJG58" s="528"/>
      <c r="OJH58" s="528"/>
      <c r="OJI58" s="528"/>
      <c r="OJJ58" s="528"/>
      <c r="OJK58" s="528"/>
      <c r="OJL58" s="528"/>
      <c r="OJM58" s="528"/>
      <c r="OJN58" s="528"/>
      <c r="OJO58" s="528"/>
      <c r="OJP58" s="528"/>
      <c r="OJQ58" s="528"/>
      <c r="OJR58" s="528"/>
      <c r="OJS58" s="528"/>
      <c r="OJT58" s="528"/>
      <c r="OJU58" s="528"/>
      <c r="OJV58" s="528"/>
      <c r="OJW58" s="528"/>
      <c r="OJX58" s="528"/>
      <c r="OJY58" s="528"/>
      <c r="OJZ58" s="528"/>
      <c r="OKA58" s="528"/>
      <c r="OKB58" s="528"/>
      <c r="OKC58" s="528"/>
      <c r="OKD58" s="528"/>
      <c r="OKE58" s="528"/>
      <c r="OKF58" s="528"/>
      <c r="OKG58" s="528"/>
      <c r="OKH58" s="528"/>
      <c r="OKI58" s="528"/>
      <c r="OKJ58" s="528"/>
      <c r="OKK58" s="528"/>
      <c r="OKL58" s="528"/>
      <c r="OKM58" s="528"/>
      <c r="OKN58" s="528"/>
      <c r="OKO58" s="528"/>
      <c r="OKP58" s="528"/>
      <c r="OKQ58" s="528"/>
      <c r="OKR58" s="528"/>
      <c r="OKS58" s="528"/>
      <c r="OKT58" s="528"/>
      <c r="OKU58" s="528"/>
      <c r="OKV58" s="528"/>
      <c r="OKW58" s="528"/>
      <c r="OKX58" s="528"/>
      <c r="OKY58" s="528"/>
      <c r="OKZ58" s="528"/>
      <c r="OLA58" s="528"/>
      <c r="OLB58" s="528"/>
      <c r="OLC58" s="528"/>
      <c r="OLD58" s="528"/>
      <c r="OLE58" s="528"/>
      <c r="OLF58" s="528"/>
      <c r="OLG58" s="528"/>
      <c r="OLH58" s="528"/>
      <c r="OLI58" s="528"/>
      <c r="OLJ58" s="528"/>
      <c r="OLK58" s="528"/>
      <c r="OLL58" s="528"/>
      <c r="OLM58" s="528"/>
      <c r="OLN58" s="528"/>
      <c r="OLO58" s="528"/>
      <c r="OLP58" s="528"/>
      <c r="OLQ58" s="528"/>
      <c r="OLR58" s="528"/>
      <c r="OLS58" s="528"/>
      <c r="OLT58" s="528"/>
      <c r="OLU58" s="528"/>
      <c r="OLV58" s="528"/>
      <c r="OLW58" s="528"/>
      <c r="OLX58" s="528"/>
      <c r="OLY58" s="528"/>
      <c r="OLZ58" s="528"/>
      <c r="OMA58" s="528"/>
      <c r="OMB58" s="528"/>
      <c r="OMC58" s="528"/>
      <c r="OMD58" s="528"/>
      <c r="OME58" s="528"/>
      <c r="OMF58" s="528"/>
      <c r="OMG58" s="528"/>
      <c r="OMH58" s="528"/>
      <c r="OMI58" s="528"/>
      <c r="OMJ58" s="528"/>
      <c r="OMK58" s="528"/>
      <c r="OML58" s="528"/>
      <c r="OMM58" s="528"/>
      <c r="OMN58" s="528"/>
      <c r="OMO58" s="528"/>
      <c r="OMP58" s="528"/>
      <c r="OMQ58" s="528"/>
      <c r="OMR58" s="528"/>
      <c r="OMS58" s="528"/>
      <c r="OMT58" s="528"/>
      <c r="OMU58" s="528"/>
      <c r="OMV58" s="528"/>
      <c r="OMW58" s="528"/>
      <c r="OMX58" s="528"/>
      <c r="OMY58" s="528"/>
      <c r="OMZ58" s="528"/>
      <c r="ONA58" s="528"/>
      <c r="ONB58" s="528"/>
      <c r="ONC58" s="528"/>
      <c r="OND58" s="528"/>
      <c r="ONE58" s="528"/>
      <c r="ONF58" s="528"/>
      <c r="ONG58" s="528"/>
      <c r="ONH58" s="528"/>
      <c r="ONI58" s="528"/>
      <c r="ONJ58" s="528"/>
      <c r="ONK58" s="528"/>
      <c r="ONL58" s="528"/>
      <c r="ONM58" s="528"/>
      <c r="ONN58" s="528"/>
      <c r="ONO58" s="528"/>
      <c r="ONP58" s="528"/>
      <c r="ONQ58" s="528"/>
      <c r="ONR58" s="528"/>
      <c r="ONS58" s="528"/>
      <c r="ONT58" s="528"/>
      <c r="ONU58" s="528"/>
      <c r="ONV58" s="528"/>
      <c r="ONW58" s="528"/>
      <c r="ONX58" s="528"/>
      <c r="ONY58" s="528"/>
      <c r="ONZ58" s="528"/>
      <c r="OOA58" s="528"/>
      <c r="OOB58" s="528"/>
      <c r="OOC58" s="528"/>
      <c r="OOD58" s="528"/>
      <c r="OOE58" s="528"/>
      <c r="OOF58" s="528"/>
      <c r="OOG58" s="528"/>
      <c r="OOH58" s="528"/>
      <c r="OOI58" s="528"/>
      <c r="OOJ58" s="528"/>
      <c r="OOK58" s="528"/>
      <c r="OOL58" s="528"/>
      <c r="OOM58" s="528"/>
      <c r="OON58" s="528"/>
      <c r="OOO58" s="528"/>
      <c r="OOP58" s="528"/>
      <c r="OOQ58" s="528"/>
      <c r="OOR58" s="528"/>
      <c r="OOS58" s="528"/>
      <c r="OOT58" s="528"/>
      <c r="OOU58" s="528"/>
      <c r="OOV58" s="528"/>
      <c r="OOW58" s="528"/>
      <c r="OOX58" s="528"/>
      <c r="OOY58" s="528"/>
      <c r="OOZ58" s="528"/>
      <c r="OPA58" s="528"/>
      <c r="OPB58" s="528"/>
      <c r="OPC58" s="528"/>
      <c r="OPD58" s="528"/>
      <c r="OPE58" s="528"/>
      <c r="OPF58" s="528"/>
      <c r="OPG58" s="528"/>
      <c r="OPH58" s="528"/>
      <c r="OPI58" s="528"/>
      <c r="OPJ58" s="528"/>
      <c r="OPK58" s="528"/>
      <c r="OPL58" s="528"/>
      <c r="OPM58" s="528"/>
      <c r="OPN58" s="528"/>
      <c r="OPO58" s="528"/>
      <c r="OPP58" s="528"/>
      <c r="OPQ58" s="528"/>
      <c r="OPR58" s="528"/>
      <c r="OPS58" s="528"/>
      <c r="OPT58" s="528"/>
      <c r="OPU58" s="528"/>
      <c r="OPV58" s="528"/>
      <c r="OPW58" s="528"/>
      <c r="OPX58" s="528"/>
      <c r="OPY58" s="528"/>
      <c r="OPZ58" s="528"/>
      <c r="OQA58" s="528"/>
      <c r="OQB58" s="528"/>
      <c r="OQC58" s="528"/>
      <c r="OQD58" s="528"/>
      <c r="OQE58" s="528"/>
      <c r="OQF58" s="528"/>
      <c r="OQG58" s="528"/>
      <c r="OQH58" s="528"/>
      <c r="OQI58" s="528"/>
      <c r="OQJ58" s="528"/>
      <c r="OQK58" s="528"/>
      <c r="OQL58" s="528"/>
      <c r="OQM58" s="528"/>
      <c r="OQN58" s="528"/>
      <c r="OQO58" s="528"/>
      <c r="OQP58" s="528"/>
      <c r="OQQ58" s="528"/>
      <c r="OQR58" s="528"/>
      <c r="OQS58" s="528"/>
      <c r="OQT58" s="528"/>
      <c r="OQU58" s="528"/>
      <c r="OQV58" s="528"/>
      <c r="OQW58" s="528"/>
      <c r="OQX58" s="528"/>
      <c r="OQY58" s="528"/>
      <c r="OQZ58" s="528"/>
      <c r="ORA58" s="528"/>
      <c r="ORB58" s="528"/>
      <c r="ORC58" s="528"/>
      <c r="ORD58" s="528"/>
      <c r="ORE58" s="528"/>
      <c r="ORF58" s="528"/>
      <c r="ORG58" s="528"/>
      <c r="ORH58" s="528"/>
      <c r="ORI58" s="528"/>
      <c r="ORJ58" s="528"/>
      <c r="ORK58" s="528"/>
      <c r="ORL58" s="528"/>
      <c r="ORM58" s="528"/>
      <c r="ORN58" s="528"/>
      <c r="ORO58" s="528"/>
      <c r="ORP58" s="528"/>
      <c r="ORQ58" s="528"/>
      <c r="ORR58" s="528"/>
      <c r="ORS58" s="528"/>
      <c r="ORT58" s="528"/>
      <c r="ORU58" s="528"/>
      <c r="ORV58" s="528"/>
      <c r="ORW58" s="528"/>
      <c r="ORX58" s="528"/>
      <c r="ORY58" s="528"/>
      <c r="ORZ58" s="528"/>
      <c r="OSA58" s="528"/>
      <c r="OSB58" s="528"/>
      <c r="OSC58" s="528"/>
      <c r="OSD58" s="528"/>
      <c r="OSE58" s="528"/>
      <c r="OSF58" s="528"/>
      <c r="OSG58" s="528"/>
      <c r="OSH58" s="528"/>
      <c r="OSI58" s="528"/>
      <c r="OSJ58" s="528"/>
      <c r="OSK58" s="528"/>
      <c r="OSL58" s="528"/>
      <c r="OSM58" s="528"/>
      <c r="OSN58" s="528"/>
      <c r="OSO58" s="528"/>
      <c r="OSP58" s="528"/>
      <c r="OSQ58" s="528"/>
      <c r="OSR58" s="528"/>
      <c r="OSS58" s="528"/>
      <c r="OST58" s="528"/>
      <c r="OSU58" s="528"/>
      <c r="OSV58" s="528"/>
      <c r="OSW58" s="528"/>
      <c r="OSX58" s="528"/>
      <c r="OSY58" s="528"/>
      <c r="OSZ58" s="528"/>
      <c r="OTA58" s="528"/>
      <c r="OTB58" s="528"/>
      <c r="OTC58" s="528"/>
      <c r="OTD58" s="528"/>
      <c r="OTE58" s="528"/>
      <c r="OTF58" s="528"/>
      <c r="OTG58" s="528"/>
      <c r="OTH58" s="528"/>
      <c r="OTI58" s="528"/>
      <c r="OTJ58" s="528"/>
      <c r="OTK58" s="528"/>
      <c r="OTL58" s="528"/>
      <c r="OTM58" s="528"/>
      <c r="OTN58" s="528"/>
      <c r="OTO58" s="528"/>
      <c r="OTP58" s="528"/>
      <c r="OTQ58" s="528"/>
      <c r="OTR58" s="528"/>
      <c r="OTS58" s="528"/>
      <c r="OTT58" s="528"/>
      <c r="OTU58" s="528"/>
      <c r="OTV58" s="528"/>
      <c r="OTW58" s="528"/>
      <c r="OTX58" s="528"/>
      <c r="OTY58" s="528"/>
      <c r="OTZ58" s="528"/>
      <c r="OUA58" s="528"/>
      <c r="OUB58" s="528"/>
      <c r="OUC58" s="528"/>
      <c r="OUD58" s="528"/>
      <c r="OUE58" s="528"/>
      <c r="OUF58" s="528"/>
      <c r="OUG58" s="528"/>
      <c r="OUH58" s="528"/>
      <c r="OUI58" s="528"/>
      <c r="OUJ58" s="528"/>
      <c r="OUK58" s="528"/>
      <c r="OUL58" s="528"/>
      <c r="OUM58" s="528"/>
      <c r="OUN58" s="528"/>
      <c r="OUO58" s="528"/>
      <c r="OUP58" s="528"/>
      <c r="OUQ58" s="528"/>
      <c r="OUR58" s="528"/>
      <c r="OUS58" s="528"/>
      <c r="OUT58" s="528"/>
      <c r="OUU58" s="528"/>
      <c r="OUV58" s="528"/>
      <c r="OUW58" s="528"/>
      <c r="OUX58" s="528"/>
      <c r="OUY58" s="528"/>
      <c r="OUZ58" s="528"/>
      <c r="OVA58" s="528"/>
      <c r="OVB58" s="528"/>
      <c r="OVC58" s="528"/>
      <c r="OVD58" s="528"/>
      <c r="OVE58" s="528"/>
      <c r="OVF58" s="528"/>
      <c r="OVG58" s="528"/>
      <c r="OVH58" s="528"/>
      <c r="OVI58" s="528"/>
      <c r="OVJ58" s="528"/>
      <c r="OVK58" s="528"/>
      <c r="OVL58" s="528"/>
      <c r="OVM58" s="528"/>
      <c r="OVN58" s="528"/>
      <c r="OVO58" s="528"/>
      <c r="OVP58" s="528"/>
      <c r="OVQ58" s="528"/>
      <c r="OVR58" s="528"/>
      <c r="OVS58" s="528"/>
      <c r="OVT58" s="528"/>
      <c r="OVU58" s="528"/>
      <c r="OVV58" s="528"/>
      <c r="OVW58" s="528"/>
      <c r="OVX58" s="528"/>
      <c r="OVY58" s="528"/>
      <c r="OVZ58" s="528"/>
      <c r="OWA58" s="528"/>
      <c r="OWB58" s="528"/>
      <c r="OWC58" s="528"/>
      <c r="OWD58" s="528"/>
      <c r="OWE58" s="528"/>
      <c r="OWF58" s="528"/>
      <c r="OWG58" s="528"/>
      <c r="OWH58" s="528"/>
      <c r="OWI58" s="528"/>
      <c r="OWJ58" s="528"/>
      <c r="OWK58" s="528"/>
      <c r="OWL58" s="528"/>
      <c r="OWM58" s="528"/>
      <c r="OWN58" s="528"/>
      <c r="OWO58" s="528"/>
      <c r="OWP58" s="528"/>
      <c r="OWQ58" s="528"/>
      <c r="OWR58" s="528"/>
      <c r="OWS58" s="528"/>
      <c r="OWT58" s="528"/>
      <c r="OWU58" s="528"/>
      <c r="OWV58" s="528"/>
      <c r="OWW58" s="528"/>
      <c r="OWX58" s="528"/>
      <c r="OWY58" s="528"/>
      <c r="OWZ58" s="528"/>
      <c r="OXA58" s="528"/>
      <c r="OXB58" s="528"/>
      <c r="OXC58" s="528"/>
      <c r="OXD58" s="528"/>
      <c r="OXE58" s="528"/>
      <c r="OXF58" s="528"/>
      <c r="OXG58" s="528"/>
      <c r="OXH58" s="528"/>
      <c r="OXI58" s="528"/>
      <c r="OXJ58" s="528"/>
      <c r="OXK58" s="528"/>
      <c r="OXL58" s="528"/>
      <c r="OXM58" s="528"/>
      <c r="OXN58" s="528"/>
      <c r="OXO58" s="528"/>
      <c r="OXP58" s="528"/>
      <c r="OXQ58" s="528"/>
      <c r="OXR58" s="528"/>
      <c r="OXS58" s="528"/>
      <c r="OXT58" s="528"/>
      <c r="OXU58" s="528"/>
      <c r="OXV58" s="528"/>
      <c r="OXW58" s="528"/>
      <c r="OXX58" s="528"/>
      <c r="OXY58" s="528"/>
      <c r="OXZ58" s="528"/>
      <c r="OYA58" s="528"/>
      <c r="OYB58" s="528"/>
      <c r="OYC58" s="528"/>
      <c r="OYD58" s="528"/>
      <c r="OYE58" s="528"/>
      <c r="OYF58" s="528"/>
      <c r="OYG58" s="528"/>
      <c r="OYH58" s="528"/>
      <c r="OYI58" s="528"/>
      <c r="OYJ58" s="528"/>
      <c r="OYK58" s="528"/>
      <c r="OYL58" s="528"/>
      <c r="OYM58" s="528"/>
      <c r="OYN58" s="528"/>
      <c r="OYO58" s="528"/>
      <c r="OYP58" s="528"/>
      <c r="OYQ58" s="528"/>
      <c r="OYR58" s="528"/>
      <c r="OYS58" s="528"/>
      <c r="OYT58" s="528"/>
      <c r="OYU58" s="528"/>
      <c r="OYV58" s="528"/>
      <c r="OYW58" s="528"/>
      <c r="OYX58" s="528"/>
      <c r="OYY58" s="528"/>
      <c r="OYZ58" s="528"/>
      <c r="OZA58" s="528"/>
      <c r="OZB58" s="528"/>
      <c r="OZC58" s="528"/>
      <c r="OZD58" s="528"/>
      <c r="OZE58" s="528"/>
      <c r="OZF58" s="528"/>
      <c r="OZG58" s="528"/>
      <c r="OZH58" s="528"/>
      <c r="OZI58" s="528"/>
      <c r="OZJ58" s="528"/>
      <c r="OZK58" s="528"/>
      <c r="OZL58" s="528"/>
      <c r="OZM58" s="528"/>
      <c r="OZN58" s="528"/>
      <c r="OZO58" s="528"/>
      <c r="OZP58" s="528"/>
      <c r="OZQ58" s="528"/>
      <c r="OZR58" s="528"/>
      <c r="OZS58" s="528"/>
      <c r="OZT58" s="528"/>
      <c r="OZU58" s="528"/>
      <c r="OZV58" s="528"/>
      <c r="OZW58" s="528"/>
      <c r="OZX58" s="528"/>
      <c r="OZY58" s="528"/>
      <c r="OZZ58" s="528"/>
      <c r="PAA58" s="528"/>
      <c r="PAB58" s="528"/>
      <c r="PAC58" s="528"/>
      <c r="PAD58" s="528"/>
      <c r="PAE58" s="528"/>
      <c r="PAF58" s="528"/>
      <c r="PAG58" s="528"/>
      <c r="PAH58" s="528"/>
      <c r="PAI58" s="528"/>
      <c r="PAJ58" s="528"/>
      <c r="PAK58" s="528"/>
      <c r="PAL58" s="528"/>
      <c r="PAM58" s="528"/>
      <c r="PAN58" s="528"/>
      <c r="PAO58" s="528"/>
      <c r="PAP58" s="528"/>
      <c r="PAQ58" s="528"/>
      <c r="PAR58" s="528"/>
      <c r="PAS58" s="528"/>
      <c r="PAT58" s="528"/>
      <c r="PAU58" s="528"/>
      <c r="PAV58" s="528"/>
      <c r="PAW58" s="528"/>
      <c r="PAX58" s="528"/>
      <c r="PAY58" s="528"/>
      <c r="PAZ58" s="528"/>
      <c r="PBA58" s="528"/>
      <c r="PBB58" s="528"/>
      <c r="PBC58" s="528"/>
      <c r="PBD58" s="528"/>
      <c r="PBE58" s="528"/>
      <c r="PBF58" s="528"/>
      <c r="PBG58" s="528"/>
      <c r="PBH58" s="528"/>
      <c r="PBI58" s="528"/>
      <c r="PBJ58" s="528"/>
      <c r="PBK58" s="528"/>
      <c r="PBL58" s="528"/>
      <c r="PBM58" s="528"/>
      <c r="PBN58" s="528"/>
      <c r="PBO58" s="528"/>
      <c r="PBP58" s="528"/>
      <c r="PBQ58" s="528"/>
      <c r="PBR58" s="528"/>
      <c r="PBS58" s="528"/>
      <c r="PBT58" s="528"/>
      <c r="PBU58" s="528"/>
      <c r="PBV58" s="528"/>
      <c r="PBW58" s="528"/>
      <c r="PBX58" s="528"/>
      <c r="PBY58" s="528"/>
      <c r="PBZ58" s="528"/>
      <c r="PCA58" s="528"/>
      <c r="PCB58" s="528"/>
      <c r="PCC58" s="528"/>
      <c r="PCD58" s="528"/>
      <c r="PCE58" s="528"/>
      <c r="PCF58" s="528"/>
      <c r="PCG58" s="528"/>
      <c r="PCH58" s="528"/>
      <c r="PCI58" s="528"/>
      <c r="PCJ58" s="528"/>
      <c r="PCK58" s="528"/>
      <c r="PCL58" s="528"/>
      <c r="PCM58" s="528"/>
      <c r="PCN58" s="528"/>
      <c r="PCO58" s="528"/>
      <c r="PCP58" s="528"/>
      <c r="PCQ58" s="528"/>
      <c r="PCR58" s="528"/>
      <c r="PCS58" s="528"/>
      <c r="PCT58" s="528"/>
      <c r="PCU58" s="528"/>
      <c r="PCV58" s="528"/>
      <c r="PCW58" s="528"/>
      <c r="PCX58" s="528"/>
      <c r="PCY58" s="528"/>
      <c r="PCZ58" s="528"/>
      <c r="PDA58" s="528"/>
      <c r="PDB58" s="528"/>
      <c r="PDC58" s="528"/>
      <c r="PDD58" s="528"/>
      <c r="PDE58" s="528"/>
      <c r="PDF58" s="528"/>
      <c r="PDG58" s="528"/>
      <c r="PDH58" s="528"/>
      <c r="PDI58" s="528"/>
      <c r="PDJ58" s="528"/>
      <c r="PDK58" s="528"/>
      <c r="PDL58" s="528"/>
      <c r="PDM58" s="528"/>
      <c r="PDN58" s="528"/>
      <c r="PDO58" s="528"/>
      <c r="PDP58" s="528"/>
      <c r="PDQ58" s="528"/>
      <c r="PDR58" s="528"/>
      <c r="PDS58" s="528"/>
      <c r="PDT58" s="528"/>
      <c r="PDU58" s="528"/>
      <c r="PDV58" s="528"/>
      <c r="PDW58" s="528"/>
      <c r="PDX58" s="528"/>
      <c r="PDY58" s="528"/>
      <c r="PDZ58" s="528"/>
      <c r="PEA58" s="528"/>
      <c r="PEB58" s="528"/>
      <c r="PEC58" s="528"/>
      <c r="PED58" s="528"/>
      <c r="PEE58" s="528"/>
      <c r="PEF58" s="528"/>
      <c r="PEG58" s="528"/>
      <c r="PEH58" s="528"/>
      <c r="PEI58" s="528"/>
      <c r="PEJ58" s="528"/>
      <c r="PEK58" s="528"/>
      <c r="PEL58" s="528"/>
      <c r="PEM58" s="528"/>
      <c r="PEN58" s="528"/>
      <c r="PEO58" s="528"/>
      <c r="PEP58" s="528"/>
      <c r="PEQ58" s="528"/>
      <c r="PER58" s="528"/>
      <c r="PES58" s="528"/>
      <c r="PET58" s="528"/>
      <c r="PEU58" s="528"/>
      <c r="PEV58" s="528"/>
      <c r="PEW58" s="528"/>
      <c r="PEX58" s="528"/>
      <c r="PEY58" s="528"/>
      <c r="PEZ58" s="528"/>
      <c r="PFA58" s="528"/>
      <c r="PFB58" s="528"/>
      <c r="PFC58" s="528"/>
      <c r="PFD58" s="528"/>
      <c r="PFE58" s="528"/>
      <c r="PFF58" s="528"/>
      <c r="PFG58" s="528"/>
      <c r="PFH58" s="528"/>
      <c r="PFI58" s="528"/>
      <c r="PFJ58" s="528"/>
      <c r="PFK58" s="528"/>
      <c r="PFL58" s="528"/>
      <c r="PFM58" s="528"/>
      <c r="PFN58" s="528"/>
      <c r="PFO58" s="528"/>
      <c r="PFP58" s="528"/>
      <c r="PFQ58" s="528"/>
      <c r="PFR58" s="528"/>
      <c r="PFS58" s="528"/>
      <c r="PFT58" s="528"/>
      <c r="PFU58" s="528"/>
      <c r="PFV58" s="528"/>
      <c r="PFW58" s="528"/>
      <c r="PFX58" s="528"/>
      <c r="PFY58" s="528"/>
      <c r="PFZ58" s="528"/>
      <c r="PGA58" s="528"/>
      <c r="PGB58" s="528"/>
      <c r="PGC58" s="528"/>
      <c r="PGD58" s="528"/>
      <c r="PGE58" s="528"/>
      <c r="PGF58" s="528"/>
      <c r="PGG58" s="528"/>
      <c r="PGH58" s="528"/>
      <c r="PGI58" s="528"/>
      <c r="PGJ58" s="528"/>
      <c r="PGK58" s="528"/>
      <c r="PGL58" s="528"/>
      <c r="PGM58" s="528"/>
      <c r="PGN58" s="528"/>
      <c r="PGO58" s="528"/>
      <c r="PGP58" s="528"/>
      <c r="PGQ58" s="528"/>
      <c r="PGR58" s="528"/>
      <c r="PGS58" s="528"/>
      <c r="PGT58" s="528"/>
      <c r="PGU58" s="528"/>
      <c r="PGV58" s="528"/>
      <c r="PGW58" s="528"/>
      <c r="PGX58" s="528"/>
      <c r="PGY58" s="528"/>
      <c r="PGZ58" s="528"/>
      <c r="PHA58" s="528"/>
      <c r="PHB58" s="528"/>
      <c r="PHC58" s="528"/>
      <c r="PHD58" s="528"/>
      <c r="PHE58" s="528"/>
      <c r="PHF58" s="528"/>
      <c r="PHG58" s="528"/>
      <c r="PHH58" s="528"/>
      <c r="PHI58" s="528"/>
      <c r="PHJ58" s="528"/>
      <c r="PHK58" s="528"/>
      <c r="PHL58" s="528"/>
      <c r="PHM58" s="528"/>
      <c r="PHN58" s="528"/>
      <c r="PHO58" s="528"/>
      <c r="PHP58" s="528"/>
      <c r="PHQ58" s="528"/>
      <c r="PHR58" s="528"/>
      <c r="PHS58" s="528"/>
      <c r="PHT58" s="528"/>
      <c r="PHU58" s="528"/>
      <c r="PHV58" s="528"/>
      <c r="PHW58" s="528"/>
      <c r="PHX58" s="528"/>
      <c r="PHY58" s="528"/>
      <c r="PHZ58" s="528"/>
      <c r="PIA58" s="528"/>
      <c r="PIB58" s="528"/>
      <c r="PIC58" s="528"/>
      <c r="PID58" s="528"/>
      <c r="PIE58" s="528"/>
      <c r="PIF58" s="528"/>
      <c r="PIG58" s="528"/>
      <c r="PIH58" s="528"/>
      <c r="PII58" s="528"/>
      <c r="PIJ58" s="528"/>
      <c r="PIK58" s="528"/>
      <c r="PIL58" s="528"/>
      <c r="PIM58" s="528"/>
      <c r="PIN58" s="528"/>
      <c r="PIO58" s="528"/>
      <c r="PIP58" s="528"/>
      <c r="PIQ58" s="528"/>
      <c r="PIR58" s="528"/>
      <c r="PIS58" s="528"/>
      <c r="PIT58" s="528"/>
      <c r="PIU58" s="528"/>
      <c r="PIV58" s="528"/>
      <c r="PIW58" s="528"/>
      <c r="PIX58" s="528"/>
      <c r="PIY58" s="528"/>
      <c r="PIZ58" s="528"/>
      <c r="PJA58" s="528"/>
      <c r="PJB58" s="528"/>
      <c r="PJC58" s="528"/>
      <c r="PJD58" s="528"/>
      <c r="PJE58" s="528"/>
      <c r="PJF58" s="528"/>
      <c r="PJG58" s="528"/>
      <c r="PJH58" s="528"/>
      <c r="PJI58" s="528"/>
      <c r="PJJ58" s="528"/>
      <c r="PJK58" s="528"/>
      <c r="PJL58" s="528"/>
      <c r="PJM58" s="528"/>
      <c r="PJN58" s="528"/>
      <c r="PJO58" s="528"/>
      <c r="PJP58" s="528"/>
      <c r="PJQ58" s="528"/>
      <c r="PJR58" s="528"/>
      <c r="PJS58" s="528"/>
      <c r="PJT58" s="528"/>
      <c r="PJU58" s="528"/>
      <c r="PJV58" s="528"/>
      <c r="PJW58" s="528"/>
      <c r="PJX58" s="528"/>
      <c r="PJY58" s="528"/>
      <c r="PJZ58" s="528"/>
      <c r="PKA58" s="528"/>
      <c r="PKB58" s="528"/>
      <c r="PKC58" s="528"/>
      <c r="PKD58" s="528"/>
      <c r="PKE58" s="528"/>
      <c r="PKF58" s="528"/>
      <c r="PKG58" s="528"/>
      <c r="PKH58" s="528"/>
      <c r="PKI58" s="528"/>
      <c r="PKJ58" s="528"/>
      <c r="PKK58" s="528"/>
      <c r="PKL58" s="528"/>
      <c r="PKM58" s="528"/>
      <c r="PKN58" s="528"/>
      <c r="PKO58" s="528"/>
      <c r="PKP58" s="528"/>
      <c r="PKQ58" s="528"/>
      <c r="PKR58" s="528"/>
      <c r="PKS58" s="528"/>
      <c r="PKT58" s="528"/>
      <c r="PKU58" s="528"/>
      <c r="PKV58" s="528"/>
      <c r="PKW58" s="528"/>
      <c r="PKX58" s="528"/>
      <c r="PKY58" s="528"/>
      <c r="PKZ58" s="528"/>
      <c r="PLA58" s="528"/>
      <c r="PLB58" s="528"/>
      <c r="PLC58" s="528"/>
      <c r="PLD58" s="528"/>
      <c r="PLE58" s="528"/>
      <c r="PLF58" s="528"/>
      <c r="PLG58" s="528"/>
      <c r="PLH58" s="528"/>
      <c r="PLI58" s="528"/>
      <c r="PLJ58" s="528"/>
      <c r="PLK58" s="528"/>
      <c r="PLL58" s="528"/>
      <c r="PLM58" s="528"/>
      <c r="PLN58" s="528"/>
      <c r="PLO58" s="528"/>
      <c r="PLP58" s="528"/>
      <c r="PLQ58" s="528"/>
      <c r="PLR58" s="528"/>
      <c r="PLS58" s="528"/>
      <c r="PLT58" s="528"/>
      <c r="PLU58" s="528"/>
      <c r="PLV58" s="528"/>
      <c r="PLW58" s="528"/>
      <c r="PLX58" s="528"/>
      <c r="PLY58" s="528"/>
      <c r="PLZ58" s="528"/>
      <c r="PMA58" s="528"/>
      <c r="PMB58" s="528"/>
      <c r="PMC58" s="528"/>
      <c r="PMD58" s="528"/>
      <c r="PME58" s="528"/>
      <c r="PMF58" s="528"/>
      <c r="PMG58" s="528"/>
      <c r="PMH58" s="528"/>
      <c r="PMI58" s="528"/>
      <c r="PMJ58" s="528"/>
      <c r="PMK58" s="528"/>
      <c r="PML58" s="528"/>
      <c r="PMM58" s="528"/>
      <c r="PMN58" s="528"/>
      <c r="PMO58" s="528"/>
      <c r="PMP58" s="528"/>
      <c r="PMQ58" s="528"/>
      <c r="PMR58" s="528"/>
      <c r="PMS58" s="528"/>
      <c r="PMT58" s="528"/>
      <c r="PMU58" s="528"/>
      <c r="PMV58" s="528"/>
      <c r="PMW58" s="528"/>
      <c r="PMX58" s="528"/>
      <c r="PMY58" s="528"/>
      <c r="PMZ58" s="528"/>
      <c r="PNA58" s="528"/>
      <c r="PNB58" s="528"/>
      <c r="PNC58" s="528"/>
      <c r="PND58" s="528"/>
      <c r="PNE58" s="528"/>
      <c r="PNF58" s="528"/>
      <c r="PNG58" s="528"/>
      <c r="PNH58" s="528"/>
      <c r="PNI58" s="528"/>
      <c r="PNJ58" s="528"/>
      <c r="PNK58" s="528"/>
      <c r="PNL58" s="528"/>
      <c r="PNM58" s="528"/>
      <c r="PNN58" s="528"/>
      <c r="PNO58" s="528"/>
      <c r="PNP58" s="528"/>
      <c r="PNQ58" s="528"/>
      <c r="PNR58" s="528"/>
      <c r="PNS58" s="528"/>
      <c r="PNT58" s="528"/>
      <c r="PNU58" s="528"/>
      <c r="PNV58" s="528"/>
      <c r="PNW58" s="528"/>
      <c r="PNX58" s="528"/>
      <c r="PNY58" s="528"/>
      <c r="PNZ58" s="528"/>
      <c r="POA58" s="528"/>
      <c r="POB58" s="528"/>
      <c r="POC58" s="528"/>
      <c r="POD58" s="528"/>
      <c r="POE58" s="528"/>
      <c r="POF58" s="528"/>
      <c r="POG58" s="528"/>
      <c r="POH58" s="528"/>
      <c r="POI58" s="528"/>
      <c r="POJ58" s="528"/>
      <c r="POK58" s="528"/>
      <c r="POL58" s="528"/>
      <c r="POM58" s="528"/>
      <c r="PON58" s="528"/>
      <c r="POO58" s="528"/>
      <c r="POP58" s="528"/>
      <c r="POQ58" s="528"/>
      <c r="POR58" s="528"/>
      <c r="POS58" s="528"/>
      <c r="POT58" s="528"/>
      <c r="POU58" s="528"/>
      <c r="POV58" s="528"/>
      <c r="POW58" s="528"/>
      <c r="POX58" s="528"/>
      <c r="POY58" s="528"/>
      <c r="POZ58" s="528"/>
      <c r="PPA58" s="528"/>
      <c r="PPB58" s="528"/>
      <c r="PPC58" s="528"/>
      <c r="PPD58" s="528"/>
      <c r="PPE58" s="528"/>
      <c r="PPF58" s="528"/>
      <c r="PPG58" s="528"/>
      <c r="PPH58" s="528"/>
      <c r="PPI58" s="528"/>
      <c r="PPJ58" s="528"/>
      <c r="PPK58" s="528"/>
      <c r="PPL58" s="528"/>
      <c r="PPM58" s="528"/>
      <c r="PPN58" s="528"/>
      <c r="PPO58" s="528"/>
      <c r="PPP58" s="528"/>
      <c r="PPQ58" s="528"/>
      <c r="PPR58" s="528"/>
      <c r="PPS58" s="528"/>
      <c r="PPT58" s="528"/>
      <c r="PPU58" s="528"/>
      <c r="PPV58" s="528"/>
      <c r="PPW58" s="528"/>
      <c r="PPX58" s="528"/>
      <c r="PPY58" s="528"/>
      <c r="PPZ58" s="528"/>
      <c r="PQA58" s="528"/>
      <c r="PQB58" s="528"/>
      <c r="PQC58" s="528"/>
      <c r="PQD58" s="528"/>
      <c r="PQE58" s="528"/>
      <c r="PQF58" s="528"/>
      <c r="PQG58" s="528"/>
      <c r="PQH58" s="528"/>
      <c r="PQI58" s="528"/>
      <c r="PQJ58" s="528"/>
      <c r="PQK58" s="528"/>
      <c r="PQL58" s="528"/>
      <c r="PQM58" s="528"/>
      <c r="PQN58" s="528"/>
      <c r="PQO58" s="528"/>
      <c r="PQP58" s="528"/>
      <c r="PQQ58" s="528"/>
      <c r="PQR58" s="528"/>
      <c r="PQS58" s="528"/>
      <c r="PQT58" s="528"/>
      <c r="PQU58" s="528"/>
      <c r="PQV58" s="528"/>
      <c r="PQW58" s="528"/>
      <c r="PQX58" s="528"/>
      <c r="PQY58" s="528"/>
      <c r="PQZ58" s="528"/>
      <c r="PRA58" s="528"/>
      <c r="PRB58" s="528"/>
      <c r="PRC58" s="528"/>
      <c r="PRD58" s="528"/>
      <c r="PRE58" s="528"/>
      <c r="PRF58" s="528"/>
      <c r="PRG58" s="528"/>
      <c r="PRH58" s="528"/>
      <c r="PRI58" s="528"/>
      <c r="PRJ58" s="528"/>
      <c r="PRK58" s="528"/>
      <c r="PRL58" s="528"/>
      <c r="PRM58" s="528"/>
      <c r="PRN58" s="528"/>
      <c r="PRO58" s="528"/>
      <c r="PRP58" s="528"/>
      <c r="PRQ58" s="528"/>
      <c r="PRR58" s="528"/>
      <c r="PRS58" s="528"/>
      <c r="PRT58" s="528"/>
      <c r="PRU58" s="528"/>
      <c r="PRV58" s="528"/>
      <c r="PRW58" s="528"/>
      <c r="PRX58" s="528"/>
      <c r="PRY58" s="528"/>
      <c r="PRZ58" s="528"/>
      <c r="PSA58" s="528"/>
      <c r="PSB58" s="528"/>
      <c r="PSC58" s="528"/>
      <c r="PSD58" s="528"/>
      <c r="PSE58" s="528"/>
      <c r="PSF58" s="528"/>
      <c r="PSG58" s="528"/>
      <c r="PSH58" s="528"/>
      <c r="PSI58" s="528"/>
      <c r="PSJ58" s="528"/>
      <c r="PSK58" s="528"/>
      <c r="PSL58" s="528"/>
      <c r="PSM58" s="528"/>
      <c r="PSN58" s="528"/>
      <c r="PSO58" s="528"/>
      <c r="PSP58" s="528"/>
      <c r="PSQ58" s="528"/>
      <c r="PSR58" s="528"/>
      <c r="PSS58" s="528"/>
      <c r="PST58" s="528"/>
      <c r="PSU58" s="528"/>
      <c r="PSV58" s="528"/>
      <c r="PSW58" s="528"/>
      <c r="PSX58" s="528"/>
      <c r="PSY58" s="528"/>
      <c r="PSZ58" s="528"/>
      <c r="PTA58" s="528"/>
      <c r="PTB58" s="528"/>
      <c r="PTC58" s="528"/>
      <c r="PTD58" s="528"/>
      <c r="PTE58" s="528"/>
      <c r="PTF58" s="528"/>
      <c r="PTG58" s="528"/>
      <c r="PTH58" s="528"/>
      <c r="PTI58" s="528"/>
      <c r="PTJ58" s="528"/>
      <c r="PTK58" s="528"/>
      <c r="PTL58" s="528"/>
      <c r="PTM58" s="528"/>
      <c r="PTN58" s="528"/>
      <c r="PTO58" s="528"/>
      <c r="PTP58" s="528"/>
      <c r="PTQ58" s="528"/>
      <c r="PTR58" s="528"/>
      <c r="PTS58" s="528"/>
      <c r="PTT58" s="528"/>
      <c r="PTU58" s="528"/>
      <c r="PTV58" s="528"/>
      <c r="PTW58" s="528"/>
      <c r="PTX58" s="528"/>
      <c r="PTY58" s="528"/>
      <c r="PTZ58" s="528"/>
      <c r="PUA58" s="528"/>
      <c r="PUB58" s="528"/>
      <c r="PUC58" s="528"/>
      <c r="PUD58" s="528"/>
      <c r="PUE58" s="528"/>
      <c r="PUF58" s="528"/>
      <c r="PUG58" s="528"/>
      <c r="PUH58" s="528"/>
      <c r="PUI58" s="528"/>
      <c r="PUJ58" s="528"/>
      <c r="PUK58" s="528"/>
      <c r="PUL58" s="528"/>
      <c r="PUM58" s="528"/>
      <c r="PUN58" s="528"/>
      <c r="PUO58" s="528"/>
      <c r="PUP58" s="528"/>
      <c r="PUQ58" s="528"/>
      <c r="PUR58" s="528"/>
      <c r="PUS58" s="528"/>
      <c r="PUT58" s="528"/>
      <c r="PUU58" s="528"/>
      <c r="PUV58" s="528"/>
      <c r="PUW58" s="528"/>
      <c r="PUX58" s="528"/>
      <c r="PUY58" s="528"/>
      <c r="PUZ58" s="528"/>
      <c r="PVA58" s="528"/>
      <c r="PVB58" s="528"/>
      <c r="PVC58" s="528"/>
      <c r="PVD58" s="528"/>
      <c r="PVE58" s="528"/>
      <c r="PVF58" s="528"/>
      <c r="PVG58" s="528"/>
      <c r="PVH58" s="528"/>
      <c r="PVI58" s="528"/>
      <c r="PVJ58" s="528"/>
      <c r="PVK58" s="528"/>
      <c r="PVL58" s="528"/>
      <c r="PVM58" s="528"/>
      <c r="PVN58" s="528"/>
      <c r="PVO58" s="528"/>
      <c r="PVP58" s="528"/>
      <c r="PVQ58" s="528"/>
      <c r="PVR58" s="528"/>
      <c r="PVS58" s="528"/>
      <c r="PVT58" s="528"/>
      <c r="PVU58" s="528"/>
      <c r="PVV58" s="528"/>
      <c r="PVW58" s="528"/>
      <c r="PVX58" s="528"/>
      <c r="PVY58" s="528"/>
      <c r="PVZ58" s="528"/>
      <c r="PWA58" s="528"/>
      <c r="PWB58" s="528"/>
      <c r="PWC58" s="528"/>
      <c r="PWD58" s="528"/>
      <c r="PWE58" s="528"/>
      <c r="PWF58" s="528"/>
      <c r="PWG58" s="528"/>
      <c r="PWH58" s="528"/>
      <c r="PWI58" s="528"/>
      <c r="PWJ58" s="528"/>
      <c r="PWK58" s="528"/>
      <c r="PWL58" s="528"/>
      <c r="PWM58" s="528"/>
      <c r="PWN58" s="528"/>
      <c r="PWO58" s="528"/>
      <c r="PWP58" s="528"/>
      <c r="PWQ58" s="528"/>
      <c r="PWR58" s="528"/>
      <c r="PWS58" s="528"/>
      <c r="PWT58" s="528"/>
      <c r="PWU58" s="528"/>
      <c r="PWV58" s="528"/>
      <c r="PWW58" s="528"/>
      <c r="PWX58" s="528"/>
      <c r="PWY58" s="528"/>
      <c r="PWZ58" s="528"/>
      <c r="PXA58" s="528"/>
      <c r="PXB58" s="528"/>
      <c r="PXC58" s="528"/>
      <c r="PXD58" s="528"/>
      <c r="PXE58" s="528"/>
      <c r="PXF58" s="528"/>
      <c r="PXG58" s="528"/>
      <c r="PXH58" s="528"/>
      <c r="PXI58" s="528"/>
      <c r="PXJ58" s="528"/>
      <c r="PXK58" s="528"/>
      <c r="PXL58" s="528"/>
      <c r="PXM58" s="528"/>
      <c r="PXN58" s="528"/>
      <c r="PXO58" s="528"/>
      <c r="PXP58" s="528"/>
      <c r="PXQ58" s="528"/>
      <c r="PXR58" s="528"/>
      <c r="PXS58" s="528"/>
      <c r="PXT58" s="528"/>
      <c r="PXU58" s="528"/>
      <c r="PXV58" s="528"/>
      <c r="PXW58" s="528"/>
      <c r="PXX58" s="528"/>
      <c r="PXY58" s="528"/>
      <c r="PXZ58" s="528"/>
      <c r="PYA58" s="528"/>
      <c r="PYB58" s="528"/>
      <c r="PYC58" s="528"/>
      <c r="PYD58" s="528"/>
      <c r="PYE58" s="528"/>
      <c r="PYF58" s="528"/>
      <c r="PYG58" s="528"/>
      <c r="PYH58" s="528"/>
      <c r="PYI58" s="528"/>
      <c r="PYJ58" s="528"/>
      <c r="PYK58" s="528"/>
      <c r="PYL58" s="528"/>
      <c r="PYM58" s="528"/>
      <c r="PYN58" s="528"/>
      <c r="PYO58" s="528"/>
      <c r="PYP58" s="528"/>
      <c r="PYQ58" s="528"/>
      <c r="PYR58" s="528"/>
      <c r="PYS58" s="528"/>
      <c r="PYT58" s="528"/>
      <c r="PYU58" s="528"/>
      <c r="PYV58" s="528"/>
      <c r="PYW58" s="528"/>
      <c r="PYX58" s="528"/>
      <c r="PYY58" s="528"/>
      <c r="PYZ58" s="528"/>
      <c r="PZA58" s="528"/>
      <c r="PZB58" s="528"/>
      <c r="PZC58" s="528"/>
      <c r="PZD58" s="528"/>
      <c r="PZE58" s="528"/>
      <c r="PZF58" s="528"/>
      <c r="PZG58" s="528"/>
      <c r="PZH58" s="528"/>
      <c r="PZI58" s="528"/>
      <c r="PZJ58" s="528"/>
      <c r="PZK58" s="528"/>
      <c r="PZL58" s="528"/>
      <c r="PZM58" s="528"/>
      <c r="PZN58" s="528"/>
      <c r="PZO58" s="528"/>
      <c r="PZP58" s="528"/>
      <c r="PZQ58" s="528"/>
      <c r="PZR58" s="528"/>
      <c r="PZS58" s="528"/>
      <c r="PZT58" s="528"/>
      <c r="PZU58" s="528"/>
      <c r="PZV58" s="528"/>
      <c r="PZW58" s="528"/>
      <c r="PZX58" s="528"/>
      <c r="PZY58" s="528"/>
      <c r="PZZ58" s="528"/>
      <c r="QAA58" s="528"/>
      <c r="QAB58" s="528"/>
      <c r="QAC58" s="528"/>
      <c r="QAD58" s="528"/>
      <c r="QAE58" s="528"/>
      <c r="QAF58" s="528"/>
      <c r="QAG58" s="528"/>
      <c r="QAH58" s="528"/>
      <c r="QAI58" s="528"/>
      <c r="QAJ58" s="528"/>
      <c r="QAK58" s="528"/>
      <c r="QAL58" s="528"/>
      <c r="QAM58" s="528"/>
      <c r="QAN58" s="528"/>
      <c r="QAO58" s="528"/>
      <c r="QAP58" s="528"/>
      <c r="QAQ58" s="528"/>
      <c r="QAR58" s="528"/>
      <c r="QAS58" s="528"/>
      <c r="QAT58" s="528"/>
      <c r="QAU58" s="528"/>
      <c r="QAV58" s="528"/>
      <c r="QAW58" s="528"/>
      <c r="QAX58" s="528"/>
      <c r="QAY58" s="528"/>
      <c r="QAZ58" s="528"/>
      <c r="QBA58" s="528"/>
      <c r="QBB58" s="528"/>
      <c r="QBC58" s="528"/>
      <c r="QBD58" s="528"/>
      <c r="QBE58" s="528"/>
      <c r="QBF58" s="528"/>
      <c r="QBG58" s="528"/>
      <c r="QBH58" s="528"/>
      <c r="QBI58" s="528"/>
      <c r="QBJ58" s="528"/>
      <c r="QBK58" s="528"/>
      <c r="QBL58" s="528"/>
      <c r="QBM58" s="528"/>
      <c r="QBN58" s="528"/>
      <c r="QBO58" s="528"/>
      <c r="QBP58" s="528"/>
      <c r="QBQ58" s="528"/>
      <c r="QBR58" s="528"/>
      <c r="QBS58" s="528"/>
      <c r="QBT58" s="528"/>
      <c r="QBU58" s="528"/>
      <c r="QBV58" s="528"/>
      <c r="QBW58" s="528"/>
      <c r="QBX58" s="528"/>
      <c r="QBY58" s="528"/>
      <c r="QBZ58" s="528"/>
      <c r="QCA58" s="528"/>
      <c r="QCB58" s="528"/>
      <c r="QCC58" s="528"/>
      <c r="QCD58" s="528"/>
      <c r="QCE58" s="528"/>
      <c r="QCF58" s="528"/>
      <c r="QCG58" s="528"/>
      <c r="QCH58" s="528"/>
      <c r="QCI58" s="528"/>
      <c r="QCJ58" s="528"/>
      <c r="QCK58" s="528"/>
      <c r="QCL58" s="528"/>
      <c r="QCM58" s="528"/>
      <c r="QCN58" s="528"/>
      <c r="QCO58" s="528"/>
      <c r="QCP58" s="528"/>
      <c r="QCQ58" s="528"/>
      <c r="QCR58" s="528"/>
      <c r="QCS58" s="528"/>
      <c r="QCT58" s="528"/>
      <c r="QCU58" s="528"/>
      <c r="QCV58" s="528"/>
      <c r="QCW58" s="528"/>
      <c r="QCX58" s="528"/>
      <c r="QCY58" s="528"/>
      <c r="QCZ58" s="528"/>
      <c r="QDA58" s="528"/>
      <c r="QDB58" s="528"/>
      <c r="QDC58" s="528"/>
      <c r="QDD58" s="528"/>
      <c r="QDE58" s="528"/>
      <c r="QDF58" s="528"/>
      <c r="QDG58" s="528"/>
      <c r="QDH58" s="528"/>
      <c r="QDI58" s="528"/>
      <c r="QDJ58" s="528"/>
      <c r="QDK58" s="528"/>
      <c r="QDL58" s="528"/>
      <c r="QDM58" s="528"/>
      <c r="QDN58" s="528"/>
      <c r="QDO58" s="528"/>
      <c r="QDP58" s="528"/>
      <c r="QDQ58" s="528"/>
      <c r="QDR58" s="528"/>
      <c r="QDS58" s="528"/>
      <c r="QDT58" s="528"/>
      <c r="QDU58" s="528"/>
      <c r="QDV58" s="528"/>
      <c r="QDW58" s="528"/>
      <c r="QDX58" s="528"/>
      <c r="QDY58" s="528"/>
      <c r="QDZ58" s="528"/>
      <c r="QEA58" s="528"/>
      <c r="QEB58" s="528"/>
      <c r="QEC58" s="528"/>
      <c r="QED58" s="528"/>
      <c r="QEE58" s="528"/>
      <c r="QEF58" s="528"/>
      <c r="QEG58" s="528"/>
      <c r="QEH58" s="528"/>
      <c r="QEI58" s="528"/>
      <c r="QEJ58" s="528"/>
      <c r="QEK58" s="528"/>
      <c r="QEL58" s="528"/>
      <c r="QEM58" s="528"/>
      <c r="QEN58" s="528"/>
      <c r="QEO58" s="528"/>
      <c r="QEP58" s="528"/>
      <c r="QEQ58" s="528"/>
      <c r="QER58" s="528"/>
      <c r="QES58" s="528"/>
      <c r="QET58" s="528"/>
      <c r="QEU58" s="528"/>
      <c r="QEV58" s="528"/>
      <c r="QEW58" s="528"/>
      <c r="QEX58" s="528"/>
      <c r="QEY58" s="528"/>
      <c r="QEZ58" s="528"/>
      <c r="QFA58" s="528"/>
      <c r="QFB58" s="528"/>
      <c r="QFC58" s="528"/>
      <c r="QFD58" s="528"/>
      <c r="QFE58" s="528"/>
      <c r="QFF58" s="528"/>
      <c r="QFG58" s="528"/>
      <c r="QFH58" s="528"/>
      <c r="QFI58" s="528"/>
      <c r="QFJ58" s="528"/>
      <c r="QFK58" s="528"/>
      <c r="QFL58" s="528"/>
      <c r="QFM58" s="528"/>
      <c r="QFN58" s="528"/>
      <c r="QFO58" s="528"/>
      <c r="QFP58" s="528"/>
      <c r="QFQ58" s="528"/>
      <c r="QFR58" s="528"/>
      <c r="QFS58" s="528"/>
      <c r="QFT58" s="528"/>
      <c r="QFU58" s="528"/>
      <c r="QFV58" s="528"/>
      <c r="QFW58" s="528"/>
      <c r="QFX58" s="528"/>
      <c r="QFY58" s="528"/>
      <c r="QFZ58" s="528"/>
      <c r="QGA58" s="528"/>
      <c r="QGB58" s="528"/>
      <c r="QGC58" s="528"/>
      <c r="QGD58" s="528"/>
      <c r="QGE58" s="528"/>
      <c r="QGF58" s="528"/>
      <c r="QGG58" s="528"/>
      <c r="QGH58" s="528"/>
      <c r="QGI58" s="528"/>
      <c r="QGJ58" s="528"/>
      <c r="QGK58" s="528"/>
      <c r="QGL58" s="528"/>
      <c r="QGM58" s="528"/>
      <c r="QGN58" s="528"/>
      <c r="QGO58" s="528"/>
      <c r="QGP58" s="528"/>
      <c r="QGQ58" s="528"/>
      <c r="QGR58" s="528"/>
      <c r="QGS58" s="528"/>
      <c r="QGT58" s="528"/>
      <c r="QGU58" s="528"/>
      <c r="QGV58" s="528"/>
      <c r="QGW58" s="528"/>
      <c r="QGX58" s="528"/>
      <c r="QGY58" s="528"/>
      <c r="QGZ58" s="528"/>
      <c r="QHA58" s="528"/>
      <c r="QHB58" s="528"/>
      <c r="QHC58" s="528"/>
      <c r="QHD58" s="528"/>
      <c r="QHE58" s="528"/>
      <c r="QHF58" s="528"/>
      <c r="QHG58" s="528"/>
      <c r="QHH58" s="528"/>
      <c r="QHI58" s="528"/>
      <c r="QHJ58" s="528"/>
      <c r="QHK58" s="528"/>
      <c r="QHL58" s="528"/>
      <c r="QHM58" s="528"/>
      <c r="QHN58" s="528"/>
      <c r="QHO58" s="528"/>
      <c r="QHP58" s="528"/>
      <c r="QHQ58" s="528"/>
      <c r="QHR58" s="528"/>
      <c r="QHS58" s="528"/>
      <c r="QHT58" s="528"/>
      <c r="QHU58" s="528"/>
      <c r="QHV58" s="528"/>
      <c r="QHW58" s="528"/>
      <c r="QHX58" s="528"/>
      <c r="QHY58" s="528"/>
      <c r="QHZ58" s="528"/>
      <c r="QIA58" s="528"/>
      <c r="QIB58" s="528"/>
      <c r="QIC58" s="528"/>
      <c r="QID58" s="528"/>
      <c r="QIE58" s="528"/>
      <c r="QIF58" s="528"/>
      <c r="QIG58" s="528"/>
      <c r="QIH58" s="528"/>
      <c r="QII58" s="528"/>
      <c r="QIJ58" s="528"/>
      <c r="QIK58" s="528"/>
      <c r="QIL58" s="528"/>
      <c r="QIM58" s="528"/>
      <c r="QIN58" s="528"/>
      <c r="QIO58" s="528"/>
      <c r="QIP58" s="528"/>
      <c r="QIQ58" s="528"/>
      <c r="QIR58" s="528"/>
      <c r="QIS58" s="528"/>
      <c r="QIT58" s="528"/>
      <c r="QIU58" s="528"/>
      <c r="QIV58" s="528"/>
      <c r="QIW58" s="528"/>
      <c r="QIX58" s="528"/>
      <c r="QIY58" s="528"/>
      <c r="QIZ58" s="528"/>
      <c r="QJA58" s="528"/>
      <c r="QJB58" s="528"/>
      <c r="QJC58" s="528"/>
      <c r="QJD58" s="528"/>
      <c r="QJE58" s="528"/>
      <c r="QJF58" s="528"/>
      <c r="QJG58" s="528"/>
      <c r="QJH58" s="528"/>
      <c r="QJI58" s="528"/>
      <c r="QJJ58" s="528"/>
      <c r="QJK58" s="528"/>
      <c r="QJL58" s="528"/>
      <c r="QJM58" s="528"/>
      <c r="QJN58" s="528"/>
      <c r="QJO58" s="528"/>
      <c r="QJP58" s="528"/>
      <c r="QJQ58" s="528"/>
      <c r="QJR58" s="528"/>
      <c r="QJS58" s="528"/>
      <c r="QJT58" s="528"/>
      <c r="QJU58" s="528"/>
      <c r="QJV58" s="528"/>
      <c r="QJW58" s="528"/>
      <c r="QJX58" s="528"/>
      <c r="QJY58" s="528"/>
      <c r="QJZ58" s="528"/>
      <c r="QKA58" s="528"/>
      <c r="QKB58" s="528"/>
      <c r="QKC58" s="528"/>
      <c r="QKD58" s="528"/>
      <c r="QKE58" s="528"/>
      <c r="QKF58" s="528"/>
      <c r="QKG58" s="528"/>
      <c r="QKH58" s="528"/>
      <c r="QKI58" s="528"/>
      <c r="QKJ58" s="528"/>
      <c r="QKK58" s="528"/>
      <c r="QKL58" s="528"/>
      <c r="QKM58" s="528"/>
      <c r="QKN58" s="528"/>
      <c r="QKO58" s="528"/>
      <c r="QKP58" s="528"/>
      <c r="QKQ58" s="528"/>
      <c r="QKR58" s="528"/>
      <c r="QKS58" s="528"/>
      <c r="QKT58" s="528"/>
      <c r="QKU58" s="528"/>
      <c r="QKV58" s="528"/>
      <c r="QKW58" s="528"/>
      <c r="QKX58" s="528"/>
      <c r="QKY58" s="528"/>
      <c r="QKZ58" s="528"/>
      <c r="QLA58" s="528"/>
      <c r="QLB58" s="528"/>
      <c r="QLC58" s="528"/>
      <c r="QLD58" s="528"/>
      <c r="QLE58" s="528"/>
      <c r="QLF58" s="528"/>
      <c r="QLG58" s="528"/>
      <c r="QLH58" s="528"/>
      <c r="QLI58" s="528"/>
      <c r="QLJ58" s="528"/>
      <c r="QLK58" s="528"/>
      <c r="QLL58" s="528"/>
      <c r="QLM58" s="528"/>
      <c r="QLN58" s="528"/>
      <c r="QLO58" s="528"/>
      <c r="QLP58" s="528"/>
      <c r="QLQ58" s="528"/>
      <c r="QLR58" s="528"/>
      <c r="QLS58" s="528"/>
      <c r="QLT58" s="528"/>
      <c r="QLU58" s="528"/>
      <c r="QLV58" s="528"/>
      <c r="QLW58" s="528"/>
      <c r="QLX58" s="528"/>
      <c r="QLY58" s="528"/>
      <c r="QLZ58" s="528"/>
      <c r="QMA58" s="528"/>
      <c r="QMB58" s="528"/>
      <c r="QMC58" s="528"/>
      <c r="QMD58" s="528"/>
      <c r="QME58" s="528"/>
      <c r="QMF58" s="528"/>
      <c r="QMG58" s="528"/>
      <c r="QMH58" s="528"/>
      <c r="QMI58" s="528"/>
      <c r="QMJ58" s="528"/>
      <c r="QMK58" s="528"/>
      <c r="QML58" s="528"/>
      <c r="QMM58" s="528"/>
      <c r="QMN58" s="528"/>
      <c r="QMO58" s="528"/>
      <c r="QMP58" s="528"/>
      <c r="QMQ58" s="528"/>
      <c r="QMR58" s="528"/>
      <c r="QMS58" s="528"/>
      <c r="QMT58" s="528"/>
      <c r="QMU58" s="528"/>
      <c r="QMV58" s="528"/>
      <c r="QMW58" s="528"/>
      <c r="QMX58" s="528"/>
      <c r="QMY58" s="528"/>
      <c r="QMZ58" s="528"/>
      <c r="QNA58" s="528"/>
      <c r="QNB58" s="528"/>
      <c r="QNC58" s="528"/>
      <c r="QND58" s="528"/>
      <c r="QNE58" s="528"/>
      <c r="QNF58" s="528"/>
      <c r="QNG58" s="528"/>
      <c r="QNH58" s="528"/>
      <c r="QNI58" s="528"/>
      <c r="QNJ58" s="528"/>
      <c r="QNK58" s="528"/>
      <c r="QNL58" s="528"/>
      <c r="QNM58" s="528"/>
      <c r="QNN58" s="528"/>
      <c r="QNO58" s="528"/>
      <c r="QNP58" s="528"/>
      <c r="QNQ58" s="528"/>
      <c r="QNR58" s="528"/>
      <c r="QNS58" s="528"/>
      <c r="QNT58" s="528"/>
      <c r="QNU58" s="528"/>
      <c r="QNV58" s="528"/>
      <c r="QNW58" s="528"/>
      <c r="QNX58" s="528"/>
      <c r="QNY58" s="528"/>
      <c r="QNZ58" s="528"/>
      <c r="QOA58" s="528"/>
      <c r="QOB58" s="528"/>
      <c r="QOC58" s="528"/>
      <c r="QOD58" s="528"/>
      <c r="QOE58" s="528"/>
      <c r="QOF58" s="528"/>
      <c r="QOG58" s="528"/>
      <c r="QOH58" s="528"/>
      <c r="QOI58" s="528"/>
      <c r="QOJ58" s="528"/>
      <c r="QOK58" s="528"/>
      <c r="QOL58" s="528"/>
      <c r="QOM58" s="528"/>
      <c r="QON58" s="528"/>
      <c r="QOO58" s="528"/>
      <c r="QOP58" s="528"/>
      <c r="QOQ58" s="528"/>
      <c r="QOR58" s="528"/>
      <c r="QOS58" s="528"/>
      <c r="QOT58" s="528"/>
      <c r="QOU58" s="528"/>
      <c r="QOV58" s="528"/>
      <c r="QOW58" s="528"/>
      <c r="QOX58" s="528"/>
      <c r="QOY58" s="528"/>
      <c r="QOZ58" s="528"/>
      <c r="QPA58" s="528"/>
      <c r="QPB58" s="528"/>
      <c r="QPC58" s="528"/>
      <c r="QPD58" s="528"/>
      <c r="QPE58" s="528"/>
      <c r="QPF58" s="528"/>
      <c r="QPG58" s="528"/>
      <c r="QPH58" s="528"/>
      <c r="QPI58" s="528"/>
      <c r="QPJ58" s="528"/>
      <c r="QPK58" s="528"/>
      <c r="QPL58" s="528"/>
      <c r="QPM58" s="528"/>
      <c r="QPN58" s="528"/>
      <c r="QPO58" s="528"/>
      <c r="QPP58" s="528"/>
      <c r="QPQ58" s="528"/>
      <c r="QPR58" s="528"/>
      <c r="QPS58" s="528"/>
      <c r="QPT58" s="528"/>
      <c r="QPU58" s="528"/>
      <c r="QPV58" s="528"/>
      <c r="QPW58" s="528"/>
      <c r="QPX58" s="528"/>
      <c r="QPY58" s="528"/>
      <c r="QPZ58" s="528"/>
      <c r="QQA58" s="528"/>
      <c r="QQB58" s="528"/>
      <c r="QQC58" s="528"/>
      <c r="QQD58" s="528"/>
      <c r="QQE58" s="528"/>
      <c r="QQF58" s="528"/>
      <c r="QQG58" s="528"/>
      <c r="QQH58" s="528"/>
      <c r="QQI58" s="528"/>
      <c r="QQJ58" s="528"/>
      <c r="QQK58" s="528"/>
      <c r="QQL58" s="528"/>
      <c r="QQM58" s="528"/>
      <c r="QQN58" s="528"/>
      <c r="QQO58" s="528"/>
      <c r="QQP58" s="528"/>
      <c r="QQQ58" s="528"/>
      <c r="QQR58" s="528"/>
      <c r="QQS58" s="528"/>
      <c r="QQT58" s="528"/>
      <c r="QQU58" s="528"/>
      <c r="QQV58" s="528"/>
      <c r="QQW58" s="528"/>
      <c r="QQX58" s="528"/>
      <c r="QQY58" s="528"/>
      <c r="QQZ58" s="528"/>
      <c r="QRA58" s="528"/>
      <c r="QRB58" s="528"/>
      <c r="QRC58" s="528"/>
      <c r="QRD58" s="528"/>
      <c r="QRE58" s="528"/>
      <c r="QRF58" s="528"/>
      <c r="QRG58" s="528"/>
      <c r="QRH58" s="528"/>
      <c r="QRI58" s="528"/>
      <c r="QRJ58" s="528"/>
      <c r="QRK58" s="528"/>
      <c r="QRL58" s="528"/>
      <c r="QRM58" s="528"/>
      <c r="QRN58" s="528"/>
      <c r="QRO58" s="528"/>
      <c r="QRP58" s="528"/>
      <c r="QRQ58" s="528"/>
      <c r="QRR58" s="528"/>
      <c r="QRS58" s="528"/>
      <c r="QRT58" s="528"/>
      <c r="QRU58" s="528"/>
      <c r="QRV58" s="528"/>
      <c r="QRW58" s="528"/>
      <c r="QRX58" s="528"/>
      <c r="QRY58" s="528"/>
      <c r="QRZ58" s="528"/>
      <c r="QSA58" s="528"/>
      <c r="QSB58" s="528"/>
      <c r="QSC58" s="528"/>
      <c r="QSD58" s="528"/>
      <c r="QSE58" s="528"/>
      <c r="QSF58" s="528"/>
      <c r="QSG58" s="528"/>
      <c r="QSH58" s="528"/>
      <c r="QSI58" s="528"/>
      <c r="QSJ58" s="528"/>
      <c r="QSK58" s="528"/>
      <c r="QSL58" s="528"/>
      <c r="QSM58" s="528"/>
      <c r="QSN58" s="528"/>
      <c r="QSO58" s="528"/>
      <c r="QSP58" s="528"/>
      <c r="QSQ58" s="528"/>
      <c r="QSR58" s="528"/>
      <c r="QSS58" s="528"/>
      <c r="QST58" s="528"/>
      <c r="QSU58" s="528"/>
      <c r="QSV58" s="528"/>
      <c r="QSW58" s="528"/>
      <c r="QSX58" s="528"/>
      <c r="QSY58" s="528"/>
      <c r="QSZ58" s="528"/>
      <c r="QTA58" s="528"/>
      <c r="QTB58" s="528"/>
      <c r="QTC58" s="528"/>
      <c r="QTD58" s="528"/>
      <c r="QTE58" s="528"/>
      <c r="QTF58" s="528"/>
      <c r="QTG58" s="528"/>
      <c r="QTH58" s="528"/>
      <c r="QTI58" s="528"/>
      <c r="QTJ58" s="528"/>
      <c r="QTK58" s="528"/>
      <c r="QTL58" s="528"/>
      <c r="QTM58" s="528"/>
      <c r="QTN58" s="528"/>
      <c r="QTO58" s="528"/>
      <c r="QTP58" s="528"/>
      <c r="QTQ58" s="528"/>
      <c r="QTR58" s="528"/>
      <c r="QTS58" s="528"/>
      <c r="QTT58" s="528"/>
      <c r="QTU58" s="528"/>
      <c r="QTV58" s="528"/>
      <c r="QTW58" s="528"/>
      <c r="QTX58" s="528"/>
      <c r="QTY58" s="528"/>
      <c r="QTZ58" s="528"/>
      <c r="QUA58" s="528"/>
      <c r="QUB58" s="528"/>
      <c r="QUC58" s="528"/>
      <c r="QUD58" s="528"/>
      <c r="QUE58" s="528"/>
      <c r="QUF58" s="528"/>
      <c r="QUG58" s="528"/>
      <c r="QUH58" s="528"/>
      <c r="QUI58" s="528"/>
      <c r="QUJ58" s="528"/>
      <c r="QUK58" s="528"/>
      <c r="QUL58" s="528"/>
      <c r="QUM58" s="528"/>
      <c r="QUN58" s="528"/>
      <c r="QUO58" s="528"/>
      <c r="QUP58" s="528"/>
      <c r="QUQ58" s="528"/>
      <c r="QUR58" s="528"/>
      <c r="QUS58" s="528"/>
      <c r="QUT58" s="528"/>
      <c r="QUU58" s="528"/>
      <c r="QUV58" s="528"/>
      <c r="QUW58" s="528"/>
      <c r="QUX58" s="528"/>
      <c r="QUY58" s="528"/>
      <c r="QUZ58" s="528"/>
      <c r="QVA58" s="528"/>
      <c r="QVB58" s="528"/>
      <c r="QVC58" s="528"/>
      <c r="QVD58" s="528"/>
      <c r="QVE58" s="528"/>
      <c r="QVF58" s="528"/>
      <c r="QVG58" s="528"/>
      <c r="QVH58" s="528"/>
      <c r="QVI58" s="528"/>
      <c r="QVJ58" s="528"/>
      <c r="QVK58" s="528"/>
      <c r="QVL58" s="528"/>
      <c r="QVM58" s="528"/>
      <c r="QVN58" s="528"/>
      <c r="QVO58" s="528"/>
      <c r="QVP58" s="528"/>
      <c r="QVQ58" s="528"/>
      <c r="QVR58" s="528"/>
      <c r="QVS58" s="528"/>
      <c r="QVT58" s="528"/>
      <c r="QVU58" s="528"/>
      <c r="QVV58" s="528"/>
      <c r="QVW58" s="528"/>
      <c r="QVX58" s="528"/>
      <c r="QVY58" s="528"/>
      <c r="QVZ58" s="528"/>
      <c r="QWA58" s="528"/>
      <c r="QWB58" s="528"/>
      <c r="QWC58" s="528"/>
      <c r="QWD58" s="528"/>
      <c r="QWE58" s="528"/>
      <c r="QWF58" s="528"/>
      <c r="QWG58" s="528"/>
      <c r="QWH58" s="528"/>
      <c r="QWI58" s="528"/>
      <c r="QWJ58" s="528"/>
      <c r="QWK58" s="528"/>
      <c r="QWL58" s="528"/>
      <c r="QWM58" s="528"/>
      <c r="QWN58" s="528"/>
      <c r="QWO58" s="528"/>
      <c r="QWP58" s="528"/>
      <c r="QWQ58" s="528"/>
      <c r="QWR58" s="528"/>
      <c r="QWS58" s="528"/>
      <c r="QWT58" s="528"/>
      <c r="QWU58" s="528"/>
      <c r="QWV58" s="528"/>
      <c r="QWW58" s="528"/>
      <c r="QWX58" s="528"/>
      <c r="QWY58" s="528"/>
      <c r="QWZ58" s="528"/>
      <c r="QXA58" s="528"/>
      <c r="QXB58" s="528"/>
      <c r="QXC58" s="528"/>
      <c r="QXD58" s="528"/>
      <c r="QXE58" s="528"/>
      <c r="QXF58" s="528"/>
      <c r="QXG58" s="528"/>
      <c r="QXH58" s="528"/>
      <c r="QXI58" s="528"/>
      <c r="QXJ58" s="528"/>
      <c r="QXK58" s="528"/>
      <c r="QXL58" s="528"/>
      <c r="QXM58" s="528"/>
      <c r="QXN58" s="528"/>
      <c r="QXO58" s="528"/>
      <c r="QXP58" s="528"/>
      <c r="QXQ58" s="528"/>
      <c r="QXR58" s="528"/>
      <c r="QXS58" s="528"/>
      <c r="QXT58" s="528"/>
      <c r="QXU58" s="528"/>
      <c r="QXV58" s="528"/>
      <c r="QXW58" s="528"/>
      <c r="QXX58" s="528"/>
      <c r="QXY58" s="528"/>
      <c r="QXZ58" s="528"/>
      <c r="QYA58" s="528"/>
      <c r="QYB58" s="528"/>
      <c r="QYC58" s="528"/>
      <c r="QYD58" s="528"/>
      <c r="QYE58" s="528"/>
      <c r="QYF58" s="528"/>
      <c r="QYG58" s="528"/>
      <c r="QYH58" s="528"/>
      <c r="QYI58" s="528"/>
      <c r="QYJ58" s="528"/>
      <c r="QYK58" s="528"/>
      <c r="QYL58" s="528"/>
      <c r="QYM58" s="528"/>
      <c r="QYN58" s="528"/>
      <c r="QYO58" s="528"/>
      <c r="QYP58" s="528"/>
      <c r="QYQ58" s="528"/>
      <c r="QYR58" s="528"/>
      <c r="QYS58" s="528"/>
      <c r="QYT58" s="528"/>
      <c r="QYU58" s="528"/>
      <c r="QYV58" s="528"/>
      <c r="QYW58" s="528"/>
      <c r="QYX58" s="528"/>
      <c r="QYY58" s="528"/>
      <c r="QYZ58" s="528"/>
      <c r="QZA58" s="528"/>
      <c r="QZB58" s="528"/>
      <c r="QZC58" s="528"/>
      <c r="QZD58" s="528"/>
      <c r="QZE58" s="528"/>
      <c r="QZF58" s="528"/>
      <c r="QZG58" s="528"/>
      <c r="QZH58" s="528"/>
      <c r="QZI58" s="528"/>
      <c r="QZJ58" s="528"/>
      <c r="QZK58" s="528"/>
      <c r="QZL58" s="528"/>
      <c r="QZM58" s="528"/>
      <c r="QZN58" s="528"/>
      <c r="QZO58" s="528"/>
      <c r="QZP58" s="528"/>
      <c r="QZQ58" s="528"/>
      <c r="QZR58" s="528"/>
      <c r="QZS58" s="528"/>
      <c r="QZT58" s="528"/>
      <c r="QZU58" s="528"/>
      <c r="QZV58" s="528"/>
      <c r="QZW58" s="528"/>
      <c r="QZX58" s="528"/>
      <c r="QZY58" s="528"/>
      <c r="QZZ58" s="528"/>
      <c r="RAA58" s="528"/>
      <c r="RAB58" s="528"/>
      <c r="RAC58" s="528"/>
      <c r="RAD58" s="528"/>
      <c r="RAE58" s="528"/>
      <c r="RAF58" s="528"/>
      <c r="RAG58" s="528"/>
      <c r="RAH58" s="528"/>
      <c r="RAI58" s="528"/>
      <c r="RAJ58" s="528"/>
      <c r="RAK58" s="528"/>
      <c r="RAL58" s="528"/>
      <c r="RAM58" s="528"/>
      <c r="RAN58" s="528"/>
      <c r="RAO58" s="528"/>
      <c r="RAP58" s="528"/>
      <c r="RAQ58" s="528"/>
      <c r="RAR58" s="528"/>
      <c r="RAS58" s="528"/>
      <c r="RAT58" s="528"/>
      <c r="RAU58" s="528"/>
      <c r="RAV58" s="528"/>
      <c r="RAW58" s="528"/>
      <c r="RAX58" s="528"/>
      <c r="RAY58" s="528"/>
      <c r="RAZ58" s="528"/>
      <c r="RBA58" s="528"/>
      <c r="RBB58" s="528"/>
      <c r="RBC58" s="528"/>
      <c r="RBD58" s="528"/>
      <c r="RBE58" s="528"/>
      <c r="RBF58" s="528"/>
      <c r="RBG58" s="528"/>
      <c r="RBH58" s="528"/>
      <c r="RBI58" s="528"/>
      <c r="RBJ58" s="528"/>
      <c r="RBK58" s="528"/>
      <c r="RBL58" s="528"/>
      <c r="RBM58" s="528"/>
      <c r="RBN58" s="528"/>
      <c r="RBO58" s="528"/>
      <c r="RBP58" s="528"/>
      <c r="RBQ58" s="528"/>
      <c r="RBR58" s="528"/>
      <c r="RBS58" s="528"/>
      <c r="RBT58" s="528"/>
      <c r="RBU58" s="528"/>
      <c r="RBV58" s="528"/>
      <c r="RBW58" s="528"/>
      <c r="RBX58" s="528"/>
      <c r="RBY58" s="528"/>
      <c r="RBZ58" s="528"/>
      <c r="RCA58" s="528"/>
      <c r="RCB58" s="528"/>
      <c r="RCC58" s="528"/>
      <c r="RCD58" s="528"/>
      <c r="RCE58" s="528"/>
      <c r="RCF58" s="528"/>
      <c r="RCG58" s="528"/>
      <c r="RCH58" s="528"/>
      <c r="RCI58" s="528"/>
      <c r="RCJ58" s="528"/>
      <c r="RCK58" s="528"/>
      <c r="RCL58" s="528"/>
      <c r="RCM58" s="528"/>
      <c r="RCN58" s="528"/>
      <c r="RCO58" s="528"/>
      <c r="RCP58" s="528"/>
      <c r="RCQ58" s="528"/>
      <c r="RCR58" s="528"/>
      <c r="RCS58" s="528"/>
      <c r="RCT58" s="528"/>
      <c r="RCU58" s="528"/>
      <c r="RCV58" s="528"/>
      <c r="RCW58" s="528"/>
      <c r="RCX58" s="528"/>
      <c r="RCY58" s="528"/>
      <c r="RCZ58" s="528"/>
      <c r="RDA58" s="528"/>
      <c r="RDB58" s="528"/>
      <c r="RDC58" s="528"/>
      <c r="RDD58" s="528"/>
      <c r="RDE58" s="528"/>
      <c r="RDF58" s="528"/>
      <c r="RDG58" s="528"/>
      <c r="RDH58" s="528"/>
      <c r="RDI58" s="528"/>
      <c r="RDJ58" s="528"/>
      <c r="RDK58" s="528"/>
      <c r="RDL58" s="528"/>
      <c r="RDM58" s="528"/>
      <c r="RDN58" s="528"/>
      <c r="RDO58" s="528"/>
      <c r="RDP58" s="528"/>
      <c r="RDQ58" s="528"/>
      <c r="RDR58" s="528"/>
      <c r="RDS58" s="528"/>
      <c r="RDT58" s="528"/>
      <c r="RDU58" s="528"/>
      <c r="RDV58" s="528"/>
      <c r="RDW58" s="528"/>
      <c r="RDX58" s="528"/>
      <c r="RDY58" s="528"/>
      <c r="RDZ58" s="528"/>
      <c r="REA58" s="528"/>
      <c r="REB58" s="528"/>
      <c r="REC58" s="528"/>
      <c r="RED58" s="528"/>
      <c r="REE58" s="528"/>
      <c r="REF58" s="528"/>
      <c r="REG58" s="528"/>
      <c r="REH58" s="528"/>
      <c r="REI58" s="528"/>
      <c r="REJ58" s="528"/>
      <c r="REK58" s="528"/>
      <c r="REL58" s="528"/>
      <c r="REM58" s="528"/>
      <c r="REN58" s="528"/>
      <c r="REO58" s="528"/>
      <c r="REP58" s="528"/>
      <c r="REQ58" s="528"/>
      <c r="RER58" s="528"/>
      <c r="RES58" s="528"/>
      <c r="RET58" s="528"/>
      <c r="REU58" s="528"/>
      <c r="REV58" s="528"/>
      <c r="REW58" s="528"/>
      <c r="REX58" s="528"/>
      <c r="REY58" s="528"/>
      <c r="REZ58" s="528"/>
      <c r="RFA58" s="528"/>
      <c r="RFB58" s="528"/>
      <c r="RFC58" s="528"/>
      <c r="RFD58" s="528"/>
      <c r="RFE58" s="528"/>
      <c r="RFF58" s="528"/>
      <c r="RFG58" s="528"/>
      <c r="RFH58" s="528"/>
      <c r="RFI58" s="528"/>
      <c r="RFJ58" s="528"/>
      <c r="RFK58" s="528"/>
      <c r="RFL58" s="528"/>
      <c r="RFM58" s="528"/>
      <c r="RFN58" s="528"/>
      <c r="RFO58" s="528"/>
      <c r="RFP58" s="528"/>
      <c r="RFQ58" s="528"/>
      <c r="RFR58" s="528"/>
      <c r="RFS58" s="528"/>
      <c r="RFT58" s="528"/>
      <c r="RFU58" s="528"/>
      <c r="RFV58" s="528"/>
      <c r="RFW58" s="528"/>
      <c r="RFX58" s="528"/>
      <c r="RFY58" s="528"/>
      <c r="RFZ58" s="528"/>
      <c r="RGA58" s="528"/>
      <c r="RGB58" s="528"/>
      <c r="RGC58" s="528"/>
      <c r="RGD58" s="528"/>
      <c r="RGE58" s="528"/>
      <c r="RGF58" s="528"/>
      <c r="RGG58" s="528"/>
      <c r="RGH58" s="528"/>
      <c r="RGI58" s="528"/>
      <c r="RGJ58" s="528"/>
      <c r="RGK58" s="528"/>
      <c r="RGL58" s="528"/>
      <c r="RGM58" s="528"/>
      <c r="RGN58" s="528"/>
      <c r="RGO58" s="528"/>
      <c r="RGP58" s="528"/>
      <c r="RGQ58" s="528"/>
      <c r="RGR58" s="528"/>
      <c r="RGS58" s="528"/>
      <c r="RGT58" s="528"/>
      <c r="RGU58" s="528"/>
      <c r="RGV58" s="528"/>
      <c r="RGW58" s="528"/>
      <c r="RGX58" s="528"/>
      <c r="RGY58" s="528"/>
      <c r="RGZ58" s="528"/>
      <c r="RHA58" s="528"/>
      <c r="RHB58" s="528"/>
      <c r="RHC58" s="528"/>
      <c r="RHD58" s="528"/>
      <c r="RHE58" s="528"/>
      <c r="RHF58" s="528"/>
      <c r="RHG58" s="528"/>
      <c r="RHH58" s="528"/>
      <c r="RHI58" s="528"/>
      <c r="RHJ58" s="528"/>
      <c r="RHK58" s="528"/>
      <c r="RHL58" s="528"/>
      <c r="RHM58" s="528"/>
      <c r="RHN58" s="528"/>
      <c r="RHO58" s="528"/>
      <c r="RHP58" s="528"/>
      <c r="RHQ58" s="528"/>
      <c r="RHR58" s="528"/>
      <c r="RHS58" s="528"/>
      <c r="RHT58" s="528"/>
      <c r="RHU58" s="528"/>
      <c r="RHV58" s="528"/>
      <c r="RHW58" s="528"/>
      <c r="RHX58" s="528"/>
      <c r="RHY58" s="528"/>
      <c r="RHZ58" s="528"/>
      <c r="RIA58" s="528"/>
      <c r="RIB58" s="528"/>
      <c r="RIC58" s="528"/>
      <c r="RID58" s="528"/>
      <c r="RIE58" s="528"/>
      <c r="RIF58" s="528"/>
      <c r="RIG58" s="528"/>
      <c r="RIH58" s="528"/>
      <c r="RII58" s="528"/>
      <c r="RIJ58" s="528"/>
      <c r="RIK58" s="528"/>
      <c r="RIL58" s="528"/>
      <c r="RIM58" s="528"/>
      <c r="RIN58" s="528"/>
      <c r="RIO58" s="528"/>
      <c r="RIP58" s="528"/>
      <c r="RIQ58" s="528"/>
      <c r="RIR58" s="528"/>
      <c r="RIS58" s="528"/>
      <c r="RIT58" s="528"/>
      <c r="RIU58" s="528"/>
      <c r="RIV58" s="528"/>
      <c r="RIW58" s="528"/>
      <c r="RIX58" s="528"/>
      <c r="RIY58" s="528"/>
      <c r="RIZ58" s="528"/>
      <c r="RJA58" s="528"/>
      <c r="RJB58" s="528"/>
      <c r="RJC58" s="528"/>
      <c r="RJD58" s="528"/>
      <c r="RJE58" s="528"/>
      <c r="RJF58" s="528"/>
      <c r="RJG58" s="528"/>
      <c r="RJH58" s="528"/>
      <c r="RJI58" s="528"/>
      <c r="RJJ58" s="528"/>
      <c r="RJK58" s="528"/>
      <c r="RJL58" s="528"/>
      <c r="RJM58" s="528"/>
      <c r="RJN58" s="528"/>
      <c r="RJO58" s="528"/>
      <c r="RJP58" s="528"/>
      <c r="RJQ58" s="528"/>
      <c r="RJR58" s="528"/>
      <c r="RJS58" s="528"/>
      <c r="RJT58" s="528"/>
      <c r="RJU58" s="528"/>
      <c r="RJV58" s="528"/>
      <c r="RJW58" s="528"/>
      <c r="RJX58" s="528"/>
      <c r="RJY58" s="528"/>
      <c r="RJZ58" s="528"/>
      <c r="RKA58" s="528"/>
      <c r="RKB58" s="528"/>
      <c r="RKC58" s="528"/>
      <c r="RKD58" s="528"/>
      <c r="RKE58" s="528"/>
      <c r="RKF58" s="528"/>
      <c r="RKG58" s="528"/>
      <c r="RKH58" s="528"/>
      <c r="RKI58" s="528"/>
      <c r="RKJ58" s="528"/>
      <c r="RKK58" s="528"/>
      <c r="RKL58" s="528"/>
      <c r="RKM58" s="528"/>
      <c r="RKN58" s="528"/>
      <c r="RKO58" s="528"/>
      <c r="RKP58" s="528"/>
      <c r="RKQ58" s="528"/>
      <c r="RKR58" s="528"/>
      <c r="RKS58" s="528"/>
      <c r="RKT58" s="528"/>
      <c r="RKU58" s="528"/>
      <c r="RKV58" s="528"/>
      <c r="RKW58" s="528"/>
      <c r="RKX58" s="528"/>
      <c r="RKY58" s="528"/>
      <c r="RKZ58" s="528"/>
      <c r="RLA58" s="528"/>
      <c r="RLB58" s="528"/>
      <c r="RLC58" s="528"/>
      <c r="RLD58" s="528"/>
      <c r="RLE58" s="528"/>
      <c r="RLF58" s="528"/>
      <c r="RLG58" s="528"/>
      <c r="RLH58" s="528"/>
      <c r="RLI58" s="528"/>
      <c r="RLJ58" s="528"/>
      <c r="RLK58" s="528"/>
      <c r="RLL58" s="528"/>
      <c r="RLM58" s="528"/>
      <c r="RLN58" s="528"/>
      <c r="RLO58" s="528"/>
      <c r="RLP58" s="528"/>
      <c r="RLQ58" s="528"/>
      <c r="RLR58" s="528"/>
      <c r="RLS58" s="528"/>
      <c r="RLT58" s="528"/>
      <c r="RLU58" s="528"/>
      <c r="RLV58" s="528"/>
      <c r="RLW58" s="528"/>
      <c r="RLX58" s="528"/>
      <c r="RLY58" s="528"/>
      <c r="RLZ58" s="528"/>
      <c r="RMA58" s="528"/>
      <c r="RMB58" s="528"/>
      <c r="RMC58" s="528"/>
      <c r="RMD58" s="528"/>
      <c r="RME58" s="528"/>
      <c r="RMF58" s="528"/>
      <c r="RMG58" s="528"/>
      <c r="RMH58" s="528"/>
      <c r="RMI58" s="528"/>
      <c r="RMJ58" s="528"/>
      <c r="RMK58" s="528"/>
      <c r="RML58" s="528"/>
      <c r="RMM58" s="528"/>
      <c r="RMN58" s="528"/>
      <c r="RMO58" s="528"/>
      <c r="RMP58" s="528"/>
      <c r="RMQ58" s="528"/>
      <c r="RMR58" s="528"/>
      <c r="RMS58" s="528"/>
      <c r="RMT58" s="528"/>
      <c r="RMU58" s="528"/>
      <c r="RMV58" s="528"/>
      <c r="RMW58" s="528"/>
      <c r="RMX58" s="528"/>
      <c r="RMY58" s="528"/>
      <c r="RMZ58" s="528"/>
      <c r="RNA58" s="528"/>
      <c r="RNB58" s="528"/>
      <c r="RNC58" s="528"/>
      <c r="RND58" s="528"/>
      <c r="RNE58" s="528"/>
      <c r="RNF58" s="528"/>
      <c r="RNG58" s="528"/>
      <c r="RNH58" s="528"/>
      <c r="RNI58" s="528"/>
      <c r="RNJ58" s="528"/>
      <c r="RNK58" s="528"/>
      <c r="RNL58" s="528"/>
      <c r="RNM58" s="528"/>
      <c r="RNN58" s="528"/>
      <c r="RNO58" s="528"/>
      <c r="RNP58" s="528"/>
      <c r="RNQ58" s="528"/>
      <c r="RNR58" s="528"/>
      <c r="RNS58" s="528"/>
      <c r="RNT58" s="528"/>
      <c r="RNU58" s="528"/>
      <c r="RNV58" s="528"/>
      <c r="RNW58" s="528"/>
      <c r="RNX58" s="528"/>
      <c r="RNY58" s="528"/>
      <c r="RNZ58" s="528"/>
      <c r="ROA58" s="528"/>
      <c r="ROB58" s="528"/>
      <c r="ROC58" s="528"/>
      <c r="ROD58" s="528"/>
      <c r="ROE58" s="528"/>
      <c r="ROF58" s="528"/>
      <c r="ROG58" s="528"/>
      <c r="ROH58" s="528"/>
      <c r="ROI58" s="528"/>
      <c r="ROJ58" s="528"/>
      <c r="ROK58" s="528"/>
      <c r="ROL58" s="528"/>
      <c r="ROM58" s="528"/>
      <c r="RON58" s="528"/>
      <c r="ROO58" s="528"/>
      <c r="ROP58" s="528"/>
      <c r="ROQ58" s="528"/>
      <c r="ROR58" s="528"/>
      <c r="ROS58" s="528"/>
      <c r="ROT58" s="528"/>
      <c r="ROU58" s="528"/>
      <c r="ROV58" s="528"/>
      <c r="ROW58" s="528"/>
      <c r="ROX58" s="528"/>
      <c r="ROY58" s="528"/>
      <c r="ROZ58" s="528"/>
      <c r="RPA58" s="528"/>
      <c r="RPB58" s="528"/>
      <c r="RPC58" s="528"/>
      <c r="RPD58" s="528"/>
      <c r="RPE58" s="528"/>
      <c r="RPF58" s="528"/>
      <c r="RPG58" s="528"/>
      <c r="RPH58" s="528"/>
      <c r="RPI58" s="528"/>
      <c r="RPJ58" s="528"/>
      <c r="RPK58" s="528"/>
      <c r="RPL58" s="528"/>
      <c r="RPM58" s="528"/>
      <c r="RPN58" s="528"/>
      <c r="RPO58" s="528"/>
      <c r="RPP58" s="528"/>
      <c r="RPQ58" s="528"/>
      <c r="RPR58" s="528"/>
      <c r="RPS58" s="528"/>
      <c r="RPT58" s="528"/>
      <c r="RPU58" s="528"/>
      <c r="RPV58" s="528"/>
      <c r="RPW58" s="528"/>
      <c r="RPX58" s="528"/>
      <c r="RPY58" s="528"/>
      <c r="RPZ58" s="528"/>
      <c r="RQA58" s="528"/>
      <c r="RQB58" s="528"/>
      <c r="RQC58" s="528"/>
      <c r="RQD58" s="528"/>
      <c r="RQE58" s="528"/>
      <c r="RQF58" s="528"/>
      <c r="RQG58" s="528"/>
      <c r="RQH58" s="528"/>
      <c r="RQI58" s="528"/>
      <c r="RQJ58" s="528"/>
      <c r="RQK58" s="528"/>
      <c r="RQL58" s="528"/>
      <c r="RQM58" s="528"/>
      <c r="RQN58" s="528"/>
      <c r="RQO58" s="528"/>
      <c r="RQP58" s="528"/>
      <c r="RQQ58" s="528"/>
      <c r="RQR58" s="528"/>
      <c r="RQS58" s="528"/>
      <c r="RQT58" s="528"/>
      <c r="RQU58" s="528"/>
      <c r="RQV58" s="528"/>
      <c r="RQW58" s="528"/>
      <c r="RQX58" s="528"/>
      <c r="RQY58" s="528"/>
      <c r="RQZ58" s="528"/>
      <c r="RRA58" s="528"/>
      <c r="RRB58" s="528"/>
      <c r="RRC58" s="528"/>
      <c r="RRD58" s="528"/>
      <c r="RRE58" s="528"/>
      <c r="RRF58" s="528"/>
      <c r="RRG58" s="528"/>
      <c r="RRH58" s="528"/>
      <c r="RRI58" s="528"/>
      <c r="RRJ58" s="528"/>
      <c r="RRK58" s="528"/>
      <c r="RRL58" s="528"/>
      <c r="RRM58" s="528"/>
      <c r="RRN58" s="528"/>
      <c r="RRO58" s="528"/>
      <c r="RRP58" s="528"/>
      <c r="RRQ58" s="528"/>
      <c r="RRR58" s="528"/>
      <c r="RRS58" s="528"/>
      <c r="RRT58" s="528"/>
      <c r="RRU58" s="528"/>
      <c r="RRV58" s="528"/>
      <c r="RRW58" s="528"/>
      <c r="RRX58" s="528"/>
      <c r="RRY58" s="528"/>
      <c r="RRZ58" s="528"/>
      <c r="RSA58" s="528"/>
      <c r="RSB58" s="528"/>
      <c r="RSC58" s="528"/>
      <c r="RSD58" s="528"/>
      <c r="RSE58" s="528"/>
      <c r="RSF58" s="528"/>
      <c r="RSG58" s="528"/>
      <c r="RSH58" s="528"/>
      <c r="RSI58" s="528"/>
      <c r="RSJ58" s="528"/>
      <c r="RSK58" s="528"/>
      <c r="RSL58" s="528"/>
      <c r="RSM58" s="528"/>
      <c r="RSN58" s="528"/>
      <c r="RSO58" s="528"/>
      <c r="RSP58" s="528"/>
      <c r="RSQ58" s="528"/>
      <c r="RSR58" s="528"/>
      <c r="RSS58" s="528"/>
      <c r="RST58" s="528"/>
      <c r="RSU58" s="528"/>
      <c r="RSV58" s="528"/>
      <c r="RSW58" s="528"/>
      <c r="RSX58" s="528"/>
      <c r="RSY58" s="528"/>
      <c r="RSZ58" s="528"/>
      <c r="RTA58" s="528"/>
      <c r="RTB58" s="528"/>
      <c r="RTC58" s="528"/>
      <c r="RTD58" s="528"/>
      <c r="RTE58" s="528"/>
      <c r="RTF58" s="528"/>
      <c r="RTG58" s="528"/>
      <c r="RTH58" s="528"/>
      <c r="RTI58" s="528"/>
      <c r="RTJ58" s="528"/>
      <c r="RTK58" s="528"/>
      <c r="RTL58" s="528"/>
      <c r="RTM58" s="528"/>
      <c r="RTN58" s="528"/>
      <c r="RTO58" s="528"/>
      <c r="RTP58" s="528"/>
      <c r="RTQ58" s="528"/>
      <c r="RTR58" s="528"/>
      <c r="RTS58" s="528"/>
      <c r="RTT58" s="528"/>
      <c r="RTU58" s="528"/>
      <c r="RTV58" s="528"/>
      <c r="RTW58" s="528"/>
      <c r="RTX58" s="528"/>
      <c r="RTY58" s="528"/>
      <c r="RTZ58" s="528"/>
      <c r="RUA58" s="528"/>
      <c r="RUB58" s="528"/>
      <c r="RUC58" s="528"/>
      <c r="RUD58" s="528"/>
      <c r="RUE58" s="528"/>
      <c r="RUF58" s="528"/>
      <c r="RUG58" s="528"/>
      <c r="RUH58" s="528"/>
      <c r="RUI58" s="528"/>
      <c r="RUJ58" s="528"/>
      <c r="RUK58" s="528"/>
      <c r="RUL58" s="528"/>
      <c r="RUM58" s="528"/>
      <c r="RUN58" s="528"/>
      <c r="RUO58" s="528"/>
      <c r="RUP58" s="528"/>
      <c r="RUQ58" s="528"/>
      <c r="RUR58" s="528"/>
      <c r="RUS58" s="528"/>
      <c r="RUT58" s="528"/>
      <c r="RUU58" s="528"/>
      <c r="RUV58" s="528"/>
      <c r="RUW58" s="528"/>
      <c r="RUX58" s="528"/>
      <c r="RUY58" s="528"/>
      <c r="RUZ58" s="528"/>
      <c r="RVA58" s="528"/>
      <c r="RVB58" s="528"/>
      <c r="RVC58" s="528"/>
      <c r="RVD58" s="528"/>
      <c r="RVE58" s="528"/>
      <c r="RVF58" s="528"/>
      <c r="RVG58" s="528"/>
      <c r="RVH58" s="528"/>
      <c r="RVI58" s="528"/>
      <c r="RVJ58" s="528"/>
      <c r="RVK58" s="528"/>
      <c r="RVL58" s="528"/>
      <c r="RVM58" s="528"/>
      <c r="RVN58" s="528"/>
      <c r="RVO58" s="528"/>
      <c r="RVP58" s="528"/>
      <c r="RVQ58" s="528"/>
      <c r="RVR58" s="528"/>
      <c r="RVS58" s="528"/>
      <c r="RVT58" s="528"/>
      <c r="RVU58" s="528"/>
      <c r="RVV58" s="528"/>
      <c r="RVW58" s="528"/>
      <c r="RVX58" s="528"/>
      <c r="RVY58" s="528"/>
      <c r="RVZ58" s="528"/>
      <c r="RWA58" s="528"/>
      <c r="RWB58" s="528"/>
      <c r="RWC58" s="528"/>
      <c r="RWD58" s="528"/>
      <c r="RWE58" s="528"/>
      <c r="RWF58" s="528"/>
      <c r="RWG58" s="528"/>
      <c r="RWH58" s="528"/>
      <c r="RWI58" s="528"/>
      <c r="RWJ58" s="528"/>
      <c r="RWK58" s="528"/>
      <c r="RWL58" s="528"/>
      <c r="RWM58" s="528"/>
      <c r="RWN58" s="528"/>
      <c r="RWO58" s="528"/>
      <c r="RWP58" s="528"/>
      <c r="RWQ58" s="528"/>
      <c r="RWR58" s="528"/>
      <c r="RWS58" s="528"/>
      <c r="RWT58" s="528"/>
      <c r="RWU58" s="528"/>
      <c r="RWV58" s="528"/>
      <c r="RWW58" s="528"/>
      <c r="RWX58" s="528"/>
      <c r="RWY58" s="528"/>
      <c r="RWZ58" s="528"/>
      <c r="RXA58" s="528"/>
      <c r="RXB58" s="528"/>
      <c r="RXC58" s="528"/>
      <c r="RXD58" s="528"/>
      <c r="RXE58" s="528"/>
      <c r="RXF58" s="528"/>
      <c r="RXG58" s="528"/>
      <c r="RXH58" s="528"/>
      <c r="RXI58" s="528"/>
      <c r="RXJ58" s="528"/>
      <c r="RXK58" s="528"/>
      <c r="RXL58" s="528"/>
      <c r="RXM58" s="528"/>
      <c r="RXN58" s="528"/>
      <c r="RXO58" s="528"/>
      <c r="RXP58" s="528"/>
      <c r="RXQ58" s="528"/>
      <c r="RXR58" s="528"/>
      <c r="RXS58" s="528"/>
      <c r="RXT58" s="528"/>
      <c r="RXU58" s="528"/>
      <c r="RXV58" s="528"/>
      <c r="RXW58" s="528"/>
      <c r="RXX58" s="528"/>
      <c r="RXY58" s="528"/>
      <c r="RXZ58" s="528"/>
      <c r="RYA58" s="528"/>
      <c r="RYB58" s="528"/>
      <c r="RYC58" s="528"/>
      <c r="RYD58" s="528"/>
      <c r="RYE58" s="528"/>
      <c r="RYF58" s="528"/>
      <c r="RYG58" s="528"/>
      <c r="RYH58" s="528"/>
      <c r="RYI58" s="528"/>
      <c r="RYJ58" s="528"/>
      <c r="RYK58" s="528"/>
      <c r="RYL58" s="528"/>
      <c r="RYM58" s="528"/>
      <c r="RYN58" s="528"/>
      <c r="RYO58" s="528"/>
      <c r="RYP58" s="528"/>
      <c r="RYQ58" s="528"/>
      <c r="RYR58" s="528"/>
      <c r="RYS58" s="528"/>
      <c r="RYT58" s="528"/>
      <c r="RYU58" s="528"/>
      <c r="RYV58" s="528"/>
      <c r="RYW58" s="528"/>
      <c r="RYX58" s="528"/>
      <c r="RYY58" s="528"/>
      <c r="RYZ58" s="528"/>
      <c r="RZA58" s="528"/>
      <c r="RZB58" s="528"/>
      <c r="RZC58" s="528"/>
      <c r="RZD58" s="528"/>
      <c r="RZE58" s="528"/>
      <c r="RZF58" s="528"/>
      <c r="RZG58" s="528"/>
      <c r="RZH58" s="528"/>
      <c r="RZI58" s="528"/>
      <c r="RZJ58" s="528"/>
      <c r="RZK58" s="528"/>
      <c r="RZL58" s="528"/>
      <c r="RZM58" s="528"/>
      <c r="RZN58" s="528"/>
      <c r="RZO58" s="528"/>
      <c r="RZP58" s="528"/>
      <c r="RZQ58" s="528"/>
      <c r="RZR58" s="528"/>
      <c r="RZS58" s="528"/>
      <c r="RZT58" s="528"/>
      <c r="RZU58" s="528"/>
      <c r="RZV58" s="528"/>
      <c r="RZW58" s="528"/>
      <c r="RZX58" s="528"/>
      <c r="RZY58" s="528"/>
      <c r="RZZ58" s="528"/>
      <c r="SAA58" s="528"/>
      <c r="SAB58" s="528"/>
      <c r="SAC58" s="528"/>
      <c r="SAD58" s="528"/>
      <c r="SAE58" s="528"/>
      <c r="SAF58" s="528"/>
      <c r="SAG58" s="528"/>
      <c r="SAH58" s="528"/>
      <c r="SAI58" s="528"/>
      <c r="SAJ58" s="528"/>
      <c r="SAK58" s="528"/>
      <c r="SAL58" s="528"/>
      <c r="SAM58" s="528"/>
      <c r="SAN58" s="528"/>
      <c r="SAO58" s="528"/>
      <c r="SAP58" s="528"/>
      <c r="SAQ58" s="528"/>
      <c r="SAR58" s="528"/>
      <c r="SAS58" s="528"/>
      <c r="SAT58" s="528"/>
      <c r="SAU58" s="528"/>
      <c r="SAV58" s="528"/>
      <c r="SAW58" s="528"/>
      <c r="SAX58" s="528"/>
      <c r="SAY58" s="528"/>
      <c r="SAZ58" s="528"/>
      <c r="SBA58" s="528"/>
      <c r="SBB58" s="528"/>
      <c r="SBC58" s="528"/>
      <c r="SBD58" s="528"/>
      <c r="SBE58" s="528"/>
      <c r="SBF58" s="528"/>
      <c r="SBG58" s="528"/>
      <c r="SBH58" s="528"/>
      <c r="SBI58" s="528"/>
      <c r="SBJ58" s="528"/>
      <c r="SBK58" s="528"/>
      <c r="SBL58" s="528"/>
      <c r="SBM58" s="528"/>
      <c r="SBN58" s="528"/>
      <c r="SBO58" s="528"/>
      <c r="SBP58" s="528"/>
      <c r="SBQ58" s="528"/>
      <c r="SBR58" s="528"/>
      <c r="SBS58" s="528"/>
      <c r="SBT58" s="528"/>
      <c r="SBU58" s="528"/>
      <c r="SBV58" s="528"/>
      <c r="SBW58" s="528"/>
      <c r="SBX58" s="528"/>
      <c r="SBY58" s="528"/>
      <c r="SBZ58" s="528"/>
      <c r="SCA58" s="528"/>
      <c r="SCB58" s="528"/>
      <c r="SCC58" s="528"/>
      <c r="SCD58" s="528"/>
      <c r="SCE58" s="528"/>
      <c r="SCF58" s="528"/>
      <c r="SCG58" s="528"/>
      <c r="SCH58" s="528"/>
      <c r="SCI58" s="528"/>
      <c r="SCJ58" s="528"/>
      <c r="SCK58" s="528"/>
      <c r="SCL58" s="528"/>
      <c r="SCM58" s="528"/>
      <c r="SCN58" s="528"/>
      <c r="SCO58" s="528"/>
      <c r="SCP58" s="528"/>
      <c r="SCQ58" s="528"/>
      <c r="SCR58" s="528"/>
      <c r="SCS58" s="528"/>
      <c r="SCT58" s="528"/>
      <c r="SCU58" s="528"/>
      <c r="SCV58" s="528"/>
      <c r="SCW58" s="528"/>
      <c r="SCX58" s="528"/>
      <c r="SCY58" s="528"/>
      <c r="SCZ58" s="528"/>
      <c r="SDA58" s="528"/>
      <c r="SDB58" s="528"/>
      <c r="SDC58" s="528"/>
      <c r="SDD58" s="528"/>
      <c r="SDE58" s="528"/>
      <c r="SDF58" s="528"/>
      <c r="SDG58" s="528"/>
      <c r="SDH58" s="528"/>
      <c r="SDI58" s="528"/>
      <c r="SDJ58" s="528"/>
      <c r="SDK58" s="528"/>
      <c r="SDL58" s="528"/>
      <c r="SDM58" s="528"/>
      <c r="SDN58" s="528"/>
      <c r="SDO58" s="528"/>
      <c r="SDP58" s="528"/>
      <c r="SDQ58" s="528"/>
      <c r="SDR58" s="528"/>
      <c r="SDS58" s="528"/>
      <c r="SDT58" s="528"/>
      <c r="SDU58" s="528"/>
      <c r="SDV58" s="528"/>
      <c r="SDW58" s="528"/>
      <c r="SDX58" s="528"/>
      <c r="SDY58" s="528"/>
      <c r="SDZ58" s="528"/>
      <c r="SEA58" s="528"/>
      <c r="SEB58" s="528"/>
      <c r="SEC58" s="528"/>
      <c r="SED58" s="528"/>
      <c r="SEE58" s="528"/>
      <c r="SEF58" s="528"/>
      <c r="SEG58" s="528"/>
      <c r="SEH58" s="528"/>
      <c r="SEI58" s="528"/>
      <c r="SEJ58" s="528"/>
      <c r="SEK58" s="528"/>
      <c r="SEL58" s="528"/>
      <c r="SEM58" s="528"/>
      <c r="SEN58" s="528"/>
      <c r="SEO58" s="528"/>
      <c r="SEP58" s="528"/>
      <c r="SEQ58" s="528"/>
      <c r="SER58" s="528"/>
      <c r="SES58" s="528"/>
      <c r="SET58" s="528"/>
      <c r="SEU58" s="528"/>
      <c r="SEV58" s="528"/>
      <c r="SEW58" s="528"/>
      <c r="SEX58" s="528"/>
      <c r="SEY58" s="528"/>
      <c r="SEZ58" s="528"/>
      <c r="SFA58" s="528"/>
      <c r="SFB58" s="528"/>
      <c r="SFC58" s="528"/>
      <c r="SFD58" s="528"/>
      <c r="SFE58" s="528"/>
      <c r="SFF58" s="528"/>
      <c r="SFG58" s="528"/>
      <c r="SFH58" s="528"/>
      <c r="SFI58" s="528"/>
      <c r="SFJ58" s="528"/>
      <c r="SFK58" s="528"/>
      <c r="SFL58" s="528"/>
      <c r="SFM58" s="528"/>
      <c r="SFN58" s="528"/>
      <c r="SFO58" s="528"/>
      <c r="SFP58" s="528"/>
      <c r="SFQ58" s="528"/>
      <c r="SFR58" s="528"/>
      <c r="SFS58" s="528"/>
      <c r="SFT58" s="528"/>
      <c r="SFU58" s="528"/>
      <c r="SFV58" s="528"/>
      <c r="SFW58" s="528"/>
      <c r="SFX58" s="528"/>
      <c r="SFY58" s="528"/>
      <c r="SFZ58" s="528"/>
      <c r="SGA58" s="528"/>
      <c r="SGB58" s="528"/>
      <c r="SGC58" s="528"/>
      <c r="SGD58" s="528"/>
      <c r="SGE58" s="528"/>
      <c r="SGF58" s="528"/>
      <c r="SGG58" s="528"/>
      <c r="SGH58" s="528"/>
      <c r="SGI58" s="528"/>
      <c r="SGJ58" s="528"/>
      <c r="SGK58" s="528"/>
      <c r="SGL58" s="528"/>
      <c r="SGM58" s="528"/>
      <c r="SGN58" s="528"/>
      <c r="SGO58" s="528"/>
      <c r="SGP58" s="528"/>
      <c r="SGQ58" s="528"/>
      <c r="SGR58" s="528"/>
      <c r="SGS58" s="528"/>
      <c r="SGT58" s="528"/>
      <c r="SGU58" s="528"/>
      <c r="SGV58" s="528"/>
      <c r="SGW58" s="528"/>
      <c r="SGX58" s="528"/>
      <c r="SGY58" s="528"/>
      <c r="SGZ58" s="528"/>
      <c r="SHA58" s="528"/>
      <c r="SHB58" s="528"/>
      <c r="SHC58" s="528"/>
      <c r="SHD58" s="528"/>
      <c r="SHE58" s="528"/>
      <c r="SHF58" s="528"/>
      <c r="SHG58" s="528"/>
      <c r="SHH58" s="528"/>
      <c r="SHI58" s="528"/>
      <c r="SHJ58" s="528"/>
      <c r="SHK58" s="528"/>
      <c r="SHL58" s="528"/>
      <c r="SHM58" s="528"/>
      <c r="SHN58" s="528"/>
      <c r="SHO58" s="528"/>
      <c r="SHP58" s="528"/>
      <c r="SHQ58" s="528"/>
      <c r="SHR58" s="528"/>
      <c r="SHS58" s="528"/>
      <c r="SHT58" s="528"/>
      <c r="SHU58" s="528"/>
      <c r="SHV58" s="528"/>
      <c r="SHW58" s="528"/>
      <c r="SHX58" s="528"/>
      <c r="SHY58" s="528"/>
      <c r="SHZ58" s="528"/>
      <c r="SIA58" s="528"/>
      <c r="SIB58" s="528"/>
      <c r="SIC58" s="528"/>
      <c r="SID58" s="528"/>
      <c r="SIE58" s="528"/>
      <c r="SIF58" s="528"/>
      <c r="SIG58" s="528"/>
      <c r="SIH58" s="528"/>
      <c r="SII58" s="528"/>
      <c r="SIJ58" s="528"/>
      <c r="SIK58" s="528"/>
      <c r="SIL58" s="528"/>
      <c r="SIM58" s="528"/>
      <c r="SIN58" s="528"/>
      <c r="SIO58" s="528"/>
      <c r="SIP58" s="528"/>
      <c r="SIQ58" s="528"/>
      <c r="SIR58" s="528"/>
      <c r="SIS58" s="528"/>
      <c r="SIT58" s="528"/>
      <c r="SIU58" s="528"/>
      <c r="SIV58" s="528"/>
      <c r="SIW58" s="528"/>
      <c r="SIX58" s="528"/>
      <c r="SIY58" s="528"/>
      <c r="SIZ58" s="528"/>
      <c r="SJA58" s="528"/>
      <c r="SJB58" s="528"/>
      <c r="SJC58" s="528"/>
      <c r="SJD58" s="528"/>
      <c r="SJE58" s="528"/>
      <c r="SJF58" s="528"/>
      <c r="SJG58" s="528"/>
      <c r="SJH58" s="528"/>
      <c r="SJI58" s="528"/>
      <c r="SJJ58" s="528"/>
      <c r="SJK58" s="528"/>
      <c r="SJL58" s="528"/>
      <c r="SJM58" s="528"/>
      <c r="SJN58" s="528"/>
      <c r="SJO58" s="528"/>
      <c r="SJP58" s="528"/>
      <c r="SJQ58" s="528"/>
      <c r="SJR58" s="528"/>
      <c r="SJS58" s="528"/>
      <c r="SJT58" s="528"/>
      <c r="SJU58" s="528"/>
      <c r="SJV58" s="528"/>
      <c r="SJW58" s="528"/>
      <c r="SJX58" s="528"/>
      <c r="SJY58" s="528"/>
      <c r="SJZ58" s="528"/>
      <c r="SKA58" s="528"/>
      <c r="SKB58" s="528"/>
      <c r="SKC58" s="528"/>
      <c r="SKD58" s="528"/>
      <c r="SKE58" s="528"/>
      <c r="SKF58" s="528"/>
      <c r="SKG58" s="528"/>
      <c r="SKH58" s="528"/>
      <c r="SKI58" s="528"/>
      <c r="SKJ58" s="528"/>
      <c r="SKK58" s="528"/>
      <c r="SKL58" s="528"/>
      <c r="SKM58" s="528"/>
      <c r="SKN58" s="528"/>
      <c r="SKO58" s="528"/>
      <c r="SKP58" s="528"/>
      <c r="SKQ58" s="528"/>
      <c r="SKR58" s="528"/>
      <c r="SKS58" s="528"/>
      <c r="SKT58" s="528"/>
      <c r="SKU58" s="528"/>
      <c r="SKV58" s="528"/>
      <c r="SKW58" s="528"/>
      <c r="SKX58" s="528"/>
      <c r="SKY58" s="528"/>
      <c r="SKZ58" s="528"/>
      <c r="SLA58" s="528"/>
      <c r="SLB58" s="528"/>
      <c r="SLC58" s="528"/>
      <c r="SLD58" s="528"/>
      <c r="SLE58" s="528"/>
      <c r="SLF58" s="528"/>
      <c r="SLG58" s="528"/>
      <c r="SLH58" s="528"/>
      <c r="SLI58" s="528"/>
      <c r="SLJ58" s="528"/>
      <c r="SLK58" s="528"/>
      <c r="SLL58" s="528"/>
      <c r="SLM58" s="528"/>
      <c r="SLN58" s="528"/>
      <c r="SLO58" s="528"/>
      <c r="SLP58" s="528"/>
      <c r="SLQ58" s="528"/>
      <c r="SLR58" s="528"/>
      <c r="SLS58" s="528"/>
      <c r="SLT58" s="528"/>
      <c r="SLU58" s="528"/>
      <c r="SLV58" s="528"/>
      <c r="SLW58" s="528"/>
      <c r="SLX58" s="528"/>
      <c r="SLY58" s="528"/>
      <c r="SLZ58" s="528"/>
      <c r="SMA58" s="528"/>
      <c r="SMB58" s="528"/>
      <c r="SMC58" s="528"/>
      <c r="SMD58" s="528"/>
      <c r="SME58" s="528"/>
      <c r="SMF58" s="528"/>
      <c r="SMG58" s="528"/>
      <c r="SMH58" s="528"/>
      <c r="SMI58" s="528"/>
      <c r="SMJ58" s="528"/>
      <c r="SMK58" s="528"/>
      <c r="SML58" s="528"/>
      <c r="SMM58" s="528"/>
      <c r="SMN58" s="528"/>
      <c r="SMO58" s="528"/>
      <c r="SMP58" s="528"/>
      <c r="SMQ58" s="528"/>
      <c r="SMR58" s="528"/>
      <c r="SMS58" s="528"/>
      <c r="SMT58" s="528"/>
      <c r="SMU58" s="528"/>
      <c r="SMV58" s="528"/>
      <c r="SMW58" s="528"/>
      <c r="SMX58" s="528"/>
      <c r="SMY58" s="528"/>
      <c r="SMZ58" s="528"/>
      <c r="SNA58" s="528"/>
      <c r="SNB58" s="528"/>
      <c r="SNC58" s="528"/>
      <c r="SND58" s="528"/>
      <c r="SNE58" s="528"/>
      <c r="SNF58" s="528"/>
      <c r="SNG58" s="528"/>
      <c r="SNH58" s="528"/>
      <c r="SNI58" s="528"/>
      <c r="SNJ58" s="528"/>
      <c r="SNK58" s="528"/>
      <c r="SNL58" s="528"/>
      <c r="SNM58" s="528"/>
      <c r="SNN58" s="528"/>
      <c r="SNO58" s="528"/>
      <c r="SNP58" s="528"/>
      <c r="SNQ58" s="528"/>
      <c r="SNR58" s="528"/>
      <c r="SNS58" s="528"/>
      <c r="SNT58" s="528"/>
      <c r="SNU58" s="528"/>
      <c r="SNV58" s="528"/>
      <c r="SNW58" s="528"/>
      <c r="SNX58" s="528"/>
      <c r="SNY58" s="528"/>
      <c r="SNZ58" s="528"/>
      <c r="SOA58" s="528"/>
      <c r="SOB58" s="528"/>
      <c r="SOC58" s="528"/>
      <c r="SOD58" s="528"/>
      <c r="SOE58" s="528"/>
      <c r="SOF58" s="528"/>
      <c r="SOG58" s="528"/>
      <c r="SOH58" s="528"/>
      <c r="SOI58" s="528"/>
      <c r="SOJ58" s="528"/>
      <c r="SOK58" s="528"/>
      <c r="SOL58" s="528"/>
      <c r="SOM58" s="528"/>
      <c r="SON58" s="528"/>
      <c r="SOO58" s="528"/>
      <c r="SOP58" s="528"/>
      <c r="SOQ58" s="528"/>
      <c r="SOR58" s="528"/>
      <c r="SOS58" s="528"/>
      <c r="SOT58" s="528"/>
      <c r="SOU58" s="528"/>
      <c r="SOV58" s="528"/>
      <c r="SOW58" s="528"/>
      <c r="SOX58" s="528"/>
      <c r="SOY58" s="528"/>
      <c r="SOZ58" s="528"/>
      <c r="SPA58" s="528"/>
      <c r="SPB58" s="528"/>
      <c r="SPC58" s="528"/>
      <c r="SPD58" s="528"/>
      <c r="SPE58" s="528"/>
      <c r="SPF58" s="528"/>
      <c r="SPG58" s="528"/>
      <c r="SPH58" s="528"/>
      <c r="SPI58" s="528"/>
      <c r="SPJ58" s="528"/>
      <c r="SPK58" s="528"/>
      <c r="SPL58" s="528"/>
      <c r="SPM58" s="528"/>
      <c r="SPN58" s="528"/>
      <c r="SPO58" s="528"/>
      <c r="SPP58" s="528"/>
      <c r="SPQ58" s="528"/>
      <c r="SPR58" s="528"/>
      <c r="SPS58" s="528"/>
      <c r="SPT58" s="528"/>
      <c r="SPU58" s="528"/>
      <c r="SPV58" s="528"/>
      <c r="SPW58" s="528"/>
      <c r="SPX58" s="528"/>
      <c r="SPY58" s="528"/>
      <c r="SPZ58" s="528"/>
      <c r="SQA58" s="528"/>
      <c r="SQB58" s="528"/>
      <c r="SQC58" s="528"/>
      <c r="SQD58" s="528"/>
      <c r="SQE58" s="528"/>
      <c r="SQF58" s="528"/>
      <c r="SQG58" s="528"/>
      <c r="SQH58" s="528"/>
      <c r="SQI58" s="528"/>
      <c r="SQJ58" s="528"/>
      <c r="SQK58" s="528"/>
      <c r="SQL58" s="528"/>
      <c r="SQM58" s="528"/>
      <c r="SQN58" s="528"/>
      <c r="SQO58" s="528"/>
      <c r="SQP58" s="528"/>
      <c r="SQQ58" s="528"/>
      <c r="SQR58" s="528"/>
      <c r="SQS58" s="528"/>
      <c r="SQT58" s="528"/>
      <c r="SQU58" s="528"/>
      <c r="SQV58" s="528"/>
      <c r="SQW58" s="528"/>
      <c r="SQX58" s="528"/>
      <c r="SQY58" s="528"/>
      <c r="SQZ58" s="528"/>
      <c r="SRA58" s="528"/>
      <c r="SRB58" s="528"/>
      <c r="SRC58" s="528"/>
      <c r="SRD58" s="528"/>
      <c r="SRE58" s="528"/>
      <c r="SRF58" s="528"/>
      <c r="SRG58" s="528"/>
      <c r="SRH58" s="528"/>
      <c r="SRI58" s="528"/>
      <c r="SRJ58" s="528"/>
      <c r="SRK58" s="528"/>
      <c r="SRL58" s="528"/>
      <c r="SRM58" s="528"/>
      <c r="SRN58" s="528"/>
      <c r="SRO58" s="528"/>
      <c r="SRP58" s="528"/>
      <c r="SRQ58" s="528"/>
      <c r="SRR58" s="528"/>
      <c r="SRS58" s="528"/>
      <c r="SRT58" s="528"/>
      <c r="SRU58" s="528"/>
      <c r="SRV58" s="528"/>
      <c r="SRW58" s="528"/>
      <c r="SRX58" s="528"/>
      <c r="SRY58" s="528"/>
      <c r="SRZ58" s="528"/>
      <c r="SSA58" s="528"/>
      <c r="SSB58" s="528"/>
      <c r="SSC58" s="528"/>
      <c r="SSD58" s="528"/>
      <c r="SSE58" s="528"/>
      <c r="SSF58" s="528"/>
      <c r="SSG58" s="528"/>
      <c r="SSH58" s="528"/>
      <c r="SSI58" s="528"/>
      <c r="SSJ58" s="528"/>
      <c r="SSK58" s="528"/>
      <c r="SSL58" s="528"/>
      <c r="SSM58" s="528"/>
      <c r="SSN58" s="528"/>
      <c r="SSO58" s="528"/>
      <c r="SSP58" s="528"/>
      <c r="SSQ58" s="528"/>
      <c r="SSR58" s="528"/>
      <c r="SSS58" s="528"/>
      <c r="SST58" s="528"/>
      <c r="SSU58" s="528"/>
      <c r="SSV58" s="528"/>
      <c r="SSW58" s="528"/>
      <c r="SSX58" s="528"/>
      <c r="SSY58" s="528"/>
      <c r="SSZ58" s="528"/>
      <c r="STA58" s="528"/>
      <c r="STB58" s="528"/>
      <c r="STC58" s="528"/>
      <c r="STD58" s="528"/>
      <c r="STE58" s="528"/>
      <c r="STF58" s="528"/>
      <c r="STG58" s="528"/>
      <c r="STH58" s="528"/>
      <c r="STI58" s="528"/>
      <c r="STJ58" s="528"/>
      <c r="STK58" s="528"/>
      <c r="STL58" s="528"/>
      <c r="STM58" s="528"/>
      <c r="STN58" s="528"/>
      <c r="STO58" s="528"/>
      <c r="STP58" s="528"/>
      <c r="STQ58" s="528"/>
      <c r="STR58" s="528"/>
      <c r="STS58" s="528"/>
      <c r="STT58" s="528"/>
      <c r="STU58" s="528"/>
      <c r="STV58" s="528"/>
      <c r="STW58" s="528"/>
      <c r="STX58" s="528"/>
      <c r="STY58" s="528"/>
      <c r="STZ58" s="528"/>
      <c r="SUA58" s="528"/>
      <c r="SUB58" s="528"/>
      <c r="SUC58" s="528"/>
      <c r="SUD58" s="528"/>
      <c r="SUE58" s="528"/>
      <c r="SUF58" s="528"/>
      <c r="SUG58" s="528"/>
      <c r="SUH58" s="528"/>
      <c r="SUI58" s="528"/>
      <c r="SUJ58" s="528"/>
      <c r="SUK58" s="528"/>
      <c r="SUL58" s="528"/>
      <c r="SUM58" s="528"/>
      <c r="SUN58" s="528"/>
      <c r="SUO58" s="528"/>
      <c r="SUP58" s="528"/>
      <c r="SUQ58" s="528"/>
      <c r="SUR58" s="528"/>
      <c r="SUS58" s="528"/>
      <c r="SUT58" s="528"/>
      <c r="SUU58" s="528"/>
      <c r="SUV58" s="528"/>
      <c r="SUW58" s="528"/>
      <c r="SUX58" s="528"/>
      <c r="SUY58" s="528"/>
      <c r="SUZ58" s="528"/>
      <c r="SVA58" s="528"/>
      <c r="SVB58" s="528"/>
      <c r="SVC58" s="528"/>
      <c r="SVD58" s="528"/>
      <c r="SVE58" s="528"/>
      <c r="SVF58" s="528"/>
      <c r="SVG58" s="528"/>
      <c r="SVH58" s="528"/>
      <c r="SVI58" s="528"/>
      <c r="SVJ58" s="528"/>
      <c r="SVK58" s="528"/>
      <c r="SVL58" s="528"/>
      <c r="SVM58" s="528"/>
      <c r="SVN58" s="528"/>
      <c r="SVO58" s="528"/>
      <c r="SVP58" s="528"/>
      <c r="SVQ58" s="528"/>
      <c r="SVR58" s="528"/>
      <c r="SVS58" s="528"/>
      <c r="SVT58" s="528"/>
      <c r="SVU58" s="528"/>
      <c r="SVV58" s="528"/>
      <c r="SVW58" s="528"/>
      <c r="SVX58" s="528"/>
      <c r="SVY58" s="528"/>
      <c r="SVZ58" s="528"/>
      <c r="SWA58" s="528"/>
      <c r="SWB58" s="528"/>
      <c r="SWC58" s="528"/>
      <c r="SWD58" s="528"/>
      <c r="SWE58" s="528"/>
      <c r="SWF58" s="528"/>
      <c r="SWG58" s="528"/>
      <c r="SWH58" s="528"/>
      <c r="SWI58" s="528"/>
      <c r="SWJ58" s="528"/>
      <c r="SWK58" s="528"/>
      <c r="SWL58" s="528"/>
      <c r="SWM58" s="528"/>
      <c r="SWN58" s="528"/>
      <c r="SWO58" s="528"/>
      <c r="SWP58" s="528"/>
      <c r="SWQ58" s="528"/>
      <c r="SWR58" s="528"/>
      <c r="SWS58" s="528"/>
      <c r="SWT58" s="528"/>
      <c r="SWU58" s="528"/>
      <c r="SWV58" s="528"/>
      <c r="SWW58" s="528"/>
      <c r="SWX58" s="528"/>
      <c r="SWY58" s="528"/>
      <c r="SWZ58" s="528"/>
      <c r="SXA58" s="528"/>
      <c r="SXB58" s="528"/>
      <c r="SXC58" s="528"/>
      <c r="SXD58" s="528"/>
      <c r="SXE58" s="528"/>
      <c r="SXF58" s="528"/>
      <c r="SXG58" s="528"/>
      <c r="SXH58" s="528"/>
      <c r="SXI58" s="528"/>
      <c r="SXJ58" s="528"/>
      <c r="SXK58" s="528"/>
      <c r="SXL58" s="528"/>
      <c r="SXM58" s="528"/>
      <c r="SXN58" s="528"/>
      <c r="SXO58" s="528"/>
      <c r="SXP58" s="528"/>
      <c r="SXQ58" s="528"/>
      <c r="SXR58" s="528"/>
      <c r="SXS58" s="528"/>
      <c r="SXT58" s="528"/>
      <c r="SXU58" s="528"/>
      <c r="SXV58" s="528"/>
      <c r="SXW58" s="528"/>
      <c r="SXX58" s="528"/>
      <c r="SXY58" s="528"/>
      <c r="SXZ58" s="528"/>
      <c r="SYA58" s="528"/>
      <c r="SYB58" s="528"/>
      <c r="SYC58" s="528"/>
      <c r="SYD58" s="528"/>
      <c r="SYE58" s="528"/>
      <c r="SYF58" s="528"/>
      <c r="SYG58" s="528"/>
      <c r="SYH58" s="528"/>
      <c r="SYI58" s="528"/>
      <c r="SYJ58" s="528"/>
      <c r="SYK58" s="528"/>
      <c r="SYL58" s="528"/>
      <c r="SYM58" s="528"/>
      <c r="SYN58" s="528"/>
      <c r="SYO58" s="528"/>
      <c r="SYP58" s="528"/>
      <c r="SYQ58" s="528"/>
      <c r="SYR58" s="528"/>
      <c r="SYS58" s="528"/>
      <c r="SYT58" s="528"/>
      <c r="SYU58" s="528"/>
      <c r="SYV58" s="528"/>
      <c r="SYW58" s="528"/>
      <c r="SYX58" s="528"/>
      <c r="SYY58" s="528"/>
      <c r="SYZ58" s="528"/>
      <c r="SZA58" s="528"/>
      <c r="SZB58" s="528"/>
      <c r="SZC58" s="528"/>
      <c r="SZD58" s="528"/>
      <c r="SZE58" s="528"/>
      <c r="SZF58" s="528"/>
      <c r="SZG58" s="528"/>
      <c r="SZH58" s="528"/>
      <c r="SZI58" s="528"/>
      <c r="SZJ58" s="528"/>
      <c r="SZK58" s="528"/>
      <c r="SZL58" s="528"/>
      <c r="SZM58" s="528"/>
      <c r="SZN58" s="528"/>
      <c r="SZO58" s="528"/>
      <c r="SZP58" s="528"/>
      <c r="SZQ58" s="528"/>
      <c r="SZR58" s="528"/>
      <c r="SZS58" s="528"/>
      <c r="SZT58" s="528"/>
      <c r="SZU58" s="528"/>
      <c r="SZV58" s="528"/>
      <c r="SZW58" s="528"/>
      <c r="SZX58" s="528"/>
      <c r="SZY58" s="528"/>
      <c r="SZZ58" s="528"/>
      <c r="TAA58" s="528"/>
      <c r="TAB58" s="528"/>
      <c r="TAC58" s="528"/>
      <c r="TAD58" s="528"/>
      <c r="TAE58" s="528"/>
      <c r="TAF58" s="528"/>
      <c r="TAG58" s="528"/>
      <c r="TAH58" s="528"/>
      <c r="TAI58" s="528"/>
      <c r="TAJ58" s="528"/>
      <c r="TAK58" s="528"/>
      <c r="TAL58" s="528"/>
      <c r="TAM58" s="528"/>
      <c r="TAN58" s="528"/>
      <c r="TAO58" s="528"/>
      <c r="TAP58" s="528"/>
      <c r="TAQ58" s="528"/>
      <c r="TAR58" s="528"/>
      <c r="TAS58" s="528"/>
      <c r="TAT58" s="528"/>
      <c r="TAU58" s="528"/>
      <c r="TAV58" s="528"/>
      <c r="TAW58" s="528"/>
      <c r="TAX58" s="528"/>
      <c r="TAY58" s="528"/>
      <c r="TAZ58" s="528"/>
      <c r="TBA58" s="528"/>
      <c r="TBB58" s="528"/>
      <c r="TBC58" s="528"/>
      <c r="TBD58" s="528"/>
      <c r="TBE58" s="528"/>
      <c r="TBF58" s="528"/>
      <c r="TBG58" s="528"/>
      <c r="TBH58" s="528"/>
      <c r="TBI58" s="528"/>
      <c r="TBJ58" s="528"/>
      <c r="TBK58" s="528"/>
      <c r="TBL58" s="528"/>
      <c r="TBM58" s="528"/>
      <c r="TBN58" s="528"/>
      <c r="TBO58" s="528"/>
      <c r="TBP58" s="528"/>
      <c r="TBQ58" s="528"/>
      <c r="TBR58" s="528"/>
      <c r="TBS58" s="528"/>
      <c r="TBT58" s="528"/>
      <c r="TBU58" s="528"/>
      <c r="TBV58" s="528"/>
      <c r="TBW58" s="528"/>
      <c r="TBX58" s="528"/>
      <c r="TBY58" s="528"/>
      <c r="TBZ58" s="528"/>
      <c r="TCA58" s="528"/>
      <c r="TCB58" s="528"/>
      <c r="TCC58" s="528"/>
      <c r="TCD58" s="528"/>
      <c r="TCE58" s="528"/>
      <c r="TCF58" s="528"/>
      <c r="TCG58" s="528"/>
      <c r="TCH58" s="528"/>
      <c r="TCI58" s="528"/>
      <c r="TCJ58" s="528"/>
      <c r="TCK58" s="528"/>
      <c r="TCL58" s="528"/>
      <c r="TCM58" s="528"/>
      <c r="TCN58" s="528"/>
      <c r="TCO58" s="528"/>
      <c r="TCP58" s="528"/>
      <c r="TCQ58" s="528"/>
      <c r="TCR58" s="528"/>
      <c r="TCS58" s="528"/>
      <c r="TCT58" s="528"/>
      <c r="TCU58" s="528"/>
      <c r="TCV58" s="528"/>
      <c r="TCW58" s="528"/>
      <c r="TCX58" s="528"/>
      <c r="TCY58" s="528"/>
      <c r="TCZ58" s="528"/>
      <c r="TDA58" s="528"/>
      <c r="TDB58" s="528"/>
      <c r="TDC58" s="528"/>
      <c r="TDD58" s="528"/>
      <c r="TDE58" s="528"/>
      <c r="TDF58" s="528"/>
      <c r="TDG58" s="528"/>
      <c r="TDH58" s="528"/>
      <c r="TDI58" s="528"/>
      <c r="TDJ58" s="528"/>
      <c r="TDK58" s="528"/>
      <c r="TDL58" s="528"/>
      <c r="TDM58" s="528"/>
      <c r="TDN58" s="528"/>
      <c r="TDO58" s="528"/>
      <c r="TDP58" s="528"/>
      <c r="TDQ58" s="528"/>
      <c r="TDR58" s="528"/>
      <c r="TDS58" s="528"/>
      <c r="TDT58" s="528"/>
      <c r="TDU58" s="528"/>
      <c r="TDV58" s="528"/>
      <c r="TDW58" s="528"/>
      <c r="TDX58" s="528"/>
      <c r="TDY58" s="528"/>
      <c r="TDZ58" s="528"/>
      <c r="TEA58" s="528"/>
      <c r="TEB58" s="528"/>
      <c r="TEC58" s="528"/>
      <c r="TED58" s="528"/>
      <c r="TEE58" s="528"/>
      <c r="TEF58" s="528"/>
      <c r="TEG58" s="528"/>
      <c r="TEH58" s="528"/>
      <c r="TEI58" s="528"/>
      <c r="TEJ58" s="528"/>
      <c r="TEK58" s="528"/>
      <c r="TEL58" s="528"/>
      <c r="TEM58" s="528"/>
      <c r="TEN58" s="528"/>
      <c r="TEO58" s="528"/>
      <c r="TEP58" s="528"/>
      <c r="TEQ58" s="528"/>
      <c r="TER58" s="528"/>
      <c r="TES58" s="528"/>
      <c r="TET58" s="528"/>
      <c r="TEU58" s="528"/>
      <c r="TEV58" s="528"/>
      <c r="TEW58" s="528"/>
      <c r="TEX58" s="528"/>
      <c r="TEY58" s="528"/>
      <c r="TEZ58" s="528"/>
      <c r="TFA58" s="528"/>
      <c r="TFB58" s="528"/>
      <c r="TFC58" s="528"/>
      <c r="TFD58" s="528"/>
      <c r="TFE58" s="528"/>
      <c r="TFF58" s="528"/>
      <c r="TFG58" s="528"/>
      <c r="TFH58" s="528"/>
      <c r="TFI58" s="528"/>
      <c r="TFJ58" s="528"/>
      <c r="TFK58" s="528"/>
      <c r="TFL58" s="528"/>
      <c r="TFM58" s="528"/>
      <c r="TFN58" s="528"/>
      <c r="TFO58" s="528"/>
      <c r="TFP58" s="528"/>
      <c r="TFQ58" s="528"/>
      <c r="TFR58" s="528"/>
      <c r="TFS58" s="528"/>
      <c r="TFT58" s="528"/>
      <c r="TFU58" s="528"/>
      <c r="TFV58" s="528"/>
      <c r="TFW58" s="528"/>
      <c r="TFX58" s="528"/>
      <c r="TFY58" s="528"/>
      <c r="TFZ58" s="528"/>
      <c r="TGA58" s="528"/>
      <c r="TGB58" s="528"/>
      <c r="TGC58" s="528"/>
      <c r="TGD58" s="528"/>
      <c r="TGE58" s="528"/>
      <c r="TGF58" s="528"/>
      <c r="TGG58" s="528"/>
      <c r="TGH58" s="528"/>
      <c r="TGI58" s="528"/>
      <c r="TGJ58" s="528"/>
      <c r="TGK58" s="528"/>
      <c r="TGL58" s="528"/>
      <c r="TGM58" s="528"/>
      <c r="TGN58" s="528"/>
      <c r="TGO58" s="528"/>
      <c r="TGP58" s="528"/>
      <c r="TGQ58" s="528"/>
      <c r="TGR58" s="528"/>
      <c r="TGS58" s="528"/>
      <c r="TGT58" s="528"/>
      <c r="TGU58" s="528"/>
      <c r="TGV58" s="528"/>
      <c r="TGW58" s="528"/>
      <c r="TGX58" s="528"/>
      <c r="TGY58" s="528"/>
      <c r="TGZ58" s="528"/>
      <c r="THA58" s="528"/>
      <c r="THB58" s="528"/>
      <c r="THC58" s="528"/>
      <c r="THD58" s="528"/>
      <c r="THE58" s="528"/>
      <c r="THF58" s="528"/>
      <c r="THG58" s="528"/>
      <c r="THH58" s="528"/>
      <c r="THI58" s="528"/>
      <c r="THJ58" s="528"/>
      <c r="THK58" s="528"/>
      <c r="THL58" s="528"/>
      <c r="THM58" s="528"/>
      <c r="THN58" s="528"/>
      <c r="THO58" s="528"/>
      <c r="THP58" s="528"/>
      <c r="THQ58" s="528"/>
      <c r="THR58" s="528"/>
      <c r="THS58" s="528"/>
      <c r="THT58" s="528"/>
      <c r="THU58" s="528"/>
      <c r="THV58" s="528"/>
      <c r="THW58" s="528"/>
      <c r="THX58" s="528"/>
      <c r="THY58" s="528"/>
      <c r="THZ58" s="528"/>
      <c r="TIA58" s="528"/>
      <c r="TIB58" s="528"/>
      <c r="TIC58" s="528"/>
      <c r="TID58" s="528"/>
      <c r="TIE58" s="528"/>
      <c r="TIF58" s="528"/>
      <c r="TIG58" s="528"/>
      <c r="TIH58" s="528"/>
      <c r="TII58" s="528"/>
      <c r="TIJ58" s="528"/>
      <c r="TIK58" s="528"/>
      <c r="TIL58" s="528"/>
      <c r="TIM58" s="528"/>
      <c r="TIN58" s="528"/>
      <c r="TIO58" s="528"/>
      <c r="TIP58" s="528"/>
      <c r="TIQ58" s="528"/>
      <c r="TIR58" s="528"/>
      <c r="TIS58" s="528"/>
      <c r="TIT58" s="528"/>
      <c r="TIU58" s="528"/>
      <c r="TIV58" s="528"/>
      <c r="TIW58" s="528"/>
      <c r="TIX58" s="528"/>
      <c r="TIY58" s="528"/>
      <c r="TIZ58" s="528"/>
      <c r="TJA58" s="528"/>
      <c r="TJB58" s="528"/>
      <c r="TJC58" s="528"/>
      <c r="TJD58" s="528"/>
      <c r="TJE58" s="528"/>
      <c r="TJF58" s="528"/>
      <c r="TJG58" s="528"/>
      <c r="TJH58" s="528"/>
      <c r="TJI58" s="528"/>
      <c r="TJJ58" s="528"/>
      <c r="TJK58" s="528"/>
      <c r="TJL58" s="528"/>
      <c r="TJM58" s="528"/>
      <c r="TJN58" s="528"/>
      <c r="TJO58" s="528"/>
      <c r="TJP58" s="528"/>
      <c r="TJQ58" s="528"/>
      <c r="TJR58" s="528"/>
      <c r="TJS58" s="528"/>
      <c r="TJT58" s="528"/>
      <c r="TJU58" s="528"/>
      <c r="TJV58" s="528"/>
      <c r="TJW58" s="528"/>
      <c r="TJX58" s="528"/>
      <c r="TJY58" s="528"/>
      <c r="TJZ58" s="528"/>
      <c r="TKA58" s="528"/>
      <c r="TKB58" s="528"/>
      <c r="TKC58" s="528"/>
      <c r="TKD58" s="528"/>
      <c r="TKE58" s="528"/>
      <c r="TKF58" s="528"/>
      <c r="TKG58" s="528"/>
      <c r="TKH58" s="528"/>
      <c r="TKI58" s="528"/>
      <c r="TKJ58" s="528"/>
      <c r="TKK58" s="528"/>
      <c r="TKL58" s="528"/>
      <c r="TKM58" s="528"/>
      <c r="TKN58" s="528"/>
      <c r="TKO58" s="528"/>
      <c r="TKP58" s="528"/>
      <c r="TKQ58" s="528"/>
      <c r="TKR58" s="528"/>
      <c r="TKS58" s="528"/>
      <c r="TKT58" s="528"/>
      <c r="TKU58" s="528"/>
      <c r="TKV58" s="528"/>
      <c r="TKW58" s="528"/>
      <c r="TKX58" s="528"/>
      <c r="TKY58" s="528"/>
      <c r="TKZ58" s="528"/>
      <c r="TLA58" s="528"/>
      <c r="TLB58" s="528"/>
      <c r="TLC58" s="528"/>
      <c r="TLD58" s="528"/>
      <c r="TLE58" s="528"/>
      <c r="TLF58" s="528"/>
      <c r="TLG58" s="528"/>
      <c r="TLH58" s="528"/>
      <c r="TLI58" s="528"/>
      <c r="TLJ58" s="528"/>
      <c r="TLK58" s="528"/>
      <c r="TLL58" s="528"/>
      <c r="TLM58" s="528"/>
      <c r="TLN58" s="528"/>
      <c r="TLO58" s="528"/>
      <c r="TLP58" s="528"/>
      <c r="TLQ58" s="528"/>
      <c r="TLR58" s="528"/>
      <c r="TLS58" s="528"/>
      <c r="TLT58" s="528"/>
      <c r="TLU58" s="528"/>
      <c r="TLV58" s="528"/>
      <c r="TLW58" s="528"/>
      <c r="TLX58" s="528"/>
      <c r="TLY58" s="528"/>
      <c r="TLZ58" s="528"/>
      <c r="TMA58" s="528"/>
      <c r="TMB58" s="528"/>
      <c r="TMC58" s="528"/>
      <c r="TMD58" s="528"/>
      <c r="TME58" s="528"/>
      <c r="TMF58" s="528"/>
      <c r="TMG58" s="528"/>
      <c r="TMH58" s="528"/>
      <c r="TMI58" s="528"/>
      <c r="TMJ58" s="528"/>
      <c r="TMK58" s="528"/>
      <c r="TML58" s="528"/>
      <c r="TMM58" s="528"/>
      <c r="TMN58" s="528"/>
      <c r="TMO58" s="528"/>
      <c r="TMP58" s="528"/>
      <c r="TMQ58" s="528"/>
      <c r="TMR58" s="528"/>
      <c r="TMS58" s="528"/>
      <c r="TMT58" s="528"/>
      <c r="TMU58" s="528"/>
      <c r="TMV58" s="528"/>
      <c r="TMW58" s="528"/>
      <c r="TMX58" s="528"/>
      <c r="TMY58" s="528"/>
      <c r="TMZ58" s="528"/>
      <c r="TNA58" s="528"/>
      <c r="TNB58" s="528"/>
      <c r="TNC58" s="528"/>
      <c r="TND58" s="528"/>
      <c r="TNE58" s="528"/>
      <c r="TNF58" s="528"/>
      <c r="TNG58" s="528"/>
      <c r="TNH58" s="528"/>
      <c r="TNI58" s="528"/>
      <c r="TNJ58" s="528"/>
      <c r="TNK58" s="528"/>
      <c r="TNL58" s="528"/>
      <c r="TNM58" s="528"/>
      <c r="TNN58" s="528"/>
      <c r="TNO58" s="528"/>
      <c r="TNP58" s="528"/>
      <c r="TNQ58" s="528"/>
      <c r="TNR58" s="528"/>
      <c r="TNS58" s="528"/>
      <c r="TNT58" s="528"/>
      <c r="TNU58" s="528"/>
      <c r="TNV58" s="528"/>
      <c r="TNW58" s="528"/>
      <c r="TNX58" s="528"/>
      <c r="TNY58" s="528"/>
      <c r="TNZ58" s="528"/>
      <c r="TOA58" s="528"/>
      <c r="TOB58" s="528"/>
      <c r="TOC58" s="528"/>
      <c r="TOD58" s="528"/>
      <c r="TOE58" s="528"/>
      <c r="TOF58" s="528"/>
      <c r="TOG58" s="528"/>
      <c r="TOH58" s="528"/>
      <c r="TOI58" s="528"/>
      <c r="TOJ58" s="528"/>
      <c r="TOK58" s="528"/>
      <c r="TOL58" s="528"/>
      <c r="TOM58" s="528"/>
      <c r="TON58" s="528"/>
      <c r="TOO58" s="528"/>
      <c r="TOP58" s="528"/>
      <c r="TOQ58" s="528"/>
      <c r="TOR58" s="528"/>
      <c r="TOS58" s="528"/>
      <c r="TOT58" s="528"/>
      <c r="TOU58" s="528"/>
      <c r="TOV58" s="528"/>
      <c r="TOW58" s="528"/>
      <c r="TOX58" s="528"/>
      <c r="TOY58" s="528"/>
      <c r="TOZ58" s="528"/>
      <c r="TPA58" s="528"/>
      <c r="TPB58" s="528"/>
      <c r="TPC58" s="528"/>
      <c r="TPD58" s="528"/>
      <c r="TPE58" s="528"/>
      <c r="TPF58" s="528"/>
      <c r="TPG58" s="528"/>
      <c r="TPH58" s="528"/>
      <c r="TPI58" s="528"/>
      <c r="TPJ58" s="528"/>
      <c r="TPK58" s="528"/>
      <c r="TPL58" s="528"/>
      <c r="TPM58" s="528"/>
      <c r="TPN58" s="528"/>
      <c r="TPO58" s="528"/>
      <c r="TPP58" s="528"/>
      <c r="TPQ58" s="528"/>
      <c r="TPR58" s="528"/>
      <c r="TPS58" s="528"/>
      <c r="TPT58" s="528"/>
      <c r="TPU58" s="528"/>
      <c r="TPV58" s="528"/>
      <c r="TPW58" s="528"/>
      <c r="TPX58" s="528"/>
      <c r="TPY58" s="528"/>
      <c r="TPZ58" s="528"/>
      <c r="TQA58" s="528"/>
      <c r="TQB58" s="528"/>
      <c r="TQC58" s="528"/>
      <c r="TQD58" s="528"/>
      <c r="TQE58" s="528"/>
      <c r="TQF58" s="528"/>
      <c r="TQG58" s="528"/>
      <c r="TQH58" s="528"/>
      <c r="TQI58" s="528"/>
      <c r="TQJ58" s="528"/>
      <c r="TQK58" s="528"/>
      <c r="TQL58" s="528"/>
      <c r="TQM58" s="528"/>
      <c r="TQN58" s="528"/>
      <c r="TQO58" s="528"/>
      <c r="TQP58" s="528"/>
      <c r="TQQ58" s="528"/>
      <c r="TQR58" s="528"/>
      <c r="TQS58" s="528"/>
      <c r="TQT58" s="528"/>
      <c r="TQU58" s="528"/>
      <c r="TQV58" s="528"/>
      <c r="TQW58" s="528"/>
      <c r="TQX58" s="528"/>
      <c r="TQY58" s="528"/>
      <c r="TQZ58" s="528"/>
      <c r="TRA58" s="528"/>
      <c r="TRB58" s="528"/>
      <c r="TRC58" s="528"/>
      <c r="TRD58" s="528"/>
      <c r="TRE58" s="528"/>
      <c r="TRF58" s="528"/>
      <c r="TRG58" s="528"/>
      <c r="TRH58" s="528"/>
      <c r="TRI58" s="528"/>
      <c r="TRJ58" s="528"/>
      <c r="TRK58" s="528"/>
      <c r="TRL58" s="528"/>
      <c r="TRM58" s="528"/>
      <c r="TRN58" s="528"/>
      <c r="TRO58" s="528"/>
      <c r="TRP58" s="528"/>
      <c r="TRQ58" s="528"/>
      <c r="TRR58" s="528"/>
      <c r="TRS58" s="528"/>
      <c r="TRT58" s="528"/>
      <c r="TRU58" s="528"/>
      <c r="TRV58" s="528"/>
      <c r="TRW58" s="528"/>
      <c r="TRX58" s="528"/>
      <c r="TRY58" s="528"/>
      <c r="TRZ58" s="528"/>
      <c r="TSA58" s="528"/>
      <c r="TSB58" s="528"/>
      <c r="TSC58" s="528"/>
      <c r="TSD58" s="528"/>
      <c r="TSE58" s="528"/>
      <c r="TSF58" s="528"/>
      <c r="TSG58" s="528"/>
      <c r="TSH58" s="528"/>
      <c r="TSI58" s="528"/>
      <c r="TSJ58" s="528"/>
      <c r="TSK58" s="528"/>
      <c r="TSL58" s="528"/>
      <c r="TSM58" s="528"/>
      <c r="TSN58" s="528"/>
      <c r="TSO58" s="528"/>
      <c r="TSP58" s="528"/>
      <c r="TSQ58" s="528"/>
      <c r="TSR58" s="528"/>
      <c r="TSS58" s="528"/>
      <c r="TST58" s="528"/>
      <c r="TSU58" s="528"/>
      <c r="TSV58" s="528"/>
      <c r="TSW58" s="528"/>
      <c r="TSX58" s="528"/>
      <c r="TSY58" s="528"/>
      <c r="TSZ58" s="528"/>
      <c r="TTA58" s="528"/>
      <c r="TTB58" s="528"/>
      <c r="TTC58" s="528"/>
      <c r="TTD58" s="528"/>
      <c r="TTE58" s="528"/>
      <c r="TTF58" s="528"/>
      <c r="TTG58" s="528"/>
      <c r="TTH58" s="528"/>
      <c r="TTI58" s="528"/>
      <c r="TTJ58" s="528"/>
      <c r="TTK58" s="528"/>
      <c r="TTL58" s="528"/>
      <c r="TTM58" s="528"/>
      <c r="TTN58" s="528"/>
      <c r="TTO58" s="528"/>
      <c r="TTP58" s="528"/>
      <c r="TTQ58" s="528"/>
      <c r="TTR58" s="528"/>
      <c r="TTS58" s="528"/>
      <c r="TTT58" s="528"/>
      <c r="TTU58" s="528"/>
      <c r="TTV58" s="528"/>
      <c r="TTW58" s="528"/>
      <c r="TTX58" s="528"/>
      <c r="TTY58" s="528"/>
      <c r="TTZ58" s="528"/>
      <c r="TUA58" s="528"/>
      <c r="TUB58" s="528"/>
      <c r="TUC58" s="528"/>
      <c r="TUD58" s="528"/>
      <c r="TUE58" s="528"/>
      <c r="TUF58" s="528"/>
      <c r="TUG58" s="528"/>
      <c r="TUH58" s="528"/>
      <c r="TUI58" s="528"/>
      <c r="TUJ58" s="528"/>
      <c r="TUK58" s="528"/>
      <c r="TUL58" s="528"/>
      <c r="TUM58" s="528"/>
      <c r="TUN58" s="528"/>
      <c r="TUO58" s="528"/>
      <c r="TUP58" s="528"/>
      <c r="TUQ58" s="528"/>
      <c r="TUR58" s="528"/>
      <c r="TUS58" s="528"/>
      <c r="TUT58" s="528"/>
      <c r="TUU58" s="528"/>
      <c r="TUV58" s="528"/>
      <c r="TUW58" s="528"/>
      <c r="TUX58" s="528"/>
      <c r="TUY58" s="528"/>
      <c r="TUZ58" s="528"/>
      <c r="TVA58" s="528"/>
      <c r="TVB58" s="528"/>
      <c r="TVC58" s="528"/>
      <c r="TVD58" s="528"/>
      <c r="TVE58" s="528"/>
      <c r="TVF58" s="528"/>
      <c r="TVG58" s="528"/>
      <c r="TVH58" s="528"/>
      <c r="TVI58" s="528"/>
      <c r="TVJ58" s="528"/>
      <c r="TVK58" s="528"/>
      <c r="TVL58" s="528"/>
      <c r="TVM58" s="528"/>
      <c r="TVN58" s="528"/>
      <c r="TVO58" s="528"/>
      <c r="TVP58" s="528"/>
      <c r="TVQ58" s="528"/>
      <c r="TVR58" s="528"/>
      <c r="TVS58" s="528"/>
      <c r="TVT58" s="528"/>
      <c r="TVU58" s="528"/>
      <c r="TVV58" s="528"/>
      <c r="TVW58" s="528"/>
      <c r="TVX58" s="528"/>
      <c r="TVY58" s="528"/>
      <c r="TVZ58" s="528"/>
      <c r="TWA58" s="528"/>
      <c r="TWB58" s="528"/>
      <c r="TWC58" s="528"/>
      <c r="TWD58" s="528"/>
      <c r="TWE58" s="528"/>
      <c r="TWF58" s="528"/>
      <c r="TWG58" s="528"/>
      <c r="TWH58" s="528"/>
      <c r="TWI58" s="528"/>
      <c r="TWJ58" s="528"/>
      <c r="TWK58" s="528"/>
      <c r="TWL58" s="528"/>
      <c r="TWM58" s="528"/>
      <c r="TWN58" s="528"/>
      <c r="TWO58" s="528"/>
      <c r="TWP58" s="528"/>
      <c r="TWQ58" s="528"/>
      <c r="TWR58" s="528"/>
      <c r="TWS58" s="528"/>
      <c r="TWT58" s="528"/>
      <c r="TWU58" s="528"/>
      <c r="TWV58" s="528"/>
      <c r="TWW58" s="528"/>
      <c r="TWX58" s="528"/>
      <c r="TWY58" s="528"/>
      <c r="TWZ58" s="528"/>
      <c r="TXA58" s="528"/>
      <c r="TXB58" s="528"/>
      <c r="TXC58" s="528"/>
      <c r="TXD58" s="528"/>
      <c r="TXE58" s="528"/>
      <c r="TXF58" s="528"/>
      <c r="TXG58" s="528"/>
      <c r="TXH58" s="528"/>
      <c r="TXI58" s="528"/>
      <c r="TXJ58" s="528"/>
      <c r="TXK58" s="528"/>
      <c r="TXL58" s="528"/>
      <c r="TXM58" s="528"/>
      <c r="TXN58" s="528"/>
      <c r="TXO58" s="528"/>
      <c r="TXP58" s="528"/>
      <c r="TXQ58" s="528"/>
      <c r="TXR58" s="528"/>
      <c r="TXS58" s="528"/>
      <c r="TXT58" s="528"/>
      <c r="TXU58" s="528"/>
      <c r="TXV58" s="528"/>
      <c r="TXW58" s="528"/>
      <c r="TXX58" s="528"/>
      <c r="TXY58" s="528"/>
      <c r="TXZ58" s="528"/>
      <c r="TYA58" s="528"/>
      <c r="TYB58" s="528"/>
      <c r="TYC58" s="528"/>
      <c r="TYD58" s="528"/>
      <c r="TYE58" s="528"/>
      <c r="TYF58" s="528"/>
      <c r="TYG58" s="528"/>
      <c r="TYH58" s="528"/>
      <c r="TYI58" s="528"/>
      <c r="TYJ58" s="528"/>
      <c r="TYK58" s="528"/>
      <c r="TYL58" s="528"/>
      <c r="TYM58" s="528"/>
      <c r="TYN58" s="528"/>
      <c r="TYO58" s="528"/>
      <c r="TYP58" s="528"/>
      <c r="TYQ58" s="528"/>
      <c r="TYR58" s="528"/>
      <c r="TYS58" s="528"/>
      <c r="TYT58" s="528"/>
      <c r="TYU58" s="528"/>
      <c r="TYV58" s="528"/>
      <c r="TYW58" s="528"/>
      <c r="TYX58" s="528"/>
      <c r="TYY58" s="528"/>
      <c r="TYZ58" s="528"/>
      <c r="TZA58" s="528"/>
      <c r="TZB58" s="528"/>
      <c r="TZC58" s="528"/>
      <c r="TZD58" s="528"/>
      <c r="TZE58" s="528"/>
      <c r="TZF58" s="528"/>
      <c r="TZG58" s="528"/>
      <c r="TZH58" s="528"/>
      <c r="TZI58" s="528"/>
      <c r="TZJ58" s="528"/>
      <c r="TZK58" s="528"/>
      <c r="TZL58" s="528"/>
      <c r="TZM58" s="528"/>
      <c r="TZN58" s="528"/>
      <c r="TZO58" s="528"/>
      <c r="TZP58" s="528"/>
      <c r="TZQ58" s="528"/>
      <c r="TZR58" s="528"/>
      <c r="TZS58" s="528"/>
      <c r="TZT58" s="528"/>
      <c r="TZU58" s="528"/>
      <c r="TZV58" s="528"/>
      <c r="TZW58" s="528"/>
      <c r="TZX58" s="528"/>
      <c r="TZY58" s="528"/>
      <c r="TZZ58" s="528"/>
      <c r="UAA58" s="528"/>
      <c r="UAB58" s="528"/>
      <c r="UAC58" s="528"/>
      <c r="UAD58" s="528"/>
      <c r="UAE58" s="528"/>
      <c r="UAF58" s="528"/>
      <c r="UAG58" s="528"/>
      <c r="UAH58" s="528"/>
      <c r="UAI58" s="528"/>
      <c r="UAJ58" s="528"/>
      <c r="UAK58" s="528"/>
      <c r="UAL58" s="528"/>
      <c r="UAM58" s="528"/>
      <c r="UAN58" s="528"/>
      <c r="UAO58" s="528"/>
      <c r="UAP58" s="528"/>
      <c r="UAQ58" s="528"/>
      <c r="UAR58" s="528"/>
      <c r="UAS58" s="528"/>
      <c r="UAT58" s="528"/>
      <c r="UAU58" s="528"/>
      <c r="UAV58" s="528"/>
      <c r="UAW58" s="528"/>
      <c r="UAX58" s="528"/>
      <c r="UAY58" s="528"/>
      <c r="UAZ58" s="528"/>
      <c r="UBA58" s="528"/>
      <c r="UBB58" s="528"/>
      <c r="UBC58" s="528"/>
      <c r="UBD58" s="528"/>
      <c r="UBE58" s="528"/>
      <c r="UBF58" s="528"/>
      <c r="UBG58" s="528"/>
      <c r="UBH58" s="528"/>
      <c r="UBI58" s="528"/>
      <c r="UBJ58" s="528"/>
      <c r="UBK58" s="528"/>
      <c r="UBL58" s="528"/>
      <c r="UBM58" s="528"/>
      <c r="UBN58" s="528"/>
      <c r="UBO58" s="528"/>
      <c r="UBP58" s="528"/>
      <c r="UBQ58" s="528"/>
      <c r="UBR58" s="528"/>
      <c r="UBS58" s="528"/>
      <c r="UBT58" s="528"/>
      <c r="UBU58" s="528"/>
      <c r="UBV58" s="528"/>
      <c r="UBW58" s="528"/>
      <c r="UBX58" s="528"/>
      <c r="UBY58" s="528"/>
      <c r="UBZ58" s="528"/>
      <c r="UCA58" s="528"/>
      <c r="UCB58" s="528"/>
      <c r="UCC58" s="528"/>
      <c r="UCD58" s="528"/>
      <c r="UCE58" s="528"/>
      <c r="UCF58" s="528"/>
      <c r="UCG58" s="528"/>
      <c r="UCH58" s="528"/>
      <c r="UCI58" s="528"/>
      <c r="UCJ58" s="528"/>
      <c r="UCK58" s="528"/>
      <c r="UCL58" s="528"/>
      <c r="UCM58" s="528"/>
      <c r="UCN58" s="528"/>
      <c r="UCO58" s="528"/>
      <c r="UCP58" s="528"/>
      <c r="UCQ58" s="528"/>
      <c r="UCR58" s="528"/>
      <c r="UCS58" s="528"/>
      <c r="UCT58" s="528"/>
      <c r="UCU58" s="528"/>
      <c r="UCV58" s="528"/>
      <c r="UCW58" s="528"/>
      <c r="UCX58" s="528"/>
      <c r="UCY58" s="528"/>
      <c r="UCZ58" s="528"/>
      <c r="UDA58" s="528"/>
      <c r="UDB58" s="528"/>
      <c r="UDC58" s="528"/>
      <c r="UDD58" s="528"/>
      <c r="UDE58" s="528"/>
      <c r="UDF58" s="528"/>
      <c r="UDG58" s="528"/>
      <c r="UDH58" s="528"/>
      <c r="UDI58" s="528"/>
      <c r="UDJ58" s="528"/>
      <c r="UDK58" s="528"/>
      <c r="UDL58" s="528"/>
      <c r="UDM58" s="528"/>
      <c r="UDN58" s="528"/>
      <c r="UDO58" s="528"/>
      <c r="UDP58" s="528"/>
      <c r="UDQ58" s="528"/>
      <c r="UDR58" s="528"/>
      <c r="UDS58" s="528"/>
      <c r="UDT58" s="528"/>
      <c r="UDU58" s="528"/>
      <c r="UDV58" s="528"/>
      <c r="UDW58" s="528"/>
      <c r="UDX58" s="528"/>
      <c r="UDY58" s="528"/>
      <c r="UDZ58" s="528"/>
      <c r="UEA58" s="528"/>
      <c r="UEB58" s="528"/>
      <c r="UEC58" s="528"/>
      <c r="UED58" s="528"/>
      <c r="UEE58" s="528"/>
      <c r="UEF58" s="528"/>
      <c r="UEG58" s="528"/>
      <c r="UEH58" s="528"/>
      <c r="UEI58" s="528"/>
      <c r="UEJ58" s="528"/>
      <c r="UEK58" s="528"/>
      <c r="UEL58" s="528"/>
      <c r="UEM58" s="528"/>
      <c r="UEN58" s="528"/>
      <c r="UEO58" s="528"/>
      <c r="UEP58" s="528"/>
      <c r="UEQ58" s="528"/>
      <c r="UER58" s="528"/>
      <c r="UES58" s="528"/>
      <c r="UET58" s="528"/>
      <c r="UEU58" s="528"/>
      <c r="UEV58" s="528"/>
      <c r="UEW58" s="528"/>
      <c r="UEX58" s="528"/>
      <c r="UEY58" s="528"/>
      <c r="UEZ58" s="528"/>
      <c r="UFA58" s="528"/>
      <c r="UFB58" s="528"/>
      <c r="UFC58" s="528"/>
      <c r="UFD58" s="528"/>
      <c r="UFE58" s="528"/>
      <c r="UFF58" s="528"/>
      <c r="UFG58" s="528"/>
      <c r="UFH58" s="528"/>
      <c r="UFI58" s="528"/>
      <c r="UFJ58" s="528"/>
      <c r="UFK58" s="528"/>
      <c r="UFL58" s="528"/>
      <c r="UFM58" s="528"/>
      <c r="UFN58" s="528"/>
      <c r="UFO58" s="528"/>
      <c r="UFP58" s="528"/>
      <c r="UFQ58" s="528"/>
      <c r="UFR58" s="528"/>
      <c r="UFS58" s="528"/>
      <c r="UFT58" s="528"/>
      <c r="UFU58" s="528"/>
      <c r="UFV58" s="528"/>
      <c r="UFW58" s="528"/>
      <c r="UFX58" s="528"/>
      <c r="UFY58" s="528"/>
      <c r="UFZ58" s="528"/>
      <c r="UGA58" s="528"/>
      <c r="UGB58" s="528"/>
      <c r="UGC58" s="528"/>
      <c r="UGD58" s="528"/>
      <c r="UGE58" s="528"/>
      <c r="UGF58" s="528"/>
      <c r="UGG58" s="528"/>
      <c r="UGH58" s="528"/>
      <c r="UGI58" s="528"/>
      <c r="UGJ58" s="528"/>
      <c r="UGK58" s="528"/>
      <c r="UGL58" s="528"/>
      <c r="UGM58" s="528"/>
      <c r="UGN58" s="528"/>
      <c r="UGO58" s="528"/>
      <c r="UGP58" s="528"/>
      <c r="UGQ58" s="528"/>
      <c r="UGR58" s="528"/>
      <c r="UGS58" s="528"/>
      <c r="UGT58" s="528"/>
      <c r="UGU58" s="528"/>
      <c r="UGV58" s="528"/>
      <c r="UGW58" s="528"/>
      <c r="UGX58" s="528"/>
      <c r="UGY58" s="528"/>
      <c r="UGZ58" s="528"/>
      <c r="UHA58" s="528"/>
      <c r="UHB58" s="528"/>
      <c r="UHC58" s="528"/>
      <c r="UHD58" s="528"/>
      <c r="UHE58" s="528"/>
      <c r="UHF58" s="528"/>
      <c r="UHG58" s="528"/>
      <c r="UHH58" s="528"/>
      <c r="UHI58" s="528"/>
      <c r="UHJ58" s="528"/>
      <c r="UHK58" s="528"/>
      <c r="UHL58" s="528"/>
      <c r="UHM58" s="528"/>
      <c r="UHN58" s="528"/>
      <c r="UHO58" s="528"/>
      <c r="UHP58" s="528"/>
      <c r="UHQ58" s="528"/>
      <c r="UHR58" s="528"/>
      <c r="UHS58" s="528"/>
      <c r="UHT58" s="528"/>
      <c r="UHU58" s="528"/>
      <c r="UHV58" s="528"/>
      <c r="UHW58" s="528"/>
      <c r="UHX58" s="528"/>
      <c r="UHY58" s="528"/>
      <c r="UHZ58" s="528"/>
      <c r="UIA58" s="528"/>
      <c r="UIB58" s="528"/>
      <c r="UIC58" s="528"/>
      <c r="UID58" s="528"/>
      <c r="UIE58" s="528"/>
      <c r="UIF58" s="528"/>
      <c r="UIG58" s="528"/>
      <c r="UIH58" s="528"/>
      <c r="UII58" s="528"/>
      <c r="UIJ58" s="528"/>
      <c r="UIK58" s="528"/>
      <c r="UIL58" s="528"/>
      <c r="UIM58" s="528"/>
      <c r="UIN58" s="528"/>
      <c r="UIO58" s="528"/>
      <c r="UIP58" s="528"/>
      <c r="UIQ58" s="528"/>
      <c r="UIR58" s="528"/>
      <c r="UIS58" s="528"/>
      <c r="UIT58" s="528"/>
      <c r="UIU58" s="528"/>
      <c r="UIV58" s="528"/>
      <c r="UIW58" s="528"/>
      <c r="UIX58" s="528"/>
      <c r="UIY58" s="528"/>
      <c r="UIZ58" s="528"/>
      <c r="UJA58" s="528"/>
      <c r="UJB58" s="528"/>
      <c r="UJC58" s="528"/>
      <c r="UJD58" s="528"/>
      <c r="UJE58" s="528"/>
      <c r="UJF58" s="528"/>
      <c r="UJG58" s="528"/>
      <c r="UJH58" s="528"/>
      <c r="UJI58" s="528"/>
      <c r="UJJ58" s="528"/>
      <c r="UJK58" s="528"/>
      <c r="UJL58" s="528"/>
      <c r="UJM58" s="528"/>
      <c r="UJN58" s="528"/>
      <c r="UJO58" s="528"/>
      <c r="UJP58" s="528"/>
      <c r="UJQ58" s="528"/>
      <c r="UJR58" s="528"/>
      <c r="UJS58" s="528"/>
      <c r="UJT58" s="528"/>
      <c r="UJU58" s="528"/>
      <c r="UJV58" s="528"/>
      <c r="UJW58" s="528"/>
      <c r="UJX58" s="528"/>
      <c r="UJY58" s="528"/>
      <c r="UJZ58" s="528"/>
      <c r="UKA58" s="528"/>
      <c r="UKB58" s="528"/>
      <c r="UKC58" s="528"/>
      <c r="UKD58" s="528"/>
      <c r="UKE58" s="528"/>
      <c r="UKF58" s="528"/>
      <c r="UKG58" s="528"/>
      <c r="UKH58" s="528"/>
      <c r="UKI58" s="528"/>
      <c r="UKJ58" s="528"/>
      <c r="UKK58" s="528"/>
      <c r="UKL58" s="528"/>
      <c r="UKM58" s="528"/>
      <c r="UKN58" s="528"/>
      <c r="UKO58" s="528"/>
      <c r="UKP58" s="528"/>
      <c r="UKQ58" s="528"/>
      <c r="UKR58" s="528"/>
      <c r="UKS58" s="528"/>
      <c r="UKT58" s="528"/>
      <c r="UKU58" s="528"/>
      <c r="UKV58" s="528"/>
      <c r="UKW58" s="528"/>
      <c r="UKX58" s="528"/>
      <c r="UKY58" s="528"/>
      <c r="UKZ58" s="528"/>
      <c r="ULA58" s="528"/>
      <c r="ULB58" s="528"/>
      <c r="ULC58" s="528"/>
      <c r="ULD58" s="528"/>
      <c r="ULE58" s="528"/>
      <c r="ULF58" s="528"/>
      <c r="ULG58" s="528"/>
      <c r="ULH58" s="528"/>
      <c r="ULI58" s="528"/>
      <c r="ULJ58" s="528"/>
      <c r="ULK58" s="528"/>
      <c r="ULL58" s="528"/>
      <c r="ULM58" s="528"/>
      <c r="ULN58" s="528"/>
      <c r="ULO58" s="528"/>
      <c r="ULP58" s="528"/>
      <c r="ULQ58" s="528"/>
      <c r="ULR58" s="528"/>
      <c r="ULS58" s="528"/>
      <c r="ULT58" s="528"/>
      <c r="ULU58" s="528"/>
      <c r="ULV58" s="528"/>
      <c r="ULW58" s="528"/>
      <c r="ULX58" s="528"/>
      <c r="ULY58" s="528"/>
      <c r="ULZ58" s="528"/>
      <c r="UMA58" s="528"/>
      <c r="UMB58" s="528"/>
      <c r="UMC58" s="528"/>
      <c r="UMD58" s="528"/>
      <c r="UME58" s="528"/>
      <c r="UMF58" s="528"/>
      <c r="UMG58" s="528"/>
      <c r="UMH58" s="528"/>
      <c r="UMI58" s="528"/>
      <c r="UMJ58" s="528"/>
      <c r="UMK58" s="528"/>
      <c r="UML58" s="528"/>
      <c r="UMM58" s="528"/>
      <c r="UMN58" s="528"/>
      <c r="UMO58" s="528"/>
      <c r="UMP58" s="528"/>
      <c r="UMQ58" s="528"/>
      <c r="UMR58" s="528"/>
      <c r="UMS58" s="528"/>
      <c r="UMT58" s="528"/>
      <c r="UMU58" s="528"/>
      <c r="UMV58" s="528"/>
      <c r="UMW58" s="528"/>
      <c r="UMX58" s="528"/>
      <c r="UMY58" s="528"/>
      <c r="UMZ58" s="528"/>
      <c r="UNA58" s="528"/>
      <c r="UNB58" s="528"/>
      <c r="UNC58" s="528"/>
      <c r="UND58" s="528"/>
      <c r="UNE58" s="528"/>
      <c r="UNF58" s="528"/>
      <c r="UNG58" s="528"/>
      <c r="UNH58" s="528"/>
      <c r="UNI58" s="528"/>
      <c r="UNJ58" s="528"/>
      <c r="UNK58" s="528"/>
      <c r="UNL58" s="528"/>
      <c r="UNM58" s="528"/>
      <c r="UNN58" s="528"/>
      <c r="UNO58" s="528"/>
      <c r="UNP58" s="528"/>
      <c r="UNQ58" s="528"/>
      <c r="UNR58" s="528"/>
      <c r="UNS58" s="528"/>
      <c r="UNT58" s="528"/>
      <c r="UNU58" s="528"/>
      <c r="UNV58" s="528"/>
      <c r="UNW58" s="528"/>
      <c r="UNX58" s="528"/>
      <c r="UNY58" s="528"/>
      <c r="UNZ58" s="528"/>
      <c r="UOA58" s="528"/>
      <c r="UOB58" s="528"/>
      <c r="UOC58" s="528"/>
      <c r="UOD58" s="528"/>
      <c r="UOE58" s="528"/>
      <c r="UOF58" s="528"/>
      <c r="UOG58" s="528"/>
      <c r="UOH58" s="528"/>
      <c r="UOI58" s="528"/>
      <c r="UOJ58" s="528"/>
      <c r="UOK58" s="528"/>
      <c r="UOL58" s="528"/>
      <c r="UOM58" s="528"/>
      <c r="UON58" s="528"/>
      <c r="UOO58" s="528"/>
      <c r="UOP58" s="528"/>
      <c r="UOQ58" s="528"/>
      <c r="UOR58" s="528"/>
      <c r="UOS58" s="528"/>
      <c r="UOT58" s="528"/>
      <c r="UOU58" s="528"/>
      <c r="UOV58" s="528"/>
      <c r="UOW58" s="528"/>
      <c r="UOX58" s="528"/>
      <c r="UOY58" s="528"/>
      <c r="UOZ58" s="528"/>
      <c r="UPA58" s="528"/>
      <c r="UPB58" s="528"/>
      <c r="UPC58" s="528"/>
      <c r="UPD58" s="528"/>
      <c r="UPE58" s="528"/>
      <c r="UPF58" s="528"/>
      <c r="UPG58" s="528"/>
      <c r="UPH58" s="528"/>
      <c r="UPI58" s="528"/>
      <c r="UPJ58" s="528"/>
      <c r="UPK58" s="528"/>
      <c r="UPL58" s="528"/>
      <c r="UPM58" s="528"/>
      <c r="UPN58" s="528"/>
      <c r="UPO58" s="528"/>
      <c r="UPP58" s="528"/>
      <c r="UPQ58" s="528"/>
      <c r="UPR58" s="528"/>
      <c r="UPS58" s="528"/>
      <c r="UPT58" s="528"/>
      <c r="UPU58" s="528"/>
      <c r="UPV58" s="528"/>
      <c r="UPW58" s="528"/>
      <c r="UPX58" s="528"/>
      <c r="UPY58" s="528"/>
      <c r="UPZ58" s="528"/>
      <c r="UQA58" s="528"/>
      <c r="UQB58" s="528"/>
      <c r="UQC58" s="528"/>
      <c r="UQD58" s="528"/>
      <c r="UQE58" s="528"/>
      <c r="UQF58" s="528"/>
      <c r="UQG58" s="528"/>
      <c r="UQH58" s="528"/>
      <c r="UQI58" s="528"/>
      <c r="UQJ58" s="528"/>
      <c r="UQK58" s="528"/>
      <c r="UQL58" s="528"/>
      <c r="UQM58" s="528"/>
      <c r="UQN58" s="528"/>
      <c r="UQO58" s="528"/>
      <c r="UQP58" s="528"/>
      <c r="UQQ58" s="528"/>
      <c r="UQR58" s="528"/>
      <c r="UQS58" s="528"/>
      <c r="UQT58" s="528"/>
      <c r="UQU58" s="528"/>
      <c r="UQV58" s="528"/>
      <c r="UQW58" s="528"/>
      <c r="UQX58" s="528"/>
      <c r="UQY58" s="528"/>
      <c r="UQZ58" s="528"/>
      <c r="URA58" s="528"/>
      <c r="URB58" s="528"/>
      <c r="URC58" s="528"/>
      <c r="URD58" s="528"/>
      <c r="URE58" s="528"/>
      <c r="URF58" s="528"/>
      <c r="URG58" s="528"/>
      <c r="URH58" s="528"/>
      <c r="URI58" s="528"/>
      <c r="URJ58" s="528"/>
      <c r="URK58" s="528"/>
      <c r="URL58" s="528"/>
      <c r="URM58" s="528"/>
      <c r="URN58" s="528"/>
      <c r="URO58" s="528"/>
      <c r="URP58" s="528"/>
      <c r="URQ58" s="528"/>
      <c r="URR58" s="528"/>
      <c r="URS58" s="528"/>
      <c r="URT58" s="528"/>
      <c r="URU58" s="528"/>
      <c r="URV58" s="528"/>
      <c r="URW58" s="528"/>
      <c r="URX58" s="528"/>
      <c r="URY58" s="528"/>
      <c r="URZ58" s="528"/>
      <c r="USA58" s="528"/>
      <c r="USB58" s="528"/>
      <c r="USC58" s="528"/>
      <c r="USD58" s="528"/>
      <c r="USE58" s="528"/>
      <c r="USF58" s="528"/>
      <c r="USG58" s="528"/>
      <c r="USH58" s="528"/>
      <c r="USI58" s="528"/>
      <c r="USJ58" s="528"/>
      <c r="USK58" s="528"/>
      <c r="USL58" s="528"/>
      <c r="USM58" s="528"/>
      <c r="USN58" s="528"/>
      <c r="USO58" s="528"/>
      <c r="USP58" s="528"/>
      <c r="USQ58" s="528"/>
      <c r="USR58" s="528"/>
      <c r="USS58" s="528"/>
      <c r="UST58" s="528"/>
      <c r="USU58" s="528"/>
      <c r="USV58" s="528"/>
      <c r="USW58" s="528"/>
      <c r="USX58" s="528"/>
      <c r="USY58" s="528"/>
      <c r="USZ58" s="528"/>
      <c r="UTA58" s="528"/>
      <c r="UTB58" s="528"/>
      <c r="UTC58" s="528"/>
      <c r="UTD58" s="528"/>
      <c r="UTE58" s="528"/>
      <c r="UTF58" s="528"/>
      <c r="UTG58" s="528"/>
      <c r="UTH58" s="528"/>
      <c r="UTI58" s="528"/>
      <c r="UTJ58" s="528"/>
      <c r="UTK58" s="528"/>
      <c r="UTL58" s="528"/>
      <c r="UTM58" s="528"/>
      <c r="UTN58" s="528"/>
      <c r="UTO58" s="528"/>
      <c r="UTP58" s="528"/>
      <c r="UTQ58" s="528"/>
      <c r="UTR58" s="528"/>
      <c r="UTS58" s="528"/>
      <c r="UTT58" s="528"/>
      <c r="UTU58" s="528"/>
      <c r="UTV58" s="528"/>
      <c r="UTW58" s="528"/>
      <c r="UTX58" s="528"/>
      <c r="UTY58" s="528"/>
      <c r="UTZ58" s="528"/>
      <c r="UUA58" s="528"/>
      <c r="UUB58" s="528"/>
      <c r="UUC58" s="528"/>
      <c r="UUD58" s="528"/>
      <c r="UUE58" s="528"/>
      <c r="UUF58" s="528"/>
      <c r="UUG58" s="528"/>
      <c r="UUH58" s="528"/>
      <c r="UUI58" s="528"/>
      <c r="UUJ58" s="528"/>
      <c r="UUK58" s="528"/>
      <c r="UUL58" s="528"/>
      <c r="UUM58" s="528"/>
      <c r="UUN58" s="528"/>
      <c r="UUO58" s="528"/>
      <c r="UUP58" s="528"/>
      <c r="UUQ58" s="528"/>
      <c r="UUR58" s="528"/>
      <c r="UUS58" s="528"/>
      <c r="UUT58" s="528"/>
      <c r="UUU58" s="528"/>
      <c r="UUV58" s="528"/>
      <c r="UUW58" s="528"/>
      <c r="UUX58" s="528"/>
      <c r="UUY58" s="528"/>
      <c r="UUZ58" s="528"/>
      <c r="UVA58" s="528"/>
      <c r="UVB58" s="528"/>
      <c r="UVC58" s="528"/>
      <c r="UVD58" s="528"/>
      <c r="UVE58" s="528"/>
      <c r="UVF58" s="528"/>
      <c r="UVG58" s="528"/>
      <c r="UVH58" s="528"/>
      <c r="UVI58" s="528"/>
      <c r="UVJ58" s="528"/>
      <c r="UVK58" s="528"/>
      <c r="UVL58" s="528"/>
      <c r="UVM58" s="528"/>
      <c r="UVN58" s="528"/>
      <c r="UVO58" s="528"/>
      <c r="UVP58" s="528"/>
      <c r="UVQ58" s="528"/>
      <c r="UVR58" s="528"/>
      <c r="UVS58" s="528"/>
      <c r="UVT58" s="528"/>
      <c r="UVU58" s="528"/>
      <c r="UVV58" s="528"/>
      <c r="UVW58" s="528"/>
      <c r="UVX58" s="528"/>
      <c r="UVY58" s="528"/>
      <c r="UVZ58" s="528"/>
      <c r="UWA58" s="528"/>
      <c r="UWB58" s="528"/>
      <c r="UWC58" s="528"/>
      <c r="UWD58" s="528"/>
      <c r="UWE58" s="528"/>
      <c r="UWF58" s="528"/>
      <c r="UWG58" s="528"/>
      <c r="UWH58" s="528"/>
      <c r="UWI58" s="528"/>
      <c r="UWJ58" s="528"/>
      <c r="UWK58" s="528"/>
      <c r="UWL58" s="528"/>
      <c r="UWM58" s="528"/>
      <c r="UWN58" s="528"/>
      <c r="UWO58" s="528"/>
      <c r="UWP58" s="528"/>
      <c r="UWQ58" s="528"/>
      <c r="UWR58" s="528"/>
      <c r="UWS58" s="528"/>
      <c r="UWT58" s="528"/>
      <c r="UWU58" s="528"/>
      <c r="UWV58" s="528"/>
      <c r="UWW58" s="528"/>
      <c r="UWX58" s="528"/>
      <c r="UWY58" s="528"/>
      <c r="UWZ58" s="528"/>
      <c r="UXA58" s="528"/>
      <c r="UXB58" s="528"/>
      <c r="UXC58" s="528"/>
      <c r="UXD58" s="528"/>
      <c r="UXE58" s="528"/>
      <c r="UXF58" s="528"/>
      <c r="UXG58" s="528"/>
      <c r="UXH58" s="528"/>
      <c r="UXI58" s="528"/>
      <c r="UXJ58" s="528"/>
      <c r="UXK58" s="528"/>
      <c r="UXL58" s="528"/>
      <c r="UXM58" s="528"/>
      <c r="UXN58" s="528"/>
      <c r="UXO58" s="528"/>
      <c r="UXP58" s="528"/>
      <c r="UXQ58" s="528"/>
      <c r="UXR58" s="528"/>
      <c r="UXS58" s="528"/>
      <c r="UXT58" s="528"/>
      <c r="UXU58" s="528"/>
      <c r="UXV58" s="528"/>
      <c r="UXW58" s="528"/>
      <c r="UXX58" s="528"/>
      <c r="UXY58" s="528"/>
      <c r="UXZ58" s="528"/>
      <c r="UYA58" s="528"/>
      <c r="UYB58" s="528"/>
      <c r="UYC58" s="528"/>
      <c r="UYD58" s="528"/>
      <c r="UYE58" s="528"/>
      <c r="UYF58" s="528"/>
      <c r="UYG58" s="528"/>
      <c r="UYH58" s="528"/>
      <c r="UYI58" s="528"/>
      <c r="UYJ58" s="528"/>
      <c r="UYK58" s="528"/>
      <c r="UYL58" s="528"/>
      <c r="UYM58" s="528"/>
      <c r="UYN58" s="528"/>
      <c r="UYO58" s="528"/>
      <c r="UYP58" s="528"/>
      <c r="UYQ58" s="528"/>
      <c r="UYR58" s="528"/>
      <c r="UYS58" s="528"/>
      <c r="UYT58" s="528"/>
      <c r="UYU58" s="528"/>
      <c r="UYV58" s="528"/>
      <c r="UYW58" s="528"/>
      <c r="UYX58" s="528"/>
      <c r="UYY58" s="528"/>
      <c r="UYZ58" s="528"/>
      <c r="UZA58" s="528"/>
      <c r="UZB58" s="528"/>
      <c r="UZC58" s="528"/>
      <c r="UZD58" s="528"/>
      <c r="UZE58" s="528"/>
      <c r="UZF58" s="528"/>
      <c r="UZG58" s="528"/>
      <c r="UZH58" s="528"/>
      <c r="UZI58" s="528"/>
      <c r="UZJ58" s="528"/>
      <c r="UZK58" s="528"/>
      <c r="UZL58" s="528"/>
      <c r="UZM58" s="528"/>
      <c r="UZN58" s="528"/>
      <c r="UZO58" s="528"/>
      <c r="UZP58" s="528"/>
      <c r="UZQ58" s="528"/>
      <c r="UZR58" s="528"/>
      <c r="UZS58" s="528"/>
      <c r="UZT58" s="528"/>
      <c r="UZU58" s="528"/>
      <c r="UZV58" s="528"/>
      <c r="UZW58" s="528"/>
      <c r="UZX58" s="528"/>
      <c r="UZY58" s="528"/>
      <c r="UZZ58" s="528"/>
      <c r="VAA58" s="528"/>
      <c r="VAB58" s="528"/>
      <c r="VAC58" s="528"/>
      <c r="VAD58" s="528"/>
      <c r="VAE58" s="528"/>
      <c r="VAF58" s="528"/>
      <c r="VAG58" s="528"/>
      <c r="VAH58" s="528"/>
      <c r="VAI58" s="528"/>
      <c r="VAJ58" s="528"/>
      <c r="VAK58" s="528"/>
      <c r="VAL58" s="528"/>
      <c r="VAM58" s="528"/>
      <c r="VAN58" s="528"/>
      <c r="VAO58" s="528"/>
      <c r="VAP58" s="528"/>
      <c r="VAQ58" s="528"/>
      <c r="VAR58" s="528"/>
      <c r="VAS58" s="528"/>
      <c r="VAT58" s="528"/>
      <c r="VAU58" s="528"/>
      <c r="VAV58" s="528"/>
      <c r="VAW58" s="528"/>
      <c r="VAX58" s="528"/>
      <c r="VAY58" s="528"/>
      <c r="VAZ58" s="528"/>
      <c r="VBA58" s="528"/>
      <c r="VBB58" s="528"/>
      <c r="VBC58" s="528"/>
      <c r="VBD58" s="528"/>
      <c r="VBE58" s="528"/>
      <c r="VBF58" s="528"/>
      <c r="VBG58" s="528"/>
      <c r="VBH58" s="528"/>
      <c r="VBI58" s="528"/>
      <c r="VBJ58" s="528"/>
      <c r="VBK58" s="528"/>
      <c r="VBL58" s="528"/>
      <c r="VBM58" s="528"/>
      <c r="VBN58" s="528"/>
      <c r="VBO58" s="528"/>
      <c r="VBP58" s="528"/>
      <c r="VBQ58" s="528"/>
      <c r="VBR58" s="528"/>
      <c r="VBS58" s="528"/>
      <c r="VBT58" s="528"/>
      <c r="VBU58" s="528"/>
      <c r="VBV58" s="528"/>
      <c r="VBW58" s="528"/>
      <c r="VBX58" s="528"/>
      <c r="VBY58" s="528"/>
      <c r="VBZ58" s="528"/>
      <c r="VCA58" s="528"/>
      <c r="VCB58" s="528"/>
      <c r="VCC58" s="528"/>
      <c r="VCD58" s="528"/>
      <c r="VCE58" s="528"/>
      <c r="VCF58" s="528"/>
      <c r="VCG58" s="528"/>
      <c r="VCH58" s="528"/>
      <c r="VCI58" s="528"/>
      <c r="VCJ58" s="528"/>
      <c r="VCK58" s="528"/>
      <c r="VCL58" s="528"/>
      <c r="VCM58" s="528"/>
      <c r="VCN58" s="528"/>
      <c r="VCO58" s="528"/>
      <c r="VCP58" s="528"/>
      <c r="VCQ58" s="528"/>
      <c r="VCR58" s="528"/>
      <c r="VCS58" s="528"/>
      <c r="VCT58" s="528"/>
      <c r="VCU58" s="528"/>
      <c r="VCV58" s="528"/>
      <c r="VCW58" s="528"/>
      <c r="VCX58" s="528"/>
      <c r="VCY58" s="528"/>
      <c r="VCZ58" s="528"/>
      <c r="VDA58" s="528"/>
      <c r="VDB58" s="528"/>
      <c r="VDC58" s="528"/>
      <c r="VDD58" s="528"/>
      <c r="VDE58" s="528"/>
      <c r="VDF58" s="528"/>
      <c r="VDG58" s="528"/>
      <c r="VDH58" s="528"/>
      <c r="VDI58" s="528"/>
      <c r="VDJ58" s="528"/>
      <c r="VDK58" s="528"/>
      <c r="VDL58" s="528"/>
      <c r="VDM58" s="528"/>
      <c r="VDN58" s="528"/>
      <c r="VDO58" s="528"/>
      <c r="VDP58" s="528"/>
      <c r="VDQ58" s="528"/>
      <c r="VDR58" s="528"/>
      <c r="VDS58" s="528"/>
      <c r="VDT58" s="528"/>
      <c r="VDU58" s="528"/>
      <c r="VDV58" s="528"/>
      <c r="VDW58" s="528"/>
      <c r="VDX58" s="528"/>
      <c r="VDY58" s="528"/>
      <c r="VDZ58" s="528"/>
      <c r="VEA58" s="528"/>
      <c r="VEB58" s="528"/>
      <c r="VEC58" s="528"/>
      <c r="VED58" s="528"/>
      <c r="VEE58" s="528"/>
      <c r="VEF58" s="528"/>
      <c r="VEG58" s="528"/>
      <c r="VEH58" s="528"/>
      <c r="VEI58" s="528"/>
      <c r="VEJ58" s="528"/>
      <c r="VEK58" s="528"/>
      <c r="VEL58" s="528"/>
      <c r="VEM58" s="528"/>
      <c r="VEN58" s="528"/>
      <c r="VEO58" s="528"/>
      <c r="VEP58" s="528"/>
      <c r="VEQ58" s="528"/>
      <c r="VER58" s="528"/>
      <c r="VES58" s="528"/>
      <c r="VET58" s="528"/>
      <c r="VEU58" s="528"/>
      <c r="VEV58" s="528"/>
      <c r="VEW58" s="528"/>
      <c r="VEX58" s="528"/>
      <c r="VEY58" s="528"/>
      <c r="VEZ58" s="528"/>
      <c r="VFA58" s="528"/>
      <c r="VFB58" s="528"/>
      <c r="VFC58" s="528"/>
      <c r="VFD58" s="528"/>
      <c r="VFE58" s="528"/>
      <c r="VFF58" s="528"/>
      <c r="VFG58" s="528"/>
      <c r="VFH58" s="528"/>
      <c r="VFI58" s="528"/>
      <c r="VFJ58" s="528"/>
      <c r="VFK58" s="528"/>
      <c r="VFL58" s="528"/>
      <c r="VFM58" s="528"/>
      <c r="VFN58" s="528"/>
      <c r="VFO58" s="528"/>
      <c r="VFP58" s="528"/>
      <c r="VFQ58" s="528"/>
      <c r="VFR58" s="528"/>
      <c r="VFS58" s="528"/>
      <c r="VFT58" s="528"/>
      <c r="VFU58" s="528"/>
      <c r="VFV58" s="528"/>
      <c r="VFW58" s="528"/>
      <c r="VFX58" s="528"/>
      <c r="VFY58" s="528"/>
      <c r="VFZ58" s="528"/>
      <c r="VGA58" s="528"/>
      <c r="VGB58" s="528"/>
      <c r="VGC58" s="528"/>
      <c r="VGD58" s="528"/>
      <c r="VGE58" s="528"/>
      <c r="VGF58" s="528"/>
      <c r="VGG58" s="528"/>
      <c r="VGH58" s="528"/>
      <c r="VGI58" s="528"/>
      <c r="VGJ58" s="528"/>
      <c r="VGK58" s="528"/>
      <c r="VGL58" s="528"/>
      <c r="VGM58" s="528"/>
      <c r="VGN58" s="528"/>
      <c r="VGO58" s="528"/>
      <c r="VGP58" s="528"/>
      <c r="VGQ58" s="528"/>
      <c r="VGR58" s="528"/>
      <c r="VGS58" s="528"/>
      <c r="VGT58" s="528"/>
      <c r="VGU58" s="528"/>
      <c r="VGV58" s="528"/>
      <c r="VGW58" s="528"/>
      <c r="VGX58" s="528"/>
      <c r="VGY58" s="528"/>
      <c r="VGZ58" s="528"/>
      <c r="VHA58" s="528"/>
      <c r="VHB58" s="528"/>
      <c r="VHC58" s="528"/>
      <c r="VHD58" s="528"/>
      <c r="VHE58" s="528"/>
      <c r="VHF58" s="528"/>
      <c r="VHG58" s="528"/>
      <c r="VHH58" s="528"/>
      <c r="VHI58" s="528"/>
      <c r="VHJ58" s="528"/>
      <c r="VHK58" s="528"/>
      <c r="VHL58" s="528"/>
      <c r="VHM58" s="528"/>
      <c r="VHN58" s="528"/>
      <c r="VHO58" s="528"/>
      <c r="VHP58" s="528"/>
      <c r="VHQ58" s="528"/>
      <c r="VHR58" s="528"/>
      <c r="VHS58" s="528"/>
      <c r="VHT58" s="528"/>
      <c r="VHU58" s="528"/>
      <c r="VHV58" s="528"/>
      <c r="VHW58" s="528"/>
      <c r="VHX58" s="528"/>
      <c r="VHY58" s="528"/>
      <c r="VHZ58" s="528"/>
      <c r="VIA58" s="528"/>
      <c r="VIB58" s="528"/>
      <c r="VIC58" s="528"/>
      <c r="VID58" s="528"/>
      <c r="VIE58" s="528"/>
      <c r="VIF58" s="528"/>
      <c r="VIG58" s="528"/>
      <c r="VIH58" s="528"/>
      <c r="VII58" s="528"/>
      <c r="VIJ58" s="528"/>
      <c r="VIK58" s="528"/>
      <c r="VIL58" s="528"/>
      <c r="VIM58" s="528"/>
      <c r="VIN58" s="528"/>
      <c r="VIO58" s="528"/>
      <c r="VIP58" s="528"/>
      <c r="VIQ58" s="528"/>
      <c r="VIR58" s="528"/>
      <c r="VIS58" s="528"/>
      <c r="VIT58" s="528"/>
      <c r="VIU58" s="528"/>
      <c r="VIV58" s="528"/>
      <c r="VIW58" s="528"/>
      <c r="VIX58" s="528"/>
      <c r="VIY58" s="528"/>
      <c r="VIZ58" s="528"/>
      <c r="VJA58" s="528"/>
      <c r="VJB58" s="528"/>
      <c r="VJC58" s="528"/>
      <c r="VJD58" s="528"/>
      <c r="VJE58" s="528"/>
      <c r="VJF58" s="528"/>
      <c r="VJG58" s="528"/>
      <c r="VJH58" s="528"/>
      <c r="VJI58" s="528"/>
      <c r="VJJ58" s="528"/>
      <c r="VJK58" s="528"/>
      <c r="VJL58" s="528"/>
      <c r="VJM58" s="528"/>
      <c r="VJN58" s="528"/>
      <c r="VJO58" s="528"/>
      <c r="VJP58" s="528"/>
      <c r="VJQ58" s="528"/>
      <c r="VJR58" s="528"/>
      <c r="VJS58" s="528"/>
      <c r="VJT58" s="528"/>
      <c r="VJU58" s="528"/>
      <c r="VJV58" s="528"/>
      <c r="VJW58" s="528"/>
      <c r="VJX58" s="528"/>
      <c r="VJY58" s="528"/>
      <c r="VJZ58" s="528"/>
      <c r="VKA58" s="528"/>
      <c r="VKB58" s="528"/>
      <c r="VKC58" s="528"/>
      <c r="VKD58" s="528"/>
      <c r="VKE58" s="528"/>
      <c r="VKF58" s="528"/>
      <c r="VKG58" s="528"/>
      <c r="VKH58" s="528"/>
      <c r="VKI58" s="528"/>
      <c r="VKJ58" s="528"/>
      <c r="VKK58" s="528"/>
      <c r="VKL58" s="528"/>
      <c r="VKM58" s="528"/>
      <c r="VKN58" s="528"/>
      <c r="VKO58" s="528"/>
      <c r="VKP58" s="528"/>
      <c r="VKQ58" s="528"/>
      <c r="VKR58" s="528"/>
      <c r="VKS58" s="528"/>
      <c r="VKT58" s="528"/>
      <c r="VKU58" s="528"/>
      <c r="VKV58" s="528"/>
      <c r="VKW58" s="528"/>
      <c r="VKX58" s="528"/>
      <c r="VKY58" s="528"/>
      <c r="VKZ58" s="528"/>
      <c r="VLA58" s="528"/>
      <c r="VLB58" s="528"/>
      <c r="VLC58" s="528"/>
      <c r="VLD58" s="528"/>
      <c r="VLE58" s="528"/>
      <c r="VLF58" s="528"/>
      <c r="VLG58" s="528"/>
      <c r="VLH58" s="528"/>
      <c r="VLI58" s="528"/>
      <c r="VLJ58" s="528"/>
      <c r="VLK58" s="528"/>
      <c r="VLL58" s="528"/>
      <c r="VLM58" s="528"/>
      <c r="VLN58" s="528"/>
      <c r="VLO58" s="528"/>
      <c r="VLP58" s="528"/>
      <c r="VLQ58" s="528"/>
      <c r="VLR58" s="528"/>
      <c r="VLS58" s="528"/>
      <c r="VLT58" s="528"/>
      <c r="VLU58" s="528"/>
      <c r="VLV58" s="528"/>
      <c r="VLW58" s="528"/>
      <c r="VLX58" s="528"/>
      <c r="VLY58" s="528"/>
      <c r="VLZ58" s="528"/>
      <c r="VMA58" s="528"/>
      <c r="VMB58" s="528"/>
      <c r="VMC58" s="528"/>
      <c r="VMD58" s="528"/>
      <c r="VME58" s="528"/>
      <c r="VMF58" s="528"/>
      <c r="VMG58" s="528"/>
      <c r="VMH58" s="528"/>
      <c r="VMI58" s="528"/>
      <c r="VMJ58" s="528"/>
      <c r="VMK58" s="528"/>
      <c r="VML58" s="528"/>
      <c r="VMM58" s="528"/>
      <c r="VMN58" s="528"/>
      <c r="VMO58" s="528"/>
      <c r="VMP58" s="528"/>
      <c r="VMQ58" s="528"/>
      <c r="VMR58" s="528"/>
      <c r="VMS58" s="528"/>
      <c r="VMT58" s="528"/>
      <c r="VMU58" s="528"/>
      <c r="VMV58" s="528"/>
      <c r="VMW58" s="528"/>
      <c r="VMX58" s="528"/>
      <c r="VMY58" s="528"/>
      <c r="VMZ58" s="528"/>
      <c r="VNA58" s="528"/>
      <c r="VNB58" s="528"/>
      <c r="VNC58" s="528"/>
      <c r="VND58" s="528"/>
      <c r="VNE58" s="528"/>
      <c r="VNF58" s="528"/>
      <c r="VNG58" s="528"/>
      <c r="VNH58" s="528"/>
      <c r="VNI58" s="528"/>
      <c r="VNJ58" s="528"/>
      <c r="VNK58" s="528"/>
      <c r="VNL58" s="528"/>
      <c r="VNM58" s="528"/>
      <c r="VNN58" s="528"/>
      <c r="VNO58" s="528"/>
      <c r="VNP58" s="528"/>
      <c r="VNQ58" s="528"/>
      <c r="VNR58" s="528"/>
      <c r="VNS58" s="528"/>
      <c r="VNT58" s="528"/>
      <c r="VNU58" s="528"/>
      <c r="VNV58" s="528"/>
      <c r="VNW58" s="528"/>
      <c r="VNX58" s="528"/>
      <c r="VNY58" s="528"/>
      <c r="VNZ58" s="528"/>
      <c r="VOA58" s="528"/>
      <c r="VOB58" s="528"/>
      <c r="VOC58" s="528"/>
      <c r="VOD58" s="528"/>
      <c r="VOE58" s="528"/>
      <c r="VOF58" s="528"/>
      <c r="VOG58" s="528"/>
      <c r="VOH58" s="528"/>
      <c r="VOI58" s="528"/>
      <c r="VOJ58" s="528"/>
      <c r="VOK58" s="528"/>
      <c r="VOL58" s="528"/>
      <c r="VOM58" s="528"/>
      <c r="VON58" s="528"/>
      <c r="VOO58" s="528"/>
      <c r="VOP58" s="528"/>
      <c r="VOQ58" s="528"/>
      <c r="VOR58" s="528"/>
      <c r="VOS58" s="528"/>
      <c r="VOT58" s="528"/>
      <c r="VOU58" s="528"/>
      <c r="VOV58" s="528"/>
      <c r="VOW58" s="528"/>
      <c r="VOX58" s="528"/>
      <c r="VOY58" s="528"/>
      <c r="VOZ58" s="528"/>
      <c r="VPA58" s="528"/>
      <c r="VPB58" s="528"/>
      <c r="VPC58" s="528"/>
      <c r="VPD58" s="528"/>
      <c r="VPE58" s="528"/>
      <c r="VPF58" s="528"/>
      <c r="VPG58" s="528"/>
      <c r="VPH58" s="528"/>
      <c r="VPI58" s="528"/>
      <c r="VPJ58" s="528"/>
      <c r="VPK58" s="528"/>
      <c r="VPL58" s="528"/>
      <c r="VPM58" s="528"/>
      <c r="VPN58" s="528"/>
      <c r="VPO58" s="528"/>
      <c r="VPP58" s="528"/>
      <c r="VPQ58" s="528"/>
      <c r="VPR58" s="528"/>
      <c r="VPS58" s="528"/>
      <c r="VPT58" s="528"/>
      <c r="VPU58" s="528"/>
      <c r="VPV58" s="528"/>
      <c r="VPW58" s="528"/>
      <c r="VPX58" s="528"/>
      <c r="VPY58" s="528"/>
      <c r="VPZ58" s="528"/>
      <c r="VQA58" s="528"/>
      <c r="VQB58" s="528"/>
      <c r="VQC58" s="528"/>
      <c r="VQD58" s="528"/>
      <c r="VQE58" s="528"/>
      <c r="VQF58" s="528"/>
      <c r="VQG58" s="528"/>
      <c r="VQH58" s="528"/>
      <c r="VQI58" s="528"/>
      <c r="VQJ58" s="528"/>
      <c r="VQK58" s="528"/>
      <c r="VQL58" s="528"/>
      <c r="VQM58" s="528"/>
      <c r="VQN58" s="528"/>
      <c r="VQO58" s="528"/>
      <c r="VQP58" s="528"/>
      <c r="VQQ58" s="528"/>
      <c r="VQR58" s="528"/>
      <c r="VQS58" s="528"/>
      <c r="VQT58" s="528"/>
      <c r="VQU58" s="528"/>
      <c r="VQV58" s="528"/>
      <c r="VQW58" s="528"/>
      <c r="VQX58" s="528"/>
      <c r="VQY58" s="528"/>
      <c r="VQZ58" s="528"/>
      <c r="VRA58" s="528"/>
      <c r="VRB58" s="528"/>
      <c r="VRC58" s="528"/>
      <c r="VRD58" s="528"/>
      <c r="VRE58" s="528"/>
      <c r="VRF58" s="528"/>
      <c r="VRG58" s="528"/>
      <c r="VRH58" s="528"/>
      <c r="VRI58" s="528"/>
      <c r="VRJ58" s="528"/>
      <c r="VRK58" s="528"/>
      <c r="VRL58" s="528"/>
      <c r="VRM58" s="528"/>
      <c r="VRN58" s="528"/>
      <c r="VRO58" s="528"/>
      <c r="VRP58" s="528"/>
      <c r="VRQ58" s="528"/>
      <c r="VRR58" s="528"/>
      <c r="VRS58" s="528"/>
      <c r="VRT58" s="528"/>
      <c r="VRU58" s="528"/>
      <c r="VRV58" s="528"/>
      <c r="VRW58" s="528"/>
      <c r="VRX58" s="528"/>
      <c r="VRY58" s="528"/>
      <c r="VRZ58" s="528"/>
      <c r="VSA58" s="528"/>
      <c r="VSB58" s="528"/>
      <c r="VSC58" s="528"/>
      <c r="VSD58" s="528"/>
      <c r="VSE58" s="528"/>
      <c r="VSF58" s="528"/>
      <c r="VSG58" s="528"/>
      <c r="VSH58" s="528"/>
      <c r="VSI58" s="528"/>
      <c r="VSJ58" s="528"/>
      <c r="VSK58" s="528"/>
      <c r="VSL58" s="528"/>
      <c r="VSM58" s="528"/>
      <c r="VSN58" s="528"/>
      <c r="VSO58" s="528"/>
      <c r="VSP58" s="528"/>
      <c r="VSQ58" s="528"/>
      <c r="VSR58" s="528"/>
      <c r="VSS58" s="528"/>
      <c r="VST58" s="528"/>
      <c r="VSU58" s="528"/>
      <c r="VSV58" s="528"/>
      <c r="VSW58" s="528"/>
      <c r="VSX58" s="528"/>
      <c r="VSY58" s="528"/>
      <c r="VSZ58" s="528"/>
      <c r="VTA58" s="528"/>
      <c r="VTB58" s="528"/>
      <c r="VTC58" s="528"/>
      <c r="VTD58" s="528"/>
      <c r="VTE58" s="528"/>
      <c r="VTF58" s="528"/>
      <c r="VTG58" s="528"/>
      <c r="VTH58" s="528"/>
      <c r="VTI58" s="528"/>
      <c r="VTJ58" s="528"/>
      <c r="VTK58" s="528"/>
      <c r="VTL58" s="528"/>
      <c r="VTM58" s="528"/>
      <c r="VTN58" s="528"/>
      <c r="VTO58" s="528"/>
      <c r="VTP58" s="528"/>
      <c r="VTQ58" s="528"/>
      <c r="VTR58" s="528"/>
      <c r="VTS58" s="528"/>
      <c r="VTT58" s="528"/>
      <c r="VTU58" s="528"/>
      <c r="VTV58" s="528"/>
      <c r="VTW58" s="528"/>
      <c r="VTX58" s="528"/>
      <c r="VTY58" s="528"/>
      <c r="VTZ58" s="528"/>
      <c r="VUA58" s="528"/>
      <c r="VUB58" s="528"/>
      <c r="VUC58" s="528"/>
      <c r="VUD58" s="528"/>
      <c r="VUE58" s="528"/>
      <c r="VUF58" s="528"/>
      <c r="VUG58" s="528"/>
      <c r="VUH58" s="528"/>
      <c r="VUI58" s="528"/>
      <c r="VUJ58" s="528"/>
      <c r="VUK58" s="528"/>
      <c r="VUL58" s="528"/>
      <c r="VUM58" s="528"/>
      <c r="VUN58" s="528"/>
      <c r="VUO58" s="528"/>
      <c r="VUP58" s="528"/>
      <c r="VUQ58" s="528"/>
      <c r="VUR58" s="528"/>
      <c r="VUS58" s="528"/>
      <c r="VUT58" s="528"/>
      <c r="VUU58" s="528"/>
      <c r="VUV58" s="528"/>
      <c r="VUW58" s="528"/>
      <c r="VUX58" s="528"/>
      <c r="VUY58" s="528"/>
      <c r="VUZ58" s="528"/>
      <c r="VVA58" s="528"/>
      <c r="VVB58" s="528"/>
      <c r="VVC58" s="528"/>
      <c r="VVD58" s="528"/>
      <c r="VVE58" s="528"/>
      <c r="VVF58" s="528"/>
      <c r="VVG58" s="528"/>
      <c r="VVH58" s="528"/>
      <c r="VVI58" s="528"/>
      <c r="VVJ58" s="528"/>
      <c r="VVK58" s="528"/>
      <c r="VVL58" s="528"/>
      <c r="VVM58" s="528"/>
      <c r="VVN58" s="528"/>
      <c r="VVO58" s="528"/>
      <c r="VVP58" s="528"/>
      <c r="VVQ58" s="528"/>
      <c r="VVR58" s="528"/>
      <c r="VVS58" s="528"/>
      <c r="VVT58" s="528"/>
      <c r="VVU58" s="528"/>
      <c r="VVV58" s="528"/>
      <c r="VVW58" s="528"/>
      <c r="VVX58" s="528"/>
      <c r="VVY58" s="528"/>
      <c r="VVZ58" s="528"/>
      <c r="VWA58" s="528"/>
      <c r="VWB58" s="528"/>
      <c r="VWC58" s="528"/>
      <c r="VWD58" s="528"/>
      <c r="VWE58" s="528"/>
      <c r="VWF58" s="528"/>
      <c r="VWG58" s="528"/>
      <c r="VWH58" s="528"/>
      <c r="VWI58" s="528"/>
      <c r="VWJ58" s="528"/>
      <c r="VWK58" s="528"/>
      <c r="VWL58" s="528"/>
      <c r="VWM58" s="528"/>
      <c r="VWN58" s="528"/>
      <c r="VWO58" s="528"/>
      <c r="VWP58" s="528"/>
      <c r="VWQ58" s="528"/>
      <c r="VWR58" s="528"/>
      <c r="VWS58" s="528"/>
      <c r="VWT58" s="528"/>
      <c r="VWU58" s="528"/>
      <c r="VWV58" s="528"/>
      <c r="VWW58" s="528"/>
      <c r="VWX58" s="528"/>
      <c r="VWY58" s="528"/>
      <c r="VWZ58" s="528"/>
      <c r="VXA58" s="528"/>
      <c r="VXB58" s="528"/>
      <c r="VXC58" s="528"/>
      <c r="VXD58" s="528"/>
      <c r="VXE58" s="528"/>
      <c r="VXF58" s="528"/>
      <c r="VXG58" s="528"/>
      <c r="VXH58" s="528"/>
      <c r="VXI58" s="528"/>
      <c r="VXJ58" s="528"/>
      <c r="VXK58" s="528"/>
      <c r="VXL58" s="528"/>
      <c r="VXM58" s="528"/>
      <c r="VXN58" s="528"/>
      <c r="VXO58" s="528"/>
      <c r="VXP58" s="528"/>
      <c r="VXQ58" s="528"/>
      <c r="VXR58" s="528"/>
      <c r="VXS58" s="528"/>
      <c r="VXT58" s="528"/>
      <c r="VXU58" s="528"/>
      <c r="VXV58" s="528"/>
      <c r="VXW58" s="528"/>
      <c r="VXX58" s="528"/>
      <c r="VXY58" s="528"/>
      <c r="VXZ58" s="528"/>
      <c r="VYA58" s="528"/>
      <c r="VYB58" s="528"/>
      <c r="VYC58" s="528"/>
      <c r="VYD58" s="528"/>
      <c r="VYE58" s="528"/>
      <c r="VYF58" s="528"/>
      <c r="VYG58" s="528"/>
      <c r="VYH58" s="528"/>
      <c r="VYI58" s="528"/>
      <c r="VYJ58" s="528"/>
      <c r="VYK58" s="528"/>
      <c r="VYL58" s="528"/>
      <c r="VYM58" s="528"/>
      <c r="VYN58" s="528"/>
      <c r="VYO58" s="528"/>
      <c r="VYP58" s="528"/>
      <c r="VYQ58" s="528"/>
      <c r="VYR58" s="528"/>
      <c r="VYS58" s="528"/>
      <c r="VYT58" s="528"/>
      <c r="VYU58" s="528"/>
      <c r="VYV58" s="528"/>
      <c r="VYW58" s="528"/>
      <c r="VYX58" s="528"/>
      <c r="VYY58" s="528"/>
      <c r="VYZ58" s="528"/>
      <c r="VZA58" s="528"/>
      <c r="VZB58" s="528"/>
      <c r="VZC58" s="528"/>
      <c r="VZD58" s="528"/>
      <c r="VZE58" s="528"/>
      <c r="VZF58" s="528"/>
      <c r="VZG58" s="528"/>
      <c r="VZH58" s="528"/>
      <c r="VZI58" s="528"/>
      <c r="VZJ58" s="528"/>
      <c r="VZK58" s="528"/>
      <c r="VZL58" s="528"/>
      <c r="VZM58" s="528"/>
      <c r="VZN58" s="528"/>
      <c r="VZO58" s="528"/>
      <c r="VZP58" s="528"/>
      <c r="VZQ58" s="528"/>
      <c r="VZR58" s="528"/>
      <c r="VZS58" s="528"/>
      <c r="VZT58" s="528"/>
      <c r="VZU58" s="528"/>
      <c r="VZV58" s="528"/>
      <c r="VZW58" s="528"/>
      <c r="VZX58" s="528"/>
      <c r="VZY58" s="528"/>
      <c r="VZZ58" s="528"/>
      <c r="WAA58" s="528"/>
      <c r="WAB58" s="528"/>
      <c r="WAC58" s="528"/>
      <c r="WAD58" s="528"/>
      <c r="WAE58" s="528"/>
      <c r="WAF58" s="528"/>
      <c r="WAG58" s="528"/>
      <c r="WAH58" s="528"/>
      <c r="WAI58" s="528"/>
      <c r="WAJ58" s="528"/>
      <c r="WAK58" s="528"/>
      <c r="WAL58" s="528"/>
      <c r="WAM58" s="528"/>
      <c r="WAN58" s="528"/>
      <c r="WAO58" s="528"/>
      <c r="WAP58" s="528"/>
      <c r="WAQ58" s="528"/>
      <c r="WAR58" s="528"/>
      <c r="WAS58" s="528"/>
      <c r="WAT58" s="528"/>
      <c r="WAU58" s="528"/>
      <c r="WAV58" s="528"/>
      <c r="WAW58" s="528"/>
      <c r="WAX58" s="528"/>
      <c r="WAY58" s="528"/>
      <c r="WAZ58" s="528"/>
      <c r="WBA58" s="528"/>
      <c r="WBB58" s="528"/>
      <c r="WBC58" s="528"/>
      <c r="WBD58" s="528"/>
      <c r="WBE58" s="528"/>
      <c r="WBF58" s="528"/>
      <c r="WBG58" s="528"/>
      <c r="WBH58" s="528"/>
      <c r="WBI58" s="528"/>
      <c r="WBJ58" s="528"/>
      <c r="WBK58" s="528"/>
      <c r="WBL58" s="528"/>
      <c r="WBM58" s="528"/>
      <c r="WBN58" s="528"/>
      <c r="WBO58" s="528"/>
      <c r="WBP58" s="528"/>
      <c r="WBQ58" s="528"/>
      <c r="WBR58" s="528"/>
      <c r="WBS58" s="528"/>
      <c r="WBT58" s="528"/>
      <c r="WBU58" s="528"/>
      <c r="WBV58" s="528"/>
      <c r="WBW58" s="528"/>
      <c r="WBX58" s="528"/>
      <c r="WBY58" s="528"/>
      <c r="WBZ58" s="528"/>
      <c r="WCA58" s="528"/>
      <c r="WCB58" s="528"/>
      <c r="WCC58" s="528"/>
      <c r="WCD58" s="528"/>
      <c r="WCE58" s="528"/>
      <c r="WCF58" s="528"/>
      <c r="WCG58" s="528"/>
      <c r="WCH58" s="528"/>
      <c r="WCI58" s="528"/>
      <c r="WCJ58" s="528"/>
      <c r="WCK58" s="528"/>
      <c r="WCL58" s="528"/>
      <c r="WCM58" s="528"/>
      <c r="WCN58" s="528"/>
      <c r="WCO58" s="528"/>
      <c r="WCP58" s="528"/>
      <c r="WCQ58" s="528"/>
      <c r="WCR58" s="528"/>
      <c r="WCS58" s="528"/>
      <c r="WCT58" s="528"/>
      <c r="WCU58" s="528"/>
      <c r="WCV58" s="528"/>
      <c r="WCW58" s="528"/>
      <c r="WCX58" s="528"/>
      <c r="WCY58" s="528"/>
      <c r="WCZ58" s="528"/>
      <c r="WDA58" s="528"/>
      <c r="WDB58" s="528"/>
      <c r="WDC58" s="528"/>
      <c r="WDD58" s="528"/>
      <c r="WDE58" s="528"/>
      <c r="WDF58" s="528"/>
      <c r="WDG58" s="528"/>
      <c r="WDH58" s="528"/>
      <c r="WDI58" s="528"/>
      <c r="WDJ58" s="528"/>
      <c r="WDK58" s="528"/>
      <c r="WDL58" s="528"/>
      <c r="WDM58" s="528"/>
      <c r="WDN58" s="528"/>
      <c r="WDO58" s="528"/>
      <c r="WDP58" s="528"/>
      <c r="WDQ58" s="528"/>
      <c r="WDR58" s="528"/>
      <c r="WDS58" s="528"/>
      <c r="WDT58" s="528"/>
      <c r="WDU58" s="528"/>
      <c r="WDV58" s="528"/>
      <c r="WDW58" s="528"/>
      <c r="WDX58" s="528"/>
      <c r="WDY58" s="528"/>
      <c r="WDZ58" s="528"/>
      <c r="WEA58" s="528"/>
      <c r="WEB58" s="528"/>
      <c r="WEC58" s="528"/>
      <c r="WED58" s="528"/>
      <c r="WEE58" s="528"/>
      <c r="WEF58" s="528"/>
      <c r="WEG58" s="528"/>
      <c r="WEH58" s="528"/>
      <c r="WEI58" s="528"/>
      <c r="WEJ58" s="528"/>
      <c r="WEK58" s="528"/>
      <c r="WEL58" s="528"/>
      <c r="WEM58" s="528"/>
      <c r="WEN58" s="528"/>
      <c r="WEO58" s="528"/>
      <c r="WEP58" s="528"/>
      <c r="WEQ58" s="528"/>
      <c r="WER58" s="528"/>
      <c r="WES58" s="528"/>
      <c r="WET58" s="528"/>
      <c r="WEU58" s="528"/>
      <c r="WEV58" s="528"/>
      <c r="WEW58" s="528"/>
      <c r="WEX58" s="528"/>
      <c r="WEY58" s="528"/>
      <c r="WEZ58" s="528"/>
      <c r="WFA58" s="528"/>
      <c r="WFB58" s="528"/>
      <c r="WFC58" s="528"/>
      <c r="WFD58" s="528"/>
      <c r="WFE58" s="528"/>
      <c r="WFF58" s="528"/>
      <c r="WFG58" s="528"/>
      <c r="WFH58" s="528"/>
      <c r="WFI58" s="528"/>
      <c r="WFJ58" s="528"/>
      <c r="WFK58" s="528"/>
      <c r="WFL58" s="528"/>
      <c r="WFM58" s="528"/>
      <c r="WFN58" s="528"/>
      <c r="WFO58" s="528"/>
      <c r="WFP58" s="528"/>
      <c r="WFQ58" s="528"/>
      <c r="WFR58" s="528"/>
      <c r="WFS58" s="528"/>
      <c r="WFT58" s="528"/>
      <c r="WFU58" s="528"/>
      <c r="WFV58" s="528"/>
      <c r="WFW58" s="528"/>
      <c r="WFX58" s="528"/>
      <c r="WFY58" s="528"/>
      <c r="WFZ58" s="528"/>
      <c r="WGA58" s="528"/>
      <c r="WGB58" s="528"/>
      <c r="WGC58" s="528"/>
      <c r="WGD58" s="528"/>
      <c r="WGE58" s="528"/>
      <c r="WGF58" s="528"/>
      <c r="WGG58" s="528"/>
      <c r="WGH58" s="528"/>
      <c r="WGI58" s="528"/>
      <c r="WGJ58" s="528"/>
      <c r="WGK58" s="528"/>
      <c r="WGL58" s="528"/>
      <c r="WGM58" s="528"/>
      <c r="WGN58" s="528"/>
      <c r="WGO58" s="528"/>
      <c r="WGP58" s="528"/>
      <c r="WGQ58" s="528"/>
      <c r="WGR58" s="528"/>
      <c r="WGS58" s="528"/>
      <c r="WGT58" s="528"/>
      <c r="WGU58" s="528"/>
      <c r="WGV58" s="528"/>
      <c r="WGW58" s="528"/>
      <c r="WGX58" s="528"/>
      <c r="WGY58" s="528"/>
      <c r="WGZ58" s="528"/>
      <c r="WHA58" s="528"/>
      <c r="WHB58" s="528"/>
      <c r="WHC58" s="528"/>
      <c r="WHD58" s="528"/>
      <c r="WHE58" s="528"/>
      <c r="WHF58" s="528"/>
      <c r="WHG58" s="528"/>
      <c r="WHH58" s="528"/>
      <c r="WHI58" s="528"/>
      <c r="WHJ58" s="528"/>
      <c r="WHK58" s="528"/>
      <c r="WHL58" s="528"/>
      <c r="WHM58" s="528"/>
      <c r="WHN58" s="528"/>
      <c r="WHO58" s="528"/>
      <c r="WHP58" s="528"/>
      <c r="WHQ58" s="528"/>
      <c r="WHR58" s="528"/>
      <c r="WHS58" s="528"/>
      <c r="WHT58" s="528"/>
      <c r="WHU58" s="528"/>
      <c r="WHV58" s="528"/>
      <c r="WHW58" s="528"/>
      <c r="WHX58" s="528"/>
      <c r="WHY58" s="528"/>
      <c r="WHZ58" s="528"/>
      <c r="WIA58" s="528"/>
      <c r="WIB58" s="528"/>
      <c r="WIC58" s="528"/>
      <c r="WID58" s="528"/>
      <c r="WIE58" s="528"/>
      <c r="WIF58" s="528"/>
      <c r="WIG58" s="528"/>
      <c r="WIH58" s="528"/>
      <c r="WII58" s="528"/>
      <c r="WIJ58" s="528"/>
      <c r="WIK58" s="528"/>
      <c r="WIL58" s="528"/>
      <c r="WIM58" s="528"/>
      <c r="WIN58" s="528"/>
      <c r="WIO58" s="528"/>
      <c r="WIP58" s="528"/>
      <c r="WIQ58" s="528"/>
      <c r="WIR58" s="528"/>
      <c r="WIS58" s="528"/>
      <c r="WIT58" s="528"/>
      <c r="WIU58" s="528"/>
      <c r="WIV58" s="528"/>
      <c r="WIW58" s="528"/>
      <c r="WIX58" s="528"/>
      <c r="WIY58" s="528"/>
      <c r="WIZ58" s="528"/>
      <c r="WJA58" s="528"/>
      <c r="WJB58" s="528"/>
      <c r="WJC58" s="528"/>
      <c r="WJD58" s="528"/>
      <c r="WJE58" s="528"/>
      <c r="WJF58" s="528"/>
      <c r="WJG58" s="528"/>
      <c r="WJH58" s="528"/>
      <c r="WJI58" s="528"/>
      <c r="WJJ58" s="528"/>
      <c r="WJK58" s="528"/>
      <c r="WJL58" s="528"/>
      <c r="WJM58" s="528"/>
      <c r="WJN58" s="528"/>
      <c r="WJO58" s="528"/>
      <c r="WJP58" s="528"/>
      <c r="WJQ58" s="528"/>
      <c r="WJR58" s="528"/>
      <c r="WJS58" s="528"/>
      <c r="WJT58" s="528"/>
      <c r="WJU58" s="528"/>
      <c r="WJV58" s="528"/>
      <c r="WJW58" s="528"/>
      <c r="WJX58" s="528"/>
      <c r="WJY58" s="528"/>
      <c r="WJZ58" s="528"/>
      <c r="WKA58" s="528"/>
      <c r="WKB58" s="528"/>
      <c r="WKC58" s="528"/>
      <c r="WKD58" s="528"/>
      <c r="WKE58" s="528"/>
      <c r="WKF58" s="528"/>
      <c r="WKG58" s="528"/>
      <c r="WKH58" s="528"/>
      <c r="WKI58" s="528"/>
      <c r="WKJ58" s="528"/>
      <c r="WKK58" s="528"/>
      <c r="WKL58" s="528"/>
      <c r="WKM58" s="528"/>
      <c r="WKN58" s="528"/>
      <c r="WKO58" s="528"/>
      <c r="WKP58" s="528"/>
      <c r="WKQ58" s="528"/>
      <c r="WKR58" s="528"/>
      <c r="WKS58" s="528"/>
      <c r="WKT58" s="528"/>
      <c r="WKU58" s="528"/>
      <c r="WKV58" s="528"/>
      <c r="WKW58" s="528"/>
      <c r="WKX58" s="528"/>
      <c r="WKY58" s="528"/>
      <c r="WKZ58" s="528"/>
      <c r="WLA58" s="528"/>
      <c r="WLB58" s="528"/>
      <c r="WLC58" s="528"/>
      <c r="WLD58" s="528"/>
      <c r="WLE58" s="528"/>
      <c r="WLF58" s="528"/>
      <c r="WLG58" s="528"/>
      <c r="WLH58" s="528"/>
      <c r="WLI58" s="528"/>
      <c r="WLJ58" s="528"/>
      <c r="WLK58" s="528"/>
      <c r="WLL58" s="528"/>
      <c r="WLM58" s="528"/>
      <c r="WLN58" s="528"/>
      <c r="WLO58" s="528"/>
      <c r="WLP58" s="528"/>
      <c r="WLQ58" s="528"/>
      <c r="WLR58" s="528"/>
      <c r="WLS58" s="528"/>
      <c r="WLT58" s="528"/>
      <c r="WLU58" s="528"/>
      <c r="WLV58" s="528"/>
      <c r="WLW58" s="528"/>
      <c r="WLX58" s="528"/>
      <c r="WLY58" s="528"/>
      <c r="WLZ58" s="528"/>
      <c r="WMA58" s="528"/>
      <c r="WMB58" s="528"/>
      <c r="WMC58" s="528"/>
      <c r="WMD58" s="528"/>
      <c r="WME58" s="528"/>
      <c r="WMF58" s="528"/>
      <c r="WMG58" s="528"/>
      <c r="WMH58" s="528"/>
      <c r="WMI58" s="528"/>
      <c r="WMJ58" s="528"/>
      <c r="WMK58" s="528"/>
      <c r="WML58" s="528"/>
      <c r="WMM58" s="528"/>
      <c r="WMN58" s="528"/>
      <c r="WMO58" s="528"/>
      <c r="WMP58" s="528"/>
      <c r="WMQ58" s="528"/>
      <c r="WMR58" s="528"/>
      <c r="WMS58" s="528"/>
      <c r="WMT58" s="528"/>
      <c r="WMU58" s="528"/>
      <c r="WMV58" s="528"/>
      <c r="WMW58" s="528"/>
      <c r="WMX58" s="528"/>
      <c r="WMY58" s="528"/>
      <c r="WMZ58" s="528"/>
      <c r="WNA58" s="528"/>
      <c r="WNB58" s="528"/>
      <c r="WNC58" s="528"/>
      <c r="WND58" s="528"/>
      <c r="WNE58" s="528"/>
      <c r="WNF58" s="528"/>
      <c r="WNG58" s="528"/>
      <c r="WNH58" s="528"/>
      <c r="WNI58" s="528"/>
      <c r="WNJ58" s="528"/>
      <c r="WNK58" s="528"/>
      <c r="WNL58" s="528"/>
      <c r="WNM58" s="528"/>
      <c r="WNN58" s="528"/>
      <c r="WNO58" s="528"/>
      <c r="WNP58" s="528"/>
      <c r="WNQ58" s="528"/>
      <c r="WNR58" s="528"/>
      <c r="WNS58" s="528"/>
      <c r="WNT58" s="528"/>
      <c r="WNU58" s="528"/>
      <c r="WNV58" s="528"/>
      <c r="WNW58" s="528"/>
      <c r="WNX58" s="528"/>
      <c r="WNY58" s="528"/>
      <c r="WNZ58" s="528"/>
      <c r="WOA58" s="528"/>
      <c r="WOB58" s="528"/>
      <c r="WOC58" s="528"/>
      <c r="WOD58" s="528"/>
      <c r="WOE58" s="528"/>
      <c r="WOF58" s="528"/>
      <c r="WOG58" s="528"/>
      <c r="WOH58" s="528"/>
      <c r="WOI58" s="528"/>
      <c r="WOJ58" s="528"/>
      <c r="WOK58" s="528"/>
      <c r="WOL58" s="528"/>
      <c r="WOM58" s="528"/>
      <c r="WON58" s="528"/>
      <c r="WOO58" s="528"/>
      <c r="WOP58" s="528"/>
      <c r="WOQ58" s="528"/>
      <c r="WOR58" s="528"/>
      <c r="WOS58" s="528"/>
      <c r="WOT58" s="528"/>
      <c r="WOU58" s="528"/>
      <c r="WOV58" s="528"/>
      <c r="WOW58" s="528"/>
      <c r="WOX58" s="528"/>
      <c r="WOY58" s="528"/>
      <c r="WOZ58" s="528"/>
      <c r="WPA58" s="528"/>
      <c r="WPB58" s="528"/>
      <c r="WPC58" s="528"/>
      <c r="WPD58" s="528"/>
      <c r="WPE58" s="528"/>
      <c r="WPF58" s="528"/>
      <c r="WPG58" s="528"/>
      <c r="WPH58" s="528"/>
      <c r="WPI58" s="528"/>
      <c r="WPJ58" s="528"/>
      <c r="WPK58" s="528"/>
      <c r="WPL58" s="528"/>
      <c r="WPM58" s="528"/>
      <c r="WPN58" s="528"/>
      <c r="WPO58" s="528"/>
      <c r="WPP58" s="528"/>
      <c r="WPQ58" s="528"/>
      <c r="WPR58" s="528"/>
      <c r="WPS58" s="528"/>
      <c r="WPT58" s="528"/>
      <c r="WPU58" s="528"/>
      <c r="WPV58" s="528"/>
      <c r="WPW58" s="528"/>
      <c r="WPX58" s="528"/>
      <c r="WPY58" s="528"/>
      <c r="WPZ58" s="528"/>
      <c r="WQA58" s="528"/>
      <c r="WQB58" s="528"/>
      <c r="WQC58" s="528"/>
      <c r="WQD58" s="528"/>
      <c r="WQE58" s="528"/>
      <c r="WQF58" s="528"/>
      <c r="WQG58" s="528"/>
      <c r="WQH58" s="528"/>
      <c r="WQI58" s="528"/>
      <c r="WQJ58" s="528"/>
      <c r="WQK58" s="528"/>
      <c r="WQL58" s="528"/>
      <c r="WQM58" s="528"/>
      <c r="WQN58" s="528"/>
      <c r="WQO58" s="528"/>
      <c r="WQP58" s="528"/>
      <c r="WQQ58" s="528"/>
      <c r="WQR58" s="528"/>
      <c r="WQS58" s="528"/>
      <c r="WQT58" s="528"/>
      <c r="WQU58" s="528"/>
      <c r="WQV58" s="528"/>
      <c r="WQW58" s="528"/>
      <c r="WQX58" s="528"/>
      <c r="WQY58" s="528"/>
      <c r="WQZ58" s="528"/>
      <c r="WRA58" s="528"/>
      <c r="WRB58" s="528"/>
      <c r="WRC58" s="528"/>
      <c r="WRD58" s="528"/>
      <c r="WRE58" s="528"/>
      <c r="WRF58" s="528"/>
      <c r="WRG58" s="528"/>
      <c r="WRH58" s="528"/>
      <c r="WRI58" s="528"/>
      <c r="WRJ58" s="528"/>
      <c r="WRK58" s="528"/>
      <c r="WRL58" s="528"/>
      <c r="WRM58" s="528"/>
      <c r="WRN58" s="528"/>
      <c r="WRO58" s="528"/>
      <c r="WRP58" s="528"/>
      <c r="WRQ58" s="528"/>
      <c r="WRR58" s="528"/>
      <c r="WRS58" s="528"/>
      <c r="WRT58" s="528"/>
      <c r="WRU58" s="528"/>
      <c r="WRV58" s="528"/>
      <c r="WRW58" s="528"/>
      <c r="WRX58" s="528"/>
      <c r="WRY58" s="528"/>
      <c r="WRZ58" s="528"/>
      <c r="WSA58" s="528"/>
      <c r="WSB58" s="528"/>
      <c r="WSC58" s="528"/>
      <c r="WSD58" s="528"/>
      <c r="WSE58" s="528"/>
      <c r="WSF58" s="528"/>
      <c r="WSG58" s="528"/>
      <c r="WSH58" s="528"/>
      <c r="WSI58" s="528"/>
      <c r="WSJ58" s="528"/>
      <c r="WSK58" s="528"/>
      <c r="WSL58" s="528"/>
      <c r="WSM58" s="528"/>
      <c r="WSN58" s="528"/>
      <c r="WSO58" s="528"/>
      <c r="WSP58" s="528"/>
      <c r="WSQ58" s="528"/>
      <c r="WSR58" s="528"/>
      <c r="WSS58" s="528"/>
      <c r="WST58" s="528"/>
      <c r="WSU58" s="528"/>
      <c r="WSV58" s="528"/>
      <c r="WSW58" s="528"/>
      <c r="WSX58" s="528"/>
      <c r="WSY58" s="528"/>
      <c r="WSZ58" s="528"/>
      <c r="WTA58" s="528"/>
      <c r="WTB58" s="528"/>
      <c r="WTC58" s="528"/>
      <c r="WTD58" s="528"/>
      <c r="WTE58" s="528"/>
      <c r="WTF58" s="528"/>
      <c r="WTG58" s="528"/>
      <c r="WTH58" s="528"/>
      <c r="WTI58" s="528"/>
      <c r="WTJ58" s="528"/>
      <c r="WTK58" s="528"/>
      <c r="WTL58" s="528"/>
      <c r="WTM58" s="528"/>
      <c r="WTN58" s="528"/>
      <c r="WTO58" s="528"/>
      <c r="WTP58" s="528"/>
      <c r="WTQ58" s="528"/>
      <c r="WTR58" s="528"/>
      <c r="WTS58" s="528"/>
      <c r="WTT58" s="528"/>
      <c r="WTU58" s="528"/>
      <c r="WTV58" s="528"/>
      <c r="WTW58" s="528"/>
      <c r="WTX58" s="528"/>
      <c r="WTY58" s="528"/>
      <c r="WTZ58" s="528"/>
      <c r="WUA58" s="528"/>
      <c r="WUB58" s="528"/>
      <c r="WUC58" s="528"/>
      <c r="WUD58" s="528"/>
      <c r="WUE58" s="528"/>
      <c r="WUF58" s="528"/>
      <c r="WUG58" s="528"/>
      <c r="WUH58" s="528"/>
      <c r="WUI58" s="528"/>
      <c r="WUJ58" s="528"/>
      <c r="WUK58" s="528"/>
      <c r="WUL58" s="528"/>
      <c r="WUM58" s="528"/>
      <c r="WUN58" s="528"/>
      <c r="WUO58" s="528"/>
      <c r="WUP58" s="528"/>
      <c r="WUQ58" s="528"/>
      <c r="WUR58" s="528"/>
      <c r="WUS58" s="528"/>
      <c r="WUT58" s="528"/>
      <c r="WUU58" s="528"/>
      <c r="WUV58" s="528"/>
      <c r="WUW58" s="528"/>
      <c r="WUX58" s="528"/>
      <c r="WUY58" s="528"/>
      <c r="WUZ58" s="528"/>
      <c r="WVA58" s="528"/>
      <c r="WVB58" s="528"/>
      <c r="WVC58" s="528"/>
      <c r="WVD58" s="528"/>
      <c r="WVE58" s="528"/>
      <c r="WVF58" s="528"/>
      <c r="WVG58" s="528"/>
      <c r="WVH58" s="528"/>
      <c r="WVI58" s="528"/>
      <c r="WVJ58" s="528"/>
      <c r="WVK58" s="528"/>
      <c r="WVL58" s="528"/>
      <c r="WVM58" s="528"/>
      <c r="WVN58" s="528"/>
      <c r="WVO58" s="528"/>
      <c r="WVP58" s="528"/>
      <c r="WVQ58" s="528"/>
      <c r="WVR58" s="528"/>
      <c r="WVS58" s="528"/>
      <c r="WVT58" s="528"/>
      <c r="WVU58" s="528"/>
      <c r="WVV58" s="528"/>
      <c r="WVW58" s="528"/>
      <c r="WVX58" s="528"/>
      <c r="WVY58" s="528"/>
      <c r="WVZ58" s="528"/>
      <c r="WWA58" s="528"/>
      <c r="WWB58" s="528"/>
      <c r="WWC58" s="528"/>
      <c r="WWD58" s="528"/>
      <c r="WWE58" s="528"/>
      <c r="WWF58" s="528"/>
      <c r="WWG58" s="528"/>
      <c r="WWH58" s="528"/>
      <c r="WWI58" s="528"/>
      <c r="WWJ58" s="528"/>
      <c r="WWK58" s="528"/>
      <c r="WWL58" s="528"/>
      <c r="WWM58" s="528"/>
      <c r="WWN58" s="528"/>
      <c r="WWO58" s="528"/>
      <c r="WWP58" s="528"/>
      <c r="WWQ58" s="528"/>
      <c r="WWR58" s="528"/>
      <c r="WWS58" s="528"/>
      <c r="WWT58" s="528"/>
      <c r="WWU58" s="528"/>
      <c r="WWV58" s="528"/>
      <c r="WWW58" s="528"/>
      <c r="WWX58" s="528"/>
      <c r="WWY58" s="528"/>
      <c r="WWZ58" s="528"/>
      <c r="WXA58" s="528"/>
      <c r="WXB58" s="528"/>
      <c r="WXC58" s="528"/>
      <c r="WXD58" s="528"/>
      <c r="WXE58" s="528"/>
      <c r="WXF58" s="528"/>
      <c r="WXG58" s="528"/>
      <c r="WXH58" s="528"/>
      <c r="WXI58" s="528"/>
      <c r="WXJ58" s="528"/>
      <c r="WXK58" s="528"/>
      <c r="WXL58" s="528"/>
      <c r="WXM58" s="528"/>
      <c r="WXN58" s="528"/>
      <c r="WXO58" s="528"/>
      <c r="WXP58" s="528"/>
      <c r="WXQ58" s="528"/>
      <c r="WXR58" s="528"/>
      <c r="WXS58" s="528"/>
      <c r="WXT58" s="528"/>
      <c r="WXU58" s="528"/>
      <c r="WXV58" s="528"/>
      <c r="WXW58" s="528"/>
      <c r="WXX58" s="528"/>
      <c r="WXY58" s="528"/>
      <c r="WXZ58" s="528"/>
      <c r="WYA58" s="528"/>
      <c r="WYB58" s="528"/>
      <c r="WYC58" s="528"/>
      <c r="WYD58" s="528"/>
      <c r="WYE58" s="528"/>
      <c r="WYF58" s="528"/>
      <c r="WYG58" s="528"/>
      <c r="WYH58" s="528"/>
      <c r="WYI58" s="528"/>
      <c r="WYJ58" s="528"/>
      <c r="WYK58" s="528"/>
      <c r="WYL58" s="528"/>
      <c r="WYM58" s="528"/>
      <c r="WYN58" s="528"/>
      <c r="WYO58" s="528"/>
      <c r="WYP58" s="528"/>
      <c r="WYQ58" s="528"/>
      <c r="WYR58" s="528"/>
      <c r="WYS58" s="528"/>
      <c r="WYT58" s="528"/>
      <c r="WYU58" s="528"/>
      <c r="WYV58" s="528"/>
      <c r="WYW58" s="528"/>
      <c r="WYX58" s="528"/>
      <c r="WYY58" s="528"/>
      <c r="WYZ58" s="528"/>
      <c r="WZA58" s="528"/>
      <c r="WZB58" s="528"/>
      <c r="WZC58" s="528"/>
      <c r="WZD58" s="528"/>
      <c r="WZE58" s="528"/>
      <c r="WZF58" s="528"/>
      <c r="WZG58" s="528"/>
      <c r="WZH58" s="528"/>
      <c r="WZI58" s="528"/>
      <c r="WZJ58" s="528"/>
      <c r="WZK58" s="528"/>
      <c r="WZL58" s="528"/>
      <c r="WZM58" s="528"/>
      <c r="WZN58" s="528"/>
      <c r="WZO58" s="528"/>
      <c r="WZP58" s="528"/>
      <c r="WZQ58" s="528"/>
      <c r="WZR58" s="528"/>
      <c r="WZS58" s="528"/>
      <c r="WZT58" s="528"/>
      <c r="WZU58" s="528"/>
      <c r="WZV58" s="528"/>
      <c r="WZW58" s="528"/>
      <c r="WZX58" s="528"/>
      <c r="WZY58" s="528"/>
      <c r="WZZ58" s="528"/>
      <c r="XAA58" s="528"/>
      <c r="XAB58" s="528"/>
      <c r="XAC58" s="528"/>
      <c r="XAD58" s="528"/>
      <c r="XAE58" s="528"/>
      <c r="XAF58" s="528"/>
      <c r="XAG58" s="528"/>
      <c r="XAH58" s="528"/>
      <c r="XAI58" s="528"/>
      <c r="XAJ58" s="528"/>
      <c r="XAK58" s="528"/>
      <c r="XAL58" s="528"/>
      <c r="XAM58" s="528"/>
      <c r="XAN58" s="528"/>
      <c r="XAO58" s="528"/>
      <c r="XAP58" s="528"/>
      <c r="XAQ58" s="528"/>
      <c r="XAR58" s="528"/>
      <c r="XAS58" s="528"/>
      <c r="XAT58" s="528"/>
      <c r="XAU58" s="528"/>
      <c r="XAV58" s="528"/>
      <c r="XAW58" s="528"/>
      <c r="XAX58" s="528"/>
      <c r="XAY58" s="528"/>
      <c r="XAZ58" s="528"/>
      <c r="XBA58" s="528"/>
      <c r="XBB58" s="528"/>
      <c r="XBC58" s="528"/>
      <c r="XBD58" s="528"/>
      <c r="XBE58" s="528"/>
      <c r="XBF58" s="528"/>
      <c r="XBG58" s="528"/>
      <c r="XBH58" s="528"/>
      <c r="XBI58" s="528"/>
      <c r="XBJ58" s="528"/>
      <c r="XBK58" s="528"/>
      <c r="XBL58" s="528"/>
      <c r="XBM58" s="528"/>
      <c r="XBN58" s="528"/>
      <c r="XBO58" s="528"/>
      <c r="XBP58" s="528"/>
      <c r="XBQ58" s="528"/>
      <c r="XBR58" s="528"/>
      <c r="XBS58" s="528"/>
      <c r="XBT58" s="528"/>
      <c r="XBU58" s="528"/>
      <c r="XBV58" s="528"/>
      <c r="XBW58" s="528"/>
      <c r="XBX58" s="528"/>
      <c r="XBY58" s="528"/>
      <c r="XBZ58" s="528"/>
      <c r="XCA58" s="528"/>
      <c r="XCB58" s="528"/>
      <c r="XCC58" s="528"/>
      <c r="XCD58" s="528"/>
      <c r="XCE58" s="528"/>
      <c r="XCF58" s="528"/>
      <c r="XCG58" s="528"/>
      <c r="XCH58" s="528"/>
      <c r="XCI58" s="528"/>
      <c r="XCJ58" s="528"/>
      <c r="XCK58" s="528"/>
      <c r="XCL58" s="528"/>
      <c r="XCM58" s="528"/>
      <c r="XCN58" s="528"/>
      <c r="XCO58" s="528"/>
      <c r="XCP58" s="528"/>
      <c r="XCQ58" s="528"/>
      <c r="XCR58" s="528"/>
      <c r="XCS58" s="528"/>
      <c r="XCT58" s="528"/>
      <c r="XCU58" s="528"/>
      <c r="XCV58" s="528"/>
      <c r="XCW58" s="528"/>
      <c r="XCX58" s="528"/>
      <c r="XCY58" s="528"/>
      <c r="XCZ58" s="528"/>
      <c r="XDA58" s="528"/>
      <c r="XDB58" s="528"/>
      <c r="XDC58" s="528"/>
      <c r="XDD58" s="528"/>
      <c r="XDE58" s="528"/>
      <c r="XDF58" s="528"/>
      <c r="XDG58" s="528"/>
      <c r="XDH58" s="528"/>
      <c r="XDI58" s="528"/>
      <c r="XDJ58" s="528"/>
      <c r="XDK58" s="528"/>
      <c r="XDL58" s="528"/>
      <c r="XDM58" s="528"/>
      <c r="XDN58" s="528"/>
      <c r="XDO58" s="528"/>
      <c r="XDP58" s="528"/>
      <c r="XDQ58" s="528"/>
      <c r="XDR58" s="528"/>
      <c r="XDS58" s="528"/>
      <c r="XDT58" s="528"/>
      <c r="XDU58" s="528"/>
      <c r="XDV58" s="528"/>
      <c r="XDW58" s="528"/>
      <c r="XDX58" s="528"/>
      <c r="XDY58" s="528"/>
      <c r="XDZ58" s="528"/>
      <c r="XEA58" s="528"/>
      <c r="XEB58" s="528"/>
      <c r="XEC58" s="528"/>
      <c r="XED58" s="528"/>
      <c r="XEE58" s="528"/>
      <c r="XEF58" s="528"/>
      <c r="XEG58" s="528"/>
      <c r="XEH58" s="528"/>
      <c r="XEI58" s="528"/>
      <c r="XEJ58" s="528"/>
      <c r="XEK58" s="528"/>
      <c r="XEL58" s="528"/>
      <c r="XEM58" s="528"/>
      <c r="XEN58" s="528"/>
      <c r="XEO58" s="528"/>
      <c r="XEP58" s="528"/>
      <c r="XEQ58" s="528"/>
      <c r="XER58" s="528"/>
      <c r="XES58" s="528"/>
      <c r="XET58" s="528"/>
      <c r="XEU58" s="528"/>
      <c r="XEV58" s="528"/>
      <c r="XEW58" s="528"/>
      <c r="XEX58" s="528"/>
      <c r="XEY58" s="528"/>
      <c r="XEZ58" s="528"/>
      <c r="XFA58" s="528"/>
      <c r="XFB58" s="528"/>
      <c r="XFC58" s="529"/>
    </row>
    <row r="59" spans="1:16383" ht="14.1" hidden="1" thickTop="1"/>
    <row r="60" spans="1:16383" ht="13.5" hidden="1"/>
    <row r="61" spans="1:16383" ht="13.5" hidden="1">
      <c r="A61" s="509"/>
      <c r="D61" s="516"/>
      <c r="E61" s="509"/>
      <c r="F61" s="509"/>
      <c r="G61" s="509"/>
      <c r="H61" s="509"/>
      <c r="I61" s="509"/>
      <c r="J61" s="509"/>
      <c r="K61" s="509"/>
      <c r="L61" s="509"/>
    </row>
    <row r="62" spans="1:16383" ht="13.5" hidden="1">
      <c r="A62" s="509"/>
      <c r="D62" s="516"/>
      <c r="F62" s="509"/>
      <c r="G62" s="509"/>
      <c r="H62" s="509"/>
      <c r="I62" s="509"/>
      <c r="J62" s="509"/>
      <c r="K62" s="509"/>
      <c r="L62" s="509"/>
    </row>
    <row r="63" spans="1:16383" ht="13.5" hidden="1">
      <c r="A63" s="509"/>
      <c r="B63" s="509"/>
      <c r="C63" s="516"/>
      <c r="D63" s="516"/>
      <c r="F63" s="509"/>
      <c r="G63" s="509"/>
      <c r="H63" s="509"/>
      <c r="I63" s="509"/>
      <c r="J63" s="509"/>
      <c r="K63" s="509"/>
      <c r="L63" s="509"/>
    </row>
    <row r="64" spans="1:16383" ht="13.5" hidden="1">
      <c r="C64" s="516"/>
      <c r="D64" s="516"/>
    </row>
    <row r="65" spans="3:4" ht="13.5" hidden="1">
      <c r="C65" s="516"/>
      <c r="D65" s="516"/>
    </row>
    <row r="66" spans="3:4" ht="13.5" hidden="1">
      <c r="C66" s="516"/>
      <c r="D66" s="516"/>
    </row>
    <row r="67" spans="3:4" ht="13.5" hidden="1">
      <c r="C67" s="516"/>
      <c r="D67" s="516"/>
    </row>
    <row r="68" spans="3:4" ht="13.5" hidden="1">
      <c r="C68" s="516"/>
      <c r="D68" s="516"/>
    </row>
    <row r="69" spans="3:4" ht="13.5" hidden="1">
      <c r="D69" s="530"/>
    </row>
    <row r="70" spans="3:4" ht="13.5" hidden="1">
      <c r="D70" s="530"/>
    </row>
    <row r="71" spans="3:4" ht="13.5" hidden="1"/>
    <row r="72" spans="3:4" ht="13.5" hidden="1"/>
    <row r="73" spans="3:4" ht="13.5" hidden="1"/>
    <row r="74" spans="3:4" ht="13.5" hidden="1"/>
    <row r="75" spans="3:4" ht="13.5" hidden="1"/>
    <row r="76" spans="3:4" ht="13.5" hidden="1"/>
    <row r="77" spans="3:4" ht="13.5" hidden="1"/>
    <row r="78" spans="3:4" ht="13.5" hidden="1"/>
    <row r="79" spans="3:4" ht="13.5" hidden="1"/>
    <row r="80" spans="3:4" ht="13.5" hidden="1"/>
  </sheetData>
  <sheetProtection algorithmName="SHA-512" hashValue="87ZnNNKdJXyOfTjJbI/kZfMHHP4iCJvVaBYa2STHKYru2my+XQx82Khas5XrcfnGfyfd8fq6IPDhQJcUON3pbw==" saltValue="gnqLfUT2anzRDDqxUo7c8w=="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xr:uid="{00000000-0002-0000-0000-000000000000}">
      <formula1>$E$47:$E$49</formula1>
    </dataValidation>
  </dataValidations>
  <hyperlinks>
    <hyperlink ref="L1" r:id="rId1" display="Joinup" xr:uid="{00000000-0004-0000-0000-000000000000}"/>
    <hyperlink ref="K44:L44" r:id="rId2" display="Send feedback" xr:uid="{00000000-0004-0000-0000-000001000000}"/>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W61"/>
  <sheetViews>
    <sheetView topLeftCell="B1" workbookViewId="0">
      <selection activeCell="H13" sqref="H13:Q13"/>
    </sheetView>
  </sheetViews>
  <sheetFormatPr defaultColWidth="0" defaultRowHeight="15" zeroHeight="1"/>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c r="A1" s="68"/>
      <c r="B1" s="450"/>
      <c r="C1" s="69"/>
      <c r="D1" s="69"/>
      <c r="E1" s="92"/>
      <c r="F1" s="603" t="s">
        <v>23</v>
      </c>
      <c r="G1" s="604" t="s">
        <v>24</v>
      </c>
      <c r="H1" s="604" t="s">
        <v>24</v>
      </c>
      <c r="I1" s="604" t="s">
        <v>24</v>
      </c>
      <c r="J1" s="604" t="s">
        <v>24</v>
      </c>
      <c r="K1" s="604" t="s">
        <v>24</v>
      </c>
      <c r="L1" s="604" t="s">
        <v>24</v>
      </c>
      <c r="M1" s="604" t="s">
        <v>24</v>
      </c>
      <c r="N1" s="604" t="s">
        <v>24</v>
      </c>
      <c r="O1" s="604" t="s">
        <v>24</v>
      </c>
      <c r="P1" s="604" t="s">
        <v>24</v>
      </c>
      <c r="Q1" s="604" t="s">
        <v>24</v>
      </c>
      <c r="R1" s="604" t="s">
        <v>24</v>
      </c>
      <c r="S1" s="604"/>
      <c r="T1" s="604"/>
      <c r="U1" s="604"/>
      <c r="V1" s="604"/>
      <c r="W1" s="604"/>
    </row>
    <row r="2" spans="1:23" ht="30.6" customHeight="1">
      <c r="A2" s="69"/>
      <c r="B2" s="69"/>
      <c r="C2" s="548"/>
      <c r="D2" s="605" t="s">
        <v>25</v>
      </c>
      <c r="E2" s="606"/>
      <c r="F2" s="606"/>
      <c r="G2" s="606"/>
      <c r="H2" s="606"/>
      <c r="I2" s="606"/>
      <c r="J2" s="606"/>
      <c r="K2" s="606"/>
      <c r="L2" s="606"/>
      <c r="M2" s="606"/>
      <c r="N2" s="606"/>
      <c r="O2" s="606"/>
      <c r="P2" s="606"/>
      <c r="Q2" s="607"/>
      <c r="R2" s="69"/>
    </row>
    <row r="3" spans="1:23" ht="30" customHeight="1">
      <c r="A3" s="553"/>
      <c r="B3" s="554"/>
      <c r="C3" s="548"/>
      <c r="D3" s="608" t="s">
        <v>26</v>
      </c>
      <c r="E3" s="609"/>
      <c r="F3" s="609"/>
      <c r="G3" s="609"/>
      <c r="H3" s="609"/>
      <c r="I3" s="609"/>
      <c r="J3" s="609"/>
      <c r="K3" s="609"/>
      <c r="L3" s="609"/>
      <c r="M3" s="609"/>
      <c r="N3" s="609"/>
      <c r="O3" s="609"/>
      <c r="P3" s="609"/>
      <c r="Q3" s="610"/>
      <c r="R3" s="554"/>
    </row>
    <row r="4" spans="1:23" ht="15" customHeight="1">
      <c r="A4" s="68"/>
      <c r="B4" s="69"/>
      <c r="C4" s="69"/>
      <c r="D4" s="69"/>
      <c r="E4" s="555"/>
      <c r="F4" s="68"/>
      <c r="G4" s="134"/>
      <c r="H4" s="68"/>
      <c r="I4" s="68"/>
      <c r="J4" s="68"/>
      <c r="K4" s="68"/>
      <c r="L4" s="68"/>
      <c r="M4" s="68"/>
      <c r="N4" s="68"/>
      <c r="O4" s="69"/>
      <c r="P4" s="69"/>
      <c r="Q4" s="69"/>
      <c r="R4" s="69"/>
    </row>
    <row r="5" spans="1:23">
      <c r="A5" s="69"/>
      <c r="B5" s="73"/>
      <c r="C5" s="73"/>
      <c r="D5" s="469" t="s">
        <v>27</v>
      </c>
      <c r="E5" s="71"/>
      <c r="F5" s="72"/>
      <c r="G5" s="156"/>
      <c r="H5" s="72"/>
      <c r="I5" s="72"/>
      <c r="J5" s="72"/>
      <c r="K5" s="72"/>
      <c r="L5" s="72"/>
      <c r="M5" s="72"/>
      <c r="N5" s="73"/>
      <c r="O5" s="73"/>
      <c r="P5" s="73"/>
      <c r="Q5" s="73"/>
      <c r="R5" s="73"/>
    </row>
    <row r="6" spans="1:23">
      <c r="A6" s="74"/>
      <c r="B6" s="70"/>
      <c r="C6" s="70"/>
      <c r="D6" s="70"/>
      <c r="E6" s="70"/>
      <c r="F6" s="74"/>
      <c r="G6" s="75"/>
      <c r="H6" s="74"/>
      <c r="I6" s="74"/>
      <c r="J6" s="74"/>
      <c r="K6" s="74"/>
      <c r="L6" s="74"/>
      <c r="M6" s="74"/>
      <c r="N6" s="74"/>
      <c r="O6" s="70"/>
      <c r="P6" s="70"/>
      <c r="Q6" s="70"/>
      <c r="R6" s="69"/>
    </row>
    <row r="7" spans="1:23">
      <c r="A7" s="74"/>
      <c r="B7" s="74"/>
      <c r="C7" s="83" t="s">
        <v>28</v>
      </c>
      <c r="D7" s="611" t="s">
        <v>29</v>
      </c>
      <c r="E7" s="612"/>
      <c r="F7" s="613"/>
      <c r="G7" s="75"/>
      <c r="H7" s="614"/>
      <c r="I7" s="615"/>
      <c r="J7" s="615"/>
      <c r="K7" s="615"/>
      <c r="L7" s="615"/>
      <c r="M7" s="615"/>
      <c r="N7" s="615"/>
      <c r="O7" s="615"/>
      <c r="P7" s="615"/>
      <c r="Q7" s="616"/>
      <c r="R7" s="69"/>
    </row>
    <row r="8" spans="1:23">
      <c r="A8" s="74"/>
      <c r="B8" s="74"/>
      <c r="C8" s="83"/>
      <c r="D8" s="76"/>
      <c r="E8" s="77"/>
      <c r="F8" s="75"/>
      <c r="G8" s="75"/>
      <c r="H8" s="435"/>
      <c r="I8" s="435"/>
      <c r="J8" s="435"/>
      <c r="K8" s="435"/>
      <c r="L8" s="435"/>
      <c r="M8" s="435"/>
      <c r="N8" s="435"/>
      <c r="O8" s="436"/>
      <c r="P8" s="436"/>
      <c r="Q8" s="436"/>
      <c r="R8" s="69"/>
    </row>
    <row r="9" spans="1:23">
      <c r="A9" s="74"/>
      <c r="B9" s="74"/>
      <c r="C9" s="83" t="s">
        <v>30</v>
      </c>
      <c r="D9" s="611" t="s">
        <v>31</v>
      </c>
      <c r="E9" s="612"/>
      <c r="F9" s="613"/>
      <c r="G9" s="75"/>
      <c r="H9" s="614"/>
      <c r="I9" s="615"/>
      <c r="J9" s="615"/>
      <c r="K9" s="615"/>
      <c r="L9" s="615"/>
      <c r="M9" s="615"/>
      <c r="N9" s="615"/>
      <c r="O9" s="615"/>
      <c r="P9" s="615"/>
      <c r="Q9" s="616"/>
      <c r="R9" s="69"/>
    </row>
    <row r="10" spans="1:23">
      <c r="A10" s="74"/>
      <c r="B10" s="74"/>
      <c r="C10" s="83"/>
      <c r="D10" s="76"/>
      <c r="E10" s="77"/>
      <c r="F10" s="75"/>
      <c r="G10" s="75"/>
      <c r="H10" s="435"/>
      <c r="I10" s="435"/>
      <c r="J10" s="435"/>
      <c r="K10" s="435"/>
      <c r="L10" s="435"/>
      <c r="M10" s="435"/>
      <c r="N10" s="435"/>
      <c r="O10" s="435"/>
      <c r="P10" s="435"/>
      <c r="Q10" s="435"/>
      <c r="R10" s="69"/>
    </row>
    <row r="11" spans="1:23">
      <c r="A11" s="74"/>
      <c r="B11" s="74"/>
      <c r="C11" s="83" t="s">
        <v>32</v>
      </c>
      <c r="D11" s="611" t="s">
        <v>33</v>
      </c>
      <c r="E11" s="612"/>
      <c r="F11" s="613"/>
      <c r="G11" s="75"/>
      <c r="H11" s="614"/>
      <c r="I11" s="615"/>
      <c r="J11" s="615"/>
      <c r="K11" s="615"/>
      <c r="L11" s="615"/>
      <c r="M11" s="615"/>
      <c r="N11" s="615"/>
      <c r="O11" s="615"/>
      <c r="P11" s="615"/>
      <c r="Q11" s="616"/>
      <c r="R11" s="69"/>
    </row>
    <row r="12" spans="1:23">
      <c r="A12" s="74"/>
      <c r="B12" s="74"/>
      <c r="C12" s="83"/>
      <c r="D12" s="76"/>
      <c r="E12" s="77"/>
      <c r="F12" s="75"/>
      <c r="G12" s="75"/>
      <c r="H12" s="435"/>
      <c r="I12" s="435"/>
      <c r="J12" s="435"/>
      <c r="K12" s="435"/>
      <c r="L12" s="435"/>
      <c r="M12" s="435"/>
      <c r="N12" s="435"/>
      <c r="O12" s="435"/>
      <c r="P12" s="435"/>
      <c r="Q12" s="435"/>
      <c r="R12" s="69"/>
    </row>
    <row r="13" spans="1:23">
      <c r="A13" s="74"/>
      <c r="B13" s="74"/>
      <c r="C13" s="83" t="s">
        <v>34</v>
      </c>
      <c r="D13" s="611" t="s">
        <v>35</v>
      </c>
      <c r="E13" s="612"/>
      <c r="F13" s="613"/>
      <c r="G13" s="75"/>
      <c r="H13" s="614"/>
      <c r="I13" s="615"/>
      <c r="J13" s="615"/>
      <c r="K13" s="615"/>
      <c r="L13" s="615"/>
      <c r="M13" s="615"/>
      <c r="N13" s="615"/>
      <c r="O13" s="615"/>
      <c r="P13" s="615"/>
      <c r="Q13" s="616"/>
      <c r="R13" s="69"/>
    </row>
    <row r="14" spans="1:23">
      <c r="A14" s="74"/>
      <c r="B14" s="74"/>
      <c r="C14" s="83"/>
      <c r="D14" s="76"/>
      <c r="E14" s="77"/>
      <c r="F14" s="75"/>
      <c r="G14" s="75"/>
      <c r="H14" s="435"/>
      <c r="I14" s="435"/>
      <c r="J14" s="435"/>
      <c r="K14" s="435"/>
      <c r="L14" s="435"/>
      <c r="M14" s="435"/>
      <c r="N14" s="435"/>
      <c r="O14" s="435"/>
      <c r="P14" s="435"/>
      <c r="Q14" s="435"/>
      <c r="R14" s="69"/>
    </row>
    <row r="15" spans="1:23">
      <c r="A15" s="74"/>
      <c r="B15" s="74"/>
      <c r="C15" s="83" t="s">
        <v>36</v>
      </c>
      <c r="D15" s="611" t="s">
        <v>37</v>
      </c>
      <c r="E15" s="612"/>
      <c r="F15" s="613"/>
      <c r="G15" s="75"/>
      <c r="H15" s="614"/>
      <c r="I15" s="615"/>
      <c r="J15" s="615"/>
      <c r="K15" s="615"/>
      <c r="L15" s="615"/>
      <c r="M15" s="615"/>
      <c r="N15" s="615"/>
      <c r="O15" s="615"/>
      <c r="P15" s="615"/>
      <c r="Q15" s="616"/>
      <c r="R15" s="69"/>
    </row>
    <row r="16" spans="1:23">
      <c r="A16" s="74"/>
      <c r="B16" s="74"/>
      <c r="C16" s="83"/>
      <c r="D16" s="76"/>
      <c r="E16" s="77"/>
      <c r="F16" s="75"/>
      <c r="G16" s="75"/>
      <c r="H16" s="435"/>
      <c r="I16" s="435"/>
      <c r="J16" s="435"/>
      <c r="K16" s="435"/>
      <c r="L16" s="435"/>
      <c r="M16" s="435"/>
      <c r="N16" s="435"/>
      <c r="O16" s="435"/>
      <c r="P16" s="435"/>
      <c r="Q16" s="435"/>
      <c r="R16" s="69"/>
    </row>
    <row r="17" spans="1:20">
      <c r="A17" s="74"/>
      <c r="B17" s="74"/>
      <c r="C17" s="83" t="s">
        <v>38</v>
      </c>
      <c r="D17" s="611" t="s">
        <v>39</v>
      </c>
      <c r="E17" s="612"/>
      <c r="F17" s="613"/>
      <c r="G17" s="75"/>
      <c r="H17" s="614"/>
      <c r="I17" s="615"/>
      <c r="J17" s="615"/>
      <c r="K17" s="615"/>
      <c r="L17" s="615"/>
      <c r="M17" s="615"/>
      <c r="N17" s="615"/>
      <c r="O17" s="615"/>
      <c r="P17" s="615"/>
      <c r="Q17" s="616"/>
      <c r="R17" s="69"/>
    </row>
    <row r="18" spans="1:20">
      <c r="A18" s="74"/>
      <c r="B18" s="74"/>
      <c r="C18" s="74"/>
      <c r="D18" s="75"/>
      <c r="E18" s="79"/>
      <c r="F18" s="75"/>
      <c r="G18" s="75"/>
      <c r="H18" s="435"/>
      <c r="I18" s="435"/>
      <c r="J18" s="435"/>
      <c r="K18" s="435"/>
      <c r="L18" s="435"/>
      <c r="M18" s="435"/>
      <c r="N18" s="435"/>
      <c r="O18" s="435"/>
      <c r="P18" s="435"/>
      <c r="Q18" s="435"/>
      <c r="R18" s="68"/>
    </row>
    <row r="19" spans="1:20">
      <c r="A19" s="74"/>
      <c r="B19" s="78"/>
      <c r="C19" s="83" t="s">
        <v>40</v>
      </c>
      <c r="D19" s="611" t="s">
        <v>41</v>
      </c>
      <c r="E19" s="612"/>
      <c r="F19" s="613"/>
      <c r="G19" s="157" t="s">
        <v>42</v>
      </c>
      <c r="H19" s="617"/>
      <c r="I19" s="618"/>
      <c r="J19" s="618"/>
      <c r="K19" s="618"/>
      <c r="L19" s="618"/>
      <c r="M19" s="618"/>
      <c r="N19" s="618"/>
      <c r="O19" s="618"/>
      <c r="P19" s="618"/>
      <c r="Q19" s="619"/>
      <c r="R19" s="69"/>
    </row>
    <row r="20" spans="1:20">
      <c r="A20" s="74"/>
      <c r="B20" s="74"/>
      <c r="C20" s="74"/>
      <c r="D20" s="75"/>
      <c r="E20" s="79"/>
      <c r="F20" s="75"/>
      <c r="G20" s="75"/>
      <c r="H20" s="435"/>
      <c r="I20" s="435"/>
      <c r="J20" s="435"/>
      <c r="K20" s="435"/>
      <c r="L20" s="435"/>
      <c r="M20" s="435"/>
      <c r="N20" s="435"/>
      <c r="O20" s="435"/>
      <c r="P20" s="435"/>
      <c r="Q20" s="435"/>
      <c r="R20" s="68"/>
    </row>
    <row r="21" spans="1:20">
      <c r="A21" s="82"/>
      <c r="B21" s="82"/>
      <c r="C21" s="82"/>
      <c r="D21" s="468" t="s">
        <v>43</v>
      </c>
      <c r="E21" s="81"/>
      <c r="F21" s="80"/>
      <c r="G21" s="82"/>
      <c r="H21" s="437"/>
      <c r="I21" s="437"/>
      <c r="J21" s="437"/>
      <c r="K21" s="437"/>
      <c r="L21" s="437"/>
      <c r="M21" s="437"/>
      <c r="N21" s="437"/>
      <c r="O21" s="437"/>
      <c r="P21" s="437"/>
      <c r="Q21" s="437"/>
      <c r="R21" s="82"/>
    </row>
    <row r="22" spans="1:20">
      <c r="A22" s="74"/>
      <c r="B22" s="74"/>
      <c r="C22" s="74"/>
      <c r="D22" s="74"/>
      <c r="E22" s="93"/>
      <c r="F22" s="74"/>
      <c r="G22" s="75"/>
      <c r="H22" s="435"/>
      <c r="I22" s="435"/>
      <c r="J22" s="435"/>
      <c r="K22" s="435"/>
      <c r="L22" s="435"/>
      <c r="M22" s="435"/>
      <c r="N22" s="435"/>
      <c r="O22" s="435"/>
      <c r="P22" s="435"/>
      <c r="Q22" s="435"/>
      <c r="R22" s="68"/>
    </row>
    <row r="23" spans="1:20">
      <c r="A23" s="74"/>
      <c r="B23" s="78"/>
      <c r="C23" s="83" t="s">
        <v>44</v>
      </c>
      <c r="D23" s="611" t="s">
        <v>45</v>
      </c>
      <c r="E23" s="612"/>
      <c r="F23" s="613"/>
      <c r="G23" s="157" t="s">
        <v>42</v>
      </c>
      <c r="H23" s="620"/>
      <c r="I23" s="615"/>
      <c r="J23" s="615"/>
      <c r="K23" s="615"/>
      <c r="L23" s="615"/>
      <c r="M23" s="615"/>
      <c r="N23" s="615"/>
      <c r="O23" s="615"/>
      <c r="P23" s="615"/>
      <c r="Q23" s="616"/>
      <c r="R23" s="83"/>
    </row>
    <row r="24" spans="1:20">
      <c r="A24" s="74"/>
      <c r="B24" s="78"/>
      <c r="C24" s="78"/>
      <c r="D24" s="79"/>
      <c r="E24" s="79"/>
      <c r="F24" s="79"/>
      <c r="G24" s="552"/>
      <c r="H24" s="435"/>
      <c r="I24" s="435"/>
      <c r="J24" s="435"/>
      <c r="K24" s="435"/>
      <c r="L24" s="435"/>
      <c r="M24" s="435"/>
      <c r="N24" s="435"/>
      <c r="O24" s="435"/>
      <c r="P24" s="435"/>
      <c r="Q24" s="435"/>
      <c r="R24" s="83"/>
    </row>
    <row r="25" spans="1:20" ht="33.75">
      <c r="A25" s="74"/>
      <c r="B25" s="74"/>
      <c r="C25" s="78" t="s">
        <v>46</v>
      </c>
      <c r="D25" s="621" t="s">
        <v>47</v>
      </c>
      <c r="E25" s="622"/>
      <c r="F25" s="623"/>
      <c r="G25" s="75"/>
      <c r="H25" s="614"/>
      <c r="I25" s="615"/>
      <c r="J25" s="615"/>
      <c r="K25" s="615"/>
      <c r="L25" s="615"/>
      <c r="M25" s="615"/>
      <c r="N25" s="615"/>
      <c r="O25" s="615"/>
      <c r="P25" s="615"/>
      <c r="Q25" s="616"/>
      <c r="R25" s="68"/>
      <c r="T25" s="422" t="s">
        <v>48</v>
      </c>
    </row>
    <row r="26" spans="1:20">
      <c r="A26" s="74"/>
      <c r="B26" s="78"/>
      <c r="C26" s="83"/>
      <c r="D26" s="79"/>
      <c r="E26" s="79"/>
      <c r="F26" s="79"/>
      <c r="G26" s="552"/>
      <c r="H26" s="438"/>
      <c r="I26" s="435"/>
      <c r="J26" s="435"/>
      <c r="K26" s="435"/>
      <c r="L26" s="435"/>
      <c r="M26" s="435"/>
      <c r="N26" s="435"/>
      <c r="O26" s="435"/>
      <c r="P26" s="435"/>
      <c r="Q26" s="435"/>
      <c r="R26" s="83"/>
    </row>
    <row r="27" spans="1:20" ht="66.75">
      <c r="A27" s="74"/>
      <c r="B27" s="78"/>
      <c r="C27" s="78" t="s">
        <v>49</v>
      </c>
      <c r="D27" s="621" t="s">
        <v>50</v>
      </c>
      <c r="E27" s="622"/>
      <c r="F27" s="623"/>
      <c r="G27" s="158" t="s">
        <v>42</v>
      </c>
      <c r="H27" s="614"/>
      <c r="I27" s="615"/>
      <c r="J27" s="615"/>
      <c r="K27" s="615"/>
      <c r="L27" s="615"/>
      <c r="M27" s="615"/>
      <c r="N27" s="615"/>
      <c r="O27" s="615"/>
      <c r="P27" s="615"/>
      <c r="Q27" s="616"/>
      <c r="R27" s="83"/>
      <c r="T27" s="429" t="s">
        <v>48</v>
      </c>
    </row>
    <row r="28" spans="1:20">
      <c r="A28" s="74"/>
      <c r="B28" s="74"/>
      <c r="C28" s="78"/>
      <c r="D28" s="79"/>
      <c r="E28" s="79"/>
      <c r="F28" s="79"/>
      <c r="G28" s="75"/>
      <c r="H28" s="435"/>
      <c r="I28" s="435"/>
      <c r="J28" s="435"/>
      <c r="K28" s="435"/>
      <c r="L28" s="435"/>
      <c r="M28" s="435"/>
      <c r="N28" s="435"/>
      <c r="O28" s="435"/>
      <c r="P28" s="435"/>
      <c r="Q28" s="435"/>
      <c r="R28" s="68"/>
    </row>
    <row r="29" spans="1:20" ht="51">
      <c r="A29" s="74"/>
      <c r="B29" s="74"/>
      <c r="C29" s="83" t="s">
        <v>51</v>
      </c>
      <c r="D29" s="621" t="s">
        <v>52</v>
      </c>
      <c r="E29" s="622"/>
      <c r="F29" s="623"/>
      <c r="G29" s="75"/>
      <c r="H29" s="614"/>
      <c r="I29" s="615"/>
      <c r="J29" s="615"/>
      <c r="K29" s="615"/>
      <c r="L29" s="615"/>
      <c r="M29" s="615"/>
      <c r="N29" s="615"/>
      <c r="O29" s="615"/>
      <c r="P29" s="615"/>
      <c r="Q29" s="616"/>
      <c r="R29" s="68"/>
      <c r="T29" s="424" t="s">
        <v>48</v>
      </c>
    </row>
    <row r="30" spans="1:20">
      <c r="A30" s="74"/>
      <c r="B30" s="74"/>
      <c r="C30" s="78"/>
      <c r="D30" s="79"/>
      <c r="E30" s="79"/>
      <c r="F30" s="79"/>
      <c r="G30" s="75"/>
      <c r="H30" s="435"/>
      <c r="I30" s="435"/>
      <c r="J30" s="435"/>
      <c r="K30" s="435"/>
      <c r="L30" s="435"/>
      <c r="M30" s="435"/>
      <c r="N30" s="435"/>
      <c r="O30" s="435"/>
      <c r="P30" s="435"/>
      <c r="Q30" s="435"/>
      <c r="R30" s="68"/>
    </row>
    <row r="31" spans="1:20" ht="33.75">
      <c r="A31" s="74"/>
      <c r="B31" s="74"/>
      <c r="C31" s="78" t="s">
        <v>53</v>
      </c>
      <c r="D31" s="621" t="s">
        <v>54</v>
      </c>
      <c r="E31" s="622"/>
      <c r="F31" s="623"/>
      <c r="G31" s="75"/>
      <c r="H31" s="629"/>
      <c r="I31" s="615"/>
      <c r="J31" s="615"/>
      <c r="K31" s="615"/>
      <c r="L31" s="615"/>
      <c r="M31" s="615"/>
      <c r="N31" s="615"/>
      <c r="O31" s="615"/>
      <c r="P31" s="615"/>
      <c r="Q31" s="616"/>
      <c r="R31" s="68"/>
      <c r="T31" s="422" t="s">
        <v>48</v>
      </c>
    </row>
    <row r="32" spans="1:20">
      <c r="A32" s="74"/>
      <c r="B32" s="74"/>
      <c r="C32" s="83"/>
      <c r="D32" s="79"/>
      <c r="E32" s="79"/>
      <c r="F32" s="79"/>
      <c r="G32" s="75"/>
      <c r="H32" s="435"/>
      <c r="I32" s="435"/>
      <c r="J32" s="435"/>
      <c r="K32" s="435"/>
      <c r="L32" s="435"/>
      <c r="M32" s="435"/>
      <c r="N32" s="435"/>
      <c r="O32" s="435"/>
      <c r="P32" s="435"/>
      <c r="Q32" s="435"/>
      <c r="R32" s="68"/>
    </row>
    <row r="33" spans="1:20" ht="76.5">
      <c r="A33" s="74"/>
      <c r="B33" s="74"/>
      <c r="C33" s="78" t="s">
        <v>55</v>
      </c>
      <c r="D33" s="621" t="s">
        <v>56</v>
      </c>
      <c r="E33" s="622"/>
      <c r="F33" s="623"/>
      <c r="G33" s="75"/>
      <c r="H33" s="629"/>
      <c r="I33" s="615"/>
      <c r="J33" s="615"/>
      <c r="K33" s="615"/>
      <c r="L33" s="615"/>
      <c r="M33" s="615"/>
      <c r="N33" s="615"/>
      <c r="O33" s="615"/>
      <c r="P33" s="615"/>
      <c r="Q33" s="616"/>
      <c r="R33" s="68"/>
      <c r="T33" s="423" t="s">
        <v>48</v>
      </c>
    </row>
    <row r="34" spans="1:20">
      <c r="A34" s="74"/>
      <c r="B34" s="74"/>
      <c r="C34" s="78"/>
      <c r="D34" s="93"/>
      <c r="E34" s="93"/>
      <c r="F34" s="93"/>
      <c r="G34" s="75"/>
      <c r="H34" s="435"/>
      <c r="I34" s="435"/>
      <c r="J34" s="435"/>
      <c r="K34" s="435"/>
      <c r="L34" s="435"/>
      <c r="M34" s="435"/>
      <c r="N34" s="435"/>
      <c r="O34" s="435"/>
      <c r="P34" s="435"/>
      <c r="Q34" s="435"/>
      <c r="R34" s="68"/>
    </row>
    <row r="35" spans="1:20" ht="127.5">
      <c r="A35" s="74"/>
      <c r="B35" s="74"/>
      <c r="C35" s="83" t="s">
        <v>57</v>
      </c>
      <c r="D35" s="621" t="s">
        <v>58</v>
      </c>
      <c r="E35" s="622"/>
      <c r="F35" s="623"/>
      <c r="G35" s="75"/>
      <c r="H35" s="614"/>
      <c r="I35" s="615"/>
      <c r="J35" s="615"/>
      <c r="K35" s="615"/>
      <c r="L35" s="615"/>
      <c r="M35" s="615"/>
      <c r="N35" s="615"/>
      <c r="O35" s="615"/>
      <c r="P35" s="615"/>
      <c r="Q35" s="616"/>
      <c r="R35" s="68"/>
      <c r="T35" s="430" t="s">
        <v>48</v>
      </c>
    </row>
    <row r="36" spans="1:20">
      <c r="A36" s="74"/>
      <c r="B36" s="74"/>
      <c r="C36" s="74"/>
      <c r="D36" s="93"/>
      <c r="E36" s="93"/>
      <c r="F36" s="93"/>
      <c r="G36" s="75"/>
      <c r="H36" s="435"/>
      <c r="I36" s="435"/>
      <c r="J36" s="435"/>
      <c r="K36" s="435"/>
      <c r="L36" s="435"/>
      <c r="M36" s="435"/>
      <c r="N36" s="435"/>
      <c r="O36" s="435"/>
      <c r="P36" s="435"/>
      <c r="Q36" s="435"/>
      <c r="R36" s="68"/>
    </row>
    <row r="37" spans="1:20" ht="66.75">
      <c r="A37" s="74"/>
      <c r="B37" s="74"/>
      <c r="C37" s="78" t="s">
        <v>59</v>
      </c>
      <c r="D37" s="621" t="s">
        <v>60</v>
      </c>
      <c r="E37" s="622"/>
      <c r="F37" s="623"/>
      <c r="G37" s="75"/>
      <c r="H37" s="614"/>
      <c r="I37" s="615"/>
      <c r="J37" s="615"/>
      <c r="K37" s="615"/>
      <c r="L37" s="615"/>
      <c r="M37" s="615"/>
      <c r="N37" s="615"/>
      <c r="O37" s="615"/>
      <c r="P37" s="615"/>
      <c r="Q37" s="616"/>
      <c r="R37" s="68"/>
      <c r="T37" s="429" t="s">
        <v>48</v>
      </c>
    </row>
    <row r="38" spans="1:20">
      <c r="A38" s="74"/>
      <c r="B38" s="74"/>
      <c r="C38" s="83"/>
      <c r="D38" s="93"/>
      <c r="E38" s="93"/>
      <c r="F38" s="93"/>
      <c r="G38" s="75"/>
      <c r="H38" s="435"/>
      <c r="I38" s="435"/>
      <c r="J38" s="435"/>
      <c r="K38" s="435"/>
      <c r="L38" s="435"/>
      <c r="M38" s="435"/>
      <c r="N38" s="435"/>
      <c r="O38" s="435"/>
      <c r="P38" s="435"/>
      <c r="Q38" s="435"/>
      <c r="R38" s="68"/>
    </row>
    <row r="39" spans="1:20" ht="83.25">
      <c r="A39" s="74"/>
      <c r="B39" s="74"/>
      <c r="C39" s="78" t="s">
        <v>61</v>
      </c>
      <c r="D39" s="621" t="s">
        <v>62</v>
      </c>
      <c r="E39" s="622"/>
      <c r="F39" s="623"/>
      <c r="G39" s="75"/>
      <c r="H39" s="614"/>
      <c r="I39" s="615"/>
      <c r="J39" s="615"/>
      <c r="K39" s="615"/>
      <c r="L39" s="615"/>
      <c r="M39" s="615"/>
      <c r="N39" s="615"/>
      <c r="O39" s="615"/>
      <c r="P39" s="615"/>
      <c r="Q39" s="616"/>
      <c r="R39" s="68"/>
      <c r="T39" s="431" t="s">
        <v>48</v>
      </c>
    </row>
    <row r="40" spans="1:20">
      <c r="A40" s="74"/>
      <c r="B40" s="74"/>
      <c r="C40" s="78"/>
      <c r="D40" s="93"/>
      <c r="E40" s="93"/>
      <c r="F40" s="93"/>
      <c r="G40" s="75"/>
      <c r="H40" s="435"/>
      <c r="I40" s="435"/>
      <c r="J40" s="435"/>
      <c r="K40" s="435"/>
      <c r="L40" s="435"/>
      <c r="M40" s="435"/>
      <c r="N40" s="435"/>
      <c r="O40" s="435"/>
      <c r="P40" s="435"/>
      <c r="Q40" s="435"/>
      <c r="R40" s="68"/>
    </row>
    <row r="41" spans="1:20" ht="127.5">
      <c r="A41" s="74"/>
      <c r="B41" s="74"/>
      <c r="C41" s="78" t="s">
        <v>63</v>
      </c>
      <c r="D41" s="621" t="s">
        <v>64</v>
      </c>
      <c r="E41" s="622"/>
      <c r="F41" s="623"/>
      <c r="G41" s="75"/>
      <c r="H41" s="620"/>
      <c r="I41" s="615"/>
      <c r="J41" s="615"/>
      <c r="K41" s="615"/>
      <c r="L41" s="615"/>
      <c r="M41" s="615"/>
      <c r="N41" s="615"/>
      <c r="O41" s="615"/>
      <c r="P41" s="615"/>
      <c r="Q41" s="616"/>
      <c r="R41" s="68"/>
      <c r="T41" s="430" t="s">
        <v>48</v>
      </c>
    </row>
    <row r="42" spans="1:20">
      <c r="A42" s="74"/>
      <c r="B42" s="74"/>
      <c r="C42" s="74"/>
      <c r="D42" s="74"/>
      <c r="E42" s="93"/>
      <c r="F42" s="74"/>
      <c r="G42" s="75"/>
      <c r="H42" s="78"/>
      <c r="I42" s="74"/>
      <c r="J42" s="74"/>
      <c r="K42" s="74"/>
      <c r="L42" s="74"/>
      <c r="M42" s="74"/>
      <c r="N42" s="78"/>
      <c r="O42" s="74"/>
      <c r="P42" s="74"/>
      <c r="Q42" s="74"/>
      <c r="R42" s="68"/>
    </row>
    <row r="43" spans="1:20">
      <c r="A43" s="84"/>
      <c r="B43" s="84"/>
      <c r="C43" s="84"/>
      <c r="D43" s="470" t="s">
        <v>65</v>
      </c>
      <c r="E43" s="85"/>
      <c r="F43" s="84"/>
      <c r="G43" s="84"/>
      <c r="H43" s="84"/>
      <c r="I43" s="84"/>
      <c r="J43" s="84"/>
      <c r="K43" s="84"/>
      <c r="L43" s="84"/>
      <c r="M43" s="84"/>
      <c r="N43" s="84"/>
      <c r="O43" s="84"/>
      <c r="P43" s="84"/>
      <c r="Q43" s="84"/>
      <c r="R43" s="84"/>
    </row>
    <row r="44" spans="1:20">
      <c r="A44" s="74"/>
      <c r="B44" s="74"/>
      <c r="C44" s="78"/>
      <c r="D44" s="78"/>
      <c r="E44" s="78"/>
      <c r="F44" s="78"/>
      <c r="G44" s="552"/>
      <c r="H44" s="78"/>
      <c r="I44" s="78"/>
      <c r="J44" s="78"/>
      <c r="K44" s="74"/>
      <c r="L44" s="552"/>
      <c r="M44" s="74"/>
      <c r="N44" s="632"/>
      <c r="O44" s="632"/>
      <c r="P44" s="632"/>
      <c r="Q44" s="632"/>
      <c r="R44" s="68"/>
    </row>
    <row r="45" spans="1:20" hidden="1">
      <c r="A45" s="74"/>
      <c r="B45" s="74"/>
      <c r="C45" s="86"/>
      <c r="D45" s="471" t="s">
        <v>66</v>
      </c>
      <c r="E45" s="86"/>
      <c r="F45" s="86"/>
      <c r="G45" s="89"/>
      <c r="H45" s="86"/>
      <c r="I45" s="86"/>
      <c r="J45" s="86"/>
      <c r="K45" s="86"/>
      <c r="L45" s="86"/>
      <c r="M45" s="86"/>
      <c r="N45" s="86"/>
      <c r="O45" s="86"/>
      <c r="P45" s="86"/>
      <c r="Q45" s="86"/>
      <c r="R45" s="68"/>
    </row>
    <row r="46" spans="1:20" hidden="1">
      <c r="A46" s="74"/>
      <c r="B46" s="74"/>
      <c r="C46" s="70"/>
      <c r="D46" s="70"/>
      <c r="E46" s="93"/>
      <c r="F46" s="74"/>
      <c r="G46" s="75"/>
      <c r="H46" s="70"/>
      <c r="I46" s="74"/>
      <c r="J46" s="74"/>
      <c r="K46" s="74"/>
      <c r="L46" s="70"/>
      <c r="M46" s="74"/>
      <c r="N46" s="70"/>
      <c r="O46" s="74"/>
      <c r="P46" s="74"/>
      <c r="Q46" s="74"/>
      <c r="R46" s="68"/>
    </row>
    <row r="47" spans="1:20">
      <c r="A47" s="74"/>
      <c r="B47" s="74"/>
      <c r="C47" s="83" t="s">
        <v>67</v>
      </c>
      <c r="D47" s="624" t="s">
        <v>68</v>
      </c>
      <c r="E47" s="625"/>
      <c r="F47" s="625"/>
      <c r="G47" s="625"/>
      <c r="H47" s="625"/>
      <c r="I47" s="625"/>
      <c r="J47" s="626"/>
      <c r="K47" s="74"/>
      <c r="L47" s="87"/>
      <c r="M47" s="74"/>
      <c r="N47" s="627"/>
      <c r="O47" s="628"/>
      <c r="P47" s="628"/>
      <c r="Q47" s="628"/>
      <c r="R47" s="68"/>
    </row>
    <row r="48" spans="1:20">
      <c r="A48" s="74"/>
      <c r="B48" s="74"/>
      <c r="C48" s="93"/>
      <c r="D48" s="74"/>
      <c r="E48" s="74"/>
      <c r="F48" s="75"/>
      <c r="G48" s="75"/>
      <c r="H48" s="75"/>
      <c r="I48" s="74"/>
      <c r="J48" s="74"/>
      <c r="K48" s="74"/>
      <c r="L48" s="74"/>
      <c r="M48" s="74"/>
      <c r="N48" s="432"/>
      <c r="O48" s="432"/>
      <c r="P48" s="433"/>
      <c r="Q48" s="432"/>
      <c r="R48" s="68"/>
    </row>
    <row r="49" spans="1:20">
      <c r="A49" s="74"/>
      <c r="B49" s="74"/>
      <c r="C49" s="78" t="s">
        <v>69</v>
      </c>
      <c r="D49" s="624" t="s">
        <v>70</v>
      </c>
      <c r="E49" s="625"/>
      <c r="F49" s="625"/>
      <c r="G49" s="625"/>
      <c r="H49" s="625"/>
      <c r="I49" s="625"/>
      <c r="J49" s="626"/>
      <c r="K49" s="74"/>
      <c r="L49" s="87"/>
      <c r="M49" s="74"/>
      <c r="N49" s="627"/>
      <c r="O49" s="628"/>
      <c r="P49" s="628"/>
      <c r="Q49" s="628"/>
      <c r="R49" s="68"/>
    </row>
    <row r="50" spans="1:20">
      <c r="A50" s="74"/>
      <c r="B50" s="74"/>
      <c r="C50" s="88"/>
      <c r="D50" s="88"/>
      <c r="E50" s="93"/>
      <c r="F50" s="74"/>
      <c r="G50" s="75"/>
      <c r="H50" s="75"/>
      <c r="I50" s="75"/>
      <c r="J50" s="75"/>
      <c r="K50" s="74"/>
      <c r="L50" s="74"/>
      <c r="M50" s="74"/>
      <c r="N50" s="432"/>
      <c r="O50" s="432"/>
      <c r="P50" s="432"/>
      <c r="Q50" s="432"/>
      <c r="R50" s="68"/>
    </row>
    <row r="51" spans="1:20" hidden="1">
      <c r="A51" s="74"/>
      <c r="B51" s="74"/>
      <c r="C51" s="90"/>
      <c r="D51" s="85" t="s">
        <v>71</v>
      </c>
      <c r="E51" s="90"/>
      <c r="F51" s="90"/>
      <c r="G51" s="84"/>
      <c r="H51" s="90"/>
      <c r="I51" s="90"/>
      <c r="J51" s="90"/>
      <c r="K51" s="90"/>
      <c r="L51" s="90"/>
      <c r="M51" s="90"/>
      <c r="N51" s="434"/>
      <c r="O51" s="434"/>
      <c r="P51" s="434"/>
      <c r="Q51" s="434"/>
      <c r="R51" s="68"/>
    </row>
    <row r="52" spans="1:20" hidden="1">
      <c r="A52" s="74"/>
      <c r="B52" s="74"/>
      <c r="C52" s="88"/>
      <c r="D52" s="88"/>
      <c r="E52" s="93"/>
      <c r="F52" s="74"/>
      <c r="G52" s="75"/>
      <c r="H52" s="75"/>
      <c r="I52" s="75"/>
      <c r="J52" s="75"/>
      <c r="K52" s="74"/>
      <c r="L52" s="74"/>
      <c r="M52" s="74"/>
      <c r="N52" s="432"/>
      <c r="O52" s="432"/>
      <c r="P52" s="432"/>
      <c r="Q52" s="432"/>
      <c r="R52" s="68"/>
    </row>
    <row r="53" spans="1:20" ht="33.75">
      <c r="A53" s="74"/>
      <c r="B53" s="74"/>
      <c r="C53" s="78" t="s">
        <v>72</v>
      </c>
      <c r="D53" s="624" t="s">
        <v>73</v>
      </c>
      <c r="E53" s="625"/>
      <c r="F53" s="625"/>
      <c r="G53" s="625"/>
      <c r="H53" s="625"/>
      <c r="I53" s="625"/>
      <c r="J53" s="626"/>
      <c r="K53" s="74"/>
      <c r="L53" s="87"/>
      <c r="M53" s="74"/>
      <c r="N53" s="627"/>
      <c r="O53" s="628"/>
      <c r="P53" s="628"/>
      <c r="Q53" s="628"/>
      <c r="R53" s="68"/>
      <c r="T53" s="422" t="s">
        <v>48</v>
      </c>
    </row>
    <row r="54" spans="1:20">
      <c r="A54" s="74"/>
      <c r="B54" s="74"/>
      <c r="C54" s="88"/>
      <c r="D54" s="88"/>
      <c r="E54" s="93"/>
      <c r="F54" s="74"/>
      <c r="G54" s="75"/>
      <c r="H54" s="75"/>
      <c r="I54" s="75"/>
      <c r="J54" s="75"/>
      <c r="K54" s="74"/>
      <c r="L54" s="74"/>
      <c r="M54" s="74"/>
      <c r="N54" s="432"/>
      <c r="O54" s="432"/>
      <c r="P54" s="432"/>
      <c r="Q54" s="432"/>
      <c r="R54" s="68"/>
    </row>
    <row r="55" spans="1:20">
      <c r="A55" s="74"/>
      <c r="B55" s="78"/>
      <c r="C55" s="78" t="s">
        <v>74</v>
      </c>
      <c r="D55" s="624" t="s">
        <v>75</v>
      </c>
      <c r="E55" s="625"/>
      <c r="F55" s="625"/>
      <c r="G55" s="625"/>
      <c r="H55" s="625"/>
      <c r="I55" s="625"/>
      <c r="J55" s="626"/>
      <c r="K55" s="74"/>
      <c r="L55" s="87"/>
      <c r="M55" s="74"/>
      <c r="N55" s="627"/>
      <c r="O55" s="628"/>
      <c r="P55" s="628"/>
      <c r="Q55" s="628"/>
      <c r="R55" s="68"/>
    </row>
    <row r="56" spans="1:20">
      <c r="A56" s="74"/>
      <c r="B56" s="78"/>
      <c r="C56" s="78"/>
      <c r="D56" s="77"/>
      <c r="E56" s="77"/>
      <c r="F56" s="77"/>
      <c r="G56" s="77"/>
      <c r="H56" s="77"/>
      <c r="I56" s="77"/>
      <c r="J56" s="77"/>
      <c r="K56" s="74"/>
      <c r="L56" s="479"/>
      <c r="M56" s="74"/>
      <c r="N56" s="480"/>
      <c r="O56" s="480"/>
      <c r="P56" s="480"/>
      <c r="Q56" s="480"/>
      <c r="R56" s="68"/>
    </row>
    <row r="57" spans="1:20" hidden="1">
      <c r="A57" s="74"/>
      <c r="B57" s="78"/>
      <c r="C57" s="90"/>
      <c r="D57" s="85" t="s">
        <v>76</v>
      </c>
      <c r="E57" s="90"/>
      <c r="F57" s="90"/>
      <c r="G57" s="84"/>
      <c r="H57" s="90"/>
      <c r="I57" s="90"/>
      <c r="J57" s="90"/>
      <c r="K57" s="90"/>
      <c r="L57" s="90"/>
      <c r="M57" s="90"/>
      <c r="N57" s="434"/>
      <c r="O57" s="434"/>
      <c r="P57" s="434"/>
      <c r="Q57" s="434"/>
      <c r="R57" s="68"/>
    </row>
    <row r="58" spans="1:20" hidden="1">
      <c r="A58" s="74"/>
      <c r="B58" s="74"/>
      <c r="C58" s="88"/>
      <c r="D58" s="88"/>
      <c r="E58" s="93"/>
      <c r="F58" s="74"/>
      <c r="G58" s="75"/>
      <c r="H58" s="75"/>
      <c r="I58" s="75"/>
      <c r="J58" s="75"/>
      <c r="K58" s="74"/>
      <c r="L58" s="74"/>
      <c r="M58" s="74"/>
      <c r="N58" s="432"/>
      <c r="O58" s="432"/>
      <c r="P58" s="432"/>
      <c r="Q58" s="432"/>
      <c r="R58" s="68"/>
    </row>
    <row r="59" spans="1:20" ht="33.75">
      <c r="A59" s="74"/>
      <c r="B59" s="68"/>
      <c r="C59" s="78" t="s">
        <v>77</v>
      </c>
      <c r="D59" s="624" t="s">
        <v>78</v>
      </c>
      <c r="E59" s="625"/>
      <c r="F59" s="625"/>
      <c r="G59" s="625"/>
      <c r="H59" s="625"/>
      <c r="I59" s="625"/>
      <c r="J59" s="626"/>
      <c r="K59" s="74"/>
      <c r="L59" s="87"/>
      <c r="M59" s="74"/>
      <c r="N59" s="627"/>
      <c r="O59" s="628"/>
      <c r="P59" s="628"/>
      <c r="Q59" s="628"/>
      <c r="R59" s="68"/>
      <c r="T59" s="422" t="s">
        <v>48</v>
      </c>
    </row>
    <row r="60" spans="1:20">
      <c r="A60" s="74"/>
      <c r="B60" s="78"/>
      <c r="C60" s="78"/>
      <c r="D60" s="78"/>
      <c r="E60" s="78"/>
      <c r="F60" s="78"/>
      <c r="G60" s="552"/>
      <c r="H60" s="78"/>
      <c r="I60" s="78"/>
      <c r="J60" s="78"/>
      <c r="K60" s="78"/>
      <c r="L60" s="78"/>
      <c r="M60" s="78"/>
      <c r="N60" s="78"/>
      <c r="O60" s="78"/>
      <c r="P60" s="78"/>
      <c r="Q60" s="78"/>
      <c r="R60" s="78"/>
    </row>
    <row r="61" spans="1:20" ht="18.75" customHeight="1">
      <c r="A61" s="630" t="s">
        <v>79</v>
      </c>
      <c r="B61" s="631"/>
      <c r="C61" s="631"/>
      <c r="D61" s="631"/>
      <c r="E61" s="631"/>
      <c r="F61" s="631"/>
      <c r="G61" s="631"/>
      <c r="H61" s="631"/>
      <c r="I61" s="631"/>
      <c r="J61" s="631"/>
      <c r="K61" s="631"/>
      <c r="L61" s="631"/>
      <c r="M61" s="631"/>
      <c r="N61" s="631"/>
      <c r="O61" s="631"/>
      <c r="P61" s="631"/>
      <c r="Q61" s="631"/>
      <c r="R61" s="91"/>
    </row>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xr:uid="{00000000-0002-0000-0100-000000000000}">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xr:uid="{00000000-0002-0000-0100-000001000000}">
      <formula1>"Yes, No, N/A"</formula1>
    </dataValidation>
    <dataValidation type="list" allowBlank="1" showInputMessage="1" showErrorMessage="1" sqref="L47" xr:uid="{00000000-0002-0000-0100-000002000000}">
      <formula1>"Yes, No"</formula1>
    </dataValidation>
    <dataValidation type="list" allowBlank="1" showInputMessage="1" showErrorMessage="1" sqref="C2:C3" xr:uid="{00000000-0002-0000-0100-000003000000}">
      <formula1>" ✓"</formula1>
    </dataValidation>
  </dataValidations>
  <hyperlinks>
    <hyperlink ref="D2:Q2" r:id="rId1" display="* I have read and agreed to the following CAMSS Privacy Statement: here" xr:uid="{00000000-0004-0000-0100-000000000000}"/>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107"/>
  <sheetViews>
    <sheetView topLeftCell="B1" workbookViewId="0">
      <selection activeCell="D3" sqref="D3:Q3"/>
    </sheetView>
  </sheetViews>
  <sheetFormatPr defaultColWidth="0" defaultRowHeight="15" zeroHeight="1"/>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c r="A1"/>
      <c r="B1" s="474"/>
      <c r="C1" s="3"/>
      <c r="D1" s="550"/>
      <c r="E1" s="633" t="s">
        <v>80</v>
      </c>
      <c r="F1" s="633"/>
      <c r="G1" s="633"/>
      <c r="H1" s="633"/>
      <c r="I1" s="633"/>
      <c r="J1" s="633"/>
      <c r="K1" s="633"/>
      <c r="L1" s="633"/>
      <c r="M1" s="633"/>
      <c r="N1" s="633"/>
      <c r="O1" s="633"/>
      <c r="P1" s="633"/>
      <c r="Q1" s="633"/>
      <c r="R1" s="3"/>
    </row>
    <row r="2" spans="1:18" s="141" customFormat="1" ht="30" customHeight="1">
      <c r="A2"/>
      <c r="B2" s="143"/>
      <c r="C2" s="549" t="s">
        <v>81</v>
      </c>
      <c r="D2" s="634" t="s">
        <v>82</v>
      </c>
      <c r="E2" s="635"/>
      <c r="F2" s="635"/>
      <c r="G2" s="635"/>
      <c r="H2" s="635"/>
      <c r="I2" s="635"/>
      <c r="J2" s="635"/>
      <c r="K2" s="635"/>
      <c r="L2" s="635"/>
      <c r="M2" s="635"/>
      <c r="N2" s="635"/>
      <c r="O2" s="635"/>
      <c r="P2" s="635"/>
      <c r="Q2" s="636"/>
      <c r="R2" s="3"/>
    </row>
    <row r="3" spans="1:18" s="145" customFormat="1" ht="30" customHeight="1">
      <c r="A3"/>
      <c r="B3" s="144"/>
      <c r="C3" s="549" t="s">
        <v>83</v>
      </c>
      <c r="D3" s="637" t="s">
        <v>26</v>
      </c>
      <c r="E3" s="638"/>
      <c r="F3" s="638"/>
      <c r="G3" s="638"/>
      <c r="H3" s="638"/>
      <c r="I3" s="638"/>
      <c r="J3" s="638"/>
      <c r="K3" s="638"/>
      <c r="L3" s="638"/>
      <c r="M3" s="638"/>
      <c r="N3" s="638"/>
      <c r="O3" s="638"/>
      <c r="P3" s="638"/>
      <c r="Q3" s="639"/>
      <c r="R3" s="3"/>
    </row>
    <row r="4" spans="1:18">
      <c r="B4" s="3"/>
      <c r="C4" s="3"/>
      <c r="D4" s="3"/>
      <c r="E4" s="3"/>
      <c r="F4" s="2"/>
      <c r="G4" s="2"/>
      <c r="H4" s="2"/>
      <c r="I4" s="2"/>
      <c r="J4" s="2"/>
      <c r="K4" s="2"/>
      <c r="L4" s="5"/>
      <c r="M4" s="5"/>
      <c r="N4" s="2"/>
      <c r="O4" s="3"/>
      <c r="P4" s="3"/>
      <c r="Q4" s="3"/>
      <c r="R4" s="3"/>
    </row>
    <row r="5" spans="1:18">
      <c r="B5" s="148"/>
      <c r="C5" s="149"/>
      <c r="D5" s="481" t="s">
        <v>27</v>
      </c>
      <c r="E5" s="457"/>
      <c r="F5" s="138"/>
      <c r="G5" s="138"/>
      <c r="H5" s="138"/>
      <c r="I5" s="138"/>
      <c r="J5" s="138"/>
      <c r="K5" s="138"/>
      <c r="L5" s="138"/>
      <c r="M5" s="138"/>
      <c r="N5" s="139"/>
      <c r="O5" s="139"/>
      <c r="P5" s="139"/>
      <c r="Q5" s="140"/>
      <c r="R5" s="150"/>
    </row>
    <row r="6" spans="1:18">
      <c r="B6" s="4"/>
      <c r="C6" s="4"/>
      <c r="D6" s="4"/>
      <c r="E6" s="4"/>
      <c r="F6" s="5"/>
      <c r="G6" s="5"/>
      <c r="H6" s="2"/>
      <c r="I6" s="5"/>
      <c r="J6" s="5"/>
      <c r="K6" s="5"/>
      <c r="L6" s="5"/>
      <c r="M6" s="5"/>
      <c r="N6" s="5"/>
      <c r="O6" s="4"/>
      <c r="P6" s="4"/>
      <c r="Q6" s="4"/>
      <c r="R6" s="3"/>
    </row>
    <row r="7" spans="1:18">
      <c r="B7" s="5"/>
      <c r="C7" s="6" t="s">
        <v>28</v>
      </c>
      <c r="D7" s="640" t="s">
        <v>84</v>
      </c>
      <c r="E7" s="641"/>
      <c r="F7" s="642"/>
      <c r="G7" s="5"/>
      <c r="H7" s="646"/>
      <c r="I7" s="647"/>
      <c r="J7" s="647"/>
      <c r="K7" s="647"/>
      <c r="L7" s="647"/>
      <c r="M7" s="647"/>
      <c r="N7" s="647"/>
      <c r="O7" s="647"/>
      <c r="P7" s="647"/>
      <c r="Q7" s="648"/>
      <c r="R7" s="3"/>
    </row>
    <row r="8" spans="1:18">
      <c r="B8" s="5"/>
      <c r="C8" s="6"/>
      <c r="D8" s="8"/>
      <c r="E8" s="146"/>
      <c r="F8" s="7"/>
      <c r="G8" s="5"/>
      <c r="H8" s="7"/>
      <c r="I8" s="7"/>
      <c r="J8" s="7"/>
      <c r="K8" s="7"/>
      <c r="L8" s="7"/>
      <c r="M8" s="7"/>
      <c r="N8" s="7"/>
      <c r="O8" s="9"/>
      <c r="P8" s="9"/>
      <c r="Q8" s="9"/>
      <c r="R8" s="3"/>
    </row>
    <row r="9" spans="1:18">
      <c r="B9" s="5"/>
      <c r="C9" s="6" t="s">
        <v>30</v>
      </c>
      <c r="D9" s="640" t="s">
        <v>31</v>
      </c>
      <c r="E9" s="641"/>
      <c r="F9" s="642"/>
      <c r="G9" s="5"/>
      <c r="H9" s="646"/>
      <c r="I9" s="647"/>
      <c r="J9" s="647"/>
      <c r="K9" s="647"/>
      <c r="L9" s="647"/>
      <c r="M9" s="647"/>
      <c r="N9" s="647"/>
      <c r="O9" s="647"/>
      <c r="P9" s="647"/>
      <c r="Q9" s="648"/>
      <c r="R9" s="3"/>
    </row>
    <row r="10" spans="1:18">
      <c r="B10" s="5"/>
      <c r="C10" s="6"/>
      <c r="D10" s="8"/>
      <c r="E10" s="146"/>
      <c r="F10" s="7"/>
      <c r="G10" s="5"/>
      <c r="H10" s="7"/>
      <c r="I10" s="7"/>
      <c r="J10" s="7"/>
      <c r="K10" s="7"/>
      <c r="L10" s="7"/>
      <c r="M10" s="7"/>
      <c r="N10" s="7"/>
      <c r="O10" s="7"/>
      <c r="P10" s="7"/>
      <c r="Q10" s="7"/>
      <c r="R10" s="3"/>
    </row>
    <row r="11" spans="1:18">
      <c r="B11" s="5"/>
      <c r="C11" s="6" t="s">
        <v>32</v>
      </c>
      <c r="D11" s="640" t="s">
        <v>85</v>
      </c>
      <c r="E11" s="641"/>
      <c r="F11" s="642"/>
      <c r="G11" s="5"/>
      <c r="H11" s="646"/>
      <c r="I11" s="647"/>
      <c r="J11" s="647"/>
      <c r="K11" s="647"/>
      <c r="L11" s="647"/>
      <c r="M11" s="647"/>
      <c r="N11" s="647"/>
      <c r="O11" s="647"/>
      <c r="P11" s="647"/>
      <c r="Q11" s="648"/>
      <c r="R11" s="3"/>
    </row>
    <row r="12" spans="1:18">
      <c r="B12" s="5"/>
      <c r="C12" s="6"/>
      <c r="D12" s="8"/>
      <c r="E12" s="146"/>
      <c r="F12" s="7"/>
      <c r="G12" s="5"/>
      <c r="H12" s="7"/>
      <c r="I12" s="7"/>
      <c r="J12" s="7"/>
      <c r="K12" s="7"/>
      <c r="L12" s="7"/>
      <c r="M12" s="7"/>
      <c r="N12" s="7"/>
      <c r="O12" s="7"/>
      <c r="P12" s="7"/>
      <c r="Q12" s="7"/>
      <c r="R12" s="3"/>
    </row>
    <row r="13" spans="1:18">
      <c r="B13" s="5"/>
      <c r="C13" s="6" t="s">
        <v>34</v>
      </c>
      <c r="D13" s="640" t="s">
        <v>35</v>
      </c>
      <c r="E13" s="641"/>
      <c r="F13" s="642"/>
      <c r="G13" s="5"/>
      <c r="H13" s="646"/>
      <c r="I13" s="647"/>
      <c r="J13" s="647"/>
      <c r="K13" s="647"/>
      <c r="L13" s="647"/>
      <c r="M13" s="647"/>
      <c r="N13" s="647"/>
      <c r="O13" s="647"/>
      <c r="P13" s="647"/>
      <c r="Q13" s="648"/>
      <c r="R13" s="3"/>
    </row>
    <row r="14" spans="1:18">
      <c r="B14" s="5"/>
      <c r="C14" s="6"/>
      <c r="D14" s="8"/>
      <c r="E14" s="146"/>
      <c r="F14" s="7"/>
      <c r="G14" s="5"/>
      <c r="H14" s="7"/>
      <c r="I14" s="7"/>
      <c r="J14" s="7"/>
      <c r="K14" s="7"/>
      <c r="L14" s="7"/>
      <c r="M14" s="7"/>
      <c r="N14" s="7"/>
      <c r="O14" s="7"/>
      <c r="P14" s="7"/>
      <c r="Q14" s="7"/>
      <c r="R14" s="3"/>
    </row>
    <row r="15" spans="1:18">
      <c r="B15" s="5"/>
      <c r="C15" s="6" t="s">
        <v>36</v>
      </c>
      <c r="D15" s="640" t="s">
        <v>37</v>
      </c>
      <c r="E15" s="641"/>
      <c r="F15" s="642"/>
      <c r="G15" s="5"/>
      <c r="H15" s="646"/>
      <c r="I15" s="647"/>
      <c r="J15" s="647"/>
      <c r="K15" s="647"/>
      <c r="L15" s="647"/>
      <c r="M15" s="647"/>
      <c r="N15" s="647"/>
      <c r="O15" s="647"/>
      <c r="P15" s="647"/>
      <c r="Q15" s="648"/>
      <c r="R15" s="3"/>
    </row>
    <row r="16" spans="1:18">
      <c r="B16" s="5"/>
      <c r="C16" s="6"/>
      <c r="D16" s="8"/>
      <c r="E16" s="146"/>
      <c r="F16" s="7"/>
      <c r="G16" s="5"/>
      <c r="H16" s="7"/>
      <c r="I16" s="7"/>
      <c r="J16" s="7"/>
      <c r="K16" s="7"/>
      <c r="L16" s="7"/>
      <c r="M16" s="7"/>
      <c r="N16" s="7"/>
      <c r="O16" s="7"/>
      <c r="P16" s="7"/>
      <c r="Q16" s="7"/>
      <c r="R16" s="3"/>
    </row>
    <row r="17" spans="2:18">
      <c r="B17" s="5"/>
      <c r="C17" s="6" t="s">
        <v>38</v>
      </c>
      <c r="D17" s="640" t="s">
        <v>39</v>
      </c>
      <c r="E17" s="641"/>
      <c r="F17" s="642"/>
      <c r="G17" s="5"/>
      <c r="H17" s="646"/>
      <c r="I17" s="647"/>
      <c r="J17" s="647"/>
      <c r="K17" s="647"/>
      <c r="L17" s="647"/>
      <c r="M17" s="647"/>
      <c r="N17" s="647"/>
      <c r="O17" s="647"/>
      <c r="P17" s="647"/>
      <c r="Q17" s="648"/>
      <c r="R17" s="3"/>
    </row>
    <row r="18" spans="2:18">
      <c r="B18" s="5"/>
      <c r="C18" s="5"/>
      <c r="D18" s="7"/>
      <c r="E18" s="7"/>
      <c r="F18" s="7"/>
      <c r="G18" s="5"/>
      <c r="H18" s="7"/>
      <c r="I18" s="7"/>
      <c r="J18" s="7"/>
      <c r="K18" s="7"/>
      <c r="L18" s="7"/>
      <c r="M18" s="7"/>
      <c r="N18" s="7"/>
      <c r="O18" s="7"/>
      <c r="P18" s="7"/>
      <c r="Q18" s="7"/>
      <c r="R18" s="2"/>
    </row>
    <row r="19" spans="2:18">
      <c r="B19" s="6"/>
      <c r="C19" s="6" t="s">
        <v>40</v>
      </c>
      <c r="D19" s="640" t="s">
        <v>41</v>
      </c>
      <c r="E19" s="641"/>
      <c r="F19" s="642"/>
      <c r="G19" s="130" t="s">
        <v>42</v>
      </c>
      <c r="H19" s="643"/>
      <c r="I19" s="644"/>
      <c r="J19" s="644"/>
      <c r="K19" s="644"/>
      <c r="L19" s="644"/>
      <c r="M19" s="644"/>
      <c r="N19" s="644"/>
      <c r="O19" s="644"/>
      <c r="P19" s="644"/>
      <c r="Q19" s="645"/>
      <c r="R19" s="3"/>
    </row>
    <row r="20" spans="2:18">
      <c r="B20" s="5"/>
      <c r="C20" s="5"/>
      <c r="D20" s="7"/>
      <c r="E20" s="7"/>
      <c r="F20" s="7"/>
      <c r="G20" s="5"/>
      <c r="H20" s="7"/>
      <c r="I20" s="7"/>
      <c r="J20" s="7"/>
      <c r="K20" s="7"/>
      <c r="L20" s="7"/>
      <c r="M20" s="7"/>
      <c r="N20" s="7"/>
      <c r="O20" s="7"/>
      <c r="P20" s="7"/>
      <c r="Q20" s="7"/>
      <c r="R20" s="2"/>
    </row>
    <row r="21" spans="2:18">
      <c r="B21" s="10"/>
      <c r="C21" s="6" t="s">
        <v>86</v>
      </c>
      <c r="D21" s="640" t="s">
        <v>87</v>
      </c>
      <c r="E21" s="641"/>
      <c r="F21" s="642"/>
      <c r="G21" s="131" t="s">
        <v>42</v>
      </c>
      <c r="H21" s="649"/>
      <c r="I21" s="650"/>
      <c r="J21" s="650"/>
      <c r="K21" s="650"/>
      <c r="L21" s="650"/>
      <c r="M21" s="650"/>
      <c r="N21" s="650"/>
      <c r="O21" s="650"/>
      <c r="P21" s="650"/>
      <c r="Q21" s="651"/>
      <c r="R21" s="3"/>
    </row>
    <row r="22" spans="2:18">
      <c r="B22" s="5"/>
      <c r="C22" s="6"/>
      <c r="D22" s="8"/>
      <c r="E22" s="146"/>
      <c r="F22" s="7"/>
      <c r="G22" s="5"/>
      <c r="H22" s="1"/>
      <c r="I22" s="7"/>
      <c r="J22" s="7"/>
      <c r="K22" s="7"/>
      <c r="L22" s="7"/>
      <c r="M22" s="7"/>
      <c r="N22" s="7"/>
      <c r="O22" s="7"/>
      <c r="P22" s="7"/>
      <c r="Q22" s="7"/>
      <c r="R22" s="2"/>
    </row>
    <row r="23" spans="2:18">
      <c r="B23" s="5"/>
      <c r="C23" s="6" t="s">
        <v>88</v>
      </c>
      <c r="D23" s="640" t="s">
        <v>89</v>
      </c>
      <c r="E23" s="641"/>
      <c r="F23" s="642"/>
      <c r="G23" s="5"/>
      <c r="H23" s="646"/>
      <c r="I23" s="647"/>
      <c r="J23" s="647"/>
      <c r="K23" s="647"/>
      <c r="L23" s="647"/>
      <c r="M23" s="647"/>
      <c r="N23" s="647"/>
      <c r="O23" s="647"/>
      <c r="P23" s="647"/>
      <c r="Q23" s="648"/>
      <c r="R23" s="2"/>
    </row>
    <row r="24" spans="2:18">
      <c r="B24" s="5"/>
      <c r="C24" s="6"/>
      <c r="D24" s="8"/>
      <c r="E24" s="146"/>
      <c r="F24" s="7"/>
      <c r="G24" s="5"/>
      <c r="H24" s="7"/>
      <c r="I24" s="7"/>
      <c r="J24" s="7"/>
      <c r="K24" s="7"/>
      <c r="L24" s="7"/>
      <c r="M24" s="7"/>
      <c r="N24" s="7"/>
      <c r="O24" s="7"/>
      <c r="P24" s="7"/>
      <c r="Q24" s="7"/>
      <c r="R24" s="2"/>
    </row>
    <row r="25" spans="2:18">
      <c r="B25" s="5"/>
      <c r="C25" s="6" t="s">
        <v>90</v>
      </c>
      <c r="D25" s="640" t="s">
        <v>91</v>
      </c>
      <c r="E25" s="641"/>
      <c r="F25" s="642"/>
      <c r="G25" s="5"/>
      <c r="H25" s="646"/>
      <c r="I25" s="647"/>
      <c r="J25" s="647"/>
      <c r="K25" s="647"/>
      <c r="L25" s="647"/>
      <c r="M25" s="647"/>
      <c r="N25" s="647"/>
      <c r="O25" s="647"/>
      <c r="P25" s="647"/>
      <c r="Q25" s="648"/>
      <c r="R25" s="2"/>
    </row>
    <row r="26" spans="2:18">
      <c r="B26" s="11"/>
      <c r="C26" s="11"/>
      <c r="D26" s="12"/>
      <c r="E26" s="12"/>
      <c r="F26" s="12"/>
      <c r="G26" s="11"/>
      <c r="H26" s="12"/>
      <c r="I26" s="12"/>
      <c r="J26" s="12"/>
      <c r="K26" s="12"/>
      <c r="L26" s="12"/>
      <c r="M26" s="12"/>
      <c r="N26" s="12"/>
      <c r="O26" s="12"/>
      <c r="P26" s="12"/>
      <c r="Q26" s="12"/>
      <c r="R26" s="11"/>
    </row>
    <row r="27" spans="2:18" hidden="1">
      <c r="B27" s="5"/>
      <c r="C27" s="6" t="s">
        <v>92</v>
      </c>
      <c r="D27" s="640" t="s">
        <v>93</v>
      </c>
      <c r="E27" s="641"/>
      <c r="F27" s="642"/>
      <c r="G27" s="5"/>
      <c r="H27" s="646"/>
      <c r="I27" s="647"/>
      <c r="J27" s="647"/>
      <c r="K27" s="647"/>
      <c r="L27" s="647"/>
      <c r="M27" s="647"/>
      <c r="N27" s="647"/>
      <c r="O27" s="647"/>
      <c r="P27" s="647"/>
      <c r="Q27" s="648"/>
      <c r="R27" s="2"/>
    </row>
    <row r="28" spans="2:18" hidden="1">
      <c r="B28" s="5"/>
      <c r="C28" s="5"/>
      <c r="D28" s="7"/>
      <c r="E28" s="7"/>
      <c r="F28" s="7"/>
      <c r="G28" s="5"/>
      <c r="H28" s="7"/>
      <c r="I28" s="7"/>
      <c r="J28" s="7"/>
      <c r="K28" s="7"/>
      <c r="L28" s="7"/>
      <c r="M28" s="7"/>
      <c r="N28" s="7"/>
      <c r="O28" s="7"/>
      <c r="P28" s="7"/>
      <c r="Q28" s="7"/>
      <c r="R28" s="2"/>
    </row>
    <row r="29" spans="2:18" hidden="1">
      <c r="B29" s="5"/>
      <c r="C29" s="6" t="s">
        <v>94</v>
      </c>
      <c r="D29" s="652" t="s">
        <v>95</v>
      </c>
      <c r="E29" s="653"/>
      <c r="F29" s="654"/>
      <c r="G29" s="5"/>
      <c r="H29" s="646"/>
      <c r="I29" s="647"/>
      <c r="J29" s="647"/>
      <c r="K29" s="647"/>
      <c r="L29" s="647"/>
      <c r="M29" s="647"/>
      <c r="N29" s="647"/>
      <c r="O29" s="647"/>
      <c r="P29" s="647"/>
      <c r="Q29" s="648"/>
      <c r="R29" s="2"/>
    </row>
    <row r="30" spans="2:18" hidden="1">
      <c r="B30" s="5"/>
      <c r="C30" s="5"/>
      <c r="D30" s="7"/>
      <c r="E30" s="7"/>
      <c r="F30" s="7"/>
      <c r="G30" s="5"/>
      <c r="H30" s="7"/>
      <c r="I30" s="7"/>
      <c r="J30" s="7"/>
      <c r="K30" s="7"/>
      <c r="L30" s="7"/>
      <c r="M30" s="7"/>
      <c r="N30" s="7"/>
      <c r="O30" s="7"/>
      <c r="P30" s="7"/>
      <c r="Q30" s="7"/>
      <c r="R30" s="2"/>
    </row>
    <row r="31" spans="2:18" hidden="1">
      <c r="B31" s="5"/>
      <c r="C31" s="6" t="s">
        <v>96</v>
      </c>
      <c r="D31" s="652" t="s">
        <v>97</v>
      </c>
      <c r="E31" s="653"/>
      <c r="F31" s="654"/>
      <c r="G31" s="5"/>
      <c r="H31" s="646"/>
      <c r="I31" s="647"/>
      <c r="J31" s="647"/>
      <c r="K31" s="647"/>
      <c r="L31" s="647"/>
      <c r="M31" s="647"/>
      <c r="N31" s="647"/>
      <c r="O31" s="647"/>
      <c r="P31" s="647"/>
      <c r="Q31" s="648"/>
      <c r="R31" s="2"/>
    </row>
    <row r="32" spans="2:18" hidden="1">
      <c r="B32" s="5"/>
      <c r="C32" s="6"/>
      <c r="D32" s="8"/>
      <c r="E32" s="7"/>
      <c r="F32" s="7"/>
      <c r="G32" s="5"/>
      <c r="H32" s="7"/>
      <c r="I32" s="7"/>
      <c r="J32" s="7"/>
      <c r="K32" s="7"/>
      <c r="L32" s="7"/>
      <c r="M32" s="7"/>
      <c r="N32" s="13"/>
      <c r="O32" s="7"/>
      <c r="P32" s="7"/>
      <c r="Q32" s="7"/>
      <c r="R32" s="2"/>
    </row>
    <row r="33" spans="1:18" ht="20.25" hidden="1" customHeight="1">
      <c r="B33" s="5"/>
      <c r="C33" s="6" t="s">
        <v>98</v>
      </c>
      <c r="D33" s="652" t="s">
        <v>99</v>
      </c>
      <c r="E33" s="653"/>
      <c r="F33" s="654"/>
      <c r="G33" s="5"/>
      <c r="H33" s="646"/>
      <c r="I33" s="647"/>
      <c r="J33" s="647"/>
      <c r="K33" s="647"/>
      <c r="L33" s="647"/>
      <c r="M33" s="647"/>
      <c r="N33" s="647"/>
      <c r="O33" s="647"/>
      <c r="P33" s="647"/>
      <c r="Q33" s="648"/>
      <c r="R33" s="2"/>
    </row>
    <row r="34" spans="1:18" hidden="1">
      <c r="B34" s="5"/>
      <c r="C34" s="5"/>
      <c r="D34" s="5"/>
      <c r="E34" s="5"/>
      <c r="F34" s="5"/>
      <c r="G34" s="5"/>
      <c r="H34" s="7"/>
      <c r="I34" s="7"/>
      <c r="J34" s="7"/>
      <c r="K34" s="7"/>
      <c r="L34" s="7"/>
      <c r="M34" s="7"/>
      <c r="N34" s="7"/>
      <c r="O34" s="7"/>
      <c r="P34" s="7"/>
      <c r="Q34" s="7"/>
      <c r="R34" s="2"/>
    </row>
    <row r="35" spans="1:18">
      <c r="A35" s="16"/>
      <c r="B35" s="16"/>
      <c r="C35" s="16"/>
      <c r="D35" s="464" t="s">
        <v>43</v>
      </c>
      <c r="E35" s="15"/>
      <c r="F35" s="15"/>
      <c r="G35" s="15"/>
      <c r="H35" s="16"/>
      <c r="I35" s="16"/>
      <c r="J35" s="16"/>
      <c r="K35" s="16"/>
      <c r="L35" s="16"/>
      <c r="M35" s="16"/>
      <c r="N35" s="16"/>
      <c r="O35" s="16"/>
      <c r="P35" s="16"/>
      <c r="Q35" s="16"/>
      <c r="R35" s="16"/>
    </row>
    <row r="36" spans="1:18">
      <c r="B36" s="5"/>
      <c r="C36" s="5"/>
      <c r="D36" s="5"/>
      <c r="E36" s="5"/>
      <c r="F36" s="5"/>
      <c r="G36" s="5"/>
      <c r="H36" s="7"/>
      <c r="I36" s="7"/>
      <c r="J36" s="7"/>
      <c r="K36" s="7"/>
      <c r="L36" s="7"/>
      <c r="M36" s="7"/>
      <c r="N36" s="7"/>
      <c r="O36" s="7"/>
      <c r="P36" s="7"/>
      <c r="Q36" s="7"/>
      <c r="R36" s="2"/>
    </row>
    <row r="37" spans="1:18">
      <c r="B37" s="10"/>
      <c r="C37" s="6" t="s">
        <v>44</v>
      </c>
      <c r="D37" s="658" t="s">
        <v>45</v>
      </c>
      <c r="E37" s="659"/>
      <c r="F37" s="660"/>
      <c r="G37" s="131" t="s">
        <v>42</v>
      </c>
      <c r="H37" s="646"/>
      <c r="I37" s="647"/>
      <c r="J37" s="647"/>
      <c r="K37" s="647"/>
      <c r="L37" s="647"/>
      <c r="M37" s="647"/>
      <c r="N37" s="647"/>
      <c r="O37" s="647"/>
      <c r="P37" s="647"/>
      <c r="Q37" s="648"/>
      <c r="R37" s="6"/>
    </row>
    <row r="38" spans="1:18">
      <c r="B38" s="5"/>
      <c r="C38" s="10"/>
      <c r="D38" s="7"/>
      <c r="E38" s="7"/>
      <c r="F38" s="7"/>
      <c r="G38" s="5"/>
      <c r="H38" s="7"/>
      <c r="I38" s="7"/>
      <c r="J38" s="7"/>
      <c r="K38" s="7"/>
      <c r="L38" s="7"/>
      <c r="M38" s="7"/>
      <c r="N38" s="7"/>
      <c r="O38" s="7"/>
      <c r="P38" s="7"/>
      <c r="Q38" s="7"/>
      <c r="R38" s="2"/>
    </row>
    <row r="39" spans="1:18" ht="27.75" customHeight="1">
      <c r="B39" s="5"/>
      <c r="C39" s="10" t="s">
        <v>46</v>
      </c>
      <c r="D39" s="661" t="s">
        <v>47</v>
      </c>
      <c r="E39" s="662"/>
      <c r="F39" s="663"/>
      <c r="G39" s="5"/>
      <c r="H39" s="646"/>
      <c r="I39" s="647"/>
      <c r="J39" s="647"/>
      <c r="K39" s="647"/>
      <c r="L39" s="647"/>
      <c r="M39" s="647"/>
      <c r="N39" s="647"/>
      <c r="O39" s="647"/>
      <c r="P39" s="647"/>
      <c r="Q39" s="648"/>
      <c r="R39" s="2"/>
    </row>
    <row r="40" spans="1:18">
      <c r="B40" s="5"/>
      <c r="C40" s="6"/>
      <c r="D40" s="7"/>
      <c r="E40" s="7"/>
      <c r="F40" s="7"/>
      <c r="G40" s="5"/>
      <c r="H40" s="7"/>
      <c r="I40" s="7"/>
      <c r="J40" s="7"/>
      <c r="K40" s="7"/>
      <c r="L40" s="7"/>
      <c r="M40" s="7"/>
      <c r="N40" s="7"/>
      <c r="O40" s="7"/>
      <c r="P40" s="7"/>
      <c r="Q40" s="7"/>
      <c r="R40" s="2"/>
    </row>
    <row r="41" spans="1:18" ht="57" customHeight="1">
      <c r="B41" s="10"/>
      <c r="C41" s="10" t="s">
        <v>49</v>
      </c>
      <c r="D41" s="661" t="s">
        <v>100</v>
      </c>
      <c r="E41" s="662"/>
      <c r="F41" s="663"/>
      <c r="G41" s="132" t="s">
        <v>42</v>
      </c>
      <c r="H41" s="646"/>
      <c r="I41" s="647"/>
      <c r="J41" s="647"/>
      <c r="K41" s="647"/>
      <c r="L41" s="647"/>
      <c r="M41" s="647"/>
      <c r="N41" s="647"/>
      <c r="O41" s="647"/>
      <c r="P41" s="647"/>
      <c r="Q41" s="648"/>
      <c r="R41" s="6"/>
    </row>
    <row r="42" spans="1:18">
      <c r="B42" s="5"/>
      <c r="C42" s="10"/>
      <c r="D42" s="7"/>
      <c r="E42" s="7"/>
      <c r="F42" s="7"/>
      <c r="G42" s="5"/>
      <c r="H42" s="7"/>
      <c r="I42" s="7"/>
      <c r="J42" s="7"/>
      <c r="K42" s="7"/>
      <c r="L42" s="7"/>
      <c r="M42" s="7"/>
      <c r="N42" s="7"/>
      <c r="O42" s="7"/>
      <c r="P42" s="7"/>
      <c r="Q42" s="7"/>
      <c r="R42" s="2"/>
    </row>
    <row r="43" spans="1:18" ht="57.75" customHeight="1">
      <c r="B43" s="5"/>
      <c r="C43" s="6" t="s">
        <v>51</v>
      </c>
      <c r="D43" s="661" t="s">
        <v>52</v>
      </c>
      <c r="E43" s="662"/>
      <c r="F43" s="663"/>
      <c r="G43" s="5"/>
      <c r="H43" s="646"/>
      <c r="I43" s="647"/>
      <c r="J43" s="647"/>
      <c r="K43" s="647"/>
      <c r="L43" s="647"/>
      <c r="M43" s="647"/>
      <c r="N43" s="647"/>
      <c r="O43" s="647"/>
      <c r="P43" s="647"/>
      <c r="Q43" s="648"/>
      <c r="R43" s="2"/>
    </row>
    <row r="44" spans="1:18">
      <c r="B44" s="10"/>
      <c r="C44" s="10"/>
      <c r="D44" s="10"/>
      <c r="E44" s="10"/>
      <c r="F44" s="10"/>
      <c r="G44" s="10"/>
      <c r="H44" s="10"/>
      <c r="I44" s="10"/>
      <c r="J44" s="10"/>
      <c r="K44" s="10"/>
      <c r="L44" s="10"/>
      <c r="M44" s="10"/>
      <c r="N44" s="10"/>
      <c r="O44" s="10"/>
      <c r="P44" s="10"/>
      <c r="Q44" s="10"/>
      <c r="R44" s="10"/>
    </row>
    <row r="45" spans="1:18" ht="54" customHeight="1">
      <c r="B45" s="5"/>
      <c r="C45" s="10" t="s">
        <v>53</v>
      </c>
      <c r="D45" s="661" t="s">
        <v>54</v>
      </c>
      <c r="E45" s="662"/>
      <c r="F45" s="663"/>
      <c r="G45" s="5"/>
      <c r="H45" s="646"/>
      <c r="I45" s="647"/>
      <c r="J45" s="647"/>
      <c r="K45" s="647"/>
      <c r="L45" s="647"/>
      <c r="M45" s="647"/>
      <c r="N45" s="647"/>
      <c r="O45" s="647"/>
      <c r="P45" s="647"/>
      <c r="Q45" s="648"/>
      <c r="R45" s="2"/>
    </row>
    <row r="46" spans="1:18">
      <c r="B46" s="10"/>
      <c r="C46" s="10"/>
      <c r="D46" s="10"/>
      <c r="E46" s="10"/>
      <c r="F46" s="10"/>
      <c r="G46" s="10"/>
      <c r="H46" s="10"/>
      <c r="I46" s="10"/>
      <c r="J46" s="10"/>
      <c r="K46" s="10"/>
      <c r="L46" s="10"/>
      <c r="M46" s="10"/>
      <c r="N46" s="10"/>
      <c r="O46" s="10"/>
      <c r="P46" s="10"/>
      <c r="Q46" s="10"/>
      <c r="R46" s="10"/>
    </row>
    <row r="47" spans="1:18" ht="82.5" customHeight="1">
      <c r="B47" s="5"/>
      <c r="C47" s="10" t="s">
        <v>55</v>
      </c>
      <c r="D47" s="661" t="s">
        <v>56</v>
      </c>
      <c r="E47" s="662"/>
      <c r="F47" s="663"/>
      <c r="G47" s="5"/>
      <c r="H47" s="646"/>
      <c r="I47" s="647"/>
      <c r="J47" s="647"/>
      <c r="K47" s="647"/>
      <c r="L47" s="647"/>
      <c r="M47" s="647"/>
      <c r="N47" s="647"/>
      <c r="O47" s="647"/>
      <c r="P47" s="647"/>
      <c r="Q47" s="648"/>
      <c r="R47" s="2"/>
    </row>
    <row r="48" spans="1:18" hidden="1">
      <c r="B48" s="10"/>
      <c r="C48" s="10"/>
      <c r="D48" s="10"/>
      <c r="E48" s="10"/>
      <c r="F48" s="10"/>
      <c r="G48" s="10"/>
      <c r="H48" s="10"/>
      <c r="I48" s="10"/>
      <c r="J48" s="10"/>
      <c r="K48" s="10"/>
      <c r="L48" s="10"/>
      <c r="M48" s="10"/>
      <c r="N48" s="10"/>
      <c r="O48" s="10"/>
      <c r="P48" s="10"/>
      <c r="Q48" s="10"/>
      <c r="R48" s="10"/>
    </row>
    <row r="49" spans="2:18" ht="145.5" hidden="1" customHeight="1">
      <c r="B49" s="5"/>
      <c r="C49" s="6" t="s">
        <v>57</v>
      </c>
      <c r="D49" s="661" t="s">
        <v>58</v>
      </c>
      <c r="E49" s="662"/>
      <c r="F49" s="663"/>
      <c r="G49" s="5"/>
      <c r="H49" s="646"/>
      <c r="I49" s="647"/>
      <c r="J49" s="647"/>
      <c r="K49" s="647"/>
      <c r="L49" s="647"/>
      <c r="M49" s="647"/>
      <c r="N49" s="647"/>
      <c r="O49" s="647"/>
      <c r="P49" s="647"/>
      <c r="Q49" s="648"/>
      <c r="R49" s="2"/>
    </row>
    <row r="50" spans="2:18" hidden="1">
      <c r="B50" s="5"/>
      <c r="C50" s="5"/>
      <c r="D50" s="5"/>
      <c r="E50" s="5"/>
      <c r="F50" s="5"/>
      <c r="G50" s="5"/>
      <c r="H50" s="10"/>
      <c r="I50" s="10"/>
      <c r="J50" s="10"/>
      <c r="K50" s="10"/>
      <c r="L50" s="10"/>
      <c r="M50" s="10"/>
      <c r="N50" s="10"/>
      <c r="O50" s="10"/>
      <c r="P50" s="10"/>
      <c r="Q50" s="10"/>
      <c r="R50" s="2"/>
    </row>
    <row r="51" spans="2:18" ht="75" hidden="1" customHeight="1">
      <c r="B51" s="5"/>
      <c r="C51" s="10" t="s">
        <v>59</v>
      </c>
      <c r="D51" s="661" t="s">
        <v>60</v>
      </c>
      <c r="E51" s="662"/>
      <c r="F51" s="663"/>
      <c r="G51" s="5"/>
      <c r="H51" s="646"/>
      <c r="I51" s="647"/>
      <c r="J51" s="647"/>
      <c r="K51" s="647"/>
      <c r="L51" s="647"/>
      <c r="M51" s="647"/>
      <c r="N51" s="647"/>
      <c r="O51" s="647"/>
      <c r="P51" s="647"/>
      <c r="Q51" s="648"/>
      <c r="R51" s="2"/>
    </row>
    <row r="52" spans="2:18" hidden="1">
      <c r="B52" s="5"/>
      <c r="C52" s="6"/>
      <c r="D52" s="5"/>
      <c r="E52" s="5"/>
      <c r="F52" s="5"/>
      <c r="G52" s="5"/>
      <c r="H52" s="10"/>
      <c r="I52" s="10"/>
      <c r="J52" s="10"/>
      <c r="K52" s="10"/>
      <c r="L52" s="10"/>
      <c r="M52" s="10"/>
      <c r="N52" s="10"/>
      <c r="O52" s="10"/>
      <c r="P52" s="10"/>
      <c r="Q52" s="10"/>
      <c r="R52" s="2"/>
    </row>
    <row r="53" spans="2:18" ht="88.5" hidden="1" customHeight="1">
      <c r="B53" s="5"/>
      <c r="C53" s="10" t="s">
        <v>61</v>
      </c>
      <c r="D53" s="661" t="s">
        <v>62</v>
      </c>
      <c r="E53" s="662"/>
      <c r="F53" s="663"/>
      <c r="G53" s="5"/>
      <c r="H53" s="646"/>
      <c r="I53" s="647"/>
      <c r="J53" s="647"/>
      <c r="K53" s="647"/>
      <c r="L53" s="647"/>
      <c r="M53" s="647"/>
      <c r="N53" s="647"/>
      <c r="O53" s="647"/>
      <c r="P53" s="647"/>
      <c r="Q53" s="648"/>
      <c r="R53" s="2"/>
    </row>
    <row r="54" spans="2:18" hidden="1">
      <c r="B54" s="5"/>
      <c r="C54" s="10"/>
      <c r="D54" s="5"/>
      <c r="E54" s="5"/>
      <c r="F54" s="5"/>
      <c r="G54" s="5"/>
      <c r="H54" s="10"/>
      <c r="I54" s="10"/>
      <c r="J54" s="10"/>
      <c r="K54" s="10"/>
      <c r="L54" s="10"/>
      <c r="M54" s="10"/>
      <c r="N54" s="10"/>
      <c r="O54" s="10"/>
      <c r="P54" s="10"/>
      <c r="Q54" s="10"/>
      <c r="R54" s="2"/>
    </row>
    <row r="55" spans="2:18" ht="170.25" hidden="1" customHeight="1">
      <c r="B55" s="5"/>
      <c r="C55" s="10" t="s">
        <v>63</v>
      </c>
      <c r="D55" s="661" t="s">
        <v>101</v>
      </c>
      <c r="E55" s="662"/>
      <c r="F55" s="663"/>
      <c r="G55" s="5"/>
      <c r="H55" s="646"/>
      <c r="I55" s="647"/>
      <c r="J55" s="647"/>
      <c r="K55" s="647"/>
      <c r="L55" s="647"/>
      <c r="M55" s="647"/>
      <c r="N55" s="647"/>
      <c r="O55" s="647"/>
      <c r="P55" s="647"/>
      <c r="Q55" s="648"/>
      <c r="R55" s="2"/>
    </row>
    <row r="56" spans="2:18">
      <c r="B56" s="5"/>
      <c r="C56" s="5"/>
      <c r="D56" s="5"/>
      <c r="E56" s="5"/>
      <c r="F56" s="5"/>
      <c r="G56" s="5"/>
      <c r="H56" s="10"/>
      <c r="I56" s="10"/>
      <c r="J56" s="10"/>
      <c r="K56" s="10"/>
      <c r="L56" s="10"/>
      <c r="M56" s="10"/>
      <c r="N56" s="10"/>
      <c r="O56" s="10"/>
      <c r="P56" s="10"/>
      <c r="Q56" s="10"/>
      <c r="R56" s="2"/>
    </row>
    <row r="57" spans="2:18">
      <c r="B57" s="5"/>
      <c r="C57" s="10" t="s">
        <v>102</v>
      </c>
      <c r="D57" s="658" t="s">
        <v>103</v>
      </c>
      <c r="E57" s="659"/>
      <c r="F57" s="660"/>
      <c r="G57" s="5"/>
      <c r="H57" s="646"/>
      <c r="I57" s="647"/>
      <c r="J57" s="647"/>
      <c r="K57" s="647"/>
      <c r="L57" s="647"/>
      <c r="M57" s="647"/>
      <c r="N57" s="647"/>
      <c r="O57" s="647"/>
      <c r="P57" s="647"/>
      <c r="Q57" s="648"/>
      <c r="R57" s="2"/>
    </row>
    <row r="58" spans="2:18">
      <c r="B58" s="5"/>
      <c r="C58" s="5"/>
      <c r="D58" s="5"/>
      <c r="E58" s="5"/>
      <c r="F58" s="5"/>
      <c r="G58" s="5"/>
      <c r="H58" s="10"/>
      <c r="I58" s="10"/>
      <c r="J58" s="10"/>
      <c r="K58" s="10"/>
      <c r="L58" s="10"/>
      <c r="M58" s="10"/>
      <c r="N58" s="10"/>
      <c r="O58" s="10"/>
      <c r="P58" s="10"/>
      <c r="Q58" s="10"/>
      <c r="R58" s="2"/>
    </row>
    <row r="59" spans="2:18">
      <c r="B59" s="5"/>
      <c r="C59" s="10" t="s">
        <v>104</v>
      </c>
      <c r="D59" s="658" t="s">
        <v>105</v>
      </c>
      <c r="E59" s="659"/>
      <c r="F59" s="660"/>
      <c r="G59" s="5"/>
      <c r="H59" s="646"/>
      <c r="I59" s="647"/>
      <c r="J59" s="647"/>
      <c r="K59" s="647"/>
      <c r="L59" s="647"/>
      <c r="M59" s="647"/>
      <c r="N59" s="647"/>
      <c r="O59" s="647"/>
      <c r="P59" s="647"/>
      <c r="Q59" s="648"/>
      <c r="R59" s="2"/>
    </row>
    <row r="60" spans="2:18">
      <c r="B60" s="5"/>
      <c r="C60" s="5"/>
      <c r="D60" s="5"/>
      <c r="E60" s="5"/>
      <c r="F60" s="5"/>
      <c r="G60" s="5"/>
      <c r="H60" s="10"/>
      <c r="I60" s="10"/>
      <c r="J60" s="10"/>
      <c r="K60" s="10"/>
      <c r="L60" s="10"/>
      <c r="M60" s="10"/>
      <c r="N60" s="10"/>
      <c r="O60" s="10"/>
      <c r="P60" s="10"/>
      <c r="Q60" s="10"/>
      <c r="R60" s="2"/>
    </row>
    <row r="61" spans="2:18">
      <c r="B61" s="5"/>
      <c r="C61" s="10" t="s">
        <v>106</v>
      </c>
      <c r="D61" s="658" t="s">
        <v>107</v>
      </c>
      <c r="E61" s="659"/>
      <c r="F61" s="660"/>
      <c r="G61" s="5"/>
      <c r="H61" s="646"/>
      <c r="I61" s="647"/>
      <c r="J61" s="647"/>
      <c r="K61" s="647"/>
      <c r="L61" s="647"/>
      <c r="M61" s="647"/>
      <c r="N61" s="647"/>
      <c r="O61" s="647"/>
      <c r="P61" s="647"/>
      <c r="Q61" s="648"/>
      <c r="R61" s="2"/>
    </row>
    <row r="62" spans="2:18" hidden="1">
      <c r="B62" s="5"/>
      <c r="C62" s="5"/>
      <c r="D62" s="5"/>
      <c r="E62" s="5"/>
      <c r="F62" s="5"/>
      <c r="G62" s="5"/>
      <c r="H62" s="10"/>
      <c r="I62" s="10"/>
      <c r="J62" s="10"/>
      <c r="K62" s="10"/>
      <c r="L62" s="10"/>
      <c r="M62" s="10"/>
      <c r="N62" s="10"/>
      <c r="O62" s="10"/>
      <c r="P62" s="10"/>
      <c r="Q62" s="10"/>
      <c r="R62" s="2"/>
    </row>
    <row r="63" spans="2:18" hidden="1">
      <c r="B63" s="5"/>
      <c r="C63" s="10" t="s">
        <v>108</v>
      </c>
      <c r="D63" s="658" t="s">
        <v>109</v>
      </c>
      <c r="E63" s="659"/>
      <c r="F63" s="660"/>
      <c r="G63" s="5"/>
      <c r="H63" s="646"/>
      <c r="I63" s="647"/>
      <c r="J63" s="647"/>
      <c r="K63" s="647"/>
      <c r="L63" s="647"/>
      <c r="M63" s="647"/>
      <c r="N63" s="647"/>
      <c r="O63" s="647"/>
      <c r="P63" s="647"/>
      <c r="Q63" s="648"/>
      <c r="R63" s="2"/>
    </row>
    <row r="64" spans="2:18">
      <c r="B64" s="5"/>
      <c r="C64" s="5"/>
      <c r="D64" s="5"/>
      <c r="E64" s="5"/>
      <c r="F64" s="5"/>
      <c r="G64" s="5"/>
      <c r="H64" s="10"/>
      <c r="I64" s="10"/>
      <c r="J64" s="10"/>
      <c r="K64" s="10"/>
      <c r="L64" s="10"/>
      <c r="M64" s="10"/>
      <c r="N64" s="10"/>
      <c r="O64" s="10"/>
      <c r="P64" s="10"/>
      <c r="Q64" s="10"/>
      <c r="R64" s="2"/>
    </row>
    <row r="65" spans="2:18">
      <c r="B65" s="5"/>
      <c r="C65" s="10" t="s">
        <v>110</v>
      </c>
      <c r="D65" s="658" t="s">
        <v>111</v>
      </c>
      <c r="E65" s="659"/>
      <c r="F65" s="660"/>
      <c r="G65" s="5"/>
      <c r="H65" s="646"/>
      <c r="I65" s="647"/>
      <c r="J65" s="647"/>
      <c r="K65" s="647"/>
      <c r="L65" s="647"/>
      <c r="M65" s="647"/>
      <c r="N65" s="647"/>
      <c r="O65" s="647"/>
      <c r="P65" s="647"/>
      <c r="Q65" s="648"/>
      <c r="R65" s="2"/>
    </row>
    <row r="66" spans="2:18">
      <c r="B66" s="5"/>
      <c r="C66" s="5"/>
      <c r="D66" s="5"/>
      <c r="E66" s="5"/>
      <c r="F66" s="5"/>
      <c r="G66" s="5"/>
      <c r="H66" s="10"/>
      <c r="I66" s="10"/>
      <c r="J66" s="10"/>
      <c r="K66" s="10"/>
      <c r="L66" s="10"/>
      <c r="M66" s="10"/>
      <c r="N66" s="10"/>
      <c r="O66" s="10"/>
      <c r="P66" s="10"/>
      <c r="Q66" s="10"/>
      <c r="R66" s="2"/>
    </row>
    <row r="67" spans="2:18">
      <c r="B67" s="5"/>
      <c r="C67" s="10" t="s">
        <v>112</v>
      </c>
      <c r="D67" s="658" t="s">
        <v>113</v>
      </c>
      <c r="E67" s="659"/>
      <c r="F67" s="660"/>
      <c r="G67" s="5"/>
      <c r="H67" s="646"/>
      <c r="I67" s="647"/>
      <c r="J67" s="647"/>
      <c r="K67" s="647"/>
      <c r="L67" s="647"/>
      <c r="M67" s="647"/>
      <c r="N67" s="647"/>
      <c r="O67" s="647"/>
      <c r="P67" s="647"/>
      <c r="Q67" s="648"/>
      <c r="R67" s="2"/>
    </row>
    <row r="68" spans="2:18">
      <c r="B68" s="5"/>
      <c r="C68" s="5"/>
      <c r="D68" s="5"/>
      <c r="E68" s="5"/>
      <c r="F68" s="5"/>
      <c r="G68" s="5"/>
      <c r="H68" s="10"/>
      <c r="I68" s="10"/>
      <c r="J68" s="10"/>
      <c r="K68" s="10"/>
      <c r="L68" s="10"/>
      <c r="M68" s="10"/>
      <c r="N68" s="10"/>
      <c r="O68" s="10"/>
      <c r="P68" s="10"/>
      <c r="Q68" s="10"/>
      <c r="R68" s="2"/>
    </row>
    <row r="69" spans="2:18">
      <c r="B69" s="5"/>
      <c r="C69" s="10" t="s">
        <v>114</v>
      </c>
      <c r="D69" s="658" t="s">
        <v>115</v>
      </c>
      <c r="E69" s="659"/>
      <c r="F69" s="660"/>
      <c r="G69" s="5"/>
      <c r="H69" s="646"/>
      <c r="I69" s="647"/>
      <c r="J69" s="647"/>
      <c r="K69" s="647"/>
      <c r="L69" s="647"/>
      <c r="M69" s="647"/>
      <c r="N69" s="647"/>
      <c r="O69" s="647"/>
      <c r="P69" s="647"/>
      <c r="Q69" s="648"/>
      <c r="R69" s="2"/>
    </row>
    <row r="70" spans="2:18">
      <c r="B70" s="5"/>
      <c r="C70" s="5"/>
      <c r="D70" s="5"/>
      <c r="E70" s="5"/>
      <c r="F70" s="5"/>
      <c r="G70" s="5"/>
      <c r="H70" s="10"/>
      <c r="I70" s="10"/>
      <c r="J70" s="10"/>
      <c r="K70" s="10"/>
      <c r="L70" s="10"/>
      <c r="M70" s="10"/>
      <c r="N70" s="10"/>
      <c r="O70" s="10"/>
      <c r="P70" s="10"/>
      <c r="Q70" s="10"/>
      <c r="R70" s="2"/>
    </row>
    <row r="71" spans="2:18">
      <c r="B71" s="5"/>
      <c r="C71" s="10" t="s">
        <v>116</v>
      </c>
      <c r="D71" s="658" t="s">
        <v>117</v>
      </c>
      <c r="E71" s="659"/>
      <c r="F71" s="660"/>
      <c r="G71" s="5"/>
      <c r="H71" s="646"/>
      <c r="I71" s="647"/>
      <c r="J71" s="647"/>
      <c r="K71" s="647"/>
      <c r="L71" s="647"/>
      <c r="M71" s="647"/>
      <c r="N71" s="647"/>
      <c r="O71" s="647"/>
      <c r="P71" s="647"/>
      <c r="Q71" s="648"/>
      <c r="R71" s="2"/>
    </row>
    <row r="72" spans="2:18">
      <c r="B72" s="5"/>
      <c r="C72" s="5"/>
      <c r="D72" s="5"/>
      <c r="E72" s="5"/>
      <c r="F72" s="5"/>
      <c r="G72" s="5"/>
      <c r="H72" s="10"/>
      <c r="I72" s="10"/>
      <c r="J72" s="10"/>
      <c r="K72" s="10"/>
      <c r="L72" s="10"/>
      <c r="M72" s="10"/>
      <c r="N72" s="10"/>
      <c r="O72" s="10"/>
      <c r="P72" s="10"/>
      <c r="Q72" s="10"/>
      <c r="R72" s="2"/>
    </row>
    <row r="73" spans="2:18">
      <c r="B73" s="5"/>
      <c r="C73" s="10" t="s">
        <v>118</v>
      </c>
      <c r="D73" s="658" t="s">
        <v>119</v>
      </c>
      <c r="E73" s="659"/>
      <c r="F73" s="660"/>
      <c r="G73" s="5"/>
      <c r="H73" s="646"/>
      <c r="I73" s="647"/>
      <c r="J73" s="647"/>
      <c r="K73" s="647"/>
      <c r="L73" s="647"/>
      <c r="M73" s="647"/>
      <c r="N73" s="647"/>
      <c r="O73" s="647"/>
      <c r="P73" s="647"/>
      <c r="Q73" s="648"/>
      <c r="R73" s="2"/>
    </row>
    <row r="74" spans="2:18" hidden="1">
      <c r="B74" s="5"/>
      <c r="C74" s="5"/>
      <c r="D74" s="5"/>
      <c r="E74" s="5"/>
      <c r="F74" s="5"/>
      <c r="G74" s="5"/>
      <c r="H74" s="10"/>
      <c r="I74" s="10"/>
      <c r="J74" s="10"/>
      <c r="K74" s="10"/>
      <c r="L74" s="10"/>
      <c r="M74" s="10"/>
      <c r="N74" s="10"/>
      <c r="O74" s="10"/>
      <c r="P74" s="10"/>
      <c r="Q74" s="10"/>
      <c r="R74" s="2"/>
    </row>
    <row r="75" spans="2:18" hidden="1">
      <c r="B75" s="5"/>
      <c r="C75" s="10" t="s">
        <v>120</v>
      </c>
      <c r="D75" s="658" t="s">
        <v>121</v>
      </c>
      <c r="E75" s="659"/>
      <c r="F75" s="660"/>
      <c r="G75" s="5"/>
      <c r="H75" s="646"/>
      <c r="I75" s="647"/>
      <c r="J75" s="647"/>
      <c r="K75" s="647"/>
      <c r="L75" s="647"/>
      <c r="M75" s="647"/>
      <c r="N75" s="647"/>
      <c r="O75" s="647"/>
      <c r="P75" s="647"/>
      <c r="Q75" s="648"/>
      <c r="R75" s="2"/>
    </row>
    <row r="76" spans="2:18">
      <c r="B76" s="5"/>
      <c r="C76" s="5"/>
      <c r="D76" s="5"/>
      <c r="E76" s="5"/>
      <c r="F76" s="5"/>
      <c r="G76" s="5"/>
      <c r="H76" s="10"/>
      <c r="I76" s="10"/>
      <c r="J76" s="10"/>
      <c r="K76" s="10"/>
      <c r="L76" s="10"/>
      <c r="M76" s="10"/>
      <c r="N76" s="10"/>
      <c r="O76" s="10"/>
      <c r="P76" s="10"/>
      <c r="Q76" s="10"/>
      <c r="R76" s="2"/>
    </row>
    <row r="77" spans="2:18">
      <c r="B77" s="5"/>
      <c r="C77" s="10" t="s">
        <v>122</v>
      </c>
      <c r="D77" s="658" t="s">
        <v>123</v>
      </c>
      <c r="E77" s="659"/>
      <c r="F77" s="660"/>
      <c r="G77" s="5"/>
      <c r="H77" s="646"/>
      <c r="I77" s="647"/>
      <c r="J77" s="647"/>
      <c r="K77" s="647"/>
      <c r="L77" s="647"/>
      <c r="M77" s="647"/>
      <c r="N77" s="647"/>
      <c r="O77" s="647"/>
      <c r="P77" s="647"/>
      <c r="Q77" s="648"/>
      <c r="R77" s="2"/>
    </row>
    <row r="78" spans="2:18">
      <c r="B78" s="5"/>
      <c r="C78" s="5"/>
      <c r="D78" s="5"/>
      <c r="E78" s="5"/>
      <c r="F78" s="5"/>
      <c r="G78" s="5"/>
      <c r="H78" s="10"/>
      <c r="I78" s="10"/>
      <c r="J78" s="10"/>
      <c r="K78" s="10"/>
      <c r="L78" s="10"/>
      <c r="M78" s="10"/>
      <c r="N78" s="10"/>
      <c r="O78" s="10"/>
      <c r="P78" s="10"/>
      <c r="Q78" s="10"/>
      <c r="R78" s="2"/>
    </row>
    <row r="79" spans="2:18">
      <c r="B79" s="5"/>
      <c r="C79" s="10" t="s">
        <v>124</v>
      </c>
      <c r="D79" s="658" t="s">
        <v>125</v>
      </c>
      <c r="E79" s="659"/>
      <c r="F79" s="660"/>
      <c r="G79" s="5"/>
      <c r="H79" s="646"/>
      <c r="I79" s="647"/>
      <c r="J79" s="647"/>
      <c r="K79" s="647"/>
      <c r="L79" s="647"/>
      <c r="M79" s="647"/>
      <c r="N79" s="647"/>
      <c r="O79" s="647"/>
      <c r="P79" s="647"/>
      <c r="Q79" s="648"/>
      <c r="R79" s="2"/>
    </row>
    <row r="80" spans="2:18">
      <c r="B80" s="5"/>
      <c r="C80" s="5"/>
      <c r="D80" s="5"/>
      <c r="E80" s="5"/>
      <c r="F80" s="5"/>
      <c r="G80" s="5"/>
      <c r="H80" s="10"/>
      <c r="I80" s="10"/>
      <c r="J80" s="10"/>
      <c r="K80" s="10"/>
      <c r="L80" s="10"/>
      <c r="M80" s="10"/>
      <c r="N80" s="10"/>
      <c r="O80" s="10"/>
      <c r="P80" s="10"/>
      <c r="Q80" s="10"/>
      <c r="R80" s="2"/>
    </row>
    <row r="81" spans="1:18">
      <c r="B81" s="5"/>
      <c r="C81" s="10" t="s">
        <v>126</v>
      </c>
      <c r="D81" s="658" t="s">
        <v>127</v>
      </c>
      <c r="E81" s="659"/>
      <c r="F81" s="660"/>
      <c r="G81" s="5"/>
      <c r="H81" s="646"/>
      <c r="I81" s="647"/>
      <c r="J81" s="647"/>
      <c r="K81" s="647"/>
      <c r="L81" s="647"/>
      <c r="M81" s="647"/>
      <c r="N81" s="647"/>
      <c r="O81" s="647"/>
      <c r="P81" s="647"/>
      <c r="Q81" s="648"/>
      <c r="R81" s="2"/>
    </row>
    <row r="82" spans="1:18">
      <c r="B82" s="5"/>
      <c r="C82" s="5"/>
      <c r="D82" s="5"/>
      <c r="E82" s="5"/>
      <c r="F82" s="5"/>
      <c r="G82" s="5"/>
      <c r="H82" s="10"/>
      <c r="I82" s="10"/>
      <c r="J82" s="10"/>
      <c r="K82" s="10"/>
      <c r="L82" s="10"/>
      <c r="M82" s="10"/>
      <c r="N82" s="10"/>
      <c r="O82" s="10"/>
      <c r="P82" s="10"/>
      <c r="Q82" s="10"/>
      <c r="R82" s="2"/>
    </row>
    <row r="83" spans="1:18">
      <c r="B83" s="5"/>
      <c r="C83" s="10" t="s">
        <v>128</v>
      </c>
      <c r="D83" s="658" t="s">
        <v>129</v>
      </c>
      <c r="E83" s="659"/>
      <c r="F83" s="660"/>
      <c r="G83" s="5"/>
      <c r="H83" s="646"/>
      <c r="I83" s="647"/>
      <c r="J83" s="647"/>
      <c r="K83" s="647"/>
      <c r="L83" s="647"/>
      <c r="M83" s="647"/>
      <c r="N83" s="647"/>
      <c r="O83" s="647"/>
      <c r="P83" s="647"/>
      <c r="Q83" s="648"/>
      <c r="R83" s="2"/>
    </row>
    <row r="84" spans="1:18">
      <c r="B84" s="5"/>
      <c r="C84" s="5"/>
      <c r="D84" s="5"/>
      <c r="E84" s="5"/>
      <c r="F84" s="5"/>
      <c r="G84" s="5"/>
      <c r="H84" s="10"/>
      <c r="I84" s="10"/>
      <c r="J84" s="10"/>
      <c r="K84" s="10"/>
      <c r="L84" s="10"/>
      <c r="M84" s="10"/>
      <c r="N84" s="10"/>
      <c r="O84" s="10"/>
      <c r="P84" s="10"/>
      <c r="Q84" s="10"/>
      <c r="R84" s="2"/>
    </row>
    <row r="85" spans="1:18">
      <c r="B85" s="5"/>
      <c r="C85" s="10" t="s">
        <v>130</v>
      </c>
      <c r="D85" s="658" t="s">
        <v>131</v>
      </c>
      <c r="E85" s="659"/>
      <c r="F85" s="660"/>
      <c r="G85" s="5"/>
      <c r="H85" s="646"/>
      <c r="I85" s="647"/>
      <c r="J85" s="647"/>
      <c r="K85" s="647"/>
      <c r="L85" s="647"/>
      <c r="M85" s="647"/>
      <c r="N85" s="647"/>
      <c r="O85" s="647"/>
      <c r="P85" s="647"/>
      <c r="Q85" s="648"/>
      <c r="R85" s="2"/>
    </row>
    <row r="86" spans="1:18">
      <c r="B86" s="5"/>
      <c r="C86" s="5"/>
      <c r="D86" s="5"/>
      <c r="E86" s="5"/>
      <c r="F86" s="5"/>
      <c r="G86" s="5"/>
      <c r="H86" s="10"/>
      <c r="I86" s="10"/>
      <c r="J86" s="10"/>
      <c r="K86" s="10"/>
      <c r="L86" s="10"/>
      <c r="M86" s="10"/>
      <c r="N86" s="10"/>
      <c r="O86" s="10"/>
      <c r="P86" s="10"/>
      <c r="Q86" s="10"/>
      <c r="R86" s="2"/>
    </row>
    <row r="87" spans="1:18">
      <c r="B87" s="5"/>
      <c r="C87" s="10" t="s">
        <v>132</v>
      </c>
      <c r="D87" s="658" t="s">
        <v>133</v>
      </c>
      <c r="E87" s="659"/>
      <c r="F87" s="660"/>
      <c r="G87" s="5"/>
      <c r="H87" s="646"/>
      <c r="I87" s="647"/>
      <c r="J87" s="647"/>
      <c r="K87" s="647"/>
      <c r="L87" s="647"/>
      <c r="M87" s="647"/>
      <c r="N87" s="647"/>
      <c r="O87" s="647"/>
      <c r="P87" s="647"/>
      <c r="Q87" s="648"/>
      <c r="R87" s="2"/>
    </row>
    <row r="88" spans="1:18">
      <c r="B88" s="5"/>
      <c r="C88" s="5"/>
      <c r="D88" s="5"/>
      <c r="E88" s="5"/>
      <c r="F88" s="5"/>
      <c r="G88" s="5"/>
      <c r="H88" s="10"/>
      <c r="I88" s="10"/>
      <c r="J88" s="10"/>
      <c r="K88" s="10"/>
      <c r="L88" s="10"/>
      <c r="M88" s="10"/>
      <c r="N88" s="10"/>
      <c r="O88" s="10"/>
      <c r="P88" s="10"/>
      <c r="Q88" s="10"/>
      <c r="R88" s="2"/>
    </row>
    <row r="89" spans="1:18">
      <c r="B89" s="5"/>
      <c r="C89" s="10" t="s">
        <v>134</v>
      </c>
      <c r="D89" s="658" t="s">
        <v>135</v>
      </c>
      <c r="E89" s="659"/>
      <c r="F89" s="660"/>
      <c r="G89" s="5"/>
      <c r="H89" s="646"/>
      <c r="I89" s="647"/>
      <c r="J89" s="647"/>
      <c r="K89" s="647"/>
      <c r="L89" s="647"/>
      <c r="M89" s="647"/>
      <c r="N89" s="647"/>
      <c r="O89" s="647"/>
      <c r="P89" s="647"/>
      <c r="Q89" s="648"/>
      <c r="R89" s="2"/>
    </row>
    <row r="90" spans="1:18">
      <c r="B90" s="5"/>
      <c r="C90" s="5"/>
      <c r="D90" s="5"/>
      <c r="E90" s="5"/>
      <c r="F90" s="5"/>
      <c r="G90" s="5"/>
      <c r="H90" s="10"/>
      <c r="I90" s="10"/>
      <c r="J90" s="10"/>
      <c r="K90" s="10"/>
      <c r="L90" s="10"/>
      <c r="M90" s="10"/>
      <c r="N90" s="10"/>
      <c r="O90" s="10"/>
      <c r="P90" s="10"/>
      <c r="Q90" s="10"/>
      <c r="R90" s="2"/>
    </row>
    <row r="91" spans="1:18">
      <c r="A91" s="17"/>
      <c r="B91" s="17"/>
      <c r="C91" s="17"/>
      <c r="D91" s="465" t="s">
        <v>65</v>
      </c>
      <c r="E91" s="18"/>
      <c r="F91" s="17"/>
      <c r="G91" s="133"/>
      <c r="H91" s="17"/>
      <c r="I91" s="17"/>
      <c r="J91" s="17"/>
      <c r="K91" s="17"/>
      <c r="L91" s="17"/>
      <c r="M91" s="17"/>
      <c r="N91" s="17"/>
      <c r="O91" s="17"/>
      <c r="P91" s="17"/>
      <c r="Q91" s="17"/>
      <c r="R91" s="17"/>
    </row>
    <row r="92" spans="1:18" hidden="1">
      <c r="B92" s="5"/>
      <c r="C92" s="10" t="s">
        <v>136</v>
      </c>
      <c r="D92" s="10" t="s">
        <v>137</v>
      </c>
      <c r="E92" s="10"/>
      <c r="F92" s="10"/>
      <c r="G92" s="10"/>
      <c r="H92" s="10"/>
      <c r="I92" s="10"/>
      <c r="J92" s="10"/>
      <c r="K92" s="5"/>
      <c r="L92" s="9" t="s">
        <v>138</v>
      </c>
      <c r="M92" s="5"/>
      <c r="N92" s="9" t="s">
        <v>139</v>
      </c>
      <c r="O92" s="9"/>
      <c r="P92" s="9"/>
      <c r="Q92" s="9"/>
      <c r="R92" s="2"/>
    </row>
    <row r="93" spans="1:18" hidden="1">
      <c r="B93" s="19"/>
      <c r="C93" s="20"/>
      <c r="D93" s="466" t="s">
        <v>66</v>
      </c>
      <c r="E93" s="23"/>
      <c r="F93" s="23"/>
      <c r="G93" s="23"/>
      <c r="H93" s="23"/>
      <c r="I93" s="23"/>
      <c r="J93" s="23"/>
      <c r="K93" s="23"/>
      <c r="L93" s="23"/>
      <c r="M93" s="23"/>
      <c r="N93" s="23"/>
      <c r="O93" s="23"/>
      <c r="P93" s="23"/>
      <c r="Q93" s="23"/>
      <c r="R93" s="4"/>
    </row>
    <row r="94" spans="1:18">
      <c r="B94" s="5"/>
      <c r="C94" s="4"/>
      <c r="D94" s="4"/>
      <c r="E94" s="5"/>
      <c r="F94" s="5"/>
      <c r="G94" s="5"/>
      <c r="H94" s="4"/>
      <c r="I94" s="5"/>
      <c r="J94" s="5"/>
      <c r="K94" s="5"/>
      <c r="L94" s="4"/>
      <c r="M94" s="5"/>
      <c r="N94" s="4"/>
      <c r="O94" s="5"/>
      <c r="P94" s="5"/>
      <c r="Q94" s="5"/>
      <c r="R94" s="2"/>
    </row>
    <row r="95" spans="1:18">
      <c r="B95" s="5"/>
      <c r="C95" s="6" t="s">
        <v>67</v>
      </c>
      <c r="D95" s="664" t="s">
        <v>68</v>
      </c>
      <c r="E95" s="665"/>
      <c r="F95" s="665"/>
      <c r="G95" s="665"/>
      <c r="H95" s="665"/>
      <c r="I95" s="665"/>
      <c r="J95" s="666"/>
      <c r="K95" s="5"/>
      <c r="L95" s="21"/>
      <c r="M95" s="5"/>
      <c r="N95" s="21"/>
      <c r="O95" s="21"/>
      <c r="P95" s="21"/>
      <c r="Q95" s="21"/>
      <c r="R95" s="5"/>
    </row>
    <row r="96" spans="1:18">
      <c r="B96" s="5"/>
      <c r="C96" s="14"/>
      <c r="D96" s="5"/>
      <c r="E96" s="5"/>
      <c r="F96" s="7"/>
      <c r="G96" s="5"/>
      <c r="H96" s="7"/>
      <c r="I96" s="5"/>
      <c r="J96" s="5"/>
      <c r="K96" s="5"/>
      <c r="L96" s="5"/>
      <c r="M96" s="5"/>
      <c r="N96" s="5"/>
      <c r="O96" s="5"/>
      <c r="P96" s="2"/>
      <c r="Q96" s="5"/>
      <c r="R96" s="5"/>
    </row>
    <row r="97" spans="2:18">
      <c r="B97" s="5"/>
      <c r="C97" s="10" t="s">
        <v>69</v>
      </c>
      <c r="D97" s="664" t="s">
        <v>70</v>
      </c>
      <c r="E97" s="665"/>
      <c r="F97" s="665"/>
      <c r="G97" s="665"/>
      <c r="H97" s="665"/>
      <c r="I97" s="665"/>
      <c r="J97" s="666"/>
      <c r="K97" s="5"/>
      <c r="L97" s="21"/>
      <c r="M97" s="5"/>
      <c r="N97" s="21"/>
      <c r="O97" s="21"/>
      <c r="P97" s="21"/>
      <c r="Q97" s="21"/>
      <c r="R97" s="5"/>
    </row>
    <row r="98" spans="2:18">
      <c r="B98" s="5"/>
      <c r="C98" s="22"/>
      <c r="D98" s="147"/>
      <c r="E98" s="5"/>
      <c r="F98" s="5"/>
      <c r="G98" s="5"/>
      <c r="H98" s="7"/>
      <c r="I98" s="7"/>
      <c r="J98" s="7"/>
      <c r="K98" s="5"/>
      <c r="L98" s="5"/>
      <c r="M98" s="5"/>
      <c r="N98" s="5"/>
      <c r="O98" s="5"/>
      <c r="P98" s="5"/>
      <c r="Q98" s="5"/>
      <c r="R98" s="2"/>
    </row>
    <row r="99" spans="2:18">
      <c r="B99" s="5"/>
      <c r="C99" s="10" t="s">
        <v>72</v>
      </c>
      <c r="D99" s="664" t="s">
        <v>140</v>
      </c>
      <c r="E99" s="665"/>
      <c r="F99" s="665"/>
      <c r="G99" s="665"/>
      <c r="H99" s="665"/>
      <c r="I99" s="665"/>
      <c r="J99" s="666"/>
      <c r="K99" s="5"/>
      <c r="L99" s="21"/>
      <c r="M99" s="5"/>
      <c r="N99" s="21"/>
      <c r="O99" s="21"/>
      <c r="P99" s="21"/>
      <c r="Q99" s="21"/>
      <c r="R99" s="5"/>
    </row>
    <row r="100" spans="2:18">
      <c r="B100" s="5"/>
      <c r="C100" s="22"/>
      <c r="D100" s="147"/>
      <c r="E100" s="5"/>
      <c r="F100" s="5"/>
      <c r="G100" s="5"/>
      <c r="H100" s="7"/>
      <c r="I100" s="7"/>
      <c r="J100" s="7"/>
      <c r="K100" s="5"/>
      <c r="L100" s="5"/>
      <c r="M100" s="5"/>
      <c r="N100" s="5"/>
      <c r="O100" s="5"/>
      <c r="P100" s="5"/>
      <c r="Q100" s="5"/>
      <c r="R100" s="2"/>
    </row>
    <row r="101" spans="2:18" hidden="1">
      <c r="B101" s="19"/>
      <c r="C101" s="20"/>
      <c r="D101" s="467" t="s">
        <v>141</v>
      </c>
      <c r="E101" s="133"/>
      <c r="F101" s="133"/>
      <c r="G101" s="133"/>
      <c r="H101" s="20"/>
      <c r="I101" s="20"/>
      <c r="J101" s="20"/>
      <c r="K101" s="20"/>
      <c r="L101" s="20"/>
      <c r="M101" s="20"/>
      <c r="N101" s="20"/>
      <c r="O101" s="20"/>
      <c r="P101" s="20"/>
      <c r="Q101" s="20"/>
      <c r="R101" s="4"/>
    </row>
    <row r="102" spans="2:18" hidden="1">
      <c r="B102" s="5"/>
      <c r="C102" s="22"/>
      <c r="D102" s="147"/>
      <c r="E102" s="5"/>
      <c r="F102" s="5"/>
      <c r="G102" s="5"/>
      <c r="H102" s="7"/>
      <c r="I102" s="7"/>
      <c r="J102" s="7"/>
      <c r="K102" s="5"/>
      <c r="L102" s="5"/>
      <c r="M102" s="5"/>
      <c r="N102" s="5"/>
      <c r="O102" s="5"/>
      <c r="P102" s="5"/>
      <c r="Q102" s="5"/>
      <c r="R102" s="2"/>
    </row>
    <row r="103" spans="2:18" ht="31.5" customHeight="1">
      <c r="B103" s="5"/>
      <c r="C103" s="10" t="s">
        <v>74</v>
      </c>
      <c r="D103" s="664" t="s">
        <v>142</v>
      </c>
      <c r="E103" s="665"/>
      <c r="F103" s="665"/>
      <c r="G103" s="665"/>
      <c r="H103" s="665"/>
      <c r="I103" s="665"/>
      <c r="J103" s="666"/>
      <c r="K103" s="5"/>
      <c r="L103" s="21"/>
      <c r="M103" s="5"/>
      <c r="N103" s="21"/>
      <c r="O103" s="21"/>
      <c r="P103" s="21"/>
      <c r="Q103" s="21"/>
      <c r="R103" s="2"/>
    </row>
    <row r="104" spans="2:18">
      <c r="B104" s="5"/>
      <c r="C104" s="22"/>
      <c r="D104" s="147"/>
      <c r="E104" s="5"/>
      <c r="F104" s="5"/>
      <c r="G104" s="5"/>
      <c r="H104" s="7"/>
      <c r="I104" s="7"/>
      <c r="J104" s="7"/>
      <c r="K104" s="5"/>
      <c r="L104" s="5"/>
      <c r="M104" s="5"/>
      <c r="N104" s="5"/>
      <c r="O104" s="5"/>
      <c r="P104" s="5"/>
      <c r="Q104" s="5"/>
      <c r="R104" s="2"/>
    </row>
    <row r="105" spans="2:18" ht="28.5" customHeight="1">
      <c r="B105" s="5"/>
      <c r="C105" s="10" t="s">
        <v>77</v>
      </c>
      <c r="D105" s="664" t="s">
        <v>78</v>
      </c>
      <c r="E105" s="665"/>
      <c r="F105" s="665"/>
      <c r="G105" s="665"/>
      <c r="H105" s="665"/>
      <c r="I105" s="665"/>
      <c r="J105" s="666"/>
      <c r="K105" s="5"/>
      <c r="L105" s="21"/>
      <c r="M105" s="5"/>
      <c r="N105" s="21"/>
      <c r="O105" s="21"/>
      <c r="P105" s="21"/>
      <c r="Q105" s="21"/>
      <c r="R105" s="2"/>
    </row>
    <row r="106" spans="2:18">
      <c r="B106" s="5"/>
      <c r="C106" s="5"/>
      <c r="D106" s="5"/>
      <c r="E106" s="5"/>
      <c r="F106" s="5"/>
      <c r="G106" s="5"/>
      <c r="H106" s="5"/>
      <c r="I106" s="5"/>
      <c r="J106" s="5"/>
      <c r="K106" s="5"/>
      <c r="L106" s="5"/>
      <c r="M106" s="5"/>
      <c r="N106" s="5"/>
      <c r="O106" s="5"/>
      <c r="P106" s="5"/>
      <c r="Q106" s="5"/>
      <c r="R106" s="2"/>
    </row>
    <row r="107" spans="2:18" ht="21" customHeight="1">
      <c r="B107" s="655" t="s">
        <v>143</v>
      </c>
      <c r="C107" s="656"/>
      <c r="D107" s="656"/>
      <c r="E107" s="656"/>
      <c r="F107" s="656"/>
      <c r="G107" s="656"/>
      <c r="H107" s="656"/>
      <c r="I107" s="656"/>
      <c r="J107" s="656"/>
      <c r="K107" s="656"/>
      <c r="L107" s="656"/>
      <c r="M107" s="656"/>
      <c r="N107" s="656"/>
      <c r="O107" s="656"/>
      <c r="P107" s="656"/>
      <c r="Q107" s="656"/>
      <c r="R107" s="657"/>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xr:uid="{00000000-0002-0000-0200-000000000000}">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xr:uid="{00000000-0002-0000-0200-000001000000}"/>
    <dataValidation type="list" allowBlank="1" showInputMessage="1" showErrorMessage="1" sqref="C2 C3" xr:uid="{00000000-0002-0000-0200-000002000000}">
      <formula1>"X, ✓"</formula1>
    </dataValidation>
  </dataValidations>
  <hyperlinks>
    <hyperlink ref="D2:Q2" r:id="rId1" display="*I have read and agreed to the following CAMSS Privacy Statement: here" xr:uid="{00000000-0004-0000-0200-000000000000}"/>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
  <sheetViews>
    <sheetView workbookViewId="0"/>
  </sheetViews>
  <sheetFormatPr defaultColWidth="8.7109375" defaultRowHeight="1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4"/>
  <sheetViews>
    <sheetView topLeftCell="B64" workbookViewId="0">
      <selection activeCell="I82" sqref="I82"/>
    </sheetView>
  </sheetViews>
  <sheetFormatPr defaultColWidth="0" defaultRowHeight="15" zeroHeight="1"/>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c r="A1" s="94"/>
      <c r="B1" s="555"/>
      <c r="C1" s="98"/>
      <c r="D1" s="555"/>
      <c r="E1" s="92"/>
      <c r="F1" s="94"/>
      <c r="G1" s="94"/>
      <c r="H1" s="94"/>
      <c r="I1" s="555"/>
      <c r="J1" s="555"/>
      <c r="K1" s="555"/>
      <c r="L1" s="555"/>
    </row>
    <row r="2" spans="1:12">
      <c r="A2" s="99"/>
      <c r="B2" s="555"/>
      <c r="C2" s="98"/>
      <c r="D2" s="555"/>
      <c r="E2" s="421" t="s">
        <v>144</v>
      </c>
      <c r="F2" s="99"/>
      <c r="G2" s="419" t="s">
        <v>145</v>
      </c>
      <c r="H2" s="94"/>
      <c r="I2" s="669"/>
      <c r="J2" s="669"/>
      <c r="K2" s="555"/>
      <c r="L2" s="555"/>
    </row>
    <row r="3" spans="1:12" ht="5.25" customHeight="1">
      <c r="A3" s="99"/>
      <c r="B3" s="555"/>
      <c r="C3" s="98"/>
      <c r="D3" s="555"/>
      <c r="E3" s="99"/>
      <c r="F3" s="99"/>
      <c r="G3" s="555"/>
      <c r="H3" s="94"/>
      <c r="I3" s="555"/>
      <c r="J3" s="555"/>
      <c r="K3" s="555"/>
      <c r="L3" s="555"/>
    </row>
    <row r="4" spans="1:12">
      <c r="A4" s="99"/>
      <c r="B4" s="555"/>
      <c r="C4" s="98"/>
      <c r="D4" s="555"/>
      <c r="E4" s="421" t="s">
        <v>146</v>
      </c>
      <c r="F4" s="99"/>
      <c r="G4" s="425" t="s">
        <v>147</v>
      </c>
      <c r="H4" s="94"/>
      <c r="I4" s="669"/>
      <c r="J4" s="669"/>
      <c r="K4" s="555"/>
      <c r="L4" s="555"/>
    </row>
    <row r="5" spans="1:12" hidden="1">
      <c r="A5" s="99"/>
      <c r="B5" s="555"/>
      <c r="C5" s="98"/>
      <c r="D5" s="555"/>
      <c r="E5" s="99"/>
      <c r="F5" s="99"/>
      <c r="G5" s="555"/>
      <c r="H5" s="94"/>
      <c r="I5" s="555"/>
      <c r="J5" s="555"/>
      <c r="K5" s="555"/>
      <c r="L5" s="555"/>
    </row>
    <row r="6" spans="1:12" hidden="1">
      <c r="A6" s="99"/>
      <c r="B6" s="555"/>
      <c r="C6" s="98"/>
      <c r="D6" s="555"/>
      <c r="E6" s="555"/>
      <c r="F6" s="99"/>
      <c r="G6" s="420"/>
      <c r="H6" s="94"/>
      <c r="I6" s="555"/>
      <c r="J6" s="555"/>
      <c r="K6" s="555"/>
      <c r="L6" s="555"/>
    </row>
    <row r="7" spans="1:12" ht="5.25" customHeight="1">
      <c r="A7" s="99"/>
      <c r="B7" s="555"/>
      <c r="C7" s="98"/>
      <c r="D7" s="555"/>
      <c r="E7" s="99"/>
      <c r="F7" s="99"/>
      <c r="G7" s="555"/>
      <c r="H7" s="94"/>
      <c r="I7" s="555"/>
      <c r="J7" s="555"/>
      <c r="K7" s="555"/>
      <c r="L7" s="555"/>
    </row>
    <row r="8" spans="1:12">
      <c r="A8" s="99"/>
      <c r="B8" s="555"/>
      <c r="C8" s="98"/>
      <c r="D8" s="555"/>
      <c r="E8" s="421" t="s">
        <v>12</v>
      </c>
      <c r="F8" s="99"/>
      <c r="G8" s="419" t="s">
        <v>145</v>
      </c>
      <c r="H8" s="94"/>
      <c r="I8" s="669"/>
      <c r="J8" s="669"/>
      <c r="K8" s="555"/>
      <c r="L8" s="555"/>
    </row>
    <row r="9" spans="1:12" hidden="1">
      <c r="A9" s="99"/>
      <c r="B9" s="555"/>
      <c r="C9" s="98"/>
      <c r="D9" s="555"/>
      <c r="E9" s="94"/>
      <c r="F9" s="94"/>
      <c r="G9" s="100"/>
      <c r="H9" s="94"/>
      <c r="I9" s="555"/>
      <c r="J9" s="555"/>
      <c r="K9" s="555"/>
      <c r="L9" s="555"/>
    </row>
    <row r="10" spans="1:12" hidden="1">
      <c r="A10" s="99"/>
      <c r="B10" s="555"/>
      <c r="C10" s="98"/>
      <c r="D10" s="555"/>
      <c r="E10" s="555"/>
      <c r="F10" s="94"/>
      <c r="G10" s="555"/>
      <c r="H10" s="94"/>
      <c r="I10" s="669"/>
      <c r="J10" s="669"/>
      <c r="K10" s="555"/>
      <c r="L10" s="555"/>
    </row>
    <row r="11" spans="1:12" hidden="1">
      <c r="A11" s="94"/>
      <c r="B11" s="555"/>
      <c r="C11" s="98"/>
      <c r="D11" s="555"/>
      <c r="E11" s="555"/>
      <c r="F11" s="94"/>
      <c r="G11" s="94"/>
      <c r="H11" s="94"/>
      <c r="I11" s="95"/>
      <c r="J11" s="555"/>
      <c r="K11" s="101"/>
      <c r="L11" s="555"/>
    </row>
    <row r="12" spans="1:12">
      <c r="A12" s="102"/>
      <c r="B12" s="102"/>
      <c r="C12" s="670"/>
      <c r="D12" s="670"/>
      <c r="E12" s="670"/>
      <c r="F12" s="670"/>
      <c r="G12" s="670"/>
      <c r="H12" s="670"/>
      <c r="I12" s="670"/>
      <c r="J12" s="670"/>
      <c r="K12" s="670"/>
      <c r="L12" s="103"/>
    </row>
    <row r="13" spans="1:12">
      <c r="A13" s="104"/>
      <c r="B13" s="105"/>
      <c r="C13" s="106" t="s">
        <v>109</v>
      </c>
      <c r="D13" s="105"/>
      <c r="E13" s="107" t="s">
        <v>137</v>
      </c>
      <c r="F13" s="104"/>
      <c r="G13" s="104"/>
      <c r="H13" s="104"/>
      <c r="I13" s="107" t="s">
        <v>138</v>
      </c>
      <c r="J13" s="104"/>
      <c r="K13" s="107" t="s">
        <v>139</v>
      </c>
      <c r="L13" s="108"/>
    </row>
    <row r="14" spans="1:12">
      <c r="A14" s="110"/>
      <c r="B14" s="110"/>
      <c r="C14" s="110"/>
      <c r="D14" s="110"/>
      <c r="E14" s="472" t="s">
        <v>148</v>
      </c>
      <c r="F14" s="109"/>
      <c r="G14" s="109"/>
      <c r="H14" s="109"/>
      <c r="I14" s="109"/>
      <c r="J14" s="109"/>
      <c r="K14" s="110"/>
      <c r="L14" s="110"/>
    </row>
    <row r="15" spans="1:12">
      <c r="A15" s="555"/>
      <c r="B15" s="555"/>
      <c r="C15" s="112"/>
      <c r="D15" s="111"/>
      <c r="E15" s="111"/>
      <c r="F15" s="93"/>
      <c r="G15" s="93"/>
      <c r="H15" s="93"/>
      <c r="I15" s="93"/>
      <c r="J15" s="93"/>
      <c r="K15" s="93"/>
      <c r="L15" s="111"/>
    </row>
    <row r="16" spans="1:12">
      <c r="A16" s="555"/>
      <c r="B16" s="555"/>
      <c r="C16" s="97" t="s">
        <v>149</v>
      </c>
      <c r="D16" s="93"/>
      <c r="E16" s="667" t="s">
        <v>150</v>
      </c>
      <c r="F16" s="667"/>
      <c r="G16" s="667"/>
      <c r="H16" s="93"/>
      <c r="I16" s="126"/>
      <c r="J16" s="93"/>
      <c r="K16" s="114"/>
      <c r="L16" s="111"/>
    </row>
    <row r="17" spans="1:14">
      <c r="A17" s="555"/>
      <c r="B17" s="555"/>
      <c r="C17" s="97"/>
      <c r="D17" s="99"/>
      <c r="E17" s="94"/>
      <c r="F17" s="93"/>
      <c r="G17" s="93"/>
      <c r="H17" s="93"/>
      <c r="I17" s="93"/>
      <c r="J17" s="93"/>
      <c r="K17" s="93"/>
      <c r="L17" s="111"/>
    </row>
    <row r="18" spans="1:14" ht="33.75">
      <c r="A18" s="555"/>
      <c r="B18" s="555"/>
      <c r="C18" s="97" t="s">
        <v>151</v>
      </c>
      <c r="D18" s="99"/>
      <c r="E18" s="667" t="s">
        <v>152</v>
      </c>
      <c r="F18" s="667"/>
      <c r="G18" s="667"/>
      <c r="H18" s="93"/>
      <c r="I18" s="126"/>
      <c r="J18" s="93"/>
      <c r="K18" s="114"/>
      <c r="L18" s="111"/>
      <c r="N18" s="422" t="s">
        <v>48</v>
      </c>
    </row>
    <row r="19" spans="1:14">
      <c r="A19" s="555"/>
      <c r="B19" s="555"/>
      <c r="C19" s="97"/>
      <c r="D19" s="99"/>
      <c r="E19" s="94"/>
      <c r="F19" s="93"/>
      <c r="G19" s="93"/>
      <c r="H19" s="93"/>
      <c r="I19" s="93"/>
      <c r="J19" s="93"/>
      <c r="K19" s="93"/>
      <c r="L19" s="93"/>
    </row>
    <row r="20" spans="1:14" ht="33.75">
      <c r="A20" s="555"/>
      <c r="B20" s="555"/>
      <c r="C20" s="97" t="s">
        <v>153</v>
      </c>
      <c r="D20" s="99"/>
      <c r="E20" s="667" t="s">
        <v>154</v>
      </c>
      <c r="F20" s="667"/>
      <c r="G20" s="667"/>
      <c r="H20" s="93"/>
      <c r="I20" s="126"/>
      <c r="J20" s="93"/>
      <c r="K20" s="114"/>
      <c r="L20" s="93"/>
      <c r="N20" s="422" t="s">
        <v>48</v>
      </c>
    </row>
    <row r="21" spans="1:14">
      <c r="A21" s="555"/>
      <c r="B21" s="555"/>
      <c r="C21" s="97"/>
      <c r="D21" s="99"/>
      <c r="E21" s="94"/>
      <c r="F21" s="93"/>
      <c r="G21" s="93"/>
      <c r="H21" s="93"/>
      <c r="I21" s="93"/>
      <c r="J21" s="93"/>
      <c r="K21" s="93"/>
      <c r="L21" s="93"/>
    </row>
    <row r="22" spans="1:14">
      <c r="A22" s="116"/>
      <c r="B22" s="116"/>
      <c r="C22" s="116"/>
      <c r="D22" s="116"/>
      <c r="E22" s="459" t="s">
        <v>155</v>
      </c>
      <c r="F22" s="116"/>
      <c r="G22" s="116"/>
      <c r="H22" s="116"/>
      <c r="I22" s="116"/>
      <c r="J22" s="116"/>
      <c r="K22" s="116"/>
      <c r="L22" s="116"/>
    </row>
    <row r="23" spans="1:14">
      <c r="A23" s="555"/>
      <c r="B23" s="555"/>
      <c r="C23" s="113"/>
      <c r="D23" s="93"/>
      <c r="E23" s="93"/>
      <c r="F23" s="93"/>
      <c r="G23" s="93"/>
      <c r="H23" s="93"/>
      <c r="I23" s="93"/>
      <c r="J23" s="93"/>
      <c r="K23" s="93"/>
      <c r="L23" s="93"/>
    </row>
    <row r="24" spans="1:14" ht="76.5">
      <c r="A24" s="555"/>
      <c r="B24" s="555"/>
      <c r="C24" s="97" t="s">
        <v>156</v>
      </c>
      <c r="D24" s="99"/>
      <c r="E24" s="667" t="s">
        <v>157</v>
      </c>
      <c r="F24" s="667"/>
      <c r="G24" s="667"/>
      <c r="H24" s="93"/>
      <c r="I24" s="126"/>
      <c r="J24" s="93"/>
      <c r="K24" s="114"/>
      <c r="L24" s="93"/>
      <c r="N24" s="423" t="s">
        <v>48</v>
      </c>
    </row>
    <row r="25" spans="1:14">
      <c r="A25" s="555"/>
      <c r="B25" s="555"/>
      <c r="C25" s="97"/>
      <c r="D25" s="99"/>
      <c r="E25" s="558"/>
      <c r="F25" s="93"/>
      <c r="G25" s="93"/>
      <c r="H25" s="93"/>
      <c r="I25" s="93"/>
      <c r="J25" s="93"/>
      <c r="K25" s="93"/>
      <c r="L25" s="93"/>
    </row>
    <row r="26" spans="1:14" ht="33.75">
      <c r="A26" s="555"/>
      <c r="B26" s="555"/>
      <c r="C26" s="97" t="s">
        <v>158</v>
      </c>
      <c r="D26" s="99" t="s">
        <v>159</v>
      </c>
      <c r="E26" s="667" t="s">
        <v>160</v>
      </c>
      <c r="F26" s="667"/>
      <c r="G26" s="667"/>
      <c r="H26" s="93"/>
      <c r="I26" s="126"/>
      <c r="J26" s="93"/>
      <c r="K26" s="114"/>
      <c r="L26" s="93"/>
      <c r="N26" s="422" t="s">
        <v>48</v>
      </c>
    </row>
    <row r="27" spans="1:14">
      <c r="A27" s="555"/>
      <c r="B27" s="555"/>
      <c r="C27" s="97"/>
      <c r="D27" s="99"/>
      <c r="E27" s="94"/>
      <c r="F27" s="93"/>
      <c r="G27" s="93"/>
      <c r="H27" s="93"/>
      <c r="I27" s="93"/>
      <c r="J27" s="93"/>
      <c r="K27" s="93"/>
      <c r="L27" s="93"/>
    </row>
    <row r="28" spans="1:14" ht="33.75">
      <c r="A28" s="555"/>
      <c r="B28" s="555"/>
      <c r="C28" s="97"/>
      <c r="D28" s="99" t="s">
        <v>161</v>
      </c>
      <c r="E28" s="667" t="s">
        <v>162</v>
      </c>
      <c r="F28" s="667"/>
      <c r="G28" s="667"/>
      <c r="H28" s="93"/>
      <c r="I28" s="126"/>
      <c r="J28" s="93"/>
      <c r="K28" s="114"/>
      <c r="L28" s="93"/>
      <c r="N28" s="422" t="s">
        <v>48</v>
      </c>
    </row>
    <row r="29" spans="1:14">
      <c r="A29" s="555"/>
      <c r="B29" s="555"/>
      <c r="C29" s="97"/>
      <c r="D29" s="99"/>
      <c r="E29" s="94"/>
      <c r="F29" s="93"/>
      <c r="G29" s="93"/>
      <c r="H29" s="93"/>
      <c r="I29" s="93"/>
      <c r="J29" s="93"/>
      <c r="K29" s="93"/>
      <c r="L29" s="93"/>
    </row>
    <row r="30" spans="1:14" hidden="1">
      <c r="A30" s="555"/>
      <c r="B30" s="555"/>
      <c r="C30" s="97"/>
      <c r="D30" s="99" t="s">
        <v>163</v>
      </c>
      <c r="E30" s="667" t="s">
        <v>164</v>
      </c>
      <c r="F30" s="667"/>
      <c r="G30" s="667"/>
      <c r="H30" s="93"/>
      <c r="I30" s="126"/>
      <c r="J30" s="93"/>
      <c r="K30" s="114"/>
      <c r="L30" s="93"/>
    </row>
    <row r="31" spans="1:14" hidden="1">
      <c r="A31" s="555"/>
      <c r="B31" s="555"/>
      <c r="C31" s="97"/>
      <c r="D31" s="99"/>
      <c r="E31" s="94"/>
      <c r="F31" s="93"/>
      <c r="G31" s="93"/>
      <c r="H31" s="93"/>
      <c r="I31" s="93"/>
      <c r="J31" s="93"/>
      <c r="K31" s="93"/>
      <c r="L31" s="93"/>
    </row>
    <row r="32" spans="1:14">
      <c r="A32" s="118"/>
      <c r="B32" s="118"/>
      <c r="C32" s="118"/>
      <c r="D32" s="118"/>
      <c r="E32" s="460" t="s">
        <v>165</v>
      </c>
      <c r="F32" s="118"/>
      <c r="G32" s="118"/>
      <c r="H32" s="118"/>
      <c r="I32" s="118"/>
      <c r="J32" s="118"/>
      <c r="K32" s="118"/>
      <c r="L32" s="118"/>
    </row>
    <row r="33" spans="1:14">
      <c r="A33" s="555"/>
      <c r="B33" s="555"/>
      <c r="C33" s="113"/>
      <c r="D33" s="93"/>
      <c r="E33" s="93"/>
      <c r="F33" s="93"/>
      <c r="G33" s="93"/>
      <c r="H33" s="93"/>
      <c r="I33" s="93"/>
      <c r="J33" s="93"/>
      <c r="K33" s="93"/>
      <c r="L33" s="93"/>
    </row>
    <row r="34" spans="1:14">
      <c r="A34" s="555"/>
      <c r="B34" s="555"/>
      <c r="C34" s="97" t="s">
        <v>166</v>
      </c>
      <c r="D34" s="99"/>
      <c r="E34" s="667" t="s">
        <v>167</v>
      </c>
      <c r="F34" s="667"/>
      <c r="G34" s="667"/>
      <c r="H34" s="93"/>
      <c r="I34" s="126"/>
      <c r="J34" s="93"/>
      <c r="K34" s="114"/>
      <c r="L34" s="93"/>
    </row>
    <row r="35" spans="1:14">
      <c r="A35" s="555"/>
      <c r="B35" s="555"/>
      <c r="C35" s="113"/>
      <c r="D35" s="93"/>
      <c r="E35" s="93"/>
      <c r="F35" s="93"/>
      <c r="G35" s="93"/>
      <c r="H35" s="93"/>
      <c r="I35" s="93"/>
      <c r="J35" s="93"/>
      <c r="K35" s="93"/>
      <c r="L35" s="93"/>
    </row>
    <row r="36" spans="1:14">
      <c r="A36" s="555"/>
      <c r="B36" s="555"/>
      <c r="C36" s="118"/>
      <c r="D36" s="118"/>
      <c r="E36" s="119" t="s">
        <v>168</v>
      </c>
      <c r="F36" s="118"/>
      <c r="G36" s="118"/>
      <c r="H36" s="118"/>
      <c r="I36" s="118"/>
      <c r="J36" s="118"/>
      <c r="K36" s="118"/>
      <c r="L36" s="93"/>
    </row>
    <row r="37" spans="1:14">
      <c r="A37" s="555"/>
      <c r="B37" s="555"/>
      <c r="C37" s="113"/>
      <c r="D37" s="93"/>
      <c r="E37" s="93"/>
      <c r="F37" s="93"/>
      <c r="G37" s="93"/>
      <c r="H37" s="93"/>
      <c r="I37" s="93"/>
      <c r="J37" s="93"/>
      <c r="K37" s="93"/>
      <c r="L37" s="93"/>
    </row>
    <row r="38" spans="1:14" ht="33.75">
      <c r="A38" s="555"/>
      <c r="B38" s="555"/>
      <c r="C38" s="97" t="s">
        <v>169</v>
      </c>
      <c r="D38" s="99"/>
      <c r="E38" s="667" t="s">
        <v>170</v>
      </c>
      <c r="F38" s="667"/>
      <c r="G38" s="667"/>
      <c r="H38" s="93"/>
      <c r="I38" s="126"/>
      <c r="J38" s="93"/>
      <c r="K38" s="114" t="s">
        <v>171</v>
      </c>
      <c r="L38" s="93"/>
      <c r="N38" s="422" t="s">
        <v>48</v>
      </c>
    </row>
    <row r="39" spans="1:14">
      <c r="A39" s="555"/>
      <c r="B39" s="555"/>
      <c r="C39" s="113"/>
      <c r="D39" s="93"/>
      <c r="E39" s="93"/>
      <c r="F39" s="93"/>
      <c r="G39" s="93"/>
      <c r="H39" s="93"/>
      <c r="I39" s="93"/>
      <c r="J39" s="93"/>
      <c r="K39" s="93"/>
      <c r="L39" s="93"/>
    </row>
    <row r="40" spans="1:14">
      <c r="A40" s="555"/>
      <c r="B40" s="555"/>
      <c r="C40" s="118"/>
      <c r="D40" s="118"/>
      <c r="E40" s="119" t="s">
        <v>172</v>
      </c>
      <c r="F40" s="118"/>
      <c r="G40" s="118"/>
      <c r="H40" s="118"/>
      <c r="I40" s="118"/>
      <c r="J40" s="118"/>
      <c r="K40" s="118"/>
      <c r="L40" s="93"/>
    </row>
    <row r="41" spans="1:14">
      <c r="A41" s="555"/>
      <c r="B41" s="555"/>
      <c r="C41" s="113"/>
      <c r="D41" s="93"/>
      <c r="E41" s="93"/>
      <c r="F41" s="93"/>
      <c r="G41" s="93"/>
      <c r="H41" s="93"/>
      <c r="I41" s="93"/>
      <c r="J41" s="93"/>
      <c r="K41" s="93"/>
      <c r="L41" s="93"/>
    </row>
    <row r="42" spans="1:14">
      <c r="A42" s="555"/>
      <c r="B42" s="555"/>
      <c r="C42" s="120" t="s">
        <v>173</v>
      </c>
      <c r="D42" s="121"/>
      <c r="E42" s="667" t="s">
        <v>174</v>
      </c>
      <c r="F42" s="667"/>
      <c r="G42" s="667"/>
      <c r="H42" s="93"/>
      <c r="I42" s="126"/>
      <c r="J42" s="93"/>
      <c r="K42" s="114" t="s">
        <v>175</v>
      </c>
      <c r="L42" s="93"/>
    </row>
    <row r="43" spans="1:14">
      <c r="A43" s="555"/>
      <c r="B43" s="555"/>
      <c r="C43" s="113"/>
      <c r="D43" s="93"/>
      <c r="E43" s="93"/>
      <c r="F43" s="93"/>
      <c r="G43" s="93"/>
      <c r="H43" s="93"/>
      <c r="I43" s="93"/>
      <c r="J43" s="93"/>
      <c r="K43" s="93"/>
      <c r="L43" s="93"/>
    </row>
    <row r="44" spans="1:14">
      <c r="A44" s="555"/>
      <c r="B44" s="555"/>
      <c r="C44" s="118"/>
      <c r="D44" s="118"/>
      <c r="E44" s="119" t="s">
        <v>176</v>
      </c>
      <c r="F44" s="122"/>
      <c r="G44" s="122"/>
      <c r="H44" s="122"/>
      <c r="I44" s="122"/>
      <c r="J44" s="122"/>
      <c r="K44" s="122"/>
      <c r="L44" s="93"/>
    </row>
    <row r="45" spans="1:14">
      <c r="A45" s="555"/>
      <c r="B45" s="555"/>
      <c r="C45" s="113"/>
      <c r="D45" s="93"/>
      <c r="E45" s="93"/>
      <c r="F45" s="93"/>
      <c r="G45" s="93"/>
      <c r="H45" s="93"/>
      <c r="I45" s="93"/>
      <c r="J45" s="93"/>
      <c r="K45" s="93"/>
      <c r="L45" s="93"/>
    </row>
    <row r="46" spans="1:14" ht="33.75">
      <c r="A46" s="555"/>
      <c r="B46" s="555"/>
      <c r="C46" s="120" t="s">
        <v>177</v>
      </c>
      <c r="D46" s="121"/>
      <c r="E46" s="667" t="s">
        <v>178</v>
      </c>
      <c r="F46" s="667"/>
      <c r="G46" s="667"/>
      <c r="H46" s="93"/>
      <c r="I46" s="126"/>
      <c r="J46" s="93"/>
      <c r="K46" s="114"/>
      <c r="L46" s="93"/>
      <c r="N46" s="422" t="s">
        <v>48</v>
      </c>
    </row>
    <row r="47" spans="1:14">
      <c r="A47" s="555"/>
      <c r="B47" s="555"/>
      <c r="C47" s="113"/>
      <c r="D47" s="93"/>
      <c r="E47" s="93"/>
      <c r="F47" s="93"/>
      <c r="G47" s="93"/>
      <c r="H47" s="93"/>
      <c r="I47" s="93"/>
      <c r="J47" s="93"/>
      <c r="K47" s="93"/>
      <c r="L47" s="93"/>
    </row>
    <row r="48" spans="1:14" ht="33.75">
      <c r="A48" s="555"/>
      <c r="B48" s="555"/>
      <c r="C48" s="120" t="s">
        <v>179</v>
      </c>
      <c r="D48" s="121"/>
      <c r="E48" s="667" t="s">
        <v>180</v>
      </c>
      <c r="F48" s="667"/>
      <c r="G48" s="667"/>
      <c r="H48" s="93"/>
      <c r="I48" s="126"/>
      <c r="J48" s="93"/>
      <c r="K48" s="114"/>
      <c r="L48" s="93"/>
      <c r="N48" s="422" t="s">
        <v>48</v>
      </c>
    </row>
    <row r="49" spans="1:12">
      <c r="A49" s="555"/>
      <c r="B49" s="555"/>
      <c r="C49" s="113"/>
      <c r="D49" s="93"/>
      <c r="E49" s="93"/>
      <c r="F49" s="93"/>
      <c r="G49" s="93"/>
      <c r="H49" s="93"/>
      <c r="I49" s="93"/>
      <c r="J49" s="93"/>
      <c r="K49" s="93"/>
      <c r="L49" s="93"/>
    </row>
    <row r="50" spans="1:12" ht="25.5">
      <c r="A50" s="555"/>
      <c r="B50" s="555"/>
      <c r="C50" s="120" t="s">
        <v>181</v>
      </c>
      <c r="D50" s="121"/>
      <c r="E50" s="667" t="s">
        <v>182</v>
      </c>
      <c r="F50" s="667"/>
      <c r="G50" s="667"/>
      <c r="H50" s="93"/>
      <c r="I50" s="126"/>
      <c r="J50" s="93"/>
      <c r="K50" s="114" t="s">
        <v>183</v>
      </c>
      <c r="L50" s="93"/>
    </row>
    <row r="51" spans="1:12">
      <c r="A51" s="555"/>
      <c r="B51" s="555"/>
      <c r="C51" s="113"/>
      <c r="D51" s="93"/>
      <c r="E51" s="93"/>
      <c r="F51" s="93"/>
      <c r="G51" s="93"/>
      <c r="H51" s="93"/>
      <c r="I51" s="93"/>
      <c r="J51" s="93"/>
      <c r="K51" s="93"/>
      <c r="L51" s="93"/>
    </row>
    <row r="52" spans="1:12">
      <c r="A52" s="555"/>
      <c r="B52" s="124"/>
      <c r="C52" s="124"/>
      <c r="D52" s="124"/>
      <c r="E52" s="462" t="s">
        <v>184</v>
      </c>
      <c r="F52" s="124"/>
      <c r="G52" s="124"/>
      <c r="H52" s="124"/>
      <c r="I52" s="124"/>
      <c r="J52" s="124"/>
      <c r="K52" s="124"/>
      <c r="L52" s="124"/>
    </row>
    <row r="53" spans="1:12">
      <c r="A53" s="555"/>
      <c r="B53" s="555"/>
      <c r="C53" s="113"/>
      <c r="D53" s="93"/>
      <c r="E53" s="93"/>
      <c r="F53" s="93"/>
      <c r="G53" s="93"/>
      <c r="H53" s="93"/>
      <c r="I53" s="93"/>
      <c r="J53" s="93"/>
      <c r="K53" s="93"/>
      <c r="L53" s="93"/>
    </row>
    <row r="54" spans="1:12">
      <c r="A54" s="555"/>
      <c r="B54" s="555"/>
      <c r="C54" s="124"/>
      <c r="D54" s="124"/>
      <c r="E54" s="125" t="s">
        <v>185</v>
      </c>
      <c r="F54" s="124"/>
      <c r="G54" s="124"/>
      <c r="H54" s="124"/>
      <c r="I54" s="124"/>
      <c r="J54" s="124"/>
      <c r="K54" s="124"/>
      <c r="L54" s="93"/>
    </row>
    <row r="55" spans="1:12">
      <c r="A55" s="555"/>
      <c r="B55" s="555"/>
      <c r="C55" s="113"/>
      <c r="D55" s="93"/>
      <c r="E55" s="93"/>
      <c r="F55" s="93"/>
      <c r="G55" s="93"/>
      <c r="H55" s="93"/>
      <c r="I55" s="93"/>
      <c r="J55" s="93"/>
      <c r="K55" s="93"/>
      <c r="L55" s="93"/>
    </row>
    <row r="56" spans="1:12" ht="25.5">
      <c r="A56" s="555"/>
      <c r="B56" s="555"/>
      <c r="C56" s="120" t="s">
        <v>186</v>
      </c>
      <c r="D56" s="121"/>
      <c r="E56" s="667" t="s">
        <v>187</v>
      </c>
      <c r="F56" s="667"/>
      <c r="G56" s="667"/>
      <c r="H56" s="93"/>
      <c r="I56" s="126"/>
      <c r="J56" s="93"/>
      <c r="K56" s="114"/>
      <c r="L56" s="93"/>
    </row>
    <row r="57" spans="1:12">
      <c r="A57" s="555"/>
      <c r="B57" s="555"/>
      <c r="C57" s="113"/>
      <c r="D57" s="93"/>
      <c r="E57" s="93"/>
      <c r="F57" s="93"/>
      <c r="G57" s="93"/>
      <c r="H57" s="93"/>
      <c r="I57" s="93"/>
      <c r="J57" s="93"/>
      <c r="K57" s="93"/>
      <c r="L57" s="93"/>
    </row>
    <row r="58" spans="1:12">
      <c r="A58" s="555"/>
      <c r="B58" s="555"/>
      <c r="C58" s="124"/>
      <c r="D58" s="124"/>
      <c r="E58" s="125" t="s">
        <v>188</v>
      </c>
      <c r="F58" s="124"/>
      <c r="G58" s="124"/>
      <c r="H58" s="124"/>
      <c r="I58" s="124"/>
      <c r="J58" s="124"/>
      <c r="K58" s="124"/>
      <c r="L58" s="93"/>
    </row>
    <row r="59" spans="1:12">
      <c r="A59" s="555"/>
      <c r="B59" s="555"/>
      <c r="C59" s="113"/>
      <c r="D59" s="93"/>
      <c r="E59" s="93"/>
      <c r="F59" s="93"/>
      <c r="G59" s="93"/>
      <c r="H59" s="93"/>
      <c r="I59" s="93"/>
      <c r="J59" s="93"/>
      <c r="K59" s="93"/>
      <c r="L59" s="93"/>
    </row>
    <row r="60" spans="1:12" ht="25.5">
      <c r="A60" s="555"/>
      <c r="B60" s="555"/>
      <c r="C60" s="120" t="s">
        <v>189</v>
      </c>
      <c r="D60" s="121"/>
      <c r="E60" s="667" t="s">
        <v>190</v>
      </c>
      <c r="F60" s="667"/>
      <c r="G60" s="667"/>
      <c r="H60" s="93"/>
      <c r="I60" s="126"/>
      <c r="J60" s="93"/>
      <c r="K60" s="114"/>
      <c r="L60" s="93"/>
    </row>
    <row r="61" spans="1:12">
      <c r="A61" s="555"/>
      <c r="B61" s="555"/>
      <c r="C61" s="113"/>
      <c r="D61" s="93"/>
      <c r="E61" s="94"/>
      <c r="F61" s="93"/>
      <c r="G61" s="93"/>
      <c r="H61" s="93"/>
      <c r="I61" s="93"/>
      <c r="J61" s="93"/>
      <c r="K61" s="93"/>
      <c r="L61" s="93"/>
    </row>
    <row r="62" spans="1:12">
      <c r="A62" s="555"/>
      <c r="B62" s="555"/>
      <c r="C62" s="124"/>
      <c r="D62" s="124"/>
      <c r="E62" s="125" t="s">
        <v>191</v>
      </c>
      <c r="F62" s="124"/>
      <c r="G62" s="124"/>
      <c r="H62" s="124"/>
      <c r="I62" s="124"/>
      <c r="J62" s="124"/>
      <c r="K62" s="124"/>
      <c r="L62" s="93"/>
    </row>
    <row r="63" spans="1:12">
      <c r="A63" s="555"/>
      <c r="B63" s="555"/>
      <c r="C63" s="97"/>
      <c r="D63" s="99"/>
      <c r="E63" s="94"/>
      <c r="F63" s="93"/>
      <c r="G63" s="93"/>
      <c r="H63" s="93"/>
      <c r="I63" s="93"/>
      <c r="J63" s="93"/>
      <c r="K63" s="93"/>
      <c r="L63" s="93"/>
    </row>
    <row r="64" spans="1:12" ht="25.5">
      <c r="A64" s="555"/>
      <c r="B64" s="555"/>
      <c r="C64" s="97" t="s">
        <v>192</v>
      </c>
      <c r="D64" s="99" t="s">
        <v>159</v>
      </c>
      <c r="E64" s="667" t="s">
        <v>193</v>
      </c>
      <c r="F64" s="667"/>
      <c r="G64" s="667"/>
      <c r="H64" s="93"/>
      <c r="I64" s="126"/>
      <c r="J64" s="93"/>
      <c r="K64" s="114"/>
      <c r="L64" s="93"/>
    </row>
    <row r="65" spans="1:14">
      <c r="A65" s="555"/>
      <c r="B65" s="555"/>
      <c r="C65" s="97"/>
      <c r="D65" s="99"/>
      <c r="E65" s="94"/>
      <c r="F65" s="93"/>
      <c r="G65" s="93"/>
      <c r="H65" s="93"/>
      <c r="I65" s="93"/>
      <c r="J65" s="93"/>
      <c r="K65" s="93"/>
      <c r="L65" s="93"/>
    </row>
    <row r="66" spans="1:14">
      <c r="A66" s="555"/>
      <c r="B66" s="555"/>
      <c r="C66" s="97"/>
      <c r="D66" s="99" t="s">
        <v>161</v>
      </c>
      <c r="E66" s="667" t="s">
        <v>194</v>
      </c>
      <c r="F66" s="667"/>
      <c r="G66" s="667"/>
      <c r="H66" s="93"/>
      <c r="I66" s="126"/>
      <c r="J66" s="93"/>
      <c r="K66" s="114"/>
      <c r="L66" s="93"/>
    </row>
    <row r="67" spans="1:14">
      <c r="A67" s="555"/>
      <c r="B67" s="555"/>
      <c r="C67" s="113"/>
      <c r="D67" s="93"/>
      <c r="E67" s="93"/>
      <c r="F67" s="93"/>
      <c r="G67" s="93"/>
      <c r="H67" s="93"/>
      <c r="I67" s="93"/>
      <c r="J67" s="93"/>
      <c r="K67" s="93"/>
      <c r="L67" s="93"/>
    </row>
    <row r="68" spans="1:14">
      <c r="A68" s="555"/>
      <c r="B68" s="555"/>
      <c r="C68" s="124"/>
      <c r="D68" s="124"/>
      <c r="E68" s="125" t="s">
        <v>195</v>
      </c>
      <c r="F68" s="124"/>
      <c r="G68" s="124"/>
      <c r="H68" s="124"/>
      <c r="I68" s="124"/>
      <c r="J68" s="124"/>
      <c r="K68" s="124"/>
      <c r="L68" s="93"/>
    </row>
    <row r="69" spans="1:14">
      <c r="A69" s="555"/>
      <c r="B69" s="555"/>
      <c r="C69" s="97"/>
      <c r="D69" s="99"/>
      <c r="E69" s="94"/>
      <c r="F69" s="93"/>
      <c r="G69" s="93"/>
      <c r="H69" s="93"/>
      <c r="I69" s="93"/>
      <c r="J69" s="93"/>
      <c r="K69" s="93"/>
      <c r="L69" s="93"/>
    </row>
    <row r="70" spans="1:14" ht="25.5">
      <c r="A70" s="555"/>
      <c r="B70" s="555"/>
      <c r="C70" s="97" t="s">
        <v>196</v>
      </c>
      <c r="D70" s="99" t="s">
        <v>159</v>
      </c>
      <c r="E70" s="667" t="s">
        <v>197</v>
      </c>
      <c r="F70" s="667"/>
      <c r="G70" s="667"/>
      <c r="H70" s="93"/>
      <c r="I70" s="126"/>
      <c r="J70" s="93"/>
      <c r="K70" s="114"/>
      <c r="L70" s="93"/>
    </row>
    <row r="71" spans="1:14">
      <c r="A71" s="555"/>
      <c r="B71" s="555"/>
      <c r="C71" s="97"/>
      <c r="D71" s="99"/>
      <c r="E71" s="94"/>
      <c r="F71" s="93"/>
      <c r="G71" s="93"/>
      <c r="H71" s="93"/>
      <c r="I71" s="93"/>
      <c r="J71" s="93"/>
      <c r="K71" s="93"/>
      <c r="L71" s="93"/>
    </row>
    <row r="72" spans="1:14" ht="51">
      <c r="A72" s="555"/>
      <c r="B72" s="555"/>
      <c r="C72" s="97"/>
      <c r="D72" s="135" t="s">
        <v>161</v>
      </c>
      <c r="E72" s="667" t="s">
        <v>198</v>
      </c>
      <c r="F72" s="667"/>
      <c r="G72" s="667"/>
      <c r="H72" s="93"/>
      <c r="I72" s="126"/>
      <c r="J72" s="93"/>
      <c r="K72" s="114"/>
      <c r="L72" s="93"/>
      <c r="N72" s="424" t="s">
        <v>48</v>
      </c>
    </row>
    <row r="73" spans="1:14">
      <c r="A73" s="555"/>
      <c r="B73" s="555"/>
      <c r="C73" s="113"/>
      <c r="D73" s="93"/>
      <c r="E73" s="93"/>
      <c r="F73" s="93"/>
      <c r="G73" s="93"/>
      <c r="H73" s="93"/>
      <c r="I73" s="93"/>
      <c r="J73" s="93"/>
      <c r="K73" s="93"/>
      <c r="L73" s="93"/>
    </row>
    <row r="74" spans="1:14">
      <c r="A74" s="555"/>
      <c r="B74" s="555"/>
      <c r="C74" s="124"/>
      <c r="D74" s="124"/>
      <c r="E74" s="125" t="s">
        <v>199</v>
      </c>
      <c r="F74" s="124"/>
      <c r="G74" s="124"/>
      <c r="H74" s="124"/>
      <c r="I74" s="124"/>
      <c r="J74" s="124"/>
      <c r="K74" s="124"/>
      <c r="L74" s="93"/>
    </row>
    <row r="75" spans="1:14">
      <c r="A75" s="555"/>
      <c r="B75" s="555"/>
      <c r="C75" s="97"/>
      <c r="D75" s="99"/>
      <c r="E75" s="94"/>
      <c r="F75" s="93"/>
      <c r="G75" s="93"/>
      <c r="H75" s="93"/>
      <c r="I75" s="96"/>
      <c r="J75" s="111"/>
      <c r="K75" s="111"/>
      <c r="L75" s="93"/>
    </row>
    <row r="76" spans="1:14" ht="25.5">
      <c r="A76" s="555"/>
      <c r="B76" s="555"/>
      <c r="C76" s="97" t="s">
        <v>200</v>
      </c>
      <c r="D76" s="99" t="s">
        <v>159</v>
      </c>
      <c r="E76" s="667" t="s">
        <v>201</v>
      </c>
      <c r="F76" s="667"/>
      <c r="G76" s="667"/>
      <c r="H76" s="93"/>
      <c r="I76" s="126"/>
      <c r="J76" s="93"/>
      <c r="K76" s="114"/>
      <c r="L76" s="93"/>
    </row>
    <row r="77" spans="1:14">
      <c r="A77" s="555"/>
      <c r="B77" s="555"/>
      <c r="C77" s="97"/>
      <c r="D77" s="99"/>
      <c r="E77" s="94"/>
      <c r="F77" s="93"/>
      <c r="G77" s="93"/>
      <c r="H77" s="93"/>
      <c r="I77" s="93"/>
      <c r="J77" s="93"/>
      <c r="K77" s="93"/>
      <c r="L77" s="93"/>
    </row>
    <row r="78" spans="1:14">
      <c r="A78" s="555"/>
      <c r="B78" s="555"/>
      <c r="C78" s="97"/>
      <c r="D78" s="99" t="s">
        <v>161</v>
      </c>
      <c r="E78" s="667" t="s">
        <v>202</v>
      </c>
      <c r="F78" s="667"/>
      <c r="G78" s="667"/>
      <c r="H78" s="93"/>
      <c r="I78" s="126"/>
      <c r="J78" s="93"/>
      <c r="K78" s="114"/>
      <c r="L78" s="93"/>
    </row>
    <row r="79" spans="1:14">
      <c r="A79" s="555"/>
      <c r="B79" s="555"/>
      <c r="C79" s="113"/>
      <c r="D79" s="93"/>
      <c r="E79" s="93"/>
      <c r="F79" s="93"/>
      <c r="G79" s="93"/>
      <c r="H79" s="93"/>
      <c r="I79" s="93"/>
      <c r="J79" s="93"/>
      <c r="K79" s="93"/>
      <c r="L79" s="93"/>
    </row>
    <row r="80" spans="1:14">
      <c r="A80" s="555"/>
      <c r="B80" s="555"/>
      <c r="C80" s="124"/>
      <c r="D80" s="124"/>
      <c r="E80" s="125" t="s">
        <v>203</v>
      </c>
      <c r="F80" s="124"/>
      <c r="G80" s="124"/>
      <c r="H80" s="124"/>
      <c r="I80" s="124"/>
      <c r="J80" s="124"/>
      <c r="K80" s="124"/>
      <c r="L80" s="93"/>
    </row>
    <row r="81" spans="1:14">
      <c r="A81" s="555"/>
      <c r="B81" s="555"/>
      <c r="C81" s="113"/>
      <c r="D81" s="93"/>
      <c r="E81" s="93"/>
      <c r="F81" s="93"/>
      <c r="G81" s="93"/>
      <c r="H81" s="93"/>
      <c r="I81" s="93"/>
      <c r="J81" s="93"/>
      <c r="K81" s="93"/>
      <c r="L81" s="93"/>
    </row>
    <row r="82" spans="1:14" ht="33.75">
      <c r="A82" s="555"/>
      <c r="B82" s="555"/>
      <c r="C82" s="120" t="s">
        <v>204</v>
      </c>
      <c r="D82" s="121"/>
      <c r="E82" s="667" t="s">
        <v>205</v>
      </c>
      <c r="F82" s="667"/>
      <c r="G82" s="667"/>
      <c r="H82" s="93"/>
      <c r="I82" s="126"/>
      <c r="J82" s="93"/>
      <c r="K82" s="114"/>
      <c r="L82" s="93"/>
      <c r="N82" s="422" t="s">
        <v>48</v>
      </c>
    </row>
    <row r="83" spans="1:14" ht="11.25" customHeight="1">
      <c r="A83" s="93"/>
      <c r="B83" s="93"/>
      <c r="C83" s="113"/>
      <c r="D83" s="93"/>
      <c r="E83" s="93"/>
      <c r="F83" s="93"/>
      <c r="G83" s="93"/>
      <c r="H83" s="93"/>
      <c r="I83" s="93"/>
      <c r="J83" s="93"/>
      <c r="K83" s="111"/>
      <c r="L83" s="111"/>
    </row>
    <row r="84" spans="1:14" ht="18.75" customHeight="1">
      <c r="A84" s="630" t="s">
        <v>206</v>
      </c>
      <c r="B84" s="631"/>
      <c r="C84" s="631"/>
      <c r="D84" s="631"/>
      <c r="E84" s="631"/>
      <c r="F84" s="631"/>
      <c r="G84" s="631"/>
      <c r="H84" s="631"/>
      <c r="I84" s="631"/>
      <c r="J84" s="631"/>
      <c r="K84" s="631"/>
      <c r="L84" s="668"/>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xr:uid="{00000000-0002-0000-0400-00000000000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FD102"/>
  <sheetViews>
    <sheetView showGridLines="0" showRowColHeaders="0" tabSelected="1" topLeftCell="B1" zoomScaleNormal="100" workbookViewId="0">
      <selection activeCell="B1" sqref="B1:XFD1"/>
    </sheetView>
  </sheetViews>
  <sheetFormatPr defaultColWidth="0" defaultRowHeight="15" zeroHeight="1"/>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97" customFormat="1" ht="30" customHeight="1">
      <c r="A1" s="557"/>
      <c r="B1" s="693" t="s">
        <v>207</v>
      </c>
      <c r="C1" s="694"/>
      <c r="D1" s="694"/>
      <c r="E1" s="694"/>
      <c r="F1" s="694"/>
      <c r="G1" s="694"/>
      <c r="H1" s="694"/>
      <c r="I1" s="694"/>
      <c r="J1" s="694"/>
      <c r="K1" s="694"/>
      <c r="L1" s="694"/>
      <c r="M1" s="694"/>
      <c r="N1" s="694"/>
      <c r="O1" s="694"/>
      <c r="P1" s="694"/>
      <c r="Q1" s="694"/>
      <c r="R1" s="694"/>
      <c r="S1" s="695"/>
      <c r="T1" s="696"/>
      <c r="U1" s="696"/>
      <c r="V1" s="696"/>
      <c r="W1" s="696"/>
      <c r="X1" s="696"/>
      <c r="Y1" s="696"/>
      <c r="Z1" s="696"/>
      <c r="AA1" s="696"/>
      <c r="AB1" s="696"/>
      <c r="AC1" s="696"/>
      <c r="AD1" s="696"/>
      <c r="AE1" s="696"/>
      <c r="AF1" s="696"/>
      <c r="AG1" s="696"/>
      <c r="AH1" s="696"/>
      <c r="AI1" s="696"/>
      <c r="AJ1" s="696"/>
      <c r="AK1" s="696"/>
      <c r="AL1" s="696"/>
      <c r="AM1" s="696"/>
      <c r="AN1" s="696"/>
      <c r="AO1" s="696"/>
      <c r="AP1" s="696"/>
      <c r="AQ1" s="696"/>
      <c r="AR1" s="696"/>
      <c r="AS1" s="696"/>
      <c r="AT1" s="696"/>
      <c r="AU1" s="696"/>
      <c r="AV1" s="696"/>
      <c r="AW1" s="696"/>
      <c r="AX1" s="696"/>
      <c r="AY1" s="696"/>
      <c r="AZ1" s="696"/>
      <c r="BA1" s="696"/>
      <c r="BB1" s="696"/>
      <c r="BC1" s="696"/>
      <c r="BD1" s="696"/>
      <c r="BE1" s="696"/>
      <c r="BF1" s="696"/>
      <c r="BG1" s="696"/>
      <c r="BH1" s="696"/>
      <c r="BI1" s="696"/>
      <c r="BJ1" s="696"/>
      <c r="BK1" s="696"/>
      <c r="BL1" s="696"/>
      <c r="BM1" s="696"/>
      <c r="BN1" s="696"/>
      <c r="BO1" s="696"/>
      <c r="BP1" s="696"/>
      <c r="BQ1" s="696"/>
      <c r="BR1" s="696"/>
      <c r="BS1" s="696"/>
      <c r="BT1" s="696"/>
      <c r="BU1" s="696"/>
      <c r="BV1" s="696"/>
      <c r="BW1" s="696"/>
      <c r="BX1" s="696"/>
      <c r="BY1" s="696"/>
      <c r="BZ1" s="696"/>
      <c r="CA1" s="696"/>
      <c r="CB1" s="696"/>
      <c r="CC1" s="696"/>
      <c r="CD1" s="696"/>
      <c r="CE1" s="696"/>
      <c r="CF1" s="696"/>
      <c r="CG1" s="696"/>
      <c r="CH1" s="696"/>
      <c r="CI1" s="696"/>
      <c r="CJ1" s="696"/>
      <c r="CK1" s="696"/>
      <c r="CL1" s="696"/>
      <c r="CM1" s="696"/>
      <c r="CN1" s="696"/>
      <c r="CO1" s="696"/>
      <c r="CP1" s="696"/>
      <c r="CQ1" s="696"/>
      <c r="CR1" s="696"/>
      <c r="CS1" s="696"/>
      <c r="CT1" s="696"/>
      <c r="CU1" s="696"/>
      <c r="CV1" s="696"/>
      <c r="CW1" s="696"/>
      <c r="CX1" s="696"/>
      <c r="CY1" s="696"/>
      <c r="CZ1" s="696"/>
      <c r="DA1" s="696"/>
      <c r="DB1" s="696"/>
      <c r="DC1" s="696"/>
      <c r="DD1" s="696"/>
      <c r="DE1" s="696"/>
      <c r="DF1" s="696"/>
      <c r="DG1" s="696"/>
      <c r="DH1" s="696"/>
      <c r="DI1" s="696"/>
      <c r="DJ1" s="696"/>
      <c r="DK1" s="696"/>
      <c r="DL1" s="696"/>
      <c r="DM1" s="696"/>
      <c r="DN1" s="696"/>
      <c r="DO1" s="696"/>
      <c r="DP1" s="696"/>
      <c r="DQ1" s="696"/>
      <c r="DR1" s="696"/>
      <c r="DS1" s="696"/>
      <c r="DT1" s="696"/>
      <c r="DU1" s="696"/>
      <c r="DV1" s="696"/>
      <c r="DW1" s="696"/>
      <c r="DX1" s="696"/>
      <c r="DY1" s="696"/>
      <c r="DZ1" s="696"/>
      <c r="EA1" s="696"/>
      <c r="EB1" s="696"/>
      <c r="EC1" s="696"/>
      <c r="ED1" s="696"/>
      <c r="EE1" s="696"/>
      <c r="EF1" s="696"/>
      <c r="EG1" s="696"/>
      <c r="EH1" s="696"/>
      <c r="EI1" s="696"/>
      <c r="EJ1" s="696"/>
      <c r="EK1" s="696"/>
      <c r="EL1" s="696"/>
      <c r="EM1" s="696"/>
      <c r="EN1" s="696"/>
      <c r="EO1" s="696"/>
      <c r="EP1" s="696"/>
      <c r="EQ1" s="696"/>
      <c r="ER1" s="696"/>
      <c r="ES1" s="696"/>
      <c r="ET1" s="696"/>
      <c r="EU1" s="696"/>
      <c r="EV1" s="696"/>
      <c r="EW1" s="696"/>
      <c r="EX1" s="696"/>
      <c r="EY1" s="696"/>
      <c r="EZ1" s="696"/>
      <c r="FA1" s="696"/>
      <c r="FB1" s="696"/>
      <c r="FC1" s="696"/>
      <c r="FD1" s="696"/>
      <c r="FE1" s="696"/>
      <c r="FF1" s="696"/>
      <c r="FG1" s="696"/>
      <c r="FH1" s="696"/>
      <c r="FI1" s="696"/>
      <c r="FJ1" s="696"/>
      <c r="FK1" s="696"/>
      <c r="FL1" s="696"/>
      <c r="FM1" s="696"/>
      <c r="FN1" s="696"/>
      <c r="FO1" s="696"/>
      <c r="FP1" s="696"/>
      <c r="FQ1" s="696"/>
      <c r="FR1" s="696"/>
      <c r="FS1" s="696"/>
      <c r="FT1" s="696"/>
      <c r="FU1" s="696"/>
      <c r="FV1" s="696"/>
      <c r="FW1" s="696"/>
      <c r="FX1" s="696"/>
      <c r="FY1" s="696"/>
      <c r="FZ1" s="696"/>
      <c r="GA1" s="696"/>
      <c r="GB1" s="696"/>
      <c r="GC1" s="696"/>
      <c r="GD1" s="696"/>
      <c r="GE1" s="696"/>
      <c r="GF1" s="696"/>
      <c r="GG1" s="696"/>
      <c r="GH1" s="696"/>
      <c r="GI1" s="696"/>
      <c r="GJ1" s="696"/>
      <c r="GK1" s="696"/>
      <c r="GL1" s="696"/>
      <c r="GM1" s="696"/>
      <c r="GN1" s="696"/>
      <c r="GO1" s="696"/>
      <c r="GP1" s="696"/>
      <c r="GQ1" s="696"/>
      <c r="GR1" s="696"/>
      <c r="GS1" s="696"/>
      <c r="GT1" s="696"/>
      <c r="GU1" s="696"/>
      <c r="GV1" s="696"/>
      <c r="GW1" s="696"/>
      <c r="GX1" s="696"/>
      <c r="GY1" s="696"/>
      <c r="GZ1" s="696"/>
      <c r="HA1" s="696"/>
      <c r="HB1" s="696"/>
      <c r="HC1" s="696"/>
      <c r="HD1" s="696"/>
      <c r="HE1" s="696"/>
      <c r="HF1" s="696"/>
      <c r="HG1" s="696"/>
      <c r="HH1" s="696"/>
      <c r="HI1" s="696"/>
      <c r="HJ1" s="696"/>
      <c r="HK1" s="696"/>
      <c r="HL1" s="696"/>
      <c r="HM1" s="696"/>
      <c r="HN1" s="696"/>
      <c r="HO1" s="696"/>
      <c r="HP1" s="696"/>
      <c r="HQ1" s="696"/>
      <c r="HR1" s="696"/>
      <c r="HS1" s="696"/>
      <c r="HT1" s="696"/>
      <c r="HU1" s="696"/>
      <c r="HV1" s="696"/>
      <c r="HW1" s="696"/>
      <c r="HX1" s="696"/>
      <c r="HY1" s="696"/>
      <c r="HZ1" s="696"/>
      <c r="IA1" s="696"/>
      <c r="IB1" s="696"/>
      <c r="IC1" s="696"/>
      <c r="ID1" s="696"/>
      <c r="IE1" s="696"/>
      <c r="IF1" s="696"/>
      <c r="IG1" s="696"/>
      <c r="IH1" s="696"/>
      <c r="II1" s="696"/>
      <c r="IJ1" s="696"/>
      <c r="IK1" s="696"/>
      <c r="IL1" s="696"/>
      <c r="IM1" s="696"/>
      <c r="IN1" s="696"/>
      <c r="IO1" s="696"/>
      <c r="IP1" s="696"/>
      <c r="IQ1" s="696"/>
      <c r="IR1" s="696"/>
      <c r="IS1" s="696"/>
      <c r="IT1" s="696"/>
      <c r="IU1" s="696"/>
      <c r="IV1" s="696"/>
      <c r="IW1" s="696"/>
      <c r="IX1" s="696"/>
      <c r="IY1" s="696"/>
      <c r="IZ1" s="696"/>
      <c r="JA1" s="696"/>
      <c r="JB1" s="696"/>
      <c r="JC1" s="696"/>
      <c r="JD1" s="696"/>
      <c r="JE1" s="696"/>
      <c r="JF1" s="696"/>
      <c r="JG1" s="696"/>
      <c r="JH1" s="696"/>
      <c r="JI1" s="696"/>
      <c r="JJ1" s="696"/>
      <c r="JK1" s="696"/>
      <c r="JL1" s="696"/>
      <c r="JM1" s="696"/>
      <c r="JN1" s="696"/>
      <c r="JO1" s="696"/>
      <c r="JP1" s="696"/>
      <c r="JQ1" s="696"/>
      <c r="JR1" s="696"/>
      <c r="JS1" s="696"/>
      <c r="JT1" s="696"/>
      <c r="JU1" s="696"/>
      <c r="JV1" s="696"/>
      <c r="JW1" s="696"/>
      <c r="JX1" s="696"/>
      <c r="JY1" s="696"/>
      <c r="JZ1" s="696"/>
      <c r="KA1" s="696"/>
      <c r="KB1" s="696"/>
      <c r="KC1" s="696"/>
      <c r="KD1" s="696"/>
      <c r="KE1" s="696"/>
      <c r="KF1" s="696"/>
      <c r="KG1" s="696"/>
      <c r="KH1" s="696"/>
      <c r="KI1" s="696"/>
      <c r="KJ1" s="696"/>
      <c r="KK1" s="696"/>
      <c r="KL1" s="696"/>
      <c r="KM1" s="696"/>
      <c r="KN1" s="696"/>
      <c r="KO1" s="696"/>
      <c r="KP1" s="696"/>
      <c r="KQ1" s="696"/>
      <c r="KR1" s="696"/>
      <c r="KS1" s="696"/>
      <c r="KT1" s="696"/>
      <c r="KU1" s="696"/>
      <c r="KV1" s="696"/>
      <c r="KW1" s="696"/>
      <c r="KX1" s="696"/>
      <c r="KY1" s="696"/>
      <c r="KZ1" s="696"/>
      <c r="LA1" s="696"/>
      <c r="LB1" s="696"/>
      <c r="LC1" s="696"/>
      <c r="LD1" s="696"/>
      <c r="LE1" s="696"/>
      <c r="LF1" s="696"/>
      <c r="LG1" s="696"/>
      <c r="LH1" s="696"/>
      <c r="LI1" s="696"/>
      <c r="LJ1" s="696"/>
      <c r="LK1" s="696"/>
      <c r="LL1" s="696"/>
      <c r="LM1" s="696"/>
      <c r="LN1" s="696"/>
      <c r="LO1" s="696"/>
      <c r="LP1" s="696"/>
      <c r="LQ1" s="696"/>
      <c r="LR1" s="696"/>
      <c r="LS1" s="696"/>
      <c r="LT1" s="696"/>
      <c r="LU1" s="696"/>
      <c r="LV1" s="696"/>
      <c r="LW1" s="696"/>
      <c r="LX1" s="696"/>
      <c r="LY1" s="696"/>
      <c r="LZ1" s="696"/>
      <c r="MA1" s="696"/>
      <c r="MB1" s="696"/>
      <c r="MC1" s="696"/>
      <c r="MD1" s="696"/>
      <c r="ME1" s="696"/>
      <c r="MF1" s="696"/>
      <c r="MG1" s="696"/>
      <c r="MH1" s="696"/>
      <c r="MI1" s="696"/>
      <c r="MJ1" s="696"/>
      <c r="MK1" s="696"/>
      <c r="ML1" s="696"/>
      <c r="MM1" s="696"/>
      <c r="MN1" s="696"/>
      <c r="MO1" s="696"/>
      <c r="MP1" s="696"/>
      <c r="MQ1" s="696"/>
      <c r="MR1" s="696"/>
      <c r="MS1" s="696"/>
      <c r="MT1" s="696"/>
      <c r="MU1" s="696"/>
      <c r="MV1" s="696"/>
      <c r="MW1" s="696"/>
      <c r="MX1" s="696"/>
      <c r="MY1" s="696"/>
      <c r="MZ1" s="696"/>
      <c r="NA1" s="696"/>
      <c r="NB1" s="696"/>
      <c r="NC1" s="696"/>
      <c r="ND1" s="696"/>
      <c r="NE1" s="696"/>
      <c r="NF1" s="696"/>
      <c r="NG1" s="696"/>
      <c r="NH1" s="696"/>
      <c r="NI1" s="696"/>
      <c r="NJ1" s="696"/>
      <c r="NK1" s="696"/>
      <c r="NL1" s="696"/>
      <c r="NM1" s="696"/>
      <c r="NN1" s="696"/>
      <c r="NO1" s="696"/>
      <c r="NP1" s="696"/>
      <c r="NQ1" s="696"/>
      <c r="NR1" s="696"/>
      <c r="NS1" s="696"/>
      <c r="NT1" s="696"/>
      <c r="NU1" s="696"/>
      <c r="NV1" s="696"/>
      <c r="NW1" s="696"/>
      <c r="NX1" s="696"/>
      <c r="NY1" s="696"/>
      <c r="NZ1" s="696"/>
      <c r="OA1" s="696"/>
      <c r="OB1" s="696"/>
      <c r="OC1" s="696"/>
      <c r="OD1" s="696"/>
      <c r="OE1" s="696"/>
      <c r="OF1" s="696"/>
      <c r="OG1" s="696"/>
      <c r="OH1" s="696"/>
      <c r="OI1" s="696"/>
      <c r="OJ1" s="696"/>
      <c r="OK1" s="696"/>
      <c r="OL1" s="696"/>
      <c r="OM1" s="696"/>
      <c r="ON1" s="696"/>
      <c r="OO1" s="696"/>
      <c r="OP1" s="696"/>
      <c r="OQ1" s="696"/>
      <c r="OR1" s="696"/>
      <c r="OS1" s="696"/>
      <c r="OT1" s="696"/>
      <c r="OU1" s="696"/>
      <c r="OV1" s="696"/>
      <c r="OW1" s="696"/>
      <c r="OX1" s="696"/>
      <c r="OY1" s="696"/>
      <c r="OZ1" s="696"/>
      <c r="PA1" s="696"/>
      <c r="PB1" s="696"/>
      <c r="PC1" s="696"/>
      <c r="PD1" s="696"/>
      <c r="PE1" s="696"/>
      <c r="PF1" s="696"/>
      <c r="PG1" s="696"/>
      <c r="PH1" s="696"/>
      <c r="PI1" s="696"/>
      <c r="PJ1" s="696"/>
      <c r="PK1" s="696"/>
      <c r="PL1" s="696"/>
      <c r="PM1" s="696"/>
      <c r="PN1" s="696"/>
      <c r="PO1" s="696"/>
      <c r="PP1" s="696"/>
      <c r="PQ1" s="696"/>
      <c r="PR1" s="696"/>
      <c r="PS1" s="696"/>
      <c r="PT1" s="696"/>
      <c r="PU1" s="696"/>
      <c r="PV1" s="696"/>
      <c r="PW1" s="696"/>
      <c r="PX1" s="696"/>
      <c r="PY1" s="696"/>
      <c r="PZ1" s="696"/>
      <c r="QA1" s="696"/>
      <c r="QB1" s="696"/>
      <c r="QC1" s="696"/>
      <c r="QD1" s="696"/>
      <c r="QE1" s="696"/>
      <c r="QF1" s="696"/>
      <c r="QG1" s="696"/>
      <c r="QH1" s="696"/>
      <c r="QI1" s="696"/>
      <c r="QJ1" s="696"/>
      <c r="QK1" s="696"/>
      <c r="QL1" s="696"/>
      <c r="QM1" s="696"/>
      <c r="QN1" s="696"/>
      <c r="QO1" s="696"/>
      <c r="QP1" s="696"/>
      <c r="QQ1" s="696"/>
      <c r="QR1" s="696"/>
      <c r="QS1" s="696"/>
      <c r="QT1" s="696"/>
      <c r="QU1" s="696"/>
      <c r="QV1" s="696"/>
      <c r="QW1" s="696"/>
      <c r="QX1" s="696"/>
      <c r="QY1" s="696"/>
      <c r="QZ1" s="696"/>
      <c r="RA1" s="696"/>
      <c r="RB1" s="696"/>
      <c r="RC1" s="696"/>
      <c r="RD1" s="696"/>
      <c r="RE1" s="696"/>
      <c r="RF1" s="696"/>
      <c r="RG1" s="696"/>
      <c r="RH1" s="696"/>
      <c r="RI1" s="696"/>
      <c r="RJ1" s="696"/>
      <c r="RK1" s="696"/>
      <c r="RL1" s="696"/>
      <c r="RM1" s="696"/>
      <c r="RN1" s="696"/>
      <c r="RO1" s="696"/>
      <c r="RP1" s="696"/>
      <c r="RQ1" s="696"/>
      <c r="RR1" s="696"/>
      <c r="RS1" s="696"/>
      <c r="RT1" s="696"/>
      <c r="RU1" s="696"/>
      <c r="RV1" s="696"/>
      <c r="RW1" s="696"/>
      <c r="RX1" s="696"/>
      <c r="RY1" s="696"/>
      <c r="RZ1" s="696"/>
      <c r="SA1" s="696"/>
      <c r="SB1" s="696"/>
      <c r="SC1" s="696"/>
      <c r="SD1" s="696"/>
      <c r="SE1" s="696"/>
      <c r="SF1" s="696"/>
      <c r="SG1" s="696"/>
      <c r="SH1" s="696"/>
      <c r="SI1" s="696"/>
      <c r="SJ1" s="696"/>
      <c r="SK1" s="696"/>
      <c r="SL1" s="696"/>
      <c r="SM1" s="696"/>
      <c r="SN1" s="696"/>
      <c r="SO1" s="696"/>
      <c r="SP1" s="696"/>
      <c r="SQ1" s="696"/>
      <c r="SR1" s="696"/>
      <c r="SS1" s="696"/>
      <c r="ST1" s="696"/>
      <c r="SU1" s="696"/>
      <c r="SV1" s="696"/>
      <c r="SW1" s="696"/>
      <c r="SX1" s="696"/>
      <c r="SY1" s="696"/>
      <c r="SZ1" s="696"/>
      <c r="TA1" s="696"/>
      <c r="TB1" s="696"/>
      <c r="TC1" s="696"/>
      <c r="TD1" s="696"/>
      <c r="TE1" s="696"/>
      <c r="TF1" s="696"/>
      <c r="TG1" s="696"/>
      <c r="TH1" s="696"/>
      <c r="TI1" s="696"/>
      <c r="TJ1" s="696"/>
      <c r="TK1" s="696"/>
      <c r="TL1" s="696"/>
      <c r="TM1" s="696"/>
      <c r="TN1" s="696"/>
      <c r="TO1" s="696"/>
      <c r="TP1" s="696"/>
      <c r="TQ1" s="696"/>
      <c r="TR1" s="696"/>
      <c r="TS1" s="696"/>
      <c r="TT1" s="696"/>
      <c r="TU1" s="696"/>
      <c r="TV1" s="696"/>
      <c r="TW1" s="696"/>
      <c r="TX1" s="696"/>
      <c r="TY1" s="696"/>
      <c r="TZ1" s="696"/>
      <c r="UA1" s="696"/>
      <c r="UB1" s="696"/>
      <c r="UC1" s="696"/>
      <c r="UD1" s="696"/>
      <c r="UE1" s="696"/>
      <c r="UF1" s="696"/>
      <c r="UG1" s="696"/>
      <c r="UH1" s="696"/>
      <c r="UI1" s="696"/>
      <c r="UJ1" s="696"/>
      <c r="UK1" s="696"/>
      <c r="UL1" s="696"/>
      <c r="UM1" s="696"/>
      <c r="UN1" s="696"/>
      <c r="UO1" s="696"/>
      <c r="UP1" s="696"/>
      <c r="UQ1" s="696"/>
      <c r="UR1" s="696"/>
      <c r="US1" s="696"/>
      <c r="UT1" s="696"/>
      <c r="UU1" s="696"/>
      <c r="UV1" s="696"/>
      <c r="UW1" s="696"/>
      <c r="UX1" s="696"/>
      <c r="UY1" s="696"/>
      <c r="UZ1" s="696"/>
      <c r="VA1" s="696"/>
      <c r="VB1" s="696"/>
      <c r="VC1" s="696"/>
      <c r="VD1" s="696"/>
      <c r="VE1" s="696"/>
      <c r="VF1" s="696"/>
      <c r="VG1" s="696"/>
      <c r="VH1" s="696"/>
      <c r="VI1" s="696"/>
      <c r="VJ1" s="696"/>
      <c r="VK1" s="696"/>
      <c r="VL1" s="696"/>
      <c r="VM1" s="696"/>
      <c r="VN1" s="696"/>
      <c r="VO1" s="696"/>
      <c r="VP1" s="696"/>
      <c r="VQ1" s="696"/>
      <c r="VR1" s="696"/>
      <c r="VS1" s="696"/>
      <c r="VT1" s="696"/>
      <c r="VU1" s="696"/>
      <c r="VV1" s="696"/>
      <c r="VW1" s="696"/>
      <c r="VX1" s="696"/>
      <c r="VY1" s="696"/>
      <c r="VZ1" s="696"/>
      <c r="WA1" s="696"/>
      <c r="WB1" s="696"/>
      <c r="WC1" s="696"/>
      <c r="WD1" s="696"/>
      <c r="WE1" s="696"/>
      <c r="WF1" s="696"/>
      <c r="WG1" s="696"/>
      <c r="WH1" s="696"/>
      <c r="WI1" s="696"/>
      <c r="WJ1" s="696"/>
      <c r="WK1" s="696"/>
      <c r="WL1" s="696"/>
      <c r="WM1" s="696"/>
      <c r="WN1" s="696"/>
      <c r="WO1" s="696"/>
      <c r="WP1" s="696"/>
      <c r="WQ1" s="696"/>
      <c r="WR1" s="696"/>
      <c r="WS1" s="696"/>
      <c r="WT1" s="696"/>
      <c r="WU1" s="696"/>
      <c r="WV1" s="696"/>
      <c r="WW1" s="696"/>
      <c r="WX1" s="696"/>
      <c r="WY1" s="696"/>
      <c r="WZ1" s="696"/>
      <c r="XA1" s="696"/>
      <c r="XB1" s="696"/>
      <c r="XC1" s="696"/>
      <c r="XD1" s="696"/>
      <c r="XE1" s="696"/>
      <c r="XF1" s="696"/>
      <c r="XG1" s="696"/>
      <c r="XH1" s="696"/>
      <c r="XI1" s="696"/>
      <c r="XJ1" s="696"/>
      <c r="XK1" s="696"/>
      <c r="XL1" s="696"/>
      <c r="XM1" s="696"/>
      <c r="XN1" s="696"/>
      <c r="XO1" s="696"/>
      <c r="XP1" s="696"/>
      <c r="XQ1" s="696"/>
      <c r="XR1" s="696"/>
      <c r="XS1" s="696"/>
      <c r="XT1" s="696"/>
      <c r="XU1" s="696"/>
      <c r="XV1" s="696"/>
      <c r="XW1" s="696"/>
      <c r="XX1" s="696"/>
      <c r="XY1" s="696"/>
      <c r="XZ1" s="696"/>
      <c r="YA1" s="696"/>
      <c r="YB1" s="696"/>
      <c r="YC1" s="696"/>
      <c r="YD1" s="696"/>
      <c r="YE1" s="696"/>
      <c r="YF1" s="696"/>
      <c r="YG1" s="696"/>
      <c r="YH1" s="696"/>
      <c r="YI1" s="696"/>
      <c r="YJ1" s="696"/>
      <c r="YK1" s="696"/>
      <c r="YL1" s="696"/>
      <c r="YM1" s="696"/>
      <c r="YN1" s="696"/>
      <c r="YO1" s="696"/>
      <c r="YP1" s="696"/>
      <c r="YQ1" s="696"/>
      <c r="YR1" s="696"/>
      <c r="YS1" s="696"/>
      <c r="YT1" s="696"/>
      <c r="YU1" s="696"/>
      <c r="YV1" s="696"/>
      <c r="YW1" s="696"/>
      <c r="YX1" s="696"/>
      <c r="YY1" s="696"/>
      <c r="YZ1" s="696"/>
      <c r="ZA1" s="696"/>
      <c r="ZB1" s="696"/>
      <c r="ZC1" s="696"/>
      <c r="ZD1" s="696"/>
      <c r="ZE1" s="696"/>
      <c r="ZF1" s="696"/>
      <c r="ZG1" s="696"/>
      <c r="ZH1" s="696"/>
      <c r="ZI1" s="696"/>
      <c r="ZJ1" s="696"/>
      <c r="ZK1" s="696"/>
      <c r="ZL1" s="696"/>
      <c r="ZM1" s="696"/>
      <c r="ZN1" s="696"/>
      <c r="ZO1" s="696"/>
      <c r="ZP1" s="696"/>
      <c r="ZQ1" s="696"/>
      <c r="ZR1" s="696"/>
      <c r="ZS1" s="696"/>
      <c r="ZT1" s="696"/>
      <c r="ZU1" s="696"/>
      <c r="ZV1" s="696"/>
      <c r="ZW1" s="696"/>
      <c r="ZX1" s="696"/>
      <c r="ZY1" s="696"/>
      <c r="ZZ1" s="696"/>
      <c r="AAA1" s="696"/>
      <c r="AAB1" s="696"/>
      <c r="AAC1" s="696"/>
      <c r="AAD1" s="696"/>
      <c r="AAE1" s="696"/>
      <c r="AAF1" s="696"/>
      <c r="AAG1" s="696"/>
      <c r="AAH1" s="696"/>
      <c r="AAI1" s="696"/>
      <c r="AAJ1" s="696"/>
      <c r="AAK1" s="696"/>
      <c r="AAL1" s="696"/>
      <c r="AAM1" s="696"/>
      <c r="AAN1" s="696"/>
      <c r="AAO1" s="696"/>
      <c r="AAP1" s="696"/>
      <c r="AAQ1" s="696"/>
      <c r="AAR1" s="696"/>
      <c r="AAS1" s="696"/>
      <c r="AAT1" s="696"/>
      <c r="AAU1" s="696"/>
      <c r="AAV1" s="696"/>
      <c r="AAW1" s="696"/>
      <c r="AAX1" s="696"/>
      <c r="AAY1" s="696"/>
      <c r="AAZ1" s="696"/>
      <c r="ABA1" s="696"/>
      <c r="ABB1" s="696"/>
      <c r="ABC1" s="696"/>
      <c r="ABD1" s="696"/>
      <c r="ABE1" s="696"/>
      <c r="ABF1" s="696"/>
      <c r="ABG1" s="696"/>
      <c r="ABH1" s="696"/>
      <c r="ABI1" s="696"/>
      <c r="ABJ1" s="696"/>
      <c r="ABK1" s="696"/>
      <c r="ABL1" s="696"/>
      <c r="ABM1" s="696"/>
      <c r="ABN1" s="696"/>
      <c r="ABO1" s="696"/>
      <c r="ABP1" s="696"/>
      <c r="ABQ1" s="696"/>
      <c r="ABR1" s="696"/>
      <c r="ABS1" s="696"/>
      <c r="ABT1" s="696"/>
      <c r="ABU1" s="696"/>
      <c r="ABV1" s="696"/>
      <c r="ABW1" s="696"/>
      <c r="ABX1" s="696"/>
      <c r="ABY1" s="696"/>
      <c r="ABZ1" s="696"/>
      <c r="ACA1" s="696"/>
      <c r="ACB1" s="696"/>
      <c r="ACC1" s="696"/>
      <c r="ACD1" s="696"/>
      <c r="ACE1" s="696"/>
      <c r="ACF1" s="696"/>
      <c r="ACG1" s="696"/>
      <c r="ACH1" s="696"/>
      <c r="ACI1" s="696"/>
      <c r="ACJ1" s="696"/>
      <c r="ACK1" s="696"/>
      <c r="ACL1" s="696"/>
      <c r="ACM1" s="696"/>
      <c r="ACN1" s="696"/>
      <c r="ACO1" s="696"/>
      <c r="ACP1" s="696"/>
      <c r="ACQ1" s="696"/>
      <c r="ACR1" s="696"/>
      <c r="ACS1" s="696"/>
      <c r="ACT1" s="696"/>
      <c r="ACU1" s="696"/>
      <c r="ACV1" s="696"/>
      <c r="ACW1" s="696"/>
      <c r="ACX1" s="696"/>
      <c r="ACY1" s="696"/>
      <c r="ACZ1" s="696"/>
      <c r="ADA1" s="696"/>
      <c r="ADB1" s="696"/>
      <c r="ADC1" s="696"/>
      <c r="ADD1" s="696"/>
      <c r="ADE1" s="696"/>
      <c r="ADF1" s="696"/>
      <c r="ADG1" s="696"/>
      <c r="ADH1" s="696"/>
      <c r="ADI1" s="696"/>
      <c r="ADJ1" s="696"/>
      <c r="ADK1" s="696"/>
      <c r="ADL1" s="696"/>
      <c r="ADM1" s="696"/>
      <c r="ADN1" s="696"/>
      <c r="ADO1" s="696"/>
      <c r="ADP1" s="696"/>
      <c r="ADQ1" s="696"/>
      <c r="ADR1" s="696"/>
      <c r="ADS1" s="696"/>
      <c r="ADT1" s="696"/>
      <c r="ADU1" s="696"/>
      <c r="ADV1" s="696"/>
      <c r="ADW1" s="696"/>
      <c r="ADX1" s="696"/>
      <c r="ADY1" s="696"/>
      <c r="ADZ1" s="696"/>
      <c r="AEA1" s="696"/>
      <c r="AEB1" s="696"/>
      <c r="AEC1" s="696"/>
      <c r="AED1" s="696"/>
      <c r="AEE1" s="696"/>
      <c r="AEF1" s="696"/>
      <c r="AEG1" s="696"/>
      <c r="AEH1" s="696"/>
      <c r="AEI1" s="696"/>
      <c r="AEJ1" s="696"/>
      <c r="AEK1" s="696"/>
      <c r="AEL1" s="696"/>
      <c r="AEM1" s="696"/>
      <c r="AEN1" s="696"/>
      <c r="AEO1" s="696"/>
      <c r="AEP1" s="696"/>
      <c r="AEQ1" s="696"/>
      <c r="AER1" s="696"/>
      <c r="AES1" s="696"/>
      <c r="AET1" s="696"/>
      <c r="AEU1" s="696"/>
      <c r="AEV1" s="696"/>
      <c r="AEW1" s="696"/>
      <c r="AEX1" s="696"/>
      <c r="AEY1" s="696"/>
      <c r="AEZ1" s="696"/>
      <c r="AFA1" s="696"/>
      <c r="AFB1" s="696"/>
      <c r="AFC1" s="696"/>
      <c r="AFD1" s="696"/>
      <c r="AFE1" s="696"/>
      <c r="AFF1" s="696"/>
      <c r="AFG1" s="696"/>
      <c r="AFH1" s="696"/>
      <c r="AFI1" s="696"/>
      <c r="AFJ1" s="696"/>
      <c r="AFK1" s="696"/>
      <c r="AFL1" s="696"/>
      <c r="AFM1" s="696"/>
      <c r="AFN1" s="696"/>
      <c r="AFO1" s="696"/>
      <c r="AFP1" s="696"/>
      <c r="AFQ1" s="696"/>
      <c r="AFR1" s="696"/>
      <c r="AFS1" s="696"/>
      <c r="AFT1" s="696"/>
      <c r="AFU1" s="696"/>
      <c r="AFV1" s="696"/>
      <c r="AFW1" s="696"/>
      <c r="AFX1" s="696"/>
      <c r="AFY1" s="696"/>
      <c r="AFZ1" s="696"/>
      <c r="AGA1" s="696"/>
      <c r="AGB1" s="696"/>
      <c r="AGC1" s="696"/>
      <c r="AGD1" s="696"/>
      <c r="AGE1" s="696"/>
      <c r="AGF1" s="696"/>
      <c r="AGG1" s="696"/>
      <c r="AGH1" s="696"/>
      <c r="AGI1" s="696"/>
      <c r="AGJ1" s="696"/>
      <c r="AGK1" s="696"/>
      <c r="AGL1" s="696"/>
      <c r="AGM1" s="696"/>
      <c r="AGN1" s="696"/>
      <c r="AGO1" s="696"/>
      <c r="AGP1" s="696"/>
      <c r="AGQ1" s="696"/>
      <c r="AGR1" s="696"/>
      <c r="AGS1" s="696"/>
      <c r="AGT1" s="696"/>
      <c r="AGU1" s="696"/>
      <c r="AGV1" s="696"/>
      <c r="AGW1" s="696"/>
      <c r="AGX1" s="696"/>
      <c r="AGY1" s="696"/>
      <c r="AGZ1" s="696"/>
      <c r="AHA1" s="696"/>
      <c r="AHB1" s="696"/>
      <c r="AHC1" s="696"/>
      <c r="AHD1" s="696"/>
      <c r="AHE1" s="696"/>
      <c r="AHF1" s="696"/>
      <c r="AHG1" s="696"/>
      <c r="AHH1" s="696"/>
      <c r="AHI1" s="696"/>
      <c r="AHJ1" s="696"/>
      <c r="AHK1" s="696"/>
      <c r="AHL1" s="696"/>
      <c r="AHM1" s="696"/>
      <c r="AHN1" s="696"/>
      <c r="AHO1" s="696"/>
      <c r="AHP1" s="696"/>
      <c r="AHQ1" s="696"/>
      <c r="AHR1" s="696"/>
      <c r="AHS1" s="696"/>
      <c r="AHT1" s="696"/>
      <c r="AHU1" s="696"/>
      <c r="AHV1" s="696"/>
      <c r="AHW1" s="696"/>
      <c r="AHX1" s="696"/>
      <c r="AHY1" s="696"/>
      <c r="AHZ1" s="696"/>
      <c r="AIA1" s="696"/>
      <c r="AIB1" s="696"/>
      <c r="AIC1" s="696"/>
      <c r="AID1" s="696"/>
      <c r="AIE1" s="696"/>
      <c r="AIF1" s="696"/>
      <c r="AIG1" s="696"/>
      <c r="AIH1" s="696"/>
      <c r="AII1" s="696"/>
      <c r="AIJ1" s="696"/>
      <c r="AIK1" s="696"/>
      <c r="AIL1" s="696"/>
      <c r="AIM1" s="696"/>
      <c r="AIN1" s="696"/>
      <c r="AIO1" s="696"/>
      <c r="AIP1" s="696"/>
      <c r="AIQ1" s="696"/>
      <c r="AIR1" s="696"/>
      <c r="AIS1" s="696"/>
      <c r="AIT1" s="696"/>
      <c r="AIU1" s="696"/>
      <c r="AIV1" s="696"/>
      <c r="AIW1" s="696"/>
      <c r="AIX1" s="696"/>
      <c r="AIY1" s="696"/>
      <c r="AIZ1" s="696"/>
      <c r="AJA1" s="696"/>
      <c r="AJB1" s="696"/>
      <c r="AJC1" s="696"/>
      <c r="AJD1" s="696"/>
      <c r="AJE1" s="696"/>
      <c r="AJF1" s="696"/>
      <c r="AJG1" s="696"/>
      <c r="AJH1" s="696"/>
      <c r="AJI1" s="696"/>
      <c r="AJJ1" s="696"/>
      <c r="AJK1" s="696"/>
      <c r="AJL1" s="696"/>
      <c r="AJM1" s="696"/>
      <c r="AJN1" s="696"/>
      <c r="AJO1" s="696"/>
      <c r="AJP1" s="696"/>
      <c r="AJQ1" s="696"/>
      <c r="AJR1" s="696"/>
      <c r="AJS1" s="696"/>
      <c r="AJT1" s="696"/>
      <c r="AJU1" s="696"/>
      <c r="AJV1" s="696"/>
      <c r="AJW1" s="696"/>
      <c r="AJX1" s="696"/>
      <c r="AJY1" s="696"/>
      <c r="AJZ1" s="696"/>
      <c r="AKA1" s="696"/>
      <c r="AKB1" s="696"/>
      <c r="AKC1" s="696"/>
      <c r="AKD1" s="696"/>
      <c r="AKE1" s="696"/>
      <c r="AKF1" s="696"/>
      <c r="AKG1" s="696"/>
      <c r="AKH1" s="696"/>
      <c r="AKI1" s="696"/>
      <c r="AKJ1" s="696"/>
      <c r="AKK1" s="696"/>
      <c r="AKL1" s="696"/>
      <c r="AKM1" s="696"/>
      <c r="AKN1" s="696"/>
      <c r="AKO1" s="696"/>
      <c r="AKP1" s="696"/>
      <c r="AKQ1" s="696"/>
      <c r="AKR1" s="696"/>
      <c r="AKS1" s="696"/>
      <c r="AKT1" s="696"/>
      <c r="AKU1" s="696"/>
      <c r="AKV1" s="696"/>
      <c r="AKW1" s="696"/>
      <c r="AKX1" s="696"/>
      <c r="AKY1" s="696"/>
      <c r="AKZ1" s="696"/>
      <c r="ALA1" s="696"/>
      <c r="ALB1" s="696"/>
      <c r="ALC1" s="696"/>
      <c r="ALD1" s="696"/>
      <c r="ALE1" s="696"/>
      <c r="ALF1" s="696"/>
      <c r="ALG1" s="696"/>
      <c r="ALH1" s="696"/>
      <c r="ALI1" s="696"/>
      <c r="ALJ1" s="696"/>
      <c r="ALK1" s="696"/>
      <c r="ALL1" s="696"/>
      <c r="ALM1" s="696"/>
      <c r="ALN1" s="696"/>
      <c r="ALO1" s="696"/>
      <c r="ALP1" s="696"/>
      <c r="ALQ1" s="696"/>
      <c r="ALR1" s="696"/>
      <c r="ALS1" s="696"/>
      <c r="ALT1" s="696"/>
      <c r="ALU1" s="696"/>
      <c r="ALV1" s="696"/>
      <c r="ALW1" s="696"/>
      <c r="ALX1" s="696"/>
      <c r="ALY1" s="696"/>
      <c r="ALZ1" s="696"/>
      <c r="AMA1" s="696"/>
      <c r="AMB1" s="696"/>
      <c r="AMC1" s="696"/>
      <c r="AMD1" s="696"/>
      <c r="AME1" s="696"/>
      <c r="AMF1" s="696"/>
      <c r="AMG1" s="696"/>
      <c r="AMH1" s="696"/>
      <c r="AMI1" s="696"/>
      <c r="AMJ1" s="696"/>
      <c r="AMK1" s="696"/>
      <c r="AML1" s="696"/>
      <c r="AMM1" s="696"/>
      <c r="AMN1" s="696"/>
      <c r="AMO1" s="696"/>
      <c r="AMP1" s="696"/>
      <c r="AMQ1" s="696"/>
      <c r="AMR1" s="696"/>
      <c r="AMS1" s="696"/>
      <c r="AMT1" s="696"/>
      <c r="AMU1" s="696"/>
      <c r="AMV1" s="696"/>
      <c r="AMW1" s="696"/>
      <c r="AMX1" s="696"/>
      <c r="AMY1" s="696"/>
      <c r="AMZ1" s="696"/>
      <c r="ANA1" s="696"/>
      <c r="ANB1" s="696"/>
      <c r="ANC1" s="696"/>
      <c r="AND1" s="696"/>
      <c r="ANE1" s="696"/>
      <c r="ANF1" s="696"/>
      <c r="ANG1" s="696"/>
      <c r="ANH1" s="696"/>
      <c r="ANI1" s="696"/>
      <c r="ANJ1" s="696"/>
      <c r="ANK1" s="696"/>
      <c r="ANL1" s="696"/>
      <c r="ANM1" s="696"/>
      <c r="ANN1" s="696"/>
      <c r="ANO1" s="696"/>
      <c r="ANP1" s="696"/>
      <c r="ANQ1" s="696"/>
      <c r="ANR1" s="696"/>
      <c r="ANS1" s="696"/>
      <c r="ANT1" s="696"/>
      <c r="ANU1" s="696"/>
      <c r="ANV1" s="696"/>
      <c r="ANW1" s="696"/>
      <c r="ANX1" s="696"/>
      <c r="ANY1" s="696"/>
      <c r="ANZ1" s="696"/>
      <c r="AOA1" s="696"/>
      <c r="AOB1" s="696"/>
      <c r="AOC1" s="696"/>
      <c r="AOD1" s="696"/>
      <c r="AOE1" s="696"/>
      <c r="AOF1" s="696"/>
      <c r="AOG1" s="696"/>
      <c r="AOH1" s="696"/>
      <c r="AOI1" s="696"/>
      <c r="AOJ1" s="696"/>
      <c r="AOK1" s="696"/>
      <c r="AOL1" s="696"/>
      <c r="AOM1" s="696"/>
      <c r="AON1" s="696"/>
      <c r="AOO1" s="696"/>
      <c r="AOP1" s="696"/>
      <c r="AOQ1" s="696"/>
      <c r="AOR1" s="696"/>
      <c r="AOS1" s="696"/>
      <c r="AOT1" s="696"/>
      <c r="AOU1" s="696"/>
      <c r="AOV1" s="696"/>
      <c r="AOW1" s="696"/>
      <c r="AOX1" s="696"/>
      <c r="AOY1" s="696"/>
      <c r="AOZ1" s="696"/>
      <c r="APA1" s="696"/>
      <c r="APB1" s="696"/>
      <c r="APC1" s="696"/>
      <c r="APD1" s="696"/>
      <c r="APE1" s="696"/>
      <c r="APF1" s="696"/>
      <c r="APG1" s="696"/>
      <c r="APH1" s="696"/>
      <c r="API1" s="696"/>
      <c r="APJ1" s="696"/>
      <c r="APK1" s="696"/>
      <c r="APL1" s="696"/>
      <c r="APM1" s="696"/>
      <c r="APN1" s="696"/>
      <c r="APO1" s="696"/>
      <c r="APP1" s="696"/>
      <c r="APQ1" s="696"/>
      <c r="APR1" s="696"/>
      <c r="APS1" s="696"/>
      <c r="APT1" s="696"/>
      <c r="APU1" s="696"/>
      <c r="APV1" s="696"/>
      <c r="APW1" s="696"/>
      <c r="APX1" s="696"/>
      <c r="APY1" s="696"/>
      <c r="APZ1" s="696"/>
      <c r="AQA1" s="696"/>
      <c r="AQB1" s="696"/>
      <c r="AQC1" s="696"/>
      <c r="AQD1" s="696"/>
      <c r="AQE1" s="696"/>
      <c r="AQF1" s="696"/>
      <c r="AQG1" s="696"/>
      <c r="AQH1" s="696"/>
      <c r="AQI1" s="696"/>
      <c r="AQJ1" s="696"/>
      <c r="AQK1" s="696"/>
      <c r="AQL1" s="696"/>
      <c r="AQM1" s="696"/>
      <c r="AQN1" s="696"/>
      <c r="AQO1" s="696"/>
      <c r="AQP1" s="696"/>
      <c r="AQQ1" s="696"/>
      <c r="AQR1" s="696"/>
      <c r="AQS1" s="696"/>
      <c r="AQT1" s="696"/>
      <c r="AQU1" s="696"/>
      <c r="AQV1" s="696"/>
      <c r="AQW1" s="696"/>
      <c r="AQX1" s="696"/>
      <c r="AQY1" s="696"/>
      <c r="AQZ1" s="696"/>
      <c r="ARA1" s="696"/>
      <c r="ARB1" s="696"/>
      <c r="ARC1" s="696"/>
      <c r="ARD1" s="696"/>
      <c r="ARE1" s="696"/>
      <c r="ARF1" s="696"/>
      <c r="ARG1" s="696"/>
      <c r="ARH1" s="696"/>
      <c r="ARI1" s="696"/>
      <c r="ARJ1" s="696"/>
      <c r="ARK1" s="696"/>
      <c r="ARL1" s="696"/>
      <c r="ARM1" s="696"/>
      <c r="ARN1" s="696"/>
      <c r="ARO1" s="696"/>
      <c r="ARP1" s="696"/>
      <c r="ARQ1" s="696"/>
      <c r="ARR1" s="696"/>
      <c r="ARS1" s="696"/>
      <c r="ART1" s="696"/>
      <c r="ARU1" s="696"/>
      <c r="ARV1" s="696"/>
      <c r="ARW1" s="696"/>
      <c r="ARX1" s="696"/>
      <c r="ARY1" s="696"/>
      <c r="ARZ1" s="696"/>
      <c r="ASA1" s="696"/>
      <c r="ASB1" s="696"/>
      <c r="ASC1" s="696"/>
      <c r="ASD1" s="696"/>
      <c r="ASE1" s="696"/>
      <c r="ASF1" s="696"/>
      <c r="ASG1" s="696"/>
      <c r="ASH1" s="696"/>
      <c r="ASI1" s="696"/>
      <c r="ASJ1" s="696"/>
      <c r="ASK1" s="696"/>
      <c r="ASL1" s="696"/>
      <c r="ASM1" s="696"/>
      <c r="ASN1" s="696"/>
      <c r="ASO1" s="696"/>
      <c r="ASP1" s="696"/>
      <c r="ASQ1" s="696"/>
      <c r="ASR1" s="696"/>
      <c r="ASS1" s="696"/>
      <c r="AST1" s="696"/>
      <c r="ASU1" s="696"/>
      <c r="ASV1" s="696"/>
      <c r="ASW1" s="696"/>
      <c r="ASX1" s="696"/>
      <c r="ASY1" s="696"/>
      <c r="ASZ1" s="696"/>
      <c r="ATA1" s="696"/>
      <c r="ATB1" s="696"/>
      <c r="ATC1" s="696"/>
      <c r="ATD1" s="696"/>
      <c r="ATE1" s="696"/>
      <c r="ATF1" s="696"/>
      <c r="ATG1" s="696"/>
      <c r="ATH1" s="696"/>
      <c r="ATI1" s="696"/>
      <c r="ATJ1" s="696"/>
      <c r="ATK1" s="696"/>
      <c r="ATL1" s="696"/>
      <c r="ATM1" s="696"/>
      <c r="ATN1" s="696"/>
      <c r="ATO1" s="696"/>
      <c r="ATP1" s="696"/>
      <c r="ATQ1" s="696"/>
      <c r="ATR1" s="696"/>
      <c r="ATS1" s="696"/>
      <c r="ATT1" s="696"/>
      <c r="ATU1" s="696"/>
      <c r="ATV1" s="696"/>
      <c r="ATW1" s="696"/>
      <c r="ATX1" s="696"/>
      <c r="ATY1" s="696"/>
      <c r="ATZ1" s="696"/>
      <c r="AUA1" s="696"/>
      <c r="AUB1" s="696"/>
      <c r="AUC1" s="696"/>
      <c r="AUD1" s="696"/>
      <c r="AUE1" s="696"/>
      <c r="AUF1" s="696"/>
      <c r="AUG1" s="696"/>
      <c r="AUH1" s="696"/>
      <c r="AUI1" s="696"/>
      <c r="AUJ1" s="696"/>
      <c r="AUK1" s="696"/>
      <c r="AUL1" s="696"/>
      <c r="AUM1" s="696"/>
      <c r="AUN1" s="696"/>
      <c r="AUO1" s="696"/>
      <c r="AUP1" s="696"/>
      <c r="AUQ1" s="696"/>
      <c r="AUR1" s="696"/>
      <c r="AUS1" s="696"/>
      <c r="AUT1" s="696"/>
      <c r="AUU1" s="696"/>
      <c r="AUV1" s="696"/>
      <c r="AUW1" s="696"/>
      <c r="AUX1" s="696"/>
      <c r="AUY1" s="696"/>
      <c r="AUZ1" s="696"/>
      <c r="AVA1" s="696"/>
      <c r="AVB1" s="696"/>
      <c r="AVC1" s="696"/>
      <c r="AVD1" s="696"/>
      <c r="AVE1" s="696"/>
      <c r="AVF1" s="696"/>
      <c r="AVG1" s="696"/>
      <c r="AVH1" s="696"/>
      <c r="AVI1" s="696"/>
      <c r="AVJ1" s="696"/>
      <c r="AVK1" s="696"/>
      <c r="AVL1" s="696"/>
      <c r="AVM1" s="696"/>
      <c r="AVN1" s="696"/>
      <c r="AVO1" s="696"/>
      <c r="AVP1" s="696"/>
      <c r="AVQ1" s="696"/>
      <c r="AVR1" s="696"/>
      <c r="AVS1" s="696"/>
      <c r="AVT1" s="696"/>
      <c r="AVU1" s="696"/>
      <c r="AVV1" s="696"/>
      <c r="AVW1" s="696"/>
      <c r="AVX1" s="696"/>
      <c r="AVY1" s="696"/>
      <c r="AVZ1" s="696"/>
      <c r="AWA1" s="696"/>
      <c r="AWB1" s="696"/>
      <c r="AWC1" s="696"/>
      <c r="AWD1" s="696"/>
      <c r="AWE1" s="696"/>
      <c r="AWF1" s="696"/>
      <c r="AWG1" s="696"/>
      <c r="AWH1" s="696"/>
      <c r="AWI1" s="696"/>
      <c r="AWJ1" s="696"/>
      <c r="AWK1" s="696"/>
      <c r="AWL1" s="696"/>
      <c r="AWM1" s="696"/>
      <c r="AWN1" s="696"/>
      <c r="AWO1" s="696"/>
      <c r="AWP1" s="696"/>
      <c r="AWQ1" s="696"/>
      <c r="AWR1" s="696"/>
      <c r="AWS1" s="696"/>
      <c r="AWT1" s="696"/>
      <c r="AWU1" s="696"/>
      <c r="AWV1" s="696"/>
      <c r="AWW1" s="696"/>
      <c r="AWX1" s="696"/>
      <c r="AWY1" s="696"/>
      <c r="AWZ1" s="696"/>
      <c r="AXA1" s="696"/>
      <c r="AXB1" s="696"/>
      <c r="AXC1" s="696"/>
      <c r="AXD1" s="696"/>
      <c r="AXE1" s="696"/>
      <c r="AXF1" s="696"/>
      <c r="AXG1" s="696"/>
      <c r="AXH1" s="696"/>
      <c r="AXI1" s="696"/>
      <c r="AXJ1" s="696"/>
      <c r="AXK1" s="696"/>
      <c r="AXL1" s="696"/>
      <c r="AXM1" s="696"/>
      <c r="AXN1" s="696"/>
      <c r="AXO1" s="696"/>
      <c r="AXP1" s="696"/>
      <c r="AXQ1" s="696"/>
      <c r="AXR1" s="696"/>
      <c r="AXS1" s="696"/>
      <c r="AXT1" s="696"/>
      <c r="AXU1" s="696"/>
      <c r="AXV1" s="696"/>
      <c r="AXW1" s="696"/>
      <c r="AXX1" s="696"/>
      <c r="AXY1" s="696"/>
      <c r="AXZ1" s="696"/>
      <c r="AYA1" s="696"/>
      <c r="AYB1" s="696"/>
      <c r="AYC1" s="696"/>
      <c r="AYD1" s="696"/>
      <c r="AYE1" s="696"/>
      <c r="AYF1" s="696"/>
      <c r="AYG1" s="696"/>
      <c r="AYH1" s="696"/>
      <c r="AYI1" s="696"/>
      <c r="AYJ1" s="696"/>
      <c r="AYK1" s="696"/>
      <c r="AYL1" s="696"/>
      <c r="AYM1" s="696"/>
      <c r="AYN1" s="696"/>
      <c r="AYO1" s="696"/>
      <c r="AYP1" s="696"/>
      <c r="AYQ1" s="696"/>
      <c r="AYR1" s="696"/>
      <c r="AYS1" s="696"/>
      <c r="AYT1" s="696"/>
      <c r="AYU1" s="696"/>
      <c r="AYV1" s="696"/>
      <c r="AYW1" s="696"/>
      <c r="AYX1" s="696"/>
      <c r="AYY1" s="696"/>
      <c r="AYZ1" s="696"/>
      <c r="AZA1" s="696"/>
      <c r="AZB1" s="696"/>
      <c r="AZC1" s="696"/>
      <c r="AZD1" s="696"/>
      <c r="AZE1" s="696"/>
      <c r="AZF1" s="696"/>
      <c r="AZG1" s="696"/>
      <c r="AZH1" s="696"/>
      <c r="AZI1" s="696"/>
      <c r="AZJ1" s="696"/>
      <c r="AZK1" s="696"/>
      <c r="AZL1" s="696"/>
      <c r="AZM1" s="696"/>
      <c r="AZN1" s="696"/>
      <c r="AZO1" s="696"/>
      <c r="AZP1" s="696"/>
      <c r="AZQ1" s="696"/>
      <c r="AZR1" s="696"/>
      <c r="AZS1" s="696"/>
      <c r="AZT1" s="696"/>
      <c r="AZU1" s="696"/>
      <c r="AZV1" s="696"/>
      <c r="AZW1" s="696"/>
      <c r="AZX1" s="696"/>
      <c r="AZY1" s="696"/>
      <c r="AZZ1" s="696"/>
      <c r="BAA1" s="696"/>
      <c r="BAB1" s="696"/>
      <c r="BAC1" s="696"/>
      <c r="BAD1" s="696"/>
      <c r="BAE1" s="696"/>
      <c r="BAF1" s="696"/>
      <c r="BAG1" s="696"/>
      <c r="BAH1" s="696"/>
      <c r="BAI1" s="696"/>
      <c r="BAJ1" s="696"/>
      <c r="BAK1" s="696"/>
      <c r="BAL1" s="696"/>
      <c r="BAM1" s="696"/>
      <c r="BAN1" s="696"/>
      <c r="BAO1" s="696"/>
      <c r="BAP1" s="696"/>
      <c r="BAQ1" s="696"/>
      <c r="BAR1" s="696"/>
      <c r="BAS1" s="696"/>
      <c r="BAT1" s="696"/>
      <c r="BAU1" s="696"/>
      <c r="BAV1" s="696"/>
      <c r="BAW1" s="696"/>
      <c r="BAX1" s="696"/>
      <c r="BAY1" s="696"/>
      <c r="BAZ1" s="696"/>
      <c r="BBA1" s="696"/>
      <c r="BBB1" s="696"/>
      <c r="BBC1" s="696"/>
      <c r="BBD1" s="696"/>
      <c r="BBE1" s="696"/>
      <c r="BBF1" s="696"/>
      <c r="BBG1" s="696"/>
      <c r="BBH1" s="696"/>
      <c r="BBI1" s="696"/>
      <c r="BBJ1" s="696"/>
      <c r="BBK1" s="696"/>
      <c r="BBL1" s="696"/>
      <c r="BBM1" s="696"/>
      <c r="BBN1" s="696"/>
      <c r="BBO1" s="696"/>
      <c r="BBP1" s="696"/>
      <c r="BBQ1" s="696"/>
      <c r="BBR1" s="696"/>
      <c r="BBS1" s="696"/>
      <c r="BBT1" s="696"/>
      <c r="BBU1" s="696"/>
      <c r="BBV1" s="696"/>
      <c r="BBW1" s="696"/>
      <c r="BBX1" s="696"/>
      <c r="BBY1" s="696"/>
      <c r="BBZ1" s="696"/>
      <c r="BCA1" s="696"/>
      <c r="BCB1" s="696"/>
      <c r="BCC1" s="696"/>
      <c r="BCD1" s="696"/>
      <c r="BCE1" s="696"/>
      <c r="BCF1" s="696"/>
      <c r="BCG1" s="696"/>
      <c r="BCH1" s="696"/>
      <c r="BCI1" s="696"/>
      <c r="BCJ1" s="696"/>
      <c r="BCK1" s="696"/>
      <c r="BCL1" s="696"/>
      <c r="BCM1" s="696"/>
      <c r="BCN1" s="696"/>
      <c r="BCO1" s="696"/>
      <c r="BCP1" s="696"/>
      <c r="BCQ1" s="696"/>
      <c r="BCR1" s="696"/>
      <c r="BCS1" s="696"/>
      <c r="BCT1" s="696"/>
      <c r="BCU1" s="696"/>
      <c r="BCV1" s="696"/>
      <c r="BCW1" s="696"/>
      <c r="BCX1" s="696"/>
      <c r="BCY1" s="696"/>
      <c r="BCZ1" s="696"/>
      <c r="BDA1" s="696"/>
      <c r="BDB1" s="696"/>
      <c r="BDC1" s="696"/>
      <c r="BDD1" s="696"/>
      <c r="BDE1" s="696"/>
      <c r="BDF1" s="696"/>
      <c r="BDG1" s="696"/>
      <c r="BDH1" s="696"/>
      <c r="BDI1" s="696"/>
      <c r="BDJ1" s="696"/>
      <c r="BDK1" s="696"/>
      <c r="BDL1" s="696"/>
      <c r="BDM1" s="696"/>
      <c r="BDN1" s="696"/>
      <c r="BDO1" s="696"/>
      <c r="BDP1" s="696"/>
      <c r="BDQ1" s="696"/>
      <c r="BDR1" s="696"/>
      <c r="BDS1" s="696"/>
      <c r="BDT1" s="696"/>
      <c r="BDU1" s="696"/>
      <c r="BDV1" s="696"/>
      <c r="BDW1" s="696"/>
      <c r="BDX1" s="696"/>
      <c r="BDY1" s="696"/>
      <c r="BDZ1" s="696"/>
      <c r="BEA1" s="696"/>
      <c r="BEB1" s="696"/>
      <c r="BEC1" s="696"/>
      <c r="BED1" s="696"/>
      <c r="BEE1" s="696"/>
      <c r="BEF1" s="696"/>
      <c r="BEG1" s="696"/>
      <c r="BEH1" s="696"/>
      <c r="BEI1" s="696"/>
      <c r="BEJ1" s="696"/>
      <c r="BEK1" s="696"/>
      <c r="BEL1" s="696"/>
      <c r="BEM1" s="696"/>
      <c r="BEN1" s="696"/>
      <c r="BEO1" s="696"/>
      <c r="BEP1" s="696"/>
      <c r="BEQ1" s="696"/>
      <c r="BER1" s="696"/>
      <c r="BES1" s="696"/>
      <c r="BET1" s="696"/>
      <c r="BEU1" s="696"/>
      <c r="BEV1" s="696"/>
      <c r="BEW1" s="696"/>
      <c r="BEX1" s="696"/>
      <c r="BEY1" s="696"/>
      <c r="BEZ1" s="696"/>
      <c r="BFA1" s="696"/>
      <c r="BFB1" s="696"/>
      <c r="BFC1" s="696"/>
      <c r="BFD1" s="696"/>
      <c r="BFE1" s="696"/>
      <c r="BFF1" s="696"/>
      <c r="BFG1" s="696"/>
      <c r="BFH1" s="696"/>
      <c r="BFI1" s="696"/>
      <c r="BFJ1" s="696"/>
      <c r="BFK1" s="696"/>
      <c r="BFL1" s="696"/>
      <c r="BFM1" s="696"/>
      <c r="BFN1" s="696"/>
      <c r="BFO1" s="696"/>
      <c r="BFP1" s="696"/>
      <c r="BFQ1" s="696"/>
      <c r="BFR1" s="696"/>
      <c r="BFS1" s="696"/>
      <c r="BFT1" s="696"/>
      <c r="BFU1" s="696"/>
      <c r="BFV1" s="696"/>
      <c r="BFW1" s="696"/>
      <c r="BFX1" s="696"/>
      <c r="BFY1" s="696"/>
      <c r="BFZ1" s="696"/>
      <c r="BGA1" s="696"/>
      <c r="BGB1" s="696"/>
      <c r="BGC1" s="696"/>
      <c r="BGD1" s="696"/>
      <c r="BGE1" s="696"/>
      <c r="BGF1" s="696"/>
      <c r="BGG1" s="696"/>
      <c r="BGH1" s="696"/>
      <c r="BGI1" s="696"/>
      <c r="BGJ1" s="696"/>
      <c r="BGK1" s="696"/>
      <c r="BGL1" s="696"/>
      <c r="BGM1" s="696"/>
      <c r="BGN1" s="696"/>
      <c r="BGO1" s="696"/>
      <c r="BGP1" s="696"/>
      <c r="BGQ1" s="696"/>
      <c r="BGR1" s="696"/>
      <c r="BGS1" s="696"/>
      <c r="BGT1" s="696"/>
      <c r="BGU1" s="696"/>
      <c r="BGV1" s="696"/>
      <c r="BGW1" s="696"/>
      <c r="BGX1" s="696"/>
      <c r="BGY1" s="696"/>
      <c r="BGZ1" s="696"/>
      <c r="BHA1" s="696"/>
      <c r="BHB1" s="696"/>
      <c r="BHC1" s="696"/>
      <c r="BHD1" s="696"/>
      <c r="BHE1" s="696"/>
      <c r="BHF1" s="696"/>
      <c r="BHG1" s="696"/>
      <c r="BHH1" s="696"/>
      <c r="BHI1" s="696"/>
      <c r="BHJ1" s="696"/>
      <c r="BHK1" s="696"/>
      <c r="BHL1" s="696"/>
      <c r="BHM1" s="696"/>
      <c r="BHN1" s="696"/>
      <c r="BHO1" s="696"/>
      <c r="BHP1" s="696"/>
      <c r="BHQ1" s="696"/>
      <c r="BHR1" s="696"/>
      <c r="BHS1" s="696"/>
      <c r="BHT1" s="696"/>
      <c r="BHU1" s="696"/>
      <c r="BHV1" s="696"/>
      <c r="BHW1" s="696"/>
      <c r="BHX1" s="696"/>
      <c r="BHY1" s="696"/>
      <c r="BHZ1" s="696"/>
      <c r="BIA1" s="696"/>
      <c r="BIB1" s="696"/>
      <c r="BIC1" s="696"/>
      <c r="BID1" s="696"/>
      <c r="BIE1" s="696"/>
      <c r="BIF1" s="696"/>
      <c r="BIG1" s="696"/>
      <c r="BIH1" s="696"/>
      <c r="BII1" s="696"/>
      <c r="BIJ1" s="696"/>
      <c r="BIK1" s="696"/>
      <c r="BIL1" s="696"/>
      <c r="BIM1" s="696"/>
      <c r="BIN1" s="696"/>
      <c r="BIO1" s="696"/>
      <c r="BIP1" s="696"/>
      <c r="BIQ1" s="696"/>
      <c r="BIR1" s="696"/>
      <c r="BIS1" s="696"/>
      <c r="BIT1" s="696"/>
      <c r="BIU1" s="696"/>
      <c r="BIV1" s="696"/>
      <c r="BIW1" s="696"/>
      <c r="BIX1" s="696"/>
      <c r="BIY1" s="696"/>
      <c r="BIZ1" s="696"/>
      <c r="BJA1" s="696"/>
      <c r="BJB1" s="696"/>
      <c r="BJC1" s="696"/>
      <c r="BJD1" s="696"/>
      <c r="BJE1" s="696"/>
      <c r="BJF1" s="696"/>
      <c r="BJG1" s="696"/>
      <c r="BJH1" s="696"/>
      <c r="BJI1" s="696"/>
      <c r="BJJ1" s="696"/>
      <c r="BJK1" s="696"/>
      <c r="BJL1" s="696"/>
      <c r="BJM1" s="696"/>
      <c r="BJN1" s="696"/>
      <c r="BJO1" s="696"/>
      <c r="BJP1" s="696"/>
      <c r="BJQ1" s="696"/>
      <c r="BJR1" s="696"/>
      <c r="BJS1" s="696"/>
      <c r="BJT1" s="696"/>
      <c r="BJU1" s="696"/>
      <c r="BJV1" s="696"/>
      <c r="BJW1" s="696"/>
      <c r="BJX1" s="696"/>
      <c r="BJY1" s="696"/>
      <c r="BJZ1" s="696"/>
      <c r="BKA1" s="696"/>
      <c r="BKB1" s="696"/>
      <c r="BKC1" s="696"/>
      <c r="BKD1" s="696"/>
      <c r="BKE1" s="696"/>
      <c r="BKF1" s="696"/>
      <c r="BKG1" s="696"/>
      <c r="BKH1" s="696"/>
      <c r="BKI1" s="696"/>
      <c r="BKJ1" s="696"/>
      <c r="BKK1" s="696"/>
      <c r="BKL1" s="696"/>
      <c r="BKM1" s="696"/>
      <c r="BKN1" s="696"/>
      <c r="BKO1" s="696"/>
      <c r="BKP1" s="696"/>
      <c r="BKQ1" s="696"/>
      <c r="BKR1" s="696"/>
      <c r="BKS1" s="696"/>
      <c r="BKT1" s="696"/>
      <c r="BKU1" s="696"/>
      <c r="BKV1" s="696"/>
      <c r="BKW1" s="696"/>
      <c r="BKX1" s="696"/>
      <c r="BKY1" s="696"/>
      <c r="BKZ1" s="696"/>
      <c r="BLA1" s="696"/>
      <c r="BLB1" s="696"/>
      <c r="BLC1" s="696"/>
      <c r="BLD1" s="696"/>
      <c r="BLE1" s="696"/>
      <c r="BLF1" s="696"/>
      <c r="BLG1" s="696"/>
      <c r="BLH1" s="696"/>
      <c r="BLI1" s="696"/>
      <c r="BLJ1" s="696"/>
      <c r="BLK1" s="696"/>
      <c r="BLL1" s="696"/>
      <c r="BLM1" s="696"/>
      <c r="BLN1" s="696"/>
      <c r="BLO1" s="696"/>
      <c r="BLP1" s="696"/>
      <c r="BLQ1" s="696"/>
      <c r="BLR1" s="696"/>
      <c r="BLS1" s="696"/>
      <c r="BLT1" s="696"/>
      <c r="BLU1" s="696"/>
      <c r="BLV1" s="696"/>
      <c r="BLW1" s="696"/>
      <c r="BLX1" s="696"/>
      <c r="BLY1" s="696"/>
      <c r="BLZ1" s="696"/>
      <c r="BMA1" s="696"/>
      <c r="BMB1" s="696"/>
      <c r="BMC1" s="696"/>
      <c r="BMD1" s="696"/>
      <c r="BME1" s="696"/>
      <c r="BMF1" s="696"/>
      <c r="BMG1" s="696"/>
      <c r="BMH1" s="696"/>
      <c r="BMI1" s="696"/>
      <c r="BMJ1" s="696"/>
      <c r="BMK1" s="696"/>
      <c r="BML1" s="696"/>
      <c r="BMM1" s="696"/>
      <c r="BMN1" s="696"/>
      <c r="BMO1" s="696"/>
      <c r="BMP1" s="696"/>
      <c r="BMQ1" s="696"/>
      <c r="BMR1" s="696"/>
      <c r="BMS1" s="696"/>
      <c r="BMT1" s="696"/>
      <c r="BMU1" s="696"/>
      <c r="BMV1" s="696"/>
      <c r="BMW1" s="696"/>
      <c r="BMX1" s="696"/>
      <c r="BMY1" s="696"/>
      <c r="BMZ1" s="696"/>
      <c r="BNA1" s="696"/>
      <c r="BNB1" s="696"/>
      <c r="BNC1" s="696"/>
      <c r="BND1" s="696"/>
      <c r="BNE1" s="696"/>
      <c r="BNF1" s="696"/>
      <c r="BNG1" s="696"/>
      <c r="BNH1" s="696"/>
      <c r="BNI1" s="696"/>
      <c r="BNJ1" s="696"/>
      <c r="BNK1" s="696"/>
      <c r="BNL1" s="696"/>
      <c r="BNM1" s="696"/>
      <c r="BNN1" s="696"/>
      <c r="BNO1" s="696"/>
      <c r="BNP1" s="696"/>
      <c r="BNQ1" s="696"/>
      <c r="BNR1" s="696"/>
      <c r="BNS1" s="696"/>
      <c r="BNT1" s="696"/>
      <c r="BNU1" s="696"/>
      <c r="BNV1" s="696"/>
      <c r="BNW1" s="696"/>
      <c r="BNX1" s="696"/>
      <c r="BNY1" s="696"/>
      <c r="BNZ1" s="696"/>
      <c r="BOA1" s="696"/>
      <c r="BOB1" s="696"/>
      <c r="BOC1" s="696"/>
      <c r="BOD1" s="696"/>
      <c r="BOE1" s="696"/>
      <c r="BOF1" s="696"/>
      <c r="BOG1" s="696"/>
      <c r="BOH1" s="696"/>
      <c r="BOI1" s="696"/>
      <c r="BOJ1" s="696"/>
      <c r="BOK1" s="696"/>
      <c r="BOL1" s="696"/>
      <c r="BOM1" s="696"/>
      <c r="BON1" s="696"/>
      <c r="BOO1" s="696"/>
      <c r="BOP1" s="696"/>
      <c r="BOQ1" s="696"/>
      <c r="BOR1" s="696"/>
      <c r="BOS1" s="696"/>
      <c r="BOT1" s="696"/>
      <c r="BOU1" s="696"/>
      <c r="BOV1" s="696"/>
      <c r="BOW1" s="696"/>
      <c r="BOX1" s="696"/>
      <c r="BOY1" s="696"/>
      <c r="BOZ1" s="696"/>
      <c r="BPA1" s="696"/>
      <c r="BPB1" s="696"/>
      <c r="BPC1" s="696"/>
      <c r="BPD1" s="696"/>
      <c r="BPE1" s="696"/>
      <c r="BPF1" s="696"/>
      <c r="BPG1" s="696"/>
      <c r="BPH1" s="696"/>
      <c r="BPI1" s="696"/>
      <c r="BPJ1" s="696"/>
      <c r="BPK1" s="696"/>
      <c r="BPL1" s="696"/>
      <c r="BPM1" s="696"/>
      <c r="BPN1" s="696"/>
      <c r="BPO1" s="696"/>
      <c r="BPP1" s="696"/>
      <c r="BPQ1" s="696"/>
      <c r="BPR1" s="696"/>
      <c r="BPS1" s="696"/>
      <c r="BPT1" s="696"/>
      <c r="BPU1" s="696"/>
      <c r="BPV1" s="696"/>
      <c r="BPW1" s="696"/>
      <c r="BPX1" s="696"/>
      <c r="BPY1" s="696"/>
      <c r="BPZ1" s="696"/>
      <c r="BQA1" s="696"/>
      <c r="BQB1" s="696"/>
      <c r="BQC1" s="696"/>
      <c r="BQD1" s="696"/>
      <c r="BQE1" s="696"/>
      <c r="BQF1" s="696"/>
      <c r="BQG1" s="696"/>
      <c r="BQH1" s="696"/>
      <c r="BQI1" s="696"/>
      <c r="BQJ1" s="696"/>
      <c r="BQK1" s="696"/>
      <c r="BQL1" s="696"/>
      <c r="BQM1" s="696"/>
      <c r="BQN1" s="696"/>
      <c r="BQO1" s="696"/>
      <c r="BQP1" s="696"/>
      <c r="BQQ1" s="696"/>
      <c r="BQR1" s="696"/>
      <c r="BQS1" s="696"/>
      <c r="BQT1" s="696"/>
      <c r="BQU1" s="696"/>
      <c r="BQV1" s="696"/>
      <c r="BQW1" s="696"/>
      <c r="BQX1" s="696"/>
      <c r="BQY1" s="696"/>
      <c r="BQZ1" s="696"/>
      <c r="BRA1" s="696"/>
      <c r="BRB1" s="696"/>
      <c r="BRC1" s="696"/>
      <c r="BRD1" s="696"/>
      <c r="BRE1" s="696"/>
      <c r="BRF1" s="696"/>
      <c r="BRG1" s="696"/>
      <c r="BRH1" s="696"/>
      <c r="BRI1" s="696"/>
      <c r="BRJ1" s="696"/>
      <c r="BRK1" s="696"/>
      <c r="BRL1" s="696"/>
      <c r="BRM1" s="696"/>
      <c r="BRN1" s="696"/>
      <c r="BRO1" s="696"/>
      <c r="BRP1" s="696"/>
      <c r="BRQ1" s="696"/>
      <c r="BRR1" s="696"/>
      <c r="BRS1" s="696"/>
      <c r="BRT1" s="696"/>
      <c r="BRU1" s="696"/>
      <c r="BRV1" s="696"/>
      <c r="BRW1" s="696"/>
      <c r="BRX1" s="696"/>
      <c r="BRY1" s="696"/>
      <c r="BRZ1" s="696"/>
      <c r="BSA1" s="696"/>
      <c r="BSB1" s="696"/>
      <c r="BSC1" s="696"/>
      <c r="BSD1" s="696"/>
      <c r="BSE1" s="696"/>
      <c r="BSF1" s="696"/>
      <c r="BSG1" s="696"/>
      <c r="BSH1" s="696"/>
      <c r="BSI1" s="696"/>
      <c r="BSJ1" s="696"/>
      <c r="BSK1" s="696"/>
      <c r="BSL1" s="696"/>
      <c r="BSM1" s="696"/>
      <c r="BSN1" s="696"/>
      <c r="BSO1" s="696"/>
      <c r="BSP1" s="696"/>
      <c r="BSQ1" s="696"/>
      <c r="BSR1" s="696"/>
      <c r="BSS1" s="696"/>
      <c r="BST1" s="696"/>
      <c r="BSU1" s="696"/>
      <c r="BSV1" s="696"/>
      <c r="BSW1" s="696"/>
      <c r="BSX1" s="696"/>
      <c r="BSY1" s="696"/>
      <c r="BSZ1" s="696"/>
      <c r="BTA1" s="696"/>
      <c r="BTB1" s="696"/>
      <c r="BTC1" s="696"/>
      <c r="BTD1" s="696"/>
      <c r="BTE1" s="696"/>
      <c r="BTF1" s="696"/>
      <c r="BTG1" s="696"/>
      <c r="BTH1" s="696"/>
      <c r="BTI1" s="696"/>
      <c r="BTJ1" s="696"/>
      <c r="BTK1" s="696"/>
      <c r="BTL1" s="696"/>
      <c r="BTM1" s="696"/>
      <c r="BTN1" s="696"/>
      <c r="BTO1" s="696"/>
      <c r="BTP1" s="696"/>
      <c r="BTQ1" s="696"/>
      <c r="BTR1" s="696"/>
      <c r="BTS1" s="696"/>
      <c r="BTT1" s="696"/>
      <c r="BTU1" s="696"/>
      <c r="BTV1" s="696"/>
      <c r="BTW1" s="696"/>
      <c r="BTX1" s="696"/>
      <c r="BTY1" s="696"/>
      <c r="BTZ1" s="696"/>
      <c r="BUA1" s="696"/>
      <c r="BUB1" s="696"/>
      <c r="BUC1" s="696"/>
      <c r="BUD1" s="696"/>
      <c r="BUE1" s="696"/>
      <c r="BUF1" s="696"/>
      <c r="BUG1" s="696"/>
      <c r="BUH1" s="696"/>
      <c r="BUI1" s="696"/>
      <c r="BUJ1" s="696"/>
      <c r="BUK1" s="696"/>
      <c r="BUL1" s="696"/>
      <c r="BUM1" s="696"/>
      <c r="BUN1" s="696"/>
      <c r="BUO1" s="696"/>
      <c r="BUP1" s="696"/>
      <c r="BUQ1" s="696"/>
      <c r="BUR1" s="696"/>
      <c r="BUS1" s="696"/>
      <c r="BUT1" s="696"/>
      <c r="BUU1" s="696"/>
      <c r="BUV1" s="696"/>
      <c r="BUW1" s="696"/>
      <c r="BUX1" s="696"/>
      <c r="BUY1" s="696"/>
      <c r="BUZ1" s="696"/>
      <c r="BVA1" s="696"/>
      <c r="BVB1" s="696"/>
      <c r="BVC1" s="696"/>
      <c r="BVD1" s="696"/>
      <c r="BVE1" s="696"/>
      <c r="BVF1" s="696"/>
      <c r="BVG1" s="696"/>
      <c r="BVH1" s="696"/>
      <c r="BVI1" s="696"/>
      <c r="BVJ1" s="696"/>
      <c r="BVK1" s="696"/>
      <c r="BVL1" s="696"/>
      <c r="BVM1" s="696"/>
      <c r="BVN1" s="696"/>
      <c r="BVO1" s="696"/>
      <c r="BVP1" s="696"/>
      <c r="BVQ1" s="696"/>
      <c r="BVR1" s="696"/>
      <c r="BVS1" s="696"/>
      <c r="BVT1" s="696"/>
      <c r="BVU1" s="696"/>
      <c r="BVV1" s="696"/>
      <c r="BVW1" s="696"/>
      <c r="BVX1" s="696"/>
      <c r="BVY1" s="696"/>
      <c r="BVZ1" s="696"/>
      <c r="BWA1" s="696"/>
      <c r="BWB1" s="696"/>
      <c r="BWC1" s="696"/>
      <c r="BWD1" s="696"/>
      <c r="BWE1" s="696"/>
      <c r="BWF1" s="696"/>
      <c r="BWG1" s="696"/>
      <c r="BWH1" s="696"/>
      <c r="BWI1" s="696"/>
      <c r="BWJ1" s="696"/>
      <c r="BWK1" s="696"/>
      <c r="BWL1" s="696"/>
      <c r="BWM1" s="696"/>
      <c r="BWN1" s="696"/>
      <c r="BWO1" s="696"/>
      <c r="BWP1" s="696"/>
      <c r="BWQ1" s="696"/>
      <c r="BWR1" s="696"/>
      <c r="BWS1" s="696"/>
      <c r="BWT1" s="696"/>
      <c r="BWU1" s="696"/>
      <c r="BWV1" s="696"/>
      <c r="BWW1" s="696"/>
      <c r="BWX1" s="696"/>
      <c r="BWY1" s="696"/>
      <c r="BWZ1" s="696"/>
      <c r="BXA1" s="696"/>
      <c r="BXB1" s="696"/>
      <c r="BXC1" s="696"/>
      <c r="BXD1" s="696"/>
      <c r="BXE1" s="696"/>
      <c r="BXF1" s="696"/>
      <c r="BXG1" s="696"/>
      <c r="BXH1" s="696"/>
      <c r="BXI1" s="696"/>
      <c r="BXJ1" s="696"/>
      <c r="BXK1" s="696"/>
      <c r="BXL1" s="696"/>
      <c r="BXM1" s="696"/>
      <c r="BXN1" s="696"/>
      <c r="BXO1" s="696"/>
      <c r="BXP1" s="696"/>
      <c r="BXQ1" s="696"/>
      <c r="BXR1" s="696"/>
      <c r="BXS1" s="696"/>
      <c r="BXT1" s="696"/>
      <c r="BXU1" s="696"/>
      <c r="BXV1" s="696"/>
      <c r="BXW1" s="696"/>
      <c r="BXX1" s="696"/>
      <c r="BXY1" s="696"/>
      <c r="BXZ1" s="696"/>
      <c r="BYA1" s="696"/>
      <c r="BYB1" s="696"/>
      <c r="BYC1" s="696"/>
      <c r="BYD1" s="696"/>
      <c r="BYE1" s="696"/>
      <c r="BYF1" s="696"/>
      <c r="BYG1" s="696"/>
      <c r="BYH1" s="696"/>
      <c r="BYI1" s="696"/>
      <c r="BYJ1" s="696"/>
      <c r="BYK1" s="696"/>
      <c r="BYL1" s="696"/>
      <c r="BYM1" s="696"/>
      <c r="BYN1" s="696"/>
      <c r="BYO1" s="696"/>
      <c r="BYP1" s="696"/>
      <c r="BYQ1" s="696"/>
      <c r="BYR1" s="696"/>
      <c r="BYS1" s="696"/>
      <c r="BYT1" s="696"/>
      <c r="BYU1" s="696"/>
      <c r="BYV1" s="696"/>
      <c r="BYW1" s="696"/>
      <c r="BYX1" s="696"/>
      <c r="BYY1" s="696"/>
      <c r="BYZ1" s="696"/>
      <c r="BZA1" s="696"/>
      <c r="BZB1" s="696"/>
      <c r="BZC1" s="696"/>
      <c r="BZD1" s="696"/>
      <c r="BZE1" s="696"/>
      <c r="BZF1" s="696"/>
      <c r="BZG1" s="696"/>
      <c r="BZH1" s="696"/>
      <c r="BZI1" s="696"/>
      <c r="BZJ1" s="696"/>
      <c r="BZK1" s="696"/>
      <c r="BZL1" s="696"/>
      <c r="BZM1" s="696"/>
      <c r="BZN1" s="696"/>
      <c r="BZO1" s="696"/>
      <c r="BZP1" s="696"/>
      <c r="BZQ1" s="696"/>
      <c r="BZR1" s="696"/>
      <c r="BZS1" s="696"/>
      <c r="BZT1" s="696"/>
      <c r="BZU1" s="696"/>
      <c r="BZV1" s="696"/>
      <c r="BZW1" s="696"/>
      <c r="BZX1" s="696"/>
      <c r="BZY1" s="696"/>
      <c r="BZZ1" s="696"/>
      <c r="CAA1" s="696"/>
      <c r="CAB1" s="696"/>
      <c r="CAC1" s="696"/>
      <c r="CAD1" s="696"/>
      <c r="CAE1" s="696"/>
      <c r="CAF1" s="696"/>
      <c r="CAG1" s="696"/>
      <c r="CAH1" s="696"/>
      <c r="CAI1" s="696"/>
      <c r="CAJ1" s="696"/>
      <c r="CAK1" s="696"/>
      <c r="CAL1" s="696"/>
      <c r="CAM1" s="696"/>
      <c r="CAN1" s="696"/>
      <c r="CAO1" s="696"/>
      <c r="CAP1" s="696"/>
      <c r="CAQ1" s="696"/>
      <c r="CAR1" s="696"/>
      <c r="CAS1" s="696"/>
      <c r="CAT1" s="696"/>
      <c r="CAU1" s="696"/>
      <c r="CAV1" s="696"/>
      <c r="CAW1" s="696"/>
      <c r="CAX1" s="696"/>
      <c r="CAY1" s="696"/>
      <c r="CAZ1" s="696"/>
      <c r="CBA1" s="696"/>
      <c r="CBB1" s="696"/>
      <c r="CBC1" s="696"/>
      <c r="CBD1" s="696"/>
      <c r="CBE1" s="696"/>
      <c r="CBF1" s="696"/>
      <c r="CBG1" s="696"/>
      <c r="CBH1" s="696"/>
      <c r="CBI1" s="696"/>
      <c r="CBJ1" s="696"/>
      <c r="CBK1" s="696"/>
      <c r="CBL1" s="696"/>
      <c r="CBM1" s="696"/>
      <c r="CBN1" s="696"/>
      <c r="CBO1" s="696"/>
      <c r="CBP1" s="696"/>
      <c r="CBQ1" s="696"/>
      <c r="CBR1" s="696"/>
      <c r="CBS1" s="696"/>
      <c r="CBT1" s="696"/>
      <c r="CBU1" s="696"/>
      <c r="CBV1" s="696"/>
      <c r="CBW1" s="696"/>
      <c r="CBX1" s="696"/>
      <c r="CBY1" s="696"/>
      <c r="CBZ1" s="696"/>
      <c r="CCA1" s="696"/>
      <c r="CCB1" s="696"/>
      <c r="CCC1" s="696"/>
      <c r="CCD1" s="696"/>
      <c r="CCE1" s="696"/>
      <c r="CCF1" s="696"/>
      <c r="CCG1" s="696"/>
      <c r="CCH1" s="696"/>
      <c r="CCI1" s="696"/>
      <c r="CCJ1" s="696"/>
      <c r="CCK1" s="696"/>
      <c r="CCL1" s="696"/>
      <c r="CCM1" s="696"/>
      <c r="CCN1" s="696"/>
      <c r="CCO1" s="696"/>
      <c r="CCP1" s="696"/>
      <c r="CCQ1" s="696"/>
      <c r="CCR1" s="696"/>
      <c r="CCS1" s="696"/>
      <c r="CCT1" s="696"/>
      <c r="CCU1" s="696"/>
      <c r="CCV1" s="696"/>
      <c r="CCW1" s="696"/>
      <c r="CCX1" s="696"/>
      <c r="CCY1" s="696"/>
      <c r="CCZ1" s="696"/>
      <c r="CDA1" s="696"/>
      <c r="CDB1" s="696"/>
      <c r="CDC1" s="696"/>
      <c r="CDD1" s="696"/>
      <c r="CDE1" s="696"/>
      <c r="CDF1" s="696"/>
      <c r="CDG1" s="696"/>
      <c r="CDH1" s="696"/>
      <c r="CDI1" s="696"/>
      <c r="CDJ1" s="696"/>
      <c r="CDK1" s="696"/>
      <c r="CDL1" s="696"/>
      <c r="CDM1" s="696"/>
      <c r="CDN1" s="696"/>
      <c r="CDO1" s="696"/>
      <c r="CDP1" s="696"/>
      <c r="CDQ1" s="696"/>
      <c r="CDR1" s="696"/>
      <c r="CDS1" s="696"/>
      <c r="CDT1" s="696"/>
      <c r="CDU1" s="696"/>
      <c r="CDV1" s="696"/>
      <c r="CDW1" s="696"/>
      <c r="CDX1" s="696"/>
      <c r="CDY1" s="696"/>
      <c r="CDZ1" s="696"/>
      <c r="CEA1" s="696"/>
      <c r="CEB1" s="696"/>
      <c r="CEC1" s="696"/>
      <c r="CED1" s="696"/>
      <c r="CEE1" s="696"/>
      <c r="CEF1" s="696"/>
      <c r="CEG1" s="696"/>
      <c r="CEH1" s="696"/>
      <c r="CEI1" s="696"/>
      <c r="CEJ1" s="696"/>
      <c r="CEK1" s="696"/>
      <c r="CEL1" s="696"/>
      <c r="CEM1" s="696"/>
      <c r="CEN1" s="696"/>
      <c r="CEO1" s="696"/>
      <c r="CEP1" s="696"/>
      <c r="CEQ1" s="696"/>
      <c r="CER1" s="696"/>
      <c r="CES1" s="696"/>
      <c r="CET1" s="696"/>
      <c r="CEU1" s="696"/>
      <c r="CEV1" s="696"/>
      <c r="CEW1" s="696"/>
      <c r="CEX1" s="696"/>
      <c r="CEY1" s="696"/>
      <c r="CEZ1" s="696"/>
      <c r="CFA1" s="696"/>
      <c r="CFB1" s="696"/>
      <c r="CFC1" s="696"/>
      <c r="CFD1" s="696"/>
      <c r="CFE1" s="696"/>
      <c r="CFF1" s="696"/>
      <c r="CFG1" s="696"/>
      <c r="CFH1" s="696"/>
      <c r="CFI1" s="696"/>
      <c r="CFJ1" s="696"/>
      <c r="CFK1" s="696"/>
      <c r="CFL1" s="696"/>
      <c r="CFM1" s="696"/>
      <c r="CFN1" s="696"/>
      <c r="CFO1" s="696"/>
      <c r="CFP1" s="696"/>
      <c r="CFQ1" s="696"/>
      <c r="CFR1" s="696"/>
      <c r="CFS1" s="696"/>
      <c r="CFT1" s="696"/>
      <c r="CFU1" s="696"/>
      <c r="CFV1" s="696"/>
      <c r="CFW1" s="696"/>
      <c r="CFX1" s="696"/>
      <c r="CFY1" s="696"/>
      <c r="CFZ1" s="696"/>
      <c r="CGA1" s="696"/>
      <c r="CGB1" s="696"/>
      <c r="CGC1" s="696"/>
      <c r="CGD1" s="696"/>
      <c r="CGE1" s="696"/>
      <c r="CGF1" s="696"/>
      <c r="CGG1" s="696"/>
      <c r="CGH1" s="696"/>
      <c r="CGI1" s="696"/>
      <c r="CGJ1" s="696"/>
      <c r="CGK1" s="696"/>
      <c r="CGL1" s="696"/>
      <c r="CGM1" s="696"/>
      <c r="CGN1" s="696"/>
      <c r="CGO1" s="696"/>
      <c r="CGP1" s="696"/>
      <c r="CGQ1" s="696"/>
      <c r="CGR1" s="696"/>
      <c r="CGS1" s="696"/>
      <c r="CGT1" s="696"/>
      <c r="CGU1" s="696"/>
      <c r="CGV1" s="696"/>
      <c r="CGW1" s="696"/>
      <c r="CGX1" s="696"/>
      <c r="CGY1" s="696"/>
      <c r="CGZ1" s="696"/>
      <c r="CHA1" s="696"/>
      <c r="CHB1" s="696"/>
      <c r="CHC1" s="696"/>
      <c r="CHD1" s="696"/>
      <c r="CHE1" s="696"/>
      <c r="CHF1" s="696"/>
      <c r="CHG1" s="696"/>
      <c r="CHH1" s="696"/>
      <c r="CHI1" s="696"/>
      <c r="CHJ1" s="696"/>
      <c r="CHK1" s="696"/>
      <c r="CHL1" s="696"/>
      <c r="CHM1" s="696"/>
      <c r="CHN1" s="696"/>
      <c r="CHO1" s="696"/>
      <c r="CHP1" s="696"/>
      <c r="CHQ1" s="696"/>
      <c r="CHR1" s="696"/>
      <c r="CHS1" s="696"/>
      <c r="CHT1" s="696"/>
      <c r="CHU1" s="696"/>
      <c r="CHV1" s="696"/>
      <c r="CHW1" s="696"/>
      <c r="CHX1" s="696"/>
      <c r="CHY1" s="696"/>
      <c r="CHZ1" s="696"/>
      <c r="CIA1" s="696"/>
      <c r="CIB1" s="696"/>
      <c r="CIC1" s="696"/>
      <c r="CID1" s="696"/>
      <c r="CIE1" s="696"/>
      <c r="CIF1" s="696"/>
      <c r="CIG1" s="696"/>
      <c r="CIH1" s="696"/>
      <c r="CII1" s="696"/>
      <c r="CIJ1" s="696"/>
      <c r="CIK1" s="696"/>
      <c r="CIL1" s="696"/>
      <c r="CIM1" s="696"/>
      <c r="CIN1" s="696"/>
      <c r="CIO1" s="696"/>
      <c r="CIP1" s="696"/>
      <c r="CIQ1" s="696"/>
      <c r="CIR1" s="696"/>
      <c r="CIS1" s="696"/>
      <c r="CIT1" s="696"/>
      <c r="CIU1" s="696"/>
      <c r="CIV1" s="696"/>
      <c r="CIW1" s="696"/>
      <c r="CIX1" s="696"/>
      <c r="CIY1" s="696"/>
      <c r="CIZ1" s="696"/>
      <c r="CJA1" s="696"/>
      <c r="CJB1" s="696"/>
      <c r="CJC1" s="696"/>
      <c r="CJD1" s="696"/>
      <c r="CJE1" s="696"/>
      <c r="CJF1" s="696"/>
      <c r="CJG1" s="696"/>
      <c r="CJH1" s="696"/>
      <c r="CJI1" s="696"/>
      <c r="CJJ1" s="696"/>
      <c r="CJK1" s="696"/>
      <c r="CJL1" s="696"/>
      <c r="CJM1" s="696"/>
      <c r="CJN1" s="696"/>
      <c r="CJO1" s="696"/>
      <c r="CJP1" s="696"/>
      <c r="CJQ1" s="696"/>
      <c r="CJR1" s="696"/>
      <c r="CJS1" s="696"/>
      <c r="CJT1" s="696"/>
      <c r="CJU1" s="696"/>
      <c r="CJV1" s="696"/>
      <c r="CJW1" s="696"/>
      <c r="CJX1" s="696"/>
      <c r="CJY1" s="696"/>
      <c r="CJZ1" s="696"/>
      <c r="CKA1" s="696"/>
      <c r="CKB1" s="696"/>
      <c r="CKC1" s="696"/>
      <c r="CKD1" s="696"/>
      <c r="CKE1" s="696"/>
      <c r="CKF1" s="696"/>
      <c r="CKG1" s="696"/>
      <c r="CKH1" s="696"/>
      <c r="CKI1" s="696"/>
      <c r="CKJ1" s="696"/>
      <c r="CKK1" s="696"/>
      <c r="CKL1" s="696"/>
      <c r="CKM1" s="696"/>
      <c r="CKN1" s="696"/>
      <c r="CKO1" s="696"/>
      <c r="CKP1" s="696"/>
      <c r="CKQ1" s="696"/>
      <c r="CKR1" s="696"/>
      <c r="CKS1" s="696"/>
      <c r="CKT1" s="696"/>
      <c r="CKU1" s="696"/>
      <c r="CKV1" s="696"/>
      <c r="CKW1" s="696"/>
      <c r="CKX1" s="696"/>
      <c r="CKY1" s="696"/>
      <c r="CKZ1" s="696"/>
      <c r="CLA1" s="696"/>
      <c r="CLB1" s="696"/>
      <c r="CLC1" s="696"/>
      <c r="CLD1" s="696"/>
      <c r="CLE1" s="696"/>
      <c r="CLF1" s="696"/>
      <c r="CLG1" s="696"/>
      <c r="CLH1" s="696"/>
      <c r="CLI1" s="696"/>
      <c r="CLJ1" s="696"/>
      <c r="CLK1" s="696"/>
      <c r="CLL1" s="696"/>
      <c r="CLM1" s="696"/>
      <c r="CLN1" s="696"/>
      <c r="CLO1" s="696"/>
      <c r="CLP1" s="696"/>
      <c r="CLQ1" s="696"/>
      <c r="CLR1" s="696"/>
      <c r="CLS1" s="696"/>
      <c r="CLT1" s="696"/>
      <c r="CLU1" s="696"/>
      <c r="CLV1" s="696"/>
      <c r="CLW1" s="696"/>
      <c r="CLX1" s="696"/>
      <c r="CLY1" s="696"/>
      <c r="CLZ1" s="696"/>
      <c r="CMA1" s="696"/>
      <c r="CMB1" s="696"/>
      <c r="CMC1" s="696"/>
      <c r="CMD1" s="696"/>
      <c r="CME1" s="696"/>
      <c r="CMF1" s="696"/>
      <c r="CMG1" s="696"/>
      <c r="CMH1" s="696"/>
      <c r="CMI1" s="696"/>
      <c r="CMJ1" s="696"/>
      <c r="CMK1" s="696"/>
      <c r="CML1" s="696"/>
      <c r="CMM1" s="696"/>
      <c r="CMN1" s="696"/>
      <c r="CMO1" s="696"/>
      <c r="CMP1" s="696"/>
      <c r="CMQ1" s="696"/>
      <c r="CMR1" s="696"/>
      <c r="CMS1" s="696"/>
      <c r="CMT1" s="696"/>
      <c r="CMU1" s="696"/>
      <c r="CMV1" s="696"/>
      <c r="CMW1" s="696"/>
      <c r="CMX1" s="696"/>
      <c r="CMY1" s="696"/>
      <c r="CMZ1" s="696"/>
      <c r="CNA1" s="696"/>
      <c r="CNB1" s="696"/>
      <c r="CNC1" s="696"/>
      <c r="CND1" s="696"/>
      <c r="CNE1" s="696"/>
      <c r="CNF1" s="696"/>
      <c r="CNG1" s="696"/>
      <c r="CNH1" s="696"/>
      <c r="CNI1" s="696"/>
      <c r="CNJ1" s="696"/>
      <c r="CNK1" s="696"/>
      <c r="CNL1" s="696"/>
      <c r="CNM1" s="696"/>
      <c r="CNN1" s="696"/>
      <c r="CNO1" s="696"/>
      <c r="CNP1" s="696"/>
      <c r="CNQ1" s="696"/>
      <c r="CNR1" s="696"/>
      <c r="CNS1" s="696"/>
      <c r="CNT1" s="696"/>
      <c r="CNU1" s="696"/>
      <c r="CNV1" s="696"/>
      <c r="CNW1" s="696"/>
      <c r="CNX1" s="696"/>
      <c r="CNY1" s="696"/>
      <c r="CNZ1" s="696"/>
      <c r="COA1" s="696"/>
      <c r="COB1" s="696"/>
      <c r="COC1" s="696"/>
      <c r="COD1" s="696"/>
      <c r="COE1" s="696"/>
      <c r="COF1" s="696"/>
      <c r="COG1" s="696"/>
      <c r="COH1" s="696"/>
      <c r="COI1" s="696"/>
      <c r="COJ1" s="696"/>
      <c r="COK1" s="696"/>
      <c r="COL1" s="696"/>
      <c r="COM1" s="696"/>
      <c r="CON1" s="696"/>
      <c r="COO1" s="696"/>
      <c r="COP1" s="696"/>
      <c r="COQ1" s="696"/>
      <c r="COR1" s="696"/>
      <c r="COS1" s="696"/>
      <c r="COT1" s="696"/>
      <c r="COU1" s="696"/>
      <c r="COV1" s="696"/>
      <c r="COW1" s="696"/>
      <c r="COX1" s="696"/>
      <c r="COY1" s="696"/>
      <c r="COZ1" s="696"/>
      <c r="CPA1" s="696"/>
      <c r="CPB1" s="696"/>
      <c r="CPC1" s="696"/>
      <c r="CPD1" s="696"/>
      <c r="CPE1" s="696"/>
      <c r="CPF1" s="696"/>
      <c r="CPG1" s="696"/>
      <c r="CPH1" s="696"/>
      <c r="CPI1" s="696"/>
      <c r="CPJ1" s="696"/>
      <c r="CPK1" s="696"/>
      <c r="CPL1" s="696"/>
      <c r="CPM1" s="696"/>
      <c r="CPN1" s="696"/>
      <c r="CPO1" s="696"/>
      <c r="CPP1" s="696"/>
      <c r="CPQ1" s="696"/>
      <c r="CPR1" s="696"/>
      <c r="CPS1" s="696"/>
      <c r="CPT1" s="696"/>
      <c r="CPU1" s="696"/>
      <c r="CPV1" s="696"/>
      <c r="CPW1" s="696"/>
      <c r="CPX1" s="696"/>
      <c r="CPY1" s="696"/>
      <c r="CPZ1" s="696"/>
      <c r="CQA1" s="696"/>
      <c r="CQB1" s="696"/>
      <c r="CQC1" s="696"/>
      <c r="CQD1" s="696"/>
      <c r="CQE1" s="696"/>
      <c r="CQF1" s="696"/>
      <c r="CQG1" s="696"/>
      <c r="CQH1" s="696"/>
      <c r="CQI1" s="696"/>
      <c r="CQJ1" s="696"/>
      <c r="CQK1" s="696"/>
      <c r="CQL1" s="696"/>
      <c r="CQM1" s="696"/>
      <c r="CQN1" s="696"/>
      <c r="CQO1" s="696"/>
      <c r="CQP1" s="696"/>
      <c r="CQQ1" s="696"/>
      <c r="CQR1" s="696"/>
      <c r="CQS1" s="696"/>
      <c r="CQT1" s="696"/>
      <c r="CQU1" s="696"/>
      <c r="CQV1" s="696"/>
      <c r="CQW1" s="696"/>
      <c r="CQX1" s="696"/>
      <c r="CQY1" s="696"/>
      <c r="CQZ1" s="696"/>
      <c r="CRA1" s="696"/>
      <c r="CRB1" s="696"/>
      <c r="CRC1" s="696"/>
      <c r="CRD1" s="696"/>
      <c r="CRE1" s="696"/>
      <c r="CRF1" s="696"/>
      <c r="CRG1" s="696"/>
      <c r="CRH1" s="696"/>
      <c r="CRI1" s="696"/>
      <c r="CRJ1" s="696"/>
      <c r="CRK1" s="696"/>
      <c r="CRL1" s="696"/>
      <c r="CRM1" s="696"/>
      <c r="CRN1" s="696"/>
      <c r="CRO1" s="696"/>
      <c r="CRP1" s="696"/>
      <c r="CRQ1" s="696"/>
      <c r="CRR1" s="696"/>
      <c r="CRS1" s="696"/>
      <c r="CRT1" s="696"/>
      <c r="CRU1" s="696"/>
      <c r="CRV1" s="696"/>
      <c r="CRW1" s="696"/>
      <c r="CRX1" s="696"/>
      <c r="CRY1" s="696"/>
      <c r="CRZ1" s="696"/>
      <c r="CSA1" s="696"/>
      <c r="CSB1" s="696"/>
      <c r="CSC1" s="696"/>
      <c r="CSD1" s="696"/>
      <c r="CSE1" s="696"/>
      <c r="CSF1" s="696"/>
      <c r="CSG1" s="696"/>
      <c r="CSH1" s="696"/>
      <c r="CSI1" s="696"/>
      <c r="CSJ1" s="696"/>
      <c r="CSK1" s="696"/>
      <c r="CSL1" s="696"/>
      <c r="CSM1" s="696"/>
      <c r="CSN1" s="696"/>
      <c r="CSO1" s="696"/>
      <c r="CSP1" s="696"/>
      <c r="CSQ1" s="696"/>
      <c r="CSR1" s="696"/>
      <c r="CSS1" s="696"/>
      <c r="CST1" s="696"/>
      <c r="CSU1" s="696"/>
      <c r="CSV1" s="696"/>
      <c r="CSW1" s="696"/>
      <c r="CSX1" s="696"/>
      <c r="CSY1" s="696"/>
      <c r="CSZ1" s="696"/>
      <c r="CTA1" s="696"/>
      <c r="CTB1" s="696"/>
      <c r="CTC1" s="696"/>
      <c r="CTD1" s="696"/>
      <c r="CTE1" s="696"/>
      <c r="CTF1" s="696"/>
      <c r="CTG1" s="696"/>
      <c r="CTH1" s="696"/>
      <c r="CTI1" s="696"/>
      <c r="CTJ1" s="696"/>
      <c r="CTK1" s="696"/>
      <c r="CTL1" s="696"/>
      <c r="CTM1" s="696"/>
      <c r="CTN1" s="696"/>
      <c r="CTO1" s="696"/>
      <c r="CTP1" s="696"/>
      <c r="CTQ1" s="696"/>
      <c r="CTR1" s="696"/>
      <c r="CTS1" s="696"/>
      <c r="CTT1" s="696"/>
      <c r="CTU1" s="696"/>
      <c r="CTV1" s="696"/>
      <c r="CTW1" s="696"/>
      <c r="CTX1" s="696"/>
      <c r="CTY1" s="696"/>
      <c r="CTZ1" s="696"/>
      <c r="CUA1" s="696"/>
      <c r="CUB1" s="696"/>
      <c r="CUC1" s="696"/>
      <c r="CUD1" s="696"/>
      <c r="CUE1" s="696"/>
      <c r="CUF1" s="696"/>
      <c r="CUG1" s="696"/>
      <c r="CUH1" s="696"/>
      <c r="CUI1" s="696"/>
      <c r="CUJ1" s="696"/>
      <c r="CUK1" s="696"/>
      <c r="CUL1" s="696"/>
      <c r="CUM1" s="696"/>
      <c r="CUN1" s="696"/>
      <c r="CUO1" s="696"/>
      <c r="CUP1" s="696"/>
      <c r="CUQ1" s="696"/>
      <c r="CUR1" s="696"/>
      <c r="CUS1" s="696"/>
      <c r="CUT1" s="696"/>
      <c r="CUU1" s="696"/>
      <c r="CUV1" s="696"/>
      <c r="CUW1" s="696"/>
      <c r="CUX1" s="696"/>
      <c r="CUY1" s="696"/>
      <c r="CUZ1" s="696"/>
      <c r="CVA1" s="696"/>
      <c r="CVB1" s="696"/>
      <c r="CVC1" s="696"/>
      <c r="CVD1" s="696"/>
      <c r="CVE1" s="696"/>
      <c r="CVF1" s="696"/>
      <c r="CVG1" s="696"/>
      <c r="CVH1" s="696"/>
      <c r="CVI1" s="696"/>
      <c r="CVJ1" s="696"/>
      <c r="CVK1" s="696"/>
      <c r="CVL1" s="696"/>
      <c r="CVM1" s="696"/>
      <c r="CVN1" s="696"/>
      <c r="CVO1" s="696"/>
      <c r="CVP1" s="696"/>
      <c r="CVQ1" s="696"/>
      <c r="CVR1" s="696"/>
      <c r="CVS1" s="696"/>
      <c r="CVT1" s="696"/>
      <c r="CVU1" s="696"/>
      <c r="CVV1" s="696"/>
      <c r="CVW1" s="696"/>
      <c r="CVX1" s="696"/>
      <c r="CVY1" s="696"/>
      <c r="CVZ1" s="696"/>
      <c r="CWA1" s="696"/>
      <c r="CWB1" s="696"/>
      <c r="CWC1" s="696"/>
      <c r="CWD1" s="696"/>
      <c r="CWE1" s="696"/>
      <c r="CWF1" s="696"/>
      <c r="CWG1" s="696"/>
      <c r="CWH1" s="696"/>
      <c r="CWI1" s="696"/>
      <c r="CWJ1" s="696"/>
      <c r="CWK1" s="696"/>
      <c r="CWL1" s="696"/>
      <c r="CWM1" s="696"/>
      <c r="CWN1" s="696"/>
      <c r="CWO1" s="696"/>
      <c r="CWP1" s="696"/>
      <c r="CWQ1" s="696"/>
      <c r="CWR1" s="696"/>
      <c r="CWS1" s="696"/>
      <c r="CWT1" s="696"/>
      <c r="CWU1" s="696"/>
      <c r="CWV1" s="696"/>
      <c r="CWW1" s="696"/>
      <c r="CWX1" s="696"/>
      <c r="CWY1" s="696"/>
      <c r="CWZ1" s="696"/>
      <c r="CXA1" s="696"/>
      <c r="CXB1" s="696"/>
      <c r="CXC1" s="696"/>
      <c r="CXD1" s="696"/>
      <c r="CXE1" s="696"/>
      <c r="CXF1" s="696"/>
      <c r="CXG1" s="696"/>
      <c r="CXH1" s="696"/>
      <c r="CXI1" s="696"/>
      <c r="CXJ1" s="696"/>
      <c r="CXK1" s="696"/>
      <c r="CXL1" s="696"/>
      <c r="CXM1" s="696"/>
      <c r="CXN1" s="696"/>
      <c r="CXO1" s="696"/>
      <c r="CXP1" s="696"/>
      <c r="CXQ1" s="696"/>
      <c r="CXR1" s="696"/>
      <c r="CXS1" s="696"/>
      <c r="CXT1" s="696"/>
      <c r="CXU1" s="696"/>
      <c r="CXV1" s="696"/>
      <c r="CXW1" s="696"/>
      <c r="CXX1" s="696"/>
      <c r="CXY1" s="696"/>
      <c r="CXZ1" s="696"/>
      <c r="CYA1" s="696"/>
      <c r="CYB1" s="696"/>
      <c r="CYC1" s="696"/>
      <c r="CYD1" s="696"/>
      <c r="CYE1" s="696"/>
      <c r="CYF1" s="696"/>
      <c r="CYG1" s="696"/>
      <c r="CYH1" s="696"/>
      <c r="CYI1" s="696"/>
      <c r="CYJ1" s="696"/>
      <c r="CYK1" s="696"/>
      <c r="CYL1" s="696"/>
      <c r="CYM1" s="696"/>
      <c r="CYN1" s="696"/>
      <c r="CYO1" s="696"/>
      <c r="CYP1" s="696"/>
      <c r="CYQ1" s="696"/>
      <c r="CYR1" s="696"/>
      <c r="CYS1" s="696"/>
      <c r="CYT1" s="696"/>
      <c r="CYU1" s="696"/>
      <c r="CYV1" s="696"/>
      <c r="CYW1" s="696"/>
      <c r="CYX1" s="696"/>
      <c r="CYY1" s="696"/>
      <c r="CYZ1" s="696"/>
      <c r="CZA1" s="696"/>
      <c r="CZB1" s="696"/>
      <c r="CZC1" s="696"/>
      <c r="CZD1" s="696"/>
      <c r="CZE1" s="696"/>
      <c r="CZF1" s="696"/>
      <c r="CZG1" s="696"/>
      <c r="CZH1" s="696"/>
      <c r="CZI1" s="696"/>
      <c r="CZJ1" s="696"/>
      <c r="CZK1" s="696"/>
      <c r="CZL1" s="696"/>
      <c r="CZM1" s="696"/>
      <c r="CZN1" s="696"/>
      <c r="CZO1" s="696"/>
      <c r="CZP1" s="696"/>
      <c r="CZQ1" s="696"/>
      <c r="CZR1" s="696"/>
      <c r="CZS1" s="696"/>
      <c r="CZT1" s="696"/>
      <c r="CZU1" s="696"/>
      <c r="CZV1" s="696"/>
      <c r="CZW1" s="696"/>
      <c r="CZX1" s="696"/>
      <c r="CZY1" s="696"/>
      <c r="CZZ1" s="696"/>
      <c r="DAA1" s="696"/>
      <c r="DAB1" s="696"/>
      <c r="DAC1" s="696"/>
      <c r="DAD1" s="696"/>
      <c r="DAE1" s="696"/>
      <c r="DAF1" s="696"/>
      <c r="DAG1" s="696"/>
      <c r="DAH1" s="696"/>
      <c r="DAI1" s="696"/>
      <c r="DAJ1" s="696"/>
      <c r="DAK1" s="696"/>
      <c r="DAL1" s="696"/>
      <c r="DAM1" s="696"/>
      <c r="DAN1" s="696"/>
      <c r="DAO1" s="696"/>
      <c r="DAP1" s="696"/>
      <c r="DAQ1" s="696"/>
      <c r="DAR1" s="696"/>
      <c r="DAS1" s="696"/>
      <c r="DAT1" s="696"/>
      <c r="DAU1" s="696"/>
      <c r="DAV1" s="696"/>
      <c r="DAW1" s="696"/>
      <c r="DAX1" s="696"/>
      <c r="DAY1" s="696"/>
      <c r="DAZ1" s="696"/>
      <c r="DBA1" s="696"/>
      <c r="DBB1" s="696"/>
      <c r="DBC1" s="696"/>
      <c r="DBD1" s="696"/>
      <c r="DBE1" s="696"/>
      <c r="DBF1" s="696"/>
      <c r="DBG1" s="696"/>
      <c r="DBH1" s="696"/>
      <c r="DBI1" s="696"/>
      <c r="DBJ1" s="696"/>
      <c r="DBK1" s="696"/>
      <c r="DBL1" s="696"/>
      <c r="DBM1" s="696"/>
      <c r="DBN1" s="696"/>
      <c r="DBO1" s="696"/>
      <c r="DBP1" s="696"/>
      <c r="DBQ1" s="696"/>
      <c r="DBR1" s="696"/>
      <c r="DBS1" s="696"/>
      <c r="DBT1" s="696"/>
      <c r="DBU1" s="696"/>
      <c r="DBV1" s="696"/>
      <c r="DBW1" s="696"/>
      <c r="DBX1" s="696"/>
      <c r="DBY1" s="696"/>
      <c r="DBZ1" s="696"/>
      <c r="DCA1" s="696"/>
      <c r="DCB1" s="696"/>
      <c r="DCC1" s="696"/>
      <c r="DCD1" s="696"/>
      <c r="DCE1" s="696"/>
      <c r="DCF1" s="696"/>
      <c r="DCG1" s="696"/>
      <c r="DCH1" s="696"/>
      <c r="DCI1" s="696"/>
      <c r="DCJ1" s="696"/>
      <c r="DCK1" s="696"/>
      <c r="DCL1" s="696"/>
      <c r="DCM1" s="696"/>
      <c r="DCN1" s="696"/>
      <c r="DCO1" s="696"/>
      <c r="DCP1" s="696"/>
      <c r="DCQ1" s="696"/>
      <c r="DCR1" s="696"/>
      <c r="DCS1" s="696"/>
      <c r="DCT1" s="696"/>
      <c r="DCU1" s="696"/>
      <c r="DCV1" s="696"/>
      <c r="DCW1" s="696"/>
      <c r="DCX1" s="696"/>
      <c r="DCY1" s="696"/>
      <c r="DCZ1" s="696"/>
      <c r="DDA1" s="696"/>
      <c r="DDB1" s="696"/>
      <c r="DDC1" s="696"/>
      <c r="DDD1" s="696"/>
      <c r="DDE1" s="696"/>
      <c r="DDF1" s="696"/>
      <c r="DDG1" s="696"/>
      <c r="DDH1" s="696"/>
      <c r="DDI1" s="696"/>
      <c r="DDJ1" s="696"/>
      <c r="DDK1" s="696"/>
      <c r="DDL1" s="696"/>
      <c r="DDM1" s="696"/>
      <c r="DDN1" s="696"/>
      <c r="DDO1" s="696"/>
      <c r="DDP1" s="696"/>
      <c r="DDQ1" s="696"/>
      <c r="DDR1" s="696"/>
      <c r="DDS1" s="696"/>
      <c r="DDT1" s="696"/>
      <c r="DDU1" s="696"/>
      <c r="DDV1" s="696"/>
      <c r="DDW1" s="696"/>
      <c r="DDX1" s="696"/>
      <c r="DDY1" s="696"/>
      <c r="DDZ1" s="696"/>
      <c r="DEA1" s="696"/>
      <c r="DEB1" s="696"/>
      <c r="DEC1" s="696"/>
      <c r="DED1" s="696"/>
      <c r="DEE1" s="696"/>
      <c r="DEF1" s="696"/>
      <c r="DEG1" s="696"/>
      <c r="DEH1" s="696"/>
      <c r="DEI1" s="696"/>
      <c r="DEJ1" s="696"/>
      <c r="DEK1" s="696"/>
      <c r="DEL1" s="696"/>
      <c r="DEM1" s="696"/>
      <c r="DEN1" s="696"/>
      <c r="DEO1" s="696"/>
      <c r="DEP1" s="696"/>
      <c r="DEQ1" s="696"/>
      <c r="DER1" s="696"/>
      <c r="DES1" s="696"/>
      <c r="DET1" s="696"/>
      <c r="DEU1" s="696"/>
      <c r="DEV1" s="696"/>
      <c r="DEW1" s="696"/>
      <c r="DEX1" s="696"/>
      <c r="DEY1" s="696"/>
      <c r="DEZ1" s="696"/>
      <c r="DFA1" s="696"/>
      <c r="DFB1" s="696"/>
      <c r="DFC1" s="696"/>
      <c r="DFD1" s="696"/>
      <c r="DFE1" s="696"/>
      <c r="DFF1" s="696"/>
      <c r="DFG1" s="696"/>
      <c r="DFH1" s="696"/>
      <c r="DFI1" s="696"/>
      <c r="DFJ1" s="696"/>
      <c r="DFK1" s="696"/>
      <c r="DFL1" s="696"/>
      <c r="DFM1" s="696"/>
      <c r="DFN1" s="696"/>
      <c r="DFO1" s="696"/>
      <c r="DFP1" s="696"/>
      <c r="DFQ1" s="696"/>
      <c r="DFR1" s="696"/>
      <c r="DFS1" s="696"/>
      <c r="DFT1" s="696"/>
      <c r="DFU1" s="696"/>
      <c r="DFV1" s="696"/>
      <c r="DFW1" s="696"/>
      <c r="DFX1" s="696"/>
      <c r="DFY1" s="696"/>
      <c r="DFZ1" s="696"/>
      <c r="DGA1" s="696"/>
      <c r="DGB1" s="696"/>
      <c r="DGC1" s="696"/>
      <c r="DGD1" s="696"/>
      <c r="DGE1" s="696"/>
      <c r="DGF1" s="696"/>
      <c r="DGG1" s="696"/>
      <c r="DGH1" s="696"/>
      <c r="DGI1" s="696"/>
      <c r="DGJ1" s="696"/>
      <c r="DGK1" s="696"/>
      <c r="DGL1" s="696"/>
      <c r="DGM1" s="696"/>
      <c r="DGN1" s="696"/>
      <c r="DGO1" s="696"/>
      <c r="DGP1" s="696"/>
      <c r="DGQ1" s="696"/>
      <c r="DGR1" s="696"/>
      <c r="DGS1" s="696"/>
      <c r="DGT1" s="696"/>
      <c r="DGU1" s="696"/>
      <c r="DGV1" s="696"/>
      <c r="DGW1" s="696"/>
      <c r="DGX1" s="696"/>
      <c r="DGY1" s="696"/>
      <c r="DGZ1" s="696"/>
      <c r="DHA1" s="696"/>
      <c r="DHB1" s="696"/>
      <c r="DHC1" s="696"/>
      <c r="DHD1" s="696"/>
      <c r="DHE1" s="696"/>
      <c r="DHF1" s="696"/>
      <c r="DHG1" s="696"/>
      <c r="DHH1" s="696"/>
      <c r="DHI1" s="696"/>
      <c r="DHJ1" s="696"/>
      <c r="DHK1" s="696"/>
      <c r="DHL1" s="696"/>
      <c r="DHM1" s="696"/>
      <c r="DHN1" s="696"/>
      <c r="DHO1" s="696"/>
      <c r="DHP1" s="696"/>
      <c r="DHQ1" s="696"/>
      <c r="DHR1" s="696"/>
      <c r="DHS1" s="696"/>
      <c r="DHT1" s="696"/>
      <c r="DHU1" s="696"/>
      <c r="DHV1" s="696"/>
      <c r="DHW1" s="696"/>
      <c r="DHX1" s="696"/>
      <c r="DHY1" s="696"/>
      <c r="DHZ1" s="696"/>
      <c r="DIA1" s="696"/>
      <c r="DIB1" s="696"/>
      <c r="DIC1" s="696"/>
      <c r="DID1" s="696"/>
      <c r="DIE1" s="696"/>
      <c r="DIF1" s="696"/>
      <c r="DIG1" s="696"/>
      <c r="DIH1" s="696"/>
      <c r="DII1" s="696"/>
      <c r="DIJ1" s="696"/>
      <c r="DIK1" s="696"/>
      <c r="DIL1" s="696"/>
      <c r="DIM1" s="696"/>
      <c r="DIN1" s="696"/>
      <c r="DIO1" s="696"/>
      <c r="DIP1" s="696"/>
      <c r="DIQ1" s="696"/>
      <c r="DIR1" s="696"/>
      <c r="DIS1" s="696"/>
      <c r="DIT1" s="696"/>
      <c r="DIU1" s="696"/>
      <c r="DIV1" s="696"/>
      <c r="DIW1" s="696"/>
      <c r="DIX1" s="696"/>
      <c r="DIY1" s="696"/>
      <c r="DIZ1" s="696"/>
      <c r="DJA1" s="696"/>
      <c r="DJB1" s="696"/>
      <c r="DJC1" s="696"/>
      <c r="DJD1" s="696"/>
      <c r="DJE1" s="696"/>
      <c r="DJF1" s="696"/>
      <c r="DJG1" s="696"/>
      <c r="DJH1" s="696"/>
      <c r="DJI1" s="696"/>
      <c r="DJJ1" s="696"/>
      <c r="DJK1" s="696"/>
      <c r="DJL1" s="696"/>
      <c r="DJM1" s="696"/>
      <c r="DJN1" s="696"/>
      <c r="DJO1" s="696"/>
      <c r="DJP1" s="696"/>
      <c r="DJQ1" s="696"/>
      <c r="DJR1" s="696"/>
      <c r="DJS1" s="696"/>
      <c r="DJT1" s="696"/>
      <c r="DJU1" s="696"/>
      <c r="DJV1" s="696"/>
      <c r="DJW1" s="696"/>
      <c r="DJX1" s="696"/>
      <c r="DJY1" s="696"/>
      <c r="DJZ1" s="696"/>
      <c r="DKA1" s="696"/>
      <c r="DKB1" s="696"/>
      <c r="DKC1" s="696"/>
      <c r="DKD1" s="696"/>
      <c r="DKE1" s="696"/>
      <c r="DKF1" s="696"/>
      <c r="DKG1" s="696"/>
      <c r="DKH1" s="696"/>
      <c r="DKI1" s="696"/>
      <c r="DKJ1" s="696"/>
      <c r="DKK1" s="696"/>
      <c r="DKL1" s="696"/>
      <c r="DKM1" s="696"/>
      <c r="DKN1" s="696"/>
      <c r="DKO1" s="696"/>
      <c r="DKP1" s="696"/>
      <c r="DKQ1" s="696"/>
      <c r="DKR1" s="696"/>
      <c r="DKS1" s="696"/>
      <c r="DKT1" s="696"/>
      <c r="DKU1" s="696"/>
      <c r="DKV1" s="696"/>
      <c r="DKW1" s="696"/>
      <c r="DKX1" s="696"/>
      <c r="DKY1" s="696"/>
      <c r="DKZ1" s="696"/>
      <c r="DLA1" s="696"/>
      <c r="DLB1" s="696"/>
      <c r="DLC1" s="696"/>
      <c r="DLD1" s="696"/>
      <c r="DLE1" s="696"/>
      <c r="DLF1" s="696"/>
      <c r="DLG1" s="696"/>
      <c r="DLH1" s="696"/>
      <c r="DLI1" s="696"/>
      <c r="DLJ1" s="696"/>
      <c r="DLK1" s="696"/>
      <c r="DLL1" s="696"/>
      <c r="DLM1" s="696"/>
      <c r="DLN1" s="696"/>
      <c r="DLO1" s="696"/>
      <c r="DLP1" s="696"/>
      <c r="DLQ1" s="696"/>
      <c r="DLR1" s="696"/>
      <c r="DLS1" s="696"/>
      <c r="DLT1" s="696"/>
      <c r="DLU1" s="696"/>
      <c r="DLV1" s="696"/>
      <c r="DLW1" s="696"/>
      <c r="DLX1" s="696"/>
      <c r="DLY1" s="696"/>
      <c r="DLZ1" s="696"/>
      <c r="DMA1" s="696"/>
      <c r="DMB1" s="696"/>
      <c r="DMC1" s="696"/>
      <c r="DMD1" s="696"/>
      <c r="DME1" s="696"/>
      <c r="DMF1" s="696"/>
      <c r="DMG1" s="696"/>
      <c r="DMH1" s="696"/>
      <c r="DMI1" s="696"/>
      <c r="DMJ1" s="696"/>
      <c r="DMK1" s="696"/>
      <c r="DML1" s="696"/>
      <c r="DMM1" s="696"/>
      <c r="DMN1" s="696"/>
      <c r="DMO1" s="696"/>
      <c r="DMP1" s="696"/>
      <c r="DMQ1" s="696"/>
      <c r="DMR1" s="696"/>
      <c r="DMS1" s="696"/>
      <c r="DMT1" s="696"/>
      <c r="DMU1" s="696"/>
      <c r="DMV1" s="696"/>
      <c r="DMW1" s="696"/>
      <c r="DMX1" s="696"/>
      <c r="DMY1" s="696"/>
      <c r="DMZ1" s="696"/>
      <c r="DNA1" s="696"/>
      <c r="DNB1" s="696"/>
      <c r="DNC1" s="696"/>
      <c r="DND1" s="696"/>
      <c r="DNE1" s="696"/>
      <c r="DNF1" s="696"/>
      <c r="DNG1" s="696"/>
      <c r="DNH1" s="696"/>
      <c r="DNI1" s="696"/>
      <c r="DNJ1" s="696"/>
      <c r="DNK1" s="696"/>
      <c r="DNL1" s="696"/>
      <c r="DNM1" s="696"/>
      <c r="DNN1" s="696"/>
      <c r="DNO1" s="696"/>
      <c r="DNP1" s="696"/>
      <c r="DNQ1" s="696"/>
      <c r="DNR1" s="696"/>
      <c r="DNS1" s="696"/>
      <c r="DNT1" s="696"/>
      <c r="DNU1" s="696"/>
      <c r="DNV1" s="696"/>
      <c r="DNW1" s="696"/>
      <c r="DNX1" s="696"/>
      <c r="DNY1" s="696"/>
      <c r="DNZ1" s="696"/>
      <c r="DOA1" s="696"/>
      <c r="DOB1" s="696"/>
      <c r="DOC1" s="696"/>
      <c r="DOD1" s="696"/>
      <c r="DOE1" s="696"/>
      <c r="DOF1" s="696"/>
      <c r="DOG1" s="696"/>
      <c r="DOH1" s="696"/>
      <c r="DOI1" s="696"/>
      <c r="DOJ1" s="696"/>
      <c r="DOK1" s="696"/>
      <c r="DOL1" s="696"/>
      <c r="DOM1" s="696"/>
      <c r="DON1" s="696"/>
      <c r="DOO1" s="696"/>
      <c r="DOP1" s="696"/>
      <c r="DOQ1" s="696"/>
      <c r="DOR1" s="696"/>
      <c r="DOS1" s="696"/>
      <c r="DOT1" s="696"/>
      <c r="DOU1" s="696"/>
      <c r="DOV1" s="696"/>
      <c r="DOW1" s="696"/>
      <c r="DOX1" s="696"/>
      <c r="DOY1" s="696"/>
      <c r="DOZ1" s="696"/>
      <c r="DPA1" s="696"/>
      <c r="DPB1" s="696"/>
      <c r="DPC1" s="696"/>
      <c r="DPD1" s="696"/>
      <c r="DPE1" s="696"/>
      <c r="DPF1" s="696"/>
      <c r="DPG1" s="696"/>
      <c r="DPH1" s="696"/>
      <c r="DPI1" s="696"/>
      <c r="DPJ1" s="696"/>
      <c r="DPK1" s="696"/>
      <c r="DPL1" s="696"/>
      <c r="DPM1" s="696"/>
      <c r="DPN1" s="696"/>
      <c r="DPO1" s="696"/>
      <c r="DPP1" s="696"/>
      <c r="DPQ1" s="696"/>
      <c r="DPR1" s="696"/>
      <c r="DPS1" s="696"/>
      <c r="DPT1" s="696"/>
      <c r="DPU1" s="696"/>
      <c r="DPV1" s="696"/>
      <c r="DPW1" s="696"/>
      <c r="DPX1" s="696"/>
      <c r="DPY1" s="696"/>
      <c r="DPZ1" s="696"/>
      <c r="DQA1" s="696"/>
      <c r="DQB1" s="696"/>
      <c r="DQC1" s="696"/>
      <c r="DQD1" s="696"/>
      <c r="DQE1" s="696"/>
      <c r="DQF1" s="696"/>
      <c r="DQG1" s="696"/>
      <c r="DQH1" s="696"/>
      <c r="DQI1" s="696"/>
      <c r="DQJ1" s="696"/>
      <c r="DQK1" s="696"/>
      <c r="DQL1" s="696"/>
      <c r="DQM1" s="696"/>
      <c r="DQN1" s="696"/>
      <c r="DQO1" s="696"/>
      <c r="DQP1" s="696"/>
      <c r="DQQ1" s="696"/>
      <c r="DQR1" s="696"/>
      <c r="DQS1" s="696"/>
      <c r="DQT1" s="696"/>
      <c r="DQU1" s="696"/>
      <c r="DQV1" s="696"/>
      <c r="DQW1" s="696"/>
      <c r="DQX1" s="696"/>
      <c r="DQY1" s="696"/>
      <c r="DQZ1" s="696"/>
      <c r="DRA1" s="696"/>
      <c r="DRB1" s="696"/>
      <c r="DRC1" s="696"/>
      <c r="DRD1" s="696"/>
      <c r="DRE1" s="696"/>
      <c r="DRF1" s="696"/>
      <c r="DRG1" s="696"/>
      <c r="DRH1" s="696"/>
      <c r="DRI1" s="696"/>
      <c r="DRJ1" s="696"/>
      <c r="DRK1" s="696"/>
      <c r="DRL1" s="696"/>
      <c r="DRM1" s="696"/>
      <c r="DRN1" s="696"/>
      <c r="DRO1" s="696"/>
      <c r="DRP1" s="696"/>
      <c r="DRQ1" s="696"/>
      <c r="DRR1" s="696"/>
      <c r="DRS1" s="696"/>
      <c r="DRT1" s="696"/>
      <c r="DRU1" s="696"/>
      <c r="DRV1" s="696"/>
      <c r="DRW1" s="696"/>
      <c r="DRX1" s="696"/>
      <c r="DRY1" s="696"/>
      <c r="DRZ1" s="696"/>
      <c r="DSA1" s="696"/>
      <c r="DSB1" s="696"/>
      <c r="DSC1" s="696"/>
      <c r="DSD1" s="696"/>
      <c r="DSE1" s="696"/>
      <c r="DSF1" s="696"/>
      <c r="DSG1" s="696"/>
      <c r="DSH1" s="696"/>
      <c r="DSI1" s="696"/>
      <c r="DSJ1" s="696"/>
      <c r="DSK1" s="696"/>
      <c r="DSL1" s="696"/>
      <c r="DSM1" s="696"/>
      <c r="DSN1" s="696"/>
      <c r="DSO1" s="696"/>
      <c r="DSP1" s="696"/>
      <c r="DSQ1" s="696"/>
      <c r="DSR1" s="696"/>
      <c r="DSS1" s="696"/>
      <c r="DST1" s="696"/>
      <c r="DSU1" s="696"/>
      <c r="DSV1" s="696"/>
      <c r="DSW1" s="696"/>
      <c r="DSX1" s="696"/>
      <c r="DSY1" s="696"/>
      <c r="DSZ1" s="696"/>
      <c r="DTA1" s="696"/>
      <c r="DTB1" s="696"/>
      <c r="DTC1" s="696"/>
      <c r="DTD1" s="696"/>
      <c r="DTE1" s="696"/>
      <c r="DTF1" s="696"/>
      <c r="DTG1" s="696"/>
      <c r="DTH1" s="696"/>
      <c r="DTI1" s="696"/>
      <c r="DTJ1" s="696"/>
      <c r="DTK1" s="696"/>
      <c r="DTL1" s="696"/>
      <c r="DTM1" s="696"/>
      <c r="DTN1" s="696"/>
      <c r="DTO1" s="696"/>
      <c r="DTP1" s="696"/>
      <c r="DTQ1" s="696"/>
      <c r="DTR1" s="696"/>
      <c r="DTS1" s="696"/>
      <c r="DTT1" s="696"/>
      <c r="DTU1" s="696"/>
      <c r="DTV1" s="696"/>
      <c r="DTW1" s="696"/>
      <c r="DTX1" s="696"/>
      <c r="DTY1" s="696"/>
      <c r="DTZ1" s="696"/>
      <c r="DUA1" s="696"/>
      <c r="DUB1" s="696"/>
      <c r="DUC1" s="696"/>
      <c r="DUD1" s="696"/>
      <c r="DUE1" s="696"/>
      <c r="DUF1" s="696"/>
      <c r="DUG1" s="696"/>
      <c r="DUH1" s="696"/>
      <c r="DUI1" s="696"/>
      <c r="DUJ1" s="696"/>
      <c r="DUK1" s="696"/>
      <c r="DUL1" s="696"/>
      <c r="DUM1" s="696"/>
      <c r="DUN1" s="696"/>
      <c r="DUO1" s="696"/>
      <c r="DUP1" s="696"/>
      <c r="DUQ1" s="696"/>
      <c r="DUR1" s="696"/>
      <c r="DUS1" s="696"/>
      <c r="DUT1" s="696"/>
      <c r="DUU1" s="696"/>
      <c r="DUV1" s="696"/>
      <c r="DUW1" s="696"/>
      <c r="DUX1" s="696"/>
      <c r="DUY1" s="696"/>
      <c r="DUZ1" s="696"/>
      <c r="DVA1" s="696"/>
      <c r="DVB1" s="696"/>
      <c r="DVC1" s="696"/>
      <c r="DVD1" s="696"/>
      <c r="DVE1" s="696"/>
      <c r="DVF1" s="696"/>
      <c r="DVG1" s="696"/>
      <c r="DVH1" s="696"/>
      <c r="DVI1" s="696"/>
      <c r="DVJ1" s="696"/>
      <c r="DVK1" s="696"/>
      <c r="DVL1" s="696"/>
      <c r="DVM1" s="696"/>
      <c r="DVN1" s="696"/>
      <c r="DVO1" s="696"/>
      <c r="DVP1" s="696"/>
      <c r="DVQ1" s="696"/>
      <c r="DVR1" s="696"/>
      <c r="DVS1" s="696"/>
      <c r="DVT1" s="696"/>
      <c r="DVU1" s="696"/>
      <c r="DVV1" s="696"/>
      <c r="DVW1" s="696"/>
      <c r="DVX1" s="696"/>
      <c r="DVY1" s="696"/>
      <c r="DVZ1" s="696"/>
      <c r="DWA1" s="696"/>
      <c r="DWB1" s="696"/>
      <c r="DWC1" s="696"/>
      <c r="DWD1" s="696"/>
      <c r="DWE1" s="696"/>
      <c r="DWF1" s="696"/>
      <c r="DWG1" s="696"/>
      <c r="DWH1" s="696"/>
      <c r="DWI1" s="696"/>
      <c r="DWJ1" s="696"/>
      <c r="DWK1" s="696"/>
      <c r="DWL1" s="696"/>
      <c r="DWM1" s="696"/>
      <c r="DWN1" s="696"/>
      <c r="DWO1" s="696"/>
      <c r="DWP1" s="696"/>
      <c r="DWQ1" s="696"/>
      <c r="DWR1" s="696"/>
      <c r="DWS1" s="696"/>
      <c r="DWT1" s="696"/>
      <c r="DWU1" s="696"/>
      <c r="DWV1" s="696"/>
      <c r="DWW1" s="696"/>
      <c r="DWX1" s="696"/>
      <c r="DWY1" s="696"/>
      <c r="DWZ1" s="696"/>
      <c r="DXA1" s="696"/>
      <c r="DXB1" s="696"/>
      <c r="DXC1" s="696"/>
      <c r="DXD1" s="696"/>
      <c r="DXE1" s="696"/>
      <c r="DXF1" s="696"/>
      <c r="DXG1" s="696"/>
      <c r="DXH1" s="696"/>
      <c r="DXI1" s="696"/>
      <c r="DXJ1" s="696"/>
      <c r="DXK1" s="696"/>
      <c r="DXL1" s="696"/>
      <c r="DXM1" s="696"/>
      <c r="DXN1" s="696"/>
      <c r="DXO1" s="696"/>
      <c r="DXP1" s="696"/>
      <c r="DXQ1" s="696"/>
      <c r="DXR1" s="696"/>
      <c r="DXS1" s="696"/>
      <c r="DXT1" s="696"/>
      <c r="DXU1" s="696"/>
      <c r="DXV1" s="696"/>
      <c r="DXW1" s="696"/>
      <c r="DXX1" s="696"/>
      <c r="DXY1" s="696"/>
      <c r="DXZ1" s="696"/>
      <c r="DYA1" s="696"/>
      <c r="DYB1" s="696"/>
      <c r="DYC1" s="696"/>
      <c r="DYD1" s="696"/>
      <c r="DYE1" s="696"/>
      <c r="DYF1" s="696"/>
      <c r="DYG1" s="696"/>
      <c r="DYH1" s="696"/>
      <c r="DYI1" s="696"/>
      <c r="DYJ1" s="696"/>
      <c r="DYK1" s="696"/>
      <c r="DYL1" s="696"/>
      <c r="DYM1" s="696"/>
      <c r="DYN1" s="696"/>
      <c r="DYO1" s="696"/>
      <c r="DYP1" s="696"/>
      <c r="DYQ1" s="696"/>
      <c r="DYR1" s="696"/>
      <c r="DYS1" s="696"/>
      <c r="DYT1" s="696"/>
      <c r="DYU1" s="696"/>
      <c r="DYV1" s="696"/>
      <c r="DYW1" s="696"/>
      <c r="DYX1" s="696"/>
      <c r="DYY1" s="696"/>
      <c r="DYZ1" s="696"/>
      <c r="DZA1" s="696"/>
      <c r="DZB1" s="696"/>
      <c r="DZC1" s="696"/>
      <c r="DZD1" s="696"/>
      <c r="DZE1" s="696"/>
      <c r="DZF1" s="696"/>
      <c r="DZG1" s="696"/>
      <c r="DZH1" s="696"/>
      <c r="DZI1" s="696"/>
      <c r="DZJ1" s="696"/>
      <c r="DZK1" s="696"/>
      <c r="DZL1" s="696"/>
      <c r="DZM1" s="696"/>
      <c r="DZN1" s="696"/>
      <c r="DZO1" s="696"/>
      <c r="DZP1" s="696"/>
      <c r="DZQ1" s="696"/>
      <c r="DZR1" s="696"/>
      <c r="DZS1" s="696"/>
      <c r="DZT1" s="696"/>
      <c r="DZU1" s="696"/>
      <c r="DZV1" s="696"/>
      <c r="DZW1" s="696"/>
      <c r="DZX1" s="696"/>
      <c r="DZY1" s="696"/>
      <c r="DZZ1" s="696"/>
      <c r="EAA1" s="696"/>
      <c r="EAB1" s="696"/>
      <c r="EAC1" s="696"/>
      <c r="EAD1" s="696"/>
      <c r="EAE1" s="696"/>
      <c r="EAF1" s="696"/>
      <c r="EAG1" s="696"/>
      <c r="EAH1" s="696"/>
      <c r="EAI1" s="696"/>
      <c r="EAJ1" s="696"/>
      <c r="EAK1" s="696"/>
      <c r="EAL1" s="696"/>
      <c r="EAM1" s="696"/>
      <c r="EAN1" s="696"/>
      <c r="EAO1" s="696"/>
      <c r="EAP1" s="696"/>
      <c r="EAQ1" s="696"/>
      <c r="EAR1" s="696"/>
      <c r="EAS1" s="696"/>
      <c r="EAT1" s="696"/>
      <c r="EAU1" s="696"/>
      <c r="EAV1" s="696"/>
      <c r="EAW1" s="696"/>
      <c r="EAX1" s="696"/>
      <c r="EAY1" s="696"/>
      <c r="EAZ1" s="696"/>
      <c r="EBA1" s="696"/>
      <c r="EBB1" s="696"/>
      <c r="EBC1" s="696"/>
      <c r="EBD1" s="696"/>
      <c r="EBE1" s="696"/>
      <c r="EBF1" s="696"/>
      <c r="EBG1" s="696"/>
      <c r="EBH1" s="696"/>
      <c r="EBI1" s="696"/>
      <c r="EBJ1" s="696"/>
      <c r="EBK1" s="696"/>
      <c r="EBL1" s="696"/>
      <c r="EBM1" s="696"/>
      <c r="EBN1" s="696"/>
      <c r="EBO1" s="696"/>
      <c r="EBP1" s="696"/>
      <c r="EBQ1" s="696"/>
      <c r="EBR1" s="696"/>
      <c r="EBS1" s="696"/>
      <c r="EBT1" s="696"/>
      <c r="EBU1" s="696"/>
      <c r="EBV1" s="696"/>
      <c r="EBW1" s="696"/>
      <c r="EBX1" s="696"/>
      <c r="EBY1" s="696"/>
      <c r="EBZ1" s="696"/>
      <c r="ECA1" s="696"/>
      <c r="ECB1" s="696"/>
      <c r="ECC1" s="696"/>
      <c r="ECD1" s="696"/>
      <c r="ECE1" s="696"/>
      <c r="ECF1" s="696"/>
      <c r="ECG1" s="696"/>
      <c r="ECH1" s="696"/>
      <c r="ECI1" s="696"/>
      <c r="ECJ1" s="696"/>
      <c r="ECK1" s="696"/>
      <c r="ECL1" s="696"/>
      <c r="ECM1" s="696"/>
      <c r="ECN1" s="696"/>
      <c r="ECO1" s="696"/>
      <c r="ECP1" s="696"/>
      <c r="ECQ1" s="696"/>
      <c r="ECR1" s="696"/>
      <c r="ECS1" s="696"/>
      <c r="ECT1" s="696"/>
      <c r="ECU1" s="696"/>
      <c r="ECV1" s="696"/>
      <c r="ECW1" s="696"/>
      <c r="ECX1" s="696"/>
      <c r="ECY1" s="696"/>
      <c r="ECZ1" s="696"/>
      <c r="EDA1" s="696"/>
      <c r="EDB1" s="696"/>
      <c r="EDC1" s="696"/>
      <c r="EDD1" s="696"/>
      <c r="EDE1" s="696"/>
      <c r="EDF1" s="696"/>
      <c r="EDG1" s="696"/>
      <c r="EDH1" s="696"/>
      <c r="EDI1" s="696"/>
      <c r="EDJ1" s="696"/>
      <c r="EDK1" s="696"/>
      <c r="EDL1" s="696"/>
      <c r="EDM1" s="696"/>
      <c r="EDN1" s="696"/>
      <c r="EDO1" s="696"/>
      <c r="EDP1" s="696"/>
      <c r="EDQ1" s="696"/>
      <c r="EDR1" s="696"/>
      <c r="EDS1" s="696"/>
      <c r="EDT1" s="696"/>
      <c r="EDU1" s="696"/>
      <c r="EDV1" s="696"/>
      <c r="EDW1" s="696"/>
      <c r="EDX1" s="696"/>
      <c r="EDY1" s="696"/>
      <c r="EDZ1" s="696"/>
      <c r="EEA1" s="696"/>
      <c r="EEB1" s="696"/>
      <c r="EEC1" s="696"/>
      <c r="EED1" s="696"/>
      <c r="EEE1" s="696"/>
      <c r="EEF1" s="696"/>
      <c r="EEG1" s="696"/>
      <c r="EEH1" s="696"/>
      <c r="EEI1" s="696"/>
      <c r="EEJ1" s="696"/>
      <c r="EEK1" s="696"/>
      <c r="EEL1" s="696"/>
      <c r="EEM1" s="696"/>
      <c r="EEN1" s="696"/>
      <c r="EEO1" s="696"/>
      <c r="EEP1" s="696"/>
      <c r="EEQ1" s="696"/>
      <c r="EER1" s="696"/>
      <c r="EES1" s="696"/>
      <c r="EET1" s="696"/>
      <c r="EEU1" s="696"/>
      <c r="EEV1" s="696"/>
      <c r="EEW1" s="696"/>
      <c r="EEX1" s="696"/>
      <c r="EEY1" s="696"/>
      <c r="EEZ1" s="696"/>
      <c r="EFA1" s="696"/>
      <c r="EFB1" s="696"/>
      <c r="EFC1" s="696"/>
      <c r="EFD1" s="696"/>
      <c r="EFE1" s="696"/>
      <c r="EFF1" s="696"/>
      <c r="EFG1" s="696"/>
      <c r="EFH1" s="696"/>
      <c r="EFI1" s="696"/>
      <c r="EFJ1" s="696"/>
      <c r="EFK1" s="696"/>
      <c r="EFL1" s="696"/>
      <c r="EFM1" s="696"/>
      <c r="EFN1" s="696"/>
      <c r="EFO1" s="696"/>
      <c r="EFP1" s="696"/>
      <c r="EFQ1" s="696"/>
      <c r="EFR1" s="696"/>
      <c r="EFS1" s="696"/>
      <c r="EFT1" s="696"/>
      <c r="EFU1" s="696"/>
      <c r="EFV1" s="696"/>
      <c r="EFW1" s="696"/>
      <c r="EFX1" s="696"/>
      <c r="EFY1" s="696"/>
      <c r="EFZ1" s="696"/>
      <c r="EGA1" s="696"/>
      <c r="EGB1" s="696"/>
      <c r="EGC1" s="696"/>
      <c r="EGD1" s="696"/>
      <c r="EGE1" s="696"/>
      <c r="EGF1" s="696"/>
      <c r="EGG1" s="696"/>
      <c r="EGH1" s="696"/>
      <c r="EGI1" s="696"/>
      <c r="EGJ1" s="696"/>
      <c r="EGK1" s="696"/>
      <c r="EGL1" s="696"/>
      <c r="EGM1" s="696"/>
      <c r="EGN1" s="696"/>
      <c r="EGO1" s="696"/>
      <c r="EGP1" s="696"/>
      <c r="EGQ1" s="696"/>
      <c r="EGR1" s="696"/>
      <c r="EGS1" s="696"/>
      <c r="EGT1" s="696"/>
      <c r="EGU1" s="696"/>
      <c r="EGV1" s="696"/>
      <c r="EGW1" s="696"/>
      <c r="EGX1" s="696"/>
      <c r="EGY1" s="696"/>
      <c r="EGZ1" s="696"/>
      <c r="EHA1" s="696"/>
      <c r="EHB1" s="696"/>
      <c r="EHC1" s="696"/>
      <c r="EHD1" s="696"/>
      <c r="EHE1" s="696"/>
      <c r="EHF1" s="696"/>
      <c r="EHG1" s="696"/>
      <c r="EHH1" s="696"/>
      <c r="EHI1" s="696"/>
      <c r="EHJ1" s="696"/>
      <c r="EHK1" s="696"/>
      <c r="EHL1" s="696"/>
      <c r="EHM1" s="696"/>
      <c r="EHN1" s="696"/>
      <c r="EHO1" s="696"/>
      <c r="EHP1" s="696"/>
      <c r="EHQ1" s="696"/>
      <c r="EHR1" s="696"/>
      <c r="EHS1" s="696"/>
      <c r="EHT1" s="696"/>
      <c r="EHU1" s="696"/>
      <c r="EHV1" s="696"/>
      <c r="EHW1" s="696"/>
      <c r="EHX1" s="696"/>
      <c r="EHY1" s="696"/>
      <c r="EHZ1" s="696"/>
      <c r="EIA1" s="696"/>
      <c r="EIB1" s="696"/>
      <c r="EIC1" s="696"/>
      <c r="EID1" s="696"/>
      <c r="EIE1" s="696"/>
      <c r="EIF1" s="696"/>
      <c r="EIG1" s="696"/>
      <c r="EIH1" s="696"/>
      <c r="EII1" s="696"/>
      <c r="EIJ1" s="696"/>
      <c r="EIK1" s="696"/>
      <c r="EIL1" s="696"/>
      <c r="EIM1" s="696"/>
      <c r="EIN1" s="696"/>
      <c r="EIO1" s="696"/>
      <c r="EIP1" s="696"/>
      <c r="EIQ1" s="696"/>
      <c r="EIR1" s="696"/>
      <c r="EIS1" s="696"/>
      <c r="EIT1" s="696"/>
      <c r="EIU1" s="696"/>
      <c r="EIV1" s="696"/>
      <c r="EIW1" s="696"/>
      <c r="EIX1" s="696"/>
      <c r="EIY1" s="696"/>
      <c r="EIZ1" s="696"/>
      <c r="EJA1" s="696"/>
      <c r="EJB1" s="696"/>
      <c r="EJC1" s="696"/>
      <c r="EJD1" s="696"/>
      <c r="EJE1" s="696"/>
      <c r="EJF1" s="696"/>
      <c r="EJG1" s="696"/>
      <c r="EJH1" s="696"/>
      <c r="EJI1" s="696"/>
      <c r="EJJ1" s="696"/>
      <c r="EJK1" s="696"/>
      <c r="EJL1" s="696"/>
      <c r="EJM1" s="696"/>
      <c r="EJN1" s="696"/>
      <c r="EJO1" s="696"/>
      <c r="EJP1" s="696"/>
      <c r="EJQ1" s="696"/>
      <c r="EJR1" s="696"/>
      <c r="EJS1" s="696"/>
      <c r="EJT1" s="696"/>
      <c r="EJU1" s="696"/>
      <c r="EJV1" s="696"/>
      <c r="EJW1" s="696"/>
      <c r="EJX1" s="696"/>
      <c r="EJY1" s="696"/>
      <c r="EJZ1" s="696"/>
      <c r="EKA1" s="696"/>
      <c r="EKB1" s="696"/>
      <c r="EKC1" s="696"/>
      <c r="EKD1" s="696"/>
      <c r="EKE1" s="696"/>
      <c r="EKF1" s="696"/>
      <c r="EKG1" s="696"/>
      <c r="EKH1" s="696"/>
      <c r="EKI1" s="696"/>
      <c r="EKJ1" s="696"/>
      <c r="EKK1" s="696"/>
      <c r="EKL1" s="696"/>
      <c r="EKM1" s="696"/>
      <c r="EKN1" s="696"/>
      <c r="EKO1" s="696"/>
      <c r="EKP1" s="696"/>
      <c r="EKQ1" s="696"/>
      <c r="EKR1" s="696"/>
      <c r="EKS1" s="696"/>
      <c r="EKT1" s="696"/>
      <c r="EKU1" s="696"/>
      <c r="EKV1" s="696"/>
      <c r="EKW1" s="696"/>
      <c r="EKX1" s="696"/>
      <c r="EKY1" s="696"/>
      <c r="EKZ1" s="696"/>
      <c r="ELA1" s="696"/>
      <c r="ELB1" s="696"/>
      <c r="ELC1" s="696"/>
      <c r="ELD1" s="696"/>
      <c r="ELE1" s="696"/>
      <c r="ELF1" s="696"/>
      <c r="ELG1" s="696"/>
      <c r="ELH1" s="696"/>
      <c r="ELI1" s="696"/>
      <c r="ELJ1" s="696"/>
      <c r="ELK1" s="696"/>
      <c r="ELL1" s="696"/>
      <c r="ELM1" s="696"/>
      <c r="ELN1" s="696"/>
      <c r="ELO1" s="696"/>
      <c r="ELP1" s="696"/>
      <c r="ELQ1" s="696"/>
      <c r="ELR1" s="696"/>
      <c r="ELS1" s="696"/>
      <c r="ELT1" s="696"/>
      <c r="ELU1" s="696"/>
      <c r="ELV1" s="696"/>
      <c r="ELW1" s="696"/>
      <c r="ELX1" s="696"/>
      <c r="ELY1" s="696"/>
      <c r="ELZ1" s="696"/>
      <c r="EMA1" s="696"/>
      <c r="EMB1" s="696"/>
      <c r="EMC1" s="696"/>
      <c r="EMD1" s="696"/>
      <c r="EME1" s="696"/>
      <c r="EMF1" s="696"/>
      <c r="EMG1" s="696"/>
      <c r="EMH1" s="696"/>
      <c r="EMI1" s="696"/>
      <c r="EMJ1" s="696"/>
      <c r="EMK1" s="696"/>
      <c r="EML1" s="696"/>
      <c r="EMM1" s="696"/>
      <c r="EMN1" s="696"/>
      <c r="EMO1" s="696"/>
      <c r="EMP1" s="696"/>
      <c r="EMQ1" s="696"/>
      <c r="EMR1" s="696"/>
      <c r="EMS1" s="696"/>
      <c r="EMT1" s="696"/>
      <c r="EMU1" s="696"/>
      <c r="EMV1" s="696"/>
      <c r="EMW1" s="696"/>
      <c r="EMX1" s="696"/>
      <c r="EMY1" s="696"/>
      <c r="EMZ1" s="696"/>
      <c r="ENA1" s="696"/>
      <c r="ENB1" s="696"/>
      <c r="ENC1" s="696"/>
      <c r="END1" s="696"/>
      <c r="ENE1" s="696"/>
      <c r="ENF1" s="696"/>
      <c r="ENG1" s="696"/>
      <c r="ENH1" s="696"/>
      <c r="ENI1" s="696"/>
      <c r="ENJ1" s="696"/>
      <c r="ENK1" s="696"/>
      <c r="ENL1" s="696"/>
      <c r="ENM1" s="696"/>
      <c r="ENN1" s="696"/>
      <c r="ENO1" s="696"/>
      <c r="ENP1" s="696"/>
      <c r="ENQ1" s="696"/>
      <c r="ENR1" s="696"/>
      <c r="ENS1" s="696"/>
      <c r="ENT1" s="696"/>
      <c r="ENU1" s="696"/>
      <c r="ENV1" s="696"/>
      <c r="ENW1" s="696"/>
      <c r="ENX1" s="696"/>
      <c r="ENY1" s="696"/>
      <c r="ENZ1" s="696"/>
      <c r="EOA1" s="696"/>
      <c r="EOB1" s="696"/>
      <c r="EOC1" s="696"/>
      <c r="EOD1" s="696"/>
      <c r="EOE1" s="696"/>
      <c r="EOF1" s="696"/>
      <c r="EOG1" s="696"/>
      <c r="EOH1" s="696"/>
      <c r="EOI1" s="696"/>
      <c r="EOJ1" s="696"/>
      <c r="EOK1" s="696"/>
      <c r="EOL1" s="696"/>
      <c r="EOM1" s="696"/>
      <c r="EON1" s="696"/>
      <c r="EOO1" s="696"/>
      <c r="EOP1" s="696"/>
      <c r="EOQ1" s="696"/>
      <c r="EOR1" s="696"/>
      <c r="EOS1" s="696"/>
      <c r="EOT1" s="696"/>
      <c r="EOU1" s="696"/>
      <c r="EOV1" s="696"/>
      <c r="EOW1" s="696"/>
      <c r="EOX1" s="696"/>
      <c r="EOY1" s="696"/>
      <c r="EOZ1" s="696"/>
      <c r="EPA1" s="696"/>
      <c r="EPB1" s="696"/>
      <c r="EPC1" s="696"/>
      <c r="EPD1" s="696"/>
      <c r="EPE1" s="696"/>
      <c r="EPF1" s="696"/>
      <c r="EPG1" s="696"/>
      <c r="EPH1" s="696"/>
      <c r="EPI1" s="696"/>
      <c r="EPJ1" s="696"/>
      <c r="EPK1" s="696"/>
      <c r="EPL1" s="696"/>
      <c r="EPM1" s="696"/>
      <c r="EPN1" s="696"/>
      <c r="EPO1" s="696"/>
      <c r="EPP1" s="696"/>
      <c r="EPQ1" s="696"/>
      <c r="EPR1" s="696"/>
      <c r="EPS1" s="696"/>
      <c r="EPT1" s="696"/>
      <c r="EPU1" s="696"/>
      <c r="EPV1" s="696"/>
      <c r="EPW1" s="696"/>
      <c r="EPX1" s="696"/>
      <c r="EPY1" s="696"/>
      <c r="EPZ1" s="696"/>
      <c r="EQA1" s="696"/>
      <c r="EQB1" s="696"/>
      <c r="EQC1" s="696"/>
      <c r="EQD1" s="696"/>
      <c r="EQE1" s="696"/>
      <c r="EQF1" s="696"/>
      <c r="EQG1" s="696"/>
      <c r="EQH1" s="696"/>
      <c r="EQI1" s="696"/>
      <c r="EQJ1" s="696"/>
      <c r="EQK1" s="696"/>
      <c r="EQL1" s="696"/>
      <c r="EQM1" s="696"/>
      <c r="EQN1" s="696"/>
      <c r="EQO1" s="696"/>
      <c r="EQP1" s="696"/>
      <c r="EQQ1" s="696"/>
      <c r="EQR1" s="696"/>
      <c r="EQS1" s="696"/>
      <c r="EQT1" s="696"/>
      <c r="EQU1" s="696"/>
      <c r="EQV1" s="696"/>
      <c r="EQW1" s="696"/>
      <c r="EQX1" s="696"/>
      <c r="EQY1" s="696"/>
      <c r="EQZ1" s="696"/>
      <c r="ERA1" s="696"/>
      <c r="ERB1" s="696"/>
      <c r="ERC1" s="696"/>
      <c r="ERD1" s="696"/>
      <c r="ERE1" s="696"/>
      <c r="ERF1" s="696"/>
      <c r="ERG1" s="696"/>
      <c r="ERH1" s="696"/>
      <c r="ERI1" s="696"/>
      <c r="ERJ1" s="696"/>
      <c r="ERK1" s="696"/>
      <c r="ERL1" s="696"/>
      <c r="ERM1" s="696"/>
      <c r="ERN1" s="696"/>
      <c r="ERO1" s="696"/>
      <c r="ERP1" s="696"/>
      <c r="ERQ1" s="696"/>
      <c r="ERR1" s="696"/>
      <c r="ERS1" s="696"/>
      <c r="ERT1" s="696"/>
      <c r="ERU1" s="696"/>
      <c r="ERV1" s="696"/>
      <c r="ERW1" s="696"/>
      <c r="ERX1" s="696"/>
      <c r="ERY1" s="696"/>
      <c r="ERZ1" s="696"/>
      <c r="ESA1" s="696"/>
      <c r="ESB1" s="696"/>
      <c r="ESC1" s="696"/>
      <c r="ESD1" s="696"/>
      <c r="ESE1" s="696"/>
      <c r="ESF1" s="696"/>
      <c r="ESG1" s="696"/>
      <c r="ESH1" s="696"/>
      <c r="ESI1" s="696"/>
      <c r="ESJ1" s="696"/>
      <c r="ESK1" s="696"/>
      <c r="ESL1" s="696"/>
      <c r="ESM1" s="696"/>
      <c r="ESN1" s="696"/>
      <c r="ESO1" s="696"/>
      <c r="ESP1" s="696"/>
      <c r="ESQ1" s="696"/>
      <c r="ESR1" s="696"/>
      <c r="ESS1" s="696"/>
      <c r="EST1" s="696"/>
      <c r="ESU1" s="696"/>
      <c r="ESV1" s="696"/>
      <c r="ESW1" s="696"/>
      <c r="ESX1" s="696"/>
      <c r="ESY1" s="696"/>
      <c r="ESZ1" s="696"/>
      <c r="ETA1" s="696"/>
      <c r="ETB1" s="696"/>
      <c r="ETC1" s="696"/>
      <c r="ETD1" s="696"/>
      <c r="ETE1" s="696"/>
      <c r="ETF1" s="696"/>
      <c r="ETG1" s="696"/>
      <c r="ETH1" s="696"/>
      <c r="ETI1" s="696"/>
      <c r="ETJ1" s="696"/>
      <c r="ETK1" s="696"/>
      <c r="ETL1" s="696"/>
      <c r="ETM1" s="696"/>
      <c r="ETN1" s="696"/>
      <c r="ETO1" s="696"/>
      <c r="ETP1" s="696"/>
      <c r="ETQ1" s="696"/>
      <c r="ETR1" s="696"/>
      <c r="ETS1" s="696"/>
      <c r="ETT1" s="696"/>
      <c r="ETU1" s="696"/>
      <c r="ETV1" s="696"/>
      <c r="ETW1" s="696"/>
      <c r="ETX1" s="696"/>
      <c r="ETY1" s="696"/>
      <c r="ETZ1" s="696"/>
      <c r="EUA1" s="696"/>
      <c r="EUB1" s="696"/>
      <c r="EUC1" s="696"/>
      <c r="EUD1" s="696"/>
      <c r="EUE1" s="696"/>
      <c r="EUF1" s="696"/>
      <c r="EUG1" s="696"/>
      <c r="EUH1" s="696"/>
      <c r="EUI1" s="696"/>
      <c r="EUJ1" s="696"/>
      <c r="EUK1" s="696"/>
      <c r="EUL1" s="696"/>
      <c r="EUM1" s="696"/>
      <c r="EUN1" s="696"/>
      <c r="EUO1" s="696"/>
      <c r="EUP1" s="696"/>
      <c r="EUQ1" s="696"/>
      <c r="EUR1" s="696"/>
      <c r="EUS1" s="696"/>
      <c r="EUT1" s="696"/>
      <c r="EUU1" s="696"/>
      <c r="EUV1" s="696"/>
      <c r="EUW1" s="696"/>
      <c r="EUX1" s="696"/>
      <c r="EUY1" s="696"/>
      <c r="EUZ1" s="696"/>
      <c r="EVA1" s="696"/>
      <c r="EVB1" s="696"/>
      <c r="EVC1" s="696"/>
      <c r="EVD1" s="696"/>
      <c r="EVE1" s="696"/>
      <c r="EVF1" s="696"/>
      <c r="EVG1" s="696"/>
      <c r="EVH1" s="696"/>
      <c r="EVI1" s="696"/>
      <c r="EVJ1" s="696"/>
      <c r="EVK1" s="696"/>
      <c r="EVL1" s="696"/>
      <c r="EVM1" s="696"/>
      <c r="EVN1" s="696"/>
      <c r="EVO1" s="696"/>
      <c r="EVP1" s="696"/>
      <c r="EVQ1" s="696"/>
      <c r="EVR1" s="696"/>
      <c r="EVS1" s="696"/>
      <c r="EVT1" s="696"/>
      <c r="EVU1" s="696"/>
      <c r="EVV1" s="696"/>
      <c r="EVW1" s="696"/>
      <c r="EVX1" s="696"/>
      <c r="EVY1" s="696"/>
      <c r="EVZ1" s="696"/>
      <c r="EWA1" s="696"/>
      <c r="EWB1" s="696"/>
      <c r="EWC1" s="696"/>
      <c r="EWD1" s="696"/>
      <c r="EWE1" s="696"/>
      <c r="EWF1" s="696"/>
      <c r="EWG1" s="696"/>
      <c r="EWH1" s="696"/>
      <c r="EWI1" s="696"/>
      <c r="EWJ1" s="696"/>
      <c r="EWK1" s="696"/>
      <c r="EWL1" s="696"/>
      <c r="EWM1" s="696"/>
      <c r="EWN1" s="696"/>
      <c r="EWO1" s="696"/>
      <c r="EWP1" s="696"/>
      <c r="EWQ1" s="696"/>
      <c r="EWR1" s="696"/>
      <c r="EWS1" s="696"/>
      <c r="EWT1" s="696"/>
      <c r="EWU1" s="696"/>
      <c r="EWV1" s="696"/>
      <c r="EWW1" s="696"/>
      <c r="EWX1" s="696"/>
      <c r="EWY1" s="696"/>
      <c r="EWZ1" s="696"/>
      <c r="EXA1" s="696"/>
      <c r="EXB1" s="696"/>
      <c r="EXC1" s="696"/>
      <c r="EXD1" s="696"/>
      <c r="EXE1" s="696"/>
      <c r="EXF1" s="696"/>
      <c r="EXG1" s="696"/>
      <c r="EXH1" s="696"/>
      <c r="EXI1" s="696"/>
      <c r="EXJ1" s="696"/>
      <c r="EXK1" s="696"/>
      <c r="EXL1" s="696"/>
      <c r="EXM1" s="696"/>
      <c r="EXN1" s="696"/>
      <c r="EXO1" s="696"/>
      <c r="EXP1" s="696"/>
      <c r="EXQ1" s="696"/>
      <c r="EXR1" s="696"/>
      <c r="EXS1" s="696"/>
      <c r="EXT1" s="696"/>
      <c r="EXU1" s="696"/>
      <c r="EXV1" s="696"/>
      <c r="EXW1" s="696"/>
      <c r="EXX1" s="696"/>
      <c r="EXY1" s="696"/>
      <c r="EXZ1" s="696"/>
      <c r="EYA1" s="696"/>
      <c r="EYB1" s="696"/>
      <c r="EYC1" s="696"/>
      <c r="EYD1" s="696"/>
      <c r="EYE1" s="696"/>
      <c r="EYF1" s="696"/>
      <c r="EYG1" s="696"/>
      <c r="EYH1" s="696"/>
      <c r="EYI1" s="696"/>
      <c r="EYJ1" s="696"/>
      <c r="EYK1" s="696"/>
      <c r="EYL1" s="696"/>
      <c r="EYM1" s="696"/>
      <c r="EYN1" s="696"/>
      <c r="EYO1" s="696"/>
      <c r="EYP1" s="696"/>
      <c r="EYQ1" s="696"/>
      <c r="EYR1" s="696"/>
      <c r="EYS1" s="696"/>
      <c r="EYT1" s="696"/>
      <c r="EYU1" s="696"/>
      <c r="EYV1" s="696"/>
      <c r="EYW1" s="696"/>
      <c r="EYX1" s="696"/>
      <c r="EYY1" s="696"/>
      <c r="EYZ1" s="696"/>
      <c r="EZA1" s="696"/>
      <c r="EZB1" s="696"/>
      <c r="EZC1" s="696"/>
      <c r="EZD1" s="696"/>
      <c r="EZE1" s="696"/>
      <c r="EZF1" s="696"/>
      <c r="EZG1" s="696"/>
      <c r="EZH1" s="696"/>
      <c r="EZI1" s="696"/>
      <c r="EZJ1" s="696"/>
      <c r="EZK1" s="696"/>
      <c r="EZL1" s="696"/>
      <c r="EZM1" s="696"/>
      <c r="EZN1" s="696"/>
      <c r="EZO1" s="696"/>
      <c r="EZP1" s="696"/>
      <c r="EZQ1" s="696"/>
      <c r="EZR1" s="696"/>
      <c r="EZS1" s="696"/>
      <c r="EZT1" s="696"/>
      <c r="EZU1" s="696"/>
      <c r="EZV1" s="696"/>
      <c r="EZW1" s="696"/>
      <c r="EZX1" s="696"/>
      <c r="EZY1" s="696"/>
      <c r="EZZ1" s="696"/>
      <c r="FAA1" s="696"/>
      <c r="FAB1" s="696"/>
      <c r="FAC1" s="696"/>
      <c r="FAD1" s="696"/>
      <c r="FAE1" s="696"/>
      <c r="FAF1" s="696"/>
      <c r="FAG1" s="696"/>
      <c r="FAH1" s="696"/>
      <c r="FAI1" s="696"/>
      <c r="FAJ1" s="696"/>
      <c r="FAK1" s="696"/>
      <c r="FAL1" s="696"/>
      <c r="FAM1" s="696"/>
      <c r="FAN1" s="696"/>
      <c r="FAO1" s="696"/>
      <c r="FAP1" s="696"/>
      <c r="FAQ1" s="696"/>
      <c r="FAR1" s="696"/>
      <c r="FAS1" s="696"/>
      <c r="FAT1" s="696"/>
      <c r="FAU1" s="696"/>
      <c r="FAV1" s="696"/>
      <c r="FAW1" s="696"/>
      <c r="FAX1" s="696"/>
      <c r="FAY1" s="696"/>
      <c r="FAZ1" s="696"/>
      <c r="FBA1" s="696"/>
      <c r="FBB1" s="696"/>
      <c r="FBC1" s="696"/>
      <c r="FBD1" s="696"/>
      <c r="FBE1" s="696"/>
      <c r="FBF1" s="696"/>
      <c r="FBG1" s="696"/>
      <c r="FBH1" s="696"/>
      <c r="FBI1" s="696"/>
      <c r="FBJ1" s="696"/>
      <c r="FBK1" s="696"/>
      <c r="FBL1" s="696"/>
      <c r="FBM1" s="696"/>
      <c r="FBN1" s="696"/>
      <c r="FBO1" s="696"/>
      <c r="FBP1" s="696"/>
      <c r="FBQ1" s="696"/>
      <c r="FBR1" s="696"/>
      <c r="FBS1" s="696"/>
      <c r="FBT1" s="696"/>
      <c r="FBU1" s="696"/>
      <c r="FBV1" s="696"/>
      <c r="FBW1" s="696"/>
      <c r="FBX1" s="696"/>
      <c r="FBY1" s="696"/>
      <c r="FBZ1" s="696"/>
      <c r="FCA1" s="696"/>
      <c r="FCB1" s="696"/>
      <c r="FCC1" s="696"/>
      <c r="FCD1" s="696"/>
      <c r="FCE1" s="696"/>
      <c r="FCF1" s="696"/>
      <c r="FCG1" s="696"/>
      <c r="FCH1" s="696"/>
      <c r="FCI1" s="696"/>
      <c r="FCJ1" s="696"/>
      <c r="FCK1" s="696"/>
      <c r="FCL1" s="696"/>
      <c r="FCM1" s="696"/>
      <c r="FCN1" s="696"/>
      <c r="FCO1" s="696"/>
      <c r="FCP1" s="696"/>
      <c r="FCQ1" s="696"/>
      <c r="FCR1" s="696"/>
      <c r="FCS1" s="696"/>
      <c r="FCT1" s="696"/>
      <c r="FCU1" s="696"/>
      <c r="FCV1" s="696"/>
      <c r="FCW1" s="696"/>
      <c r="FCX1" s="696"/>
      <c r="FCY1" s="696"/>
      <c r="FCZ1" s="696"/>
      <c r="FDA1" s="696"/>
      <c r="FDB1" s="696"/>
      <c r="FDC1" s="696"/>
      <c r="FDD1" s="696"/>
      <c r="FDE1" s="696"/>
      <c r="FDF1" s="696"/>
      <c r="FDG1" s="696"/>
      <c r="FDH1" s="696"/>
      <c r="FDI1" s="696"/>
      <c r="FDJ1" s="696"/>
      <c r="FDK1" s="696"/>
      <c r="FDL1" s="696"/>
      <c r="FDM1" s="696"/>
      <c r="FDN1" s="696"/>
      <c r="FDO1" s="696"/>
      <c r="FDP1" s="696"/>
      <c r="FDQ1" s="696"/>
      <c r="FDR1" s="696"/>
      <c r="FDS1" s="696"/>
      <c r="FDT1" s="696"/>
      <c r="FDU1" s="696"/>
      <c r="FDV1" s="696"/>
      <c r="FDW1" s="696"/>
      <c r="FDX1" s="696"/>
      <c r="FDY1" s="696"/>
      <c r="FDZ1" s="696"/>
      <c r="FEA1" s="696"/>
      <c r="FEB1" s="696"/>
      <c r="FEC1" s="696"/>
      <c r="FED1" s="696"/>
      <c r="FEE1" s="696"/>
      <c r="FEF1" s="696"/>
      <c r="FEG1" s="696"/>
      <c r="FEH1" s="696"/>
      <c r="FEI1" s="696"/>
      <c r="FEJ1" s="696"/>
      <c r="FEK1" s="696"/>
      <c r="FEL1" s="696"/>
      <c r="FEM1" s="696"/>
      <c r="FEN1" s="696"/>
      <c r="FEO1" s="696"/>
      <c r="FEP1" s="696"/>
      <c r="FEQ1" s="696"/>
      <c r="FER1" s="696"/>
      <c r="FES1" s="696"/>
      <c r="FET1" s="696"/>
      <c r="FEU1" s="696"/>
      <c r="FEV1" s="696"/>
      <c r="FEW1" s="696"/>
      <c r="FEX1" s="696"/>
      <c r="FEY1" s="696"/>
      <c r="FEZ1" s="696"/>
      <c r="FFA1" s="696"/>
      <c r="FFB1" s="696"/>
      <c r="FFC1" s="696"/>
      <c r="FFD1" s="696"/>
      <c r="FFE1" s="696"/>
      <c r="FFF1" s="696"/>
      <c r="FFG1" s="696"/>
      <c r="FFH1" s="696"/>
      <c r="FFI1" s="696"/>
      <c r="FFJ1" s="696"/>
      <c r="FFK1" s="696"/>
      <c r="FFL1" s="696"/>
      <c r="FFM1" s="696"/>
      <c r="FFN1" s="696"/>
      <c r="FFO1" s="696"/>
      <c r="FFP1" s="696"/>
      <c r="FFQ1" s="696"/>
      <c r="FFR1" s="696"/>
      <c r="FFS1" s="696"/>
      <c r="FFT1" s="696"/>
      <c r="FFU1" s="696"/>
      <c r="FFV1" s="696"/>
      <c r="FFW1" s="696"/>
      <c r="FFX1" s="696"/>
      <c r="FFY1" s="696"/>
      <c r="FFZ1" s="696"/>
      <c r="FGA1" s="696"/>
      <c r="FGB1" s="696"/>
      <c r="FGC1" s="696"/>
      <c r="FGD1" s="696"/>
      <c r="FGE1" s="696"/>
      <c r="FGF1" s="696"/>
      <c r="FGG1" s="696"/>
      <c r="FGH1" s="696"/>
      <c r="FGI1" s="696"/>
      <c r="FGJ1" s="696"/>
      <c r="FGK1" s="696"/>
      <c r="FGL1" s="696"/>
      <c r="FGM1" s="696"/>
      <c r="FGN1" s="696"/>
      <c r="FGO1" s="696"/>
      <c r="FGP1" s="696"/>
      <c r="FGQ1" s="696"/>
      <c r="FGR1" s="696"/>
      <c r="FGS1" s="696"/>
      <c r="FGT1" s="696"/>
      <c r="FGU1" s="696"/>
      <c r="FGV1" s="696"/>
      <c r="FGW1" s="696"/>
      <c r="FGX1" s="696"/>
      <c r="FGY1" s="696"/>
      <c r="FGZ1" s="696"/>
      <c r="FHA1" s="696"/>
      <c r="FHB1" s="696"/>
      <c r="FHC1" s="696"/>
      <c r="FHD1" s="696"/>
      <c r="FHE1" s="696"/>
      <c r="FHF1" s="696"/>
      <c r="FHG1" s="696"/>
      <c r="FHH1" s="696"/>
      <c r="FHI1" s="696"/>
      <c r="FHJ1" s="696"/>
      <c r="FHK1" s="696"/>
      <c r="FHL1" s="696"/>
      <c r="FHM1" s="696"/>
      <c r="FHN1" s="696"/>
      <c r="FHO1" s="696"/>
      <c r="FHP1" s="696"/>
      <c r="FHQ1" s="696"/>
      <c r="FHR1" s="696"/>
      <c r="FHS1" s="696"/>
      <c r="FHT1" s="696"/>
      <c r="FHU1" s="696"/>
      <c r="FHV1" s="696"/>
      <c r="FHW1" s="696"/>
      <c r="FHX1" s="696"/>
      <c r="FHY1" s="696"/>
      <c r="FHZ1" s="696"/>
      <c r="FIA1" s="696"/>
      <c r="FIB1" s="696"/>
      <c r="FIC1" s="696"/>
      <c r="FID1" s="696"/>
      <c r="FIE1" s="696"/>
      <c r="FIF1" s="696"/>
      <c r="FIG1" s="696"/>
      <c r="FIH1" s="696"/>
      <c r="FII1" s="696"/>
      <c r="FIJ1" s="696"/>
      <c r="FIK1" s="696"/>
      <c r="FIL1" s="696"/>
      <c r="FIM1" s="696"/>
      <c r="FIN1" s="696"/>
      <c r="FIO1" s="696"/>
      <c r="FIP1" s="696"/>
      <c r="FIQ1" s="696"/>
      <c r="FIR1" s="696"/>
      <c r="FIS1" s="696"/>
      <c r="FIT1" s="696"/>
      <c r="FIU1" s="696"/>
      <c r="FIV1" s="696"/>
      <c r="FIW1" s="696"/>
      <c r="FIX1" s="696"/>
      <c r="FIY1" s="696"/>
      <c r="FIZ1" s="696"/>
      <c r="FJA1" s="696"/>
      <c r="FJB1" s="696"/>
      <c r="FJC1" s="696"/>
      <c r="FJD1" s="696"/>
      <c r="FJE1" s="696"/>
      <c r="FJF1" s="696"/>
      <c r="FJG1" s="696"/>
      <c r="FJH1" s="696"/>
      <c r="FJI1" s="696"/>
      <c r="FJJ1" s="696"/>
      <c r="FJK1" s="696"/>
      <c r="FJL1" s="696"/>
      <c r="FJM1" s="696"/>
      <c r="FJN1" s="696"/>
      <c r="FJO1" s="696"/>
      <c r="FJP1" s="696"/>
      <c r="FJQ1" s="696"/>
      <c r="FJR1" s="696"/>
      <c r="FJS1" s="696"/>
      <c r="FJT1" s="696"/>
      <c r="FJU1" s="696"/>
      <c r="FJV1" s="696"/>
      <c r="FJW1" s="696"/>
      <c r="FJX1" s="696"/>
      <c r="FJY1" s="696"/>
      <c r="FJZ1" s="696"/>
      <c r="FKA1" s="696"/>
      <c r="FKB1" s="696"/>
      <c r="FKC1" s="696"/>
      <c r="FKD1" s="696"/>
      <c r="FKE1" s="696"/>
      <c r="FKF1" s="696"/>
      <c r="FKG1" s="696"/>
      <c r="FKH1" s="696"/>
      <c r="FKI1" s="696"/>
      <c r="FKJ1" s="696"/>
      <c r="FKK1" s="696"/>
      <c r="FKL1" s="696"/>
      <c r="FKM1" s="696"/>
      <c r="FKN1" s="696"/>
      <c r="FKO1" s="696"/>
      <c r="FKP1" s="696"/>
      <c r="FKQ1" s="696"/>
      <c r="FKR1" s="696"/>
      <c r="FKS1" s="696"/>
      <c r="FKT1" s="696"/>
      <c r="FKU1" s="696"/>
      <c r="FKV1" s="696"/>
      <c r="FKW1" s="696"/>
      <c r="FKX1" s="696"/>
      <c r="FKY1" s="696"/>
      <c r="FKZ1" s="696"/>
      <c r="FLA1" s="696"/>
      <c r="FLB1" s="696"/>
      <c r="FLC1" s="696"/>
      <c r="FLD1" s="696"/>
      <c r="FLE1" s="696"/>
      <c r="FLF1" s="696"/>
      <c r="FLG1" s="696"/>
      <c r="FLH1" s="696"/>
      <c r="FLI1" s="696"/>
      <c r="FLJ1" s="696"/>
      <c r="FLK1" s="696"/>
      <c r="FLL1" s="696"/>
      <c r="FLM1" s="696"/>
      <c r="FLN1" s="696"/>
      <c r="FLO1" s="696"/>
      <c r="FLP1" s="696"/>
      <c r="FLQ1" s="696"/>
      <c r="FLR1" s="696"/>
      <c r="FLS1" s="696"/>
      <c r="FLT1" s="696"/>
      <c r="FLU1" s="696"/>
      <c r="FLV1" s="696"/>
      <c r="FLW1" s="696"/>
      <c r="FLX1" s="696"/>
      <c r="FLY1" s="696"/>
      <c r="FLZ1" s="696"/>
      <c r="FMA1" s="696"/>
      <c r="FMB1" s="696"/>
      <c r="FMC1" s="696"/>
      <c r="FMD1" s="696"/>
      <c r="FME1" s="696"/>
      <c r="FMF1" s="696"/>
      <c r="FMG1" s="696"/>
      <c r="FMH1" s="696"/>
      <c r="FMI1" s="696"/>
      <c r="FMJ1" s="696"/>
      <c r="FMK1" s="696"/>
      <c r="FML1" s="696"/>
      <c r="FMM1" s="696"/>
      <c r="FMN1" s="696"/>
      <c r="FMO1" s="696"/>
      <c r="FMP1" s="696"/>
      <c r="FMQ1" s="696"/>
      <c r="FMR1" s="696"/>
      <c r="FMS1" s="696"/>
      <c r="FMT1" s="696"/>
      <c r="FMU1" s="696"/>
      <c r="FMV1" s="696"/>
      <c r="FMW1" s="696"/>
      <c r="FMX1" s="696"/>
      <c r="FMY1" s="696"/>
      <c r="FMZ1" s="696"/>
      <c r="FNA1" s="696"/>
      <c r="FNB1" s="696"/>
      <c r="FNC1" s="696"/>
      <c r="FND1" s="696"/>
      <c r="FNE1" s="696"/>
      <c r="FNF1" s="696"/>
      <c r="FNG1" s="696"/>
      <c r="FNH1" s="696"/>
      <c r="FNI1" s="696"/>
      <c r="FNJ1" s="696"/>
      <c r="FNK1" s="696"/>
      <c r="FNL1" s="696"/>
      <c r="FNM1" s="696"/>
      <c r="FNN1" s="696"/>
      <c r="FNO1" s="696"/>
      <c r="FNP1" s="696"/>
      <c r="FNQ1" s="696"/>
      <c r="FNR1" s="696"/>
      <c r="FNS1" s="696"/>
      <c r="FNT1" s="696"/>
      <c r="FNU1" s="696"/>
      <c r="FNV1" s="696"/>
      <c r="FNW1" s="696"/>
      <c r="FNX1" s="696"/>
      <c r="FNY1" s="696"/>
      <c r="FNZ1" s="696"/>
      <c r="FOA1" s="696"/>
      <c r="FOB1" s="696"/>
      <c r="FOC1" s="696"/>
      <c r="FOD1" s="696"/>
      <c r="FOE1" s="696"/>
      <c r="FOF1" s="696"/>
      <c r="FOG1" s="696"/>
      <c r="FOH1" s="696"/>
      <c r="FOI1" s="696"/>
      <c r="FOJ1" s="696"/>
      <c r="FOK1" s="696"/>
      <c r="FOL1" s="696"/>
      <c r="FOM1" s="696"/>
      <c r="FON1" s="696"/>
      <c r="FOO1" s="696"/>
      <c r="FOP1" s="696"/>
      <c r="FOQ1" s="696"/>
      <c r="FOR1" s="696"/>
      <c r="FOS1" s="696"/>
      <c r="FOT1" s="696"/>
      <c r="FOU1" s="696"/>
      <c r="FOV1" s="696"/>
      <c r="FOW1" s="696"/>
      <c r="FOX1" s="696"/>
      <c r="FOY1" s="696"/>
      <c r="FOZ1" s="696"/>
      <c r="FPA1" s="696"/>
      <c r="FPB1" s="696"/>
      <c r="FPC1" s="696"/>
      <c r="FPD1" s="696"/>
      <c r="FPE1" s="696"/>
      <c r="FPF1" s="696"/>
      <c r="FPG1" s="696"/>
      <c r="FPH1" s="696"/>
      <c r="FPI1" s="696"/>
      <c r="FPJ1" s="696"/>
      <c r="FPK1" s="696"/>
      <c r="FPL1" s="696"/>
      <c r="FPM1" s="696"/>
      <c r="FPN1" s="696"/>
      <c r="FPO1" s="696"/>
      <c r="FPP1" s="696"/>
      <c r="FPQ1" s="696"/>
      <c r="FPR1" s="696"/>
      <c r="FPS1" s="696"/>
      <c r="FPT1" s="696"/>
      <c r="FPU1" s="696"/>
      <c r="FPV1" s="696"/>
      <c r="FPW1" s="696"/>
      <c r="FPX1" s="696"/>
      <c r="FPY1" s="696"/>
      <c r="FPZ1" s="696"/>
      <c r="FQA1" s="696"/>
      <c r="FQB1" s="696"/>
      <c r="FQC1" s="696"/>
      <c r="FQD1" s="696"/>
      <c r="FQE1" s="696"/>
      <c r="FQF1" s="696"/>
      <c r="FQG1" s="696"/>
      <c r="FQH1" s="696"/>
      <c r="FQI1" s="696"/>
      <c r="FQJ1" s="696"/>
      <c r="FQK1" s="696"/>
      <c r="FQL1" s="696"/>
      <c r="FQM1" s="696"/>
      <c r="FQN1" s="696"/>
      <c r="FQO1" s="696"/>
      <c r="FQP1" s="696"/>
      <c r="FQQ1" s="696"/>
      <c r="FQR1" s="696"/>
      <c r="FQS1" s="696"/>
      <c r="FQT1" s="696"/>
      <c r="FQU1" s="696"/>
      <c r="FQV1" s="696"/>
      <c r="FQW1" s="696"/>
      <c r="FQX1" s="696"/>
      <c r="FQY1" s="696"/>
      <c r="FQZ1" s="696"/>
      <c r="FRA1" s="696"/>
      <c r="FRB1" s="696"/>
      <c r="FRC1" s="696"/>
      <c r="FRD1" s="696"/>
      <c r="FRE1" s="696"/>
      <c r="FRF1" s="696"/>
      <c r="FRG1" s="696"/>
      <c r="FRH1" s="696"/>
      <c r="FRI1" s="696"/>
      <c r="FRJ1" s="696"/>
      <c r="FRK1" s="696"/>
      <c r="FRL1" s="696"/>
      <c r="FRM1" s="696"/>
      <c r="FRN1" s="696"/>
      <c r="FRO1" s="696"/>
      <c r="FRP1" s="696"/>
      <c r="FRQ1" s="696"/>
      <c r="FRR1" s="696"/>
      <c r="FRS1" s="696"/>
      <c r="FRT1" s="696"/>
      <c r="FRU1" s="696"/>
      <c r="FRV1" s="696"/>
      <c r="FRW1" s="696"/>
      <c r="FRX1" s="696"/>
      <c r="FRY1" s="696"/>
      <c r="FRZ1" s="696"/>
      <c r="FSA1" s="696"/>
      <c r="FSB1" s="696"/>
      <c r="FSC1" s="696"/>
      <c r="FSD1" s="696"/>
      <c r="FSE1" s="696"/>
      <c r="FSF1" s="696"/>
      <c r="FSG1" s="696"/>
      <c r="FSH1" s="696"/>
      <c r="FSI1" s="696"/>
      <c r="FSJ1" s="696"/>
      <c r="FSK1" s="696"/>
      <c r="FSL1" s="696"/>
      <c r="FSM1" s="696"/>
      <c r="FSN1" s="696"/>
      <c r="FSO1" s="696"/>
      <c r="FSP1" s="696"/>
      <c r="FSQ1" s="696"/>
      <c r="FSR1" s="696"/>
      <c r="FSS1" s="696"/>
      <c r="FST1" s="696"/>
      <c r="FSU1" s="696"/>
      <c r="FSV1" s="696"/>
      <c r="FSW1" s="696"/>
      <c r="FSX1" s="696"/>
      <c r="FSY1" s="696"/>
      <c r="FSZ1" s="696"/>
      <c r="FTA1" s="696"/>
      <c r="FTB1" s="696"/>
      <c r="FTC1" s="696"/>
      <c r="FTD1" s="696"/>
      <c r="FTE1" s="696"/>
      <c r="FTF1" s="696"/>
      <c r="FTG1" s="696"/>
      <c r="FTH1" s="696"/>
      <c r="FTI1" s="696"/>
      <c r="FTJ1" s="696"/>
      <c r="FTK1" s="696"/>
      <c r="FTL1" s="696"/>
      <c r="FTM1" s="696"/>
      <c r="FTN1" s="696"/>
      <c r="FTO1" s="696"/>
      <c r="FTP1" s="696"/>
      <c r="FTQ1" s="696"/>
      <c r="FTR1" s="696"/>
      <c r="FTS1" s="696"/>
      <c r="FTT1" s="696"/>
      <c r="FTU1" s="696"/>
      <c r="FTV1" s="696"/>
      <c r="FTW1" s="696"/>
      <c r="FTX1" s="696"/>
      <c r="FTY1" s="696"/>
      <c r="FTZ1" s="696"/>
      <c r="FUA1" s="696"/>
      <c r="FUB1" s="696"/>
      <c r="FUC1" s="696"/>
      <c r="FUD1" s="696"/>
      <c r="FUE1" s="696"/>
      <c r="FUF1" s="696"/>
      <c r="FUG1" s="696"/>
      <c r="FUH1" s="696"/>
      <c r="FUI1" s="696"/>
      <c r="FUJ1" s="696"/>
      <c r="FUK1" s="696"/>
      <c r="FUL1" s="696"/>
      <c r="FUM1" s="696"/>
      <c r="FUN1" s="696"/>
      <c r="FUO1" s="696"/>
      <c r="FUP1" s="696"/>
      <c r="FUQ1" s="696"/>
      <c r="FUR1" s="696"/>
      <c r="FUS1" s="696"/>
      <c r="FUT1" s="696"/>
      <c r="FUU1" s="696"/>
      <c r="FUV1" s="696"/>
      <c r="FUW1" s="696"/>
      <c r="FUX1" s="696"/>
      <c r="FUY1" s="696"/>
      <c r="FUZ1" s="696"/>
      <c r="FVA1" s="696"/>
      <c r="FVB1" s="696"/>
      <c r="FVC1" s="696"/>
      <c r="FVD1" s="696"/>
      <c r="FVE1" s="696"/>
      <c r="FVF1" s="696"/>
      <c r="FVG1" s="696"/>
      <c r="FVH1" s="696"/>
      <c r="FVI1" s="696"/>
      <c r="FVJ1" s="696"/>
      <c r="FVK1" s="696"/>
      <c r="FVL1" s="696"/>
      <c r="FVM1" s="696"/>
      <c r="FVN1" s="696"/>
      <c r="FVO1" s="696"/>
      <c r="FVP1" s="696"/>
      <c r="FVQ1" s="696"/>
      <c r="FVR1" s="696"/>
      <c r="FVS1" s="696"/>
      <c r="FVT1" s="696"/>
      <c r="FVU1" s="696"/>
      <c r="FVV1" s="696"/>
      <c r="FVW1" s="696"/>
      <c r="FVX1" s="696"/>
      <c r="FVY1" s="696"/>
      <c r="FVZ1" s="696"/>
      <c r="FWA1" s="696"/>
      <c r="FWB1" s="696"/>
      <c r="FWC1" s="696"/>
      <c r="FWD1" s="696"/>
      <c r="FWE1" s="696"/>
      <c r="FWF1" s="696"/>
      <c r="FWG1" s="696"/>
      <c r="FWH1" s="696"/>
      <c r="FWI1" s="696"/>
      <c r="FWJ1" s="696"/>
      <c r="FWK1" s="696"/>
      <c r="FWL1" s="696"/>
      <c r="FWM1" s="696"/>
      <c r="FWN1" s="696"/>
      <c r="FWO1" s="696"/>
      <c r="FWP1" s="696"/>
      <c r="FWQ1" s="696"/>
      <c r="FWR1" s="696"/>
      <c r="FWS1" s="696"/>
      <c r="FWT1" s="696"/>
      <c r="FWU1" s="696"/>
      <c r="FWV1" s="696"/>
      <c r="FWW1" s="696"/>
      <c r="FWX1" s="696"/>
      <c r="FWY1" s="696"/>
      <c r="FWZ1" s="696"/>
      <c r="FXA1" s="696"/>
      <c r="FXB1" s="696"/>
      <c r="FXC1" s="696"/>
      <c r="FXD1" s="696"/>
      <c r="FXE1" s="696"/>
      <c r="FXF1" s="696"/>
      <c r="FXG1" s="696"/>
      <c r="FXH1" s="696"/>
      <c r="FXI1" s="696"/>
      <c r="FXJ1" s="696"/>
      <c r="FXK1" s="696"/>
      <c r="FXL1" s="696"/>
      <c r="FXM1" s="696"/>
      <c r="FXN1" s="696"/>
      <c r="FXO1" s="696"/>
      <c r="FXP1" s="696"/>
      <c r="FXQ1" s="696"/>
      <c r="FXR1" s="696"/>
      <c r="FXS1" s="696"/>
      <c r="FXT1" s="696"/>
      <c r="FXU1" s="696"/>
      <c r="FXV1" s="696"/>
      <c r="FXW1" s="696"/>
      <c r="FXX1" s="696"/>
      <c r="FXY1" s="696"/>
      <c r="FXZ1" s="696"/>
      <c r="FYA1" s="696"/>
      <c r="FYB1" s="696"/>
      <c r="FYC1" s="696"/>
      <c r="FYD1" s="696"/>
      <c r="FYE1" s="696"/>
      <c r="FYF1" s="696"/>
      <c r="FYG1" s="696"/>
      <c r="FYH1" s="696"/>
      <c r="FYI1" s="696"/>
      <c r="FYJ1" s="696"/>
      <c r="FYK1" s="696"/>
      <c r="FYL1" s="696"/>
      <c r="FYM1" s="696"/>
      <c r="FYN1" s="696"/>
      <c r="FYO1" s="696"/>
      <c r="FYP1" s="696"/>
      <c r="FYQ1" s="696"/>
      <c r="FYR1" s="696"/>
      <c r="FYS1" s="696"/>
      <c r="FYT1" s="696"/>
      <c r="FYU1" s="696"/>
      <c r="FYV1" s="696"/>
      <c r="FYW1" s="696"/>
      <c r="FYX1" s="696"/>
      <c r="FYY1" s="696"/>
      <c r="FYZ1" s="696"/>
      <c r="FZA1" s="696"/>
      <c r="FZB1" s="696"/>
      <c r="FZC1" s="696"/>
      <c r="FZD1" s="696"/>
      <c r="FZE1" s="696"/>
      <c r="FZF1" s="696"/>
      <c r="FZG1" s="696"/>
      <c r="FZH1" s="696"/>
      <c r="FZI1" s="696"/>
      <c r="FZJ1" s="696"/>
      <c r="FZK1" s="696"/>
      <c r="FZL1" s="696"/>
      <c r="FZM1" s="696"/>
      <c r="FZN1" s="696"/>
      <c r="FZO1" s="696"/>
      <c r="FZP1" s="696"/>
      <c r="FZQ1" s="696"/>
      <c r="FZR1" s="696"/>
      <c r="FZS1" s="696"/>
      <c r="FZT1" s="696"/>
      <c r="FZU1" s="696"/>
      <c r="FZV1" s="696"/>
      <c r="FZW1" s="696"/>
      <c r="FZX1" s="696"/>
      <c r="FZY1" s="696"/>
      <c r="FZZ1" s="696"/>
      <c r="GAA1" s="696"/>
      <c r="GAB1" s="696"/>
      <c r="GAC1" s="696"/>
      <c r="GAD1" s="696"/>
      <c r="GAE1" s="696"/>
      <c r="GAF1" s="696"/>
      <c r="GAG1" s="696"/>
      <c r="GAH1" s="696"/>
      <c r="GAI1" s="696"/>
      <c r="GAJ1" s="696"/>
      <c r="GAK1" s="696"/>
      <c r="GAL1" s="696"/>
      <c r="GAM1" s="696"/>
      <c r="GAN1" s="696"/>
      <c r="GAO1" s="696"/>
      <c r="GAP1" s="696"/>
      <c r="GAQ1" s="696"/>
      <c r="GAR1" s="696"/>
      <c r="GAS1" s="696"/>
      <c r="GAT1" s="696"/>
      <c r="GAU1" s="696"/>
      <c r="GAV1" s="696"/>
      <c r="GAW1" s="696"/>
      <c r="GAX1" s="696"/>
      <c r="GAY1" s="696"/>
      <c r="GAZ1" s="696"/>
      <c r="GBA1" s="696"/>
      <c r="GBB1" s="696"/>
      <c r="GBC1" s="696"/>
      <c r="GBD1" s="696"/>
      <c r="GBE1" s="696"/>
      <c r="GBF1" s="696"/>
      <c r="GBG1" s="696"/>
      <c r="GBH1" s="696"/>
      <c r="GBI1" s="696"/>
      <c r="GBJ1" s="696"/>
      <c r="GBK1" s="696"/>
      <c r="GBL1" s="696"/>
      <c r="GBM1" s="696"/>
      <c r="GBN1" s="696"/>
      <c r="GBO1" s="696"/>
      <c r="GBP1" s="696"/>
      <c r="GBQ1" s="696"/>
      <c r="GBR1" s="696"/>
      <c r="GBS1" s="696"/>
      <c r="GBT1" s="696"/>
      <c r="GBU1" s="696"/>
      <c r="GBV1" s="696"/>
      <c r="GBW1" s="696"/>
      <c r="GBX1" s="696"/>
      <c r="GBY1" s="696"/>
      <c r="GBZ1" s="696"/>
      <c r="GCA1" s="696"/>
      <c r="GCB1" s="696"/>
      <c r="GCC1" s="696"/>
      <c r="GCD1" s="696"/>
      <c r="GCE1" s="696"/>
      <c r="GCF1" s="696"/>
      <c r="GCG1" s="696"/>
      <c r="GCH1" s="696"/>
      <c r="GCI1" s="696"/>
      <c r="GCJ1" s="696"/>
      <c r="GCK1" s="696"/>
      <c r="GCL1" s="696"/>
      <c r="GCM1" s="696"/>
      <c r="GCN1" s="696"/>
      <c r="GCO1" s="696"/>
      <c r="GCP1" s="696"/>
      <c r="GCQ1" s="696"/>
      <c r="GCR1" s="696"/>
      <c r="GCS1" s="696"/>
      <c r="GCT1" s="696"/>
      <c r="GCU1" s="696"/>
      <c r="GCV1" s="696"/>
      <c r="GCW1" s="696"/>
      <c r="GCX1" s="696"/>
      <c r="GCY1" s="696"/>
      <c r="GCZ1" s="696"/>
      <c r="GDA1" s="696"/>
      <c r="GDB1" s="696"/>
      <c r="GDC1" s="696"/>
      <c r="GDD1" s="696"/>
      <c r="GDE1" s="696"/>
      <c r="GDF1" s="696"/>
      <c r="GDG1" s="696"/>
      <c r="GDH1" s="696"/>
      <c r="GDI1" s="696"/>
      <c r="GDJ1" s="696"/>
      <c r="GDK1" s="696"/>
      <c r="GDL1" s="696"/>
      <c r="GDM1" s="696"/>
      <c r="GDN1" s="696"/>
      <c r="GDO1" s="696"/>
      <c r="GDP1" s="696"/>
      <c r="GDQ1" s="696"/>
      <c r="GDR1" s="696"/>
      <c r="GDS1" s="696"/>
      <c r="GDT1" s="696"/>
      <c r="GDU1" s="696"/>
      <c r="GDV1" s="696"/>
      <c r="GDW1" s="696"/>
      <c r="GDX1" s="696"/>
      <c r="GDY1" s="696"/>
      <c r="GDZ1" s="696"/>
      <c r="GEA1" s="696"/>
      <c r="GEB1" s="696"/>
      <c r="GEC1" s="696"/>
      <c r="GED1" s="696"/>
      <c r="GEE1" s="696"/>
      <c r="GEF1" s="696"/>
      <c r="GEG1" s="696"/>
      <c r="GEH1" s="696"/>
      <c r="GEI1" s="696"/>
      <c r="GEJ1" s="696"/>
      <c r="GEK1" s="696"/>
      <c r="GEL1" s="696"/>
      <c r="GEM1" s="696"/>
      <c r="GEN1" s="696"/>
      <c r="GEO1" s="696"/>
      <c r="GEP1" s="696"/>
      <c r="GEQ1" s="696"/>
      <c r="GER1" s="696"/>
      <c r="GES1" s="696"/>
      <c r="GET1" s="696"/>
      <c r="GEU1" s="696"/>
      <c r="GEV1" s="696"/>
      <c r="GEW1" s="696"/>
      <c r="GEX1" s="696"/>
      <c r="GEY1" s="696"/>
      <c r="GEZ1" s="696"/>
      <c r="GFA1" s="696"/>
      <c r="GFB1" s="696"/>
      <c r="GFC1" s="696"/>
      <c r="GFD1" s="696"/>
      <c r="GFE1" s="696"/>
      <c r="GFF1" s="696"/>
      <c r="GFG1" s="696"/>
      <c r="GFH1" s="696"/>
      <c r="GFI1" s="696"/>
      <c r="GFJ1" s="696"/>
      <c r="GFK1" s="696"/>
      <c r="GFL1" s="696"/>
      <c r="GFM1" s="696"/>
      <c r="GFN1" s="696"/>
      <c r="GFO1" s="696"/>
      <c r="GFP1" s="696"/>
      <c r="GFQ1" s="696"/>
      <c r="GFR1" s="696"/>
      <c r="GFS1" s="696"/>
      <c r="GFT1" s="696"/>
      <c r="GFU1" s="696"/>
      <c r="GFV1" s="696"/>
      <c r="GFW1" s="696"/>
      <c r="GFX1" s="696"/>
      <c r="GFY1" s="696"/>
      <c r="GFZ1" s="696"/>
      <c r="GGA1" s="696"/>
      <c r="GGB1" s="696"/>
      <c r="GGC1" s="696"/>
      <c r="GGD1" s="696"/>
      <c r="GGE1" s="696"/>
      <c r="GGF1" s="696"/>
      <c r="GGG1" s="696"/>
      <c r="GGH1" s="696"/>
      <c r="GGI1" s="696"/>
      <c r="GGJ1" s="696"/>
      <c r="GGK1" s="696"/>
      <c r="GGL1" s="696"/>
      <c r="GGM1" s="696"/>
      <c r="GGN1" s="696"/>
      <c r="GGO1" s="696"/>
      <c r="GGP1" s="696"/>
      <c r="GGQ1" s="696"/>
      <c r="GGR1" s="696"/>
      <c r="GGS1" s="696"/>
      <c r="GGT1" s="696"/>
      <c r="GGU1" s="696"/>
      <c r="GGV1" s="696"/>
      <c r="GGW1" s="696"/>
      <c r="GGX1" s="696"/>
      <c r="GGY1" s="696"/>
      <c r="GGZ1" s="696"/>
      <c r="GHA1" s="696"/>
      <c r="GHB1" s="696"/>
      <c r="GHC1" s="696"/>
      <c r="GHD1" s="696"/>
      <c r="GHE1" s="696"/>
      <c r="GHF1" s="696"/>
      <c r="GHG1" s="696"/>
      <c r="GHH1" s="696"/>
      <c r="GHI1" s="696"/>
      <c r="GHJ1" s="696"/>
      <c r="GHK1" s="696"/>
      <c r="GHL1" s="696"/>
      <c r="GHM1" s="696"/>
      <c r="GHN1" s="696"/>
      <c r="GHO1" s="696"/>
      <c r="GHP1" s="696"/>
      <c r="GHQ1" s="696"/>
      <c r="GHR1" s="696"/>
      <c r="GHS1" s="696"/>
      <c r="GHT1" s="696"/>
      <c r="GHU1" s="696"/>
      <c r="GHV1" s="696"/>
      <c r="GHW1" s="696"/>
      <c r="GHX1" s="696"/>
      <c r="GHY1" s="696"/>
      <c r="GHZ1" s="696"/>
      <c r="GIA1" s="696"/>
      <c r="GIB1" s="696"/>
      <c r="GIC1" s="696"/>
      <c r="GID1" s="696"/>
      <c r="GIE1" s="696"/>
      <c r="GIF1" s="696"/>
      <c r="GIG1" s="696"/>
      <c r="GIH1" s="696"/>
      <c r="GII1" s="696"/>
      <c r="GIJ1" s="696"/>
      <c r="GIK1" s="696"/>
      <c r="GIL1" s="696"/>
      <c r="GIM1" s="696"/>
      <c r="GIN1" s="696"/>
      <c r="GIO1" s="696"/>
      <c r="GIP1" s="696"/>
      <c r="GIQ1" s="696"/>
      <c r="GIR1" s="696"/>
      <c r="GIS1" s="696"/>
      <c r="GIT1" s="696"/>
      <c r="GIU1" s="696"/>
      <c r="GIV1" s="696"/>
      <c r="GIW1" s="696"/>
      <c r="GIX1" s="696"/>
      <c r="GIY1" s="696"/>
      <c r="GIZ1" s="696"/>
      <c r="GJA1" s="696"/>
      <c r="GJB1" s="696"/>
      <c r="GJC1" s="696"/>
      <c r="GJD1" s="696"/>
      <c r="GJE1" s="696"/>
      <c r="GJF1" s="696"/>
      <c r="GJG1" s="696"/>
      <c r="GJH1" s="696"/>
      <c r="GJI1" s="696"/>
      <c r="GJJ1" s="696"/>
      <c r="GJK1" s="696"/>
      <c r="GJL1" s="696"/>
      <c r="GJM1" s="696"/>
      <c r="GJN1" s="696"/>
      <c r="GJO1" s="696"/>
      <c r="GJP1" s="696"/>
      <c r="GJQ1" s="696"/>
      <c r="GJR1" s="696"/>
      <c r="GJS1" s="696"/>
      <c r="GJT1" s="696"/>
      <c r="GJU1" s="696"/>
      <c r="GJV1" s="696"/>
      <c r="GJW1" s="696"/>
      <c r="GJX1" s="696"/>
      <c r="GJY1" s="696"/>
      <c r="GJZ1" s="696"/>
      <c r="GKA1" s="696"/>
      <c r="GKB1" s="696"/>
      <c r="GKC1" s="696"/>
      <c r="GKD1" s="696"/>
      <c r="GKE1" s="696"/>
      <c r="GKF1" s="696"/>
      <c r="GKG1" s="696"/>
      <c r="GKH1" s="696"/>
      <c r="GKI1" s="696"/>
      <c r="GKJ1" s="696"/>
      <c r="GKK1" s="696"/>
      <c r="GKL1" s="696"/>
      <c r="GKM1" s="696"/>
      <c r="GKN1" s="696"/>
      <c r="GKO1" s="696"/>
      <c r="GKP1" s="696"/>
      <c r="GKQ1" s="696"/>
      <c r="GKR1" s="696"/>
      <c r="GKS1" s="696"/>
      <c r="GKT1" s="696"/>
      <c r="GKU1" s="696"/>
      <c r="GKV1" s="696"/>
      <c r="GKW1" s="696"/>
      <c r="GKX1" s="696"/>
      <c r="GKY1" s="696"/>
      <c r="GKZ1" s="696"/>
      <c r="GLA1" s="696"/>
      <c r="GLB1" s="696"/>
      <c r="GLC1" s="696"/>
      <c r="GLD1" s="696"/>
      <c r="GLE1" s="696"/>
      <c r="GLF1" s="696"/>
      <c r="GLG1" s="696"/>
      <c r="GLH1" s="696"/>
      <c r="GLI1" s="696"/>
      <c r="GLJ1" s="696"/>
      <c r="GLK1" s="696"/>
      <c r="GLL1" s="696"/>
      <c r="GLM1" s="696"/>
      <c r="GLN1" s="696"/>
      <c r="GLO1" s="696"/>
      <c r="GLP1" s="696"/>
      <c r="GLQ1" s="696"/>
      <c r="GLR1" s="696"/>
      <c r="GLS1" s="696"/>
      <c r="GLT1" s="696"/>
      <c r="GLU1" s="696"/>
      <c r="GLV1" s="696"/>
      <c r="GLW1" s="696"/>
      <c r="GLX1" s="696"/>
      <c r="GLY1" s="696"/>
      <c r="GLZ1" s="696"/>
      <c r="GMA1" s="696"/>
      <c r="GMB1" s="696"/>
      <c r="GMC1" s="696"/>
      <c r="GMD1" s="696"/>
      <c r="GME1" s="696"/>
      <c r="GMF1" s="696"/>
      <c r="GMG1" s="696"/>
      <c r="GMH1" s="696"/>
      <c r="GMI1" s="696"/>
      <c r="GMJ1" s="696"/>
      <c r="GMK1" s="696"/>
      <c r="GML1" s="696"/>
      <c r="GMM1" s="696"/>
      <c r="GMN1" s="696"/>
      <c r="GMO1" s="696"/>
      <c r="GMP1" s="696"/>
      <c r="GMQ1" s="696"/>
      <c r="GMR1" s="696"/>
      <c r="GMS1" s="696"/>
      <c r="GMT1" s="696"/>
      <c r="GMU1" s="696"/>
      <c r="GMV1" s="696"/>
      <c r="GMW1" s="696"/>
      <c r="GMX1" s="696"/>
      <c r="GMY1" s="696"/>
      <c r="GMZ1" s="696"/>
      <c r="GNA1" s="696"/>
      <c r="GNB1" s="696"/>
      <c r="GNC1" s="696"/>
      <c r="GND1" s="696"/>
      <c r="GNE1" s="696"/>
      <c r="GNF1" s="696"/>
      <c r="GNG1" s="696"/>
      <c r="GNH1" s="696"/>
      <c r="GNI1" s="696"/>
      <c r="GNJ1" s="696"/>
      <c r="GNK1" s="696"/>
      <c r="GNL1" s="696"/>
      <c r="GNM1" s="696"/>
      <c r="GNN1" s="696"/>
      <c r="GNO1" s="696"/>
      <c r="GNP1" s="696"/>
      <c r="GNQ1" s="696"/>
      <c r="GNR1" s="696"/>
      <c r="GNS1" s="696"/>
      <c r="GNT1" s="696"/>
      <c r="GNU1" s="696"/>
      <c r="GNV1" s="696"/>
      <c r="GNW1" s="696"/>
      <c r="GNX1" s="696"/>
      <c r="GNY1" s="696"/>
      <c r="GNZ1" s="696"/>
      <c r="GOA1" s="696"/>
      <c r="GOB1" s="696"/>
      <c r="GOC1" s="696"/>
      <c r="GOD1" s="696"/>
      <c r="GOE1" s="696"/>
      <c r="GOF1" s="696"/>
      <c r="GOG1" s="696"/>
      <c r="GOH1" s="696"/>
      <c r="GOI1" s="696"/>
      <c r="GOJ1" s="696"/>
      <c r="GOK1" s="696"/>
      <c r="GOL1" s="696"/>
      <c r="GOM1" s="696"/>
      <c r="GON1" s="696"/>
      <c r="GOO1" s="696"/>
      <c r="GOP1" s="696"/>
      <c r="GOQ1" s="696"/>
      <c r="GOR1" s="696"/>
      <c r="GOS1" s="696"/>
      <c r="GOT1" s="696"/>
      <c r="GOU1" s="696"/>
      <c r="GOV1" s="696"/>
      <c r="GOW1" s="696"/>
      <c r="GOX1" s="696"/>
      <c r="GOY1" s="696"/>
      <c r="GOZ1" s="696"/>
      <c r="GPA1" s="696"/>
      <c r="GPB1" s="696"/>
      <c r="GPC1" s="696"/>
      <c r="GPD1" s="696"/>
      <c r="GPE1" s="696"/>
      <c r="GPF1" s="696"/>
      <c r="GPG1" s="696"/>
      <c r="GPH1" s="696"/>
      <c r="GPI1" s="696"/>
      <c r="GPJ1" s="696"/>
      <c r="GPK1" s="696"/>
      <c r="GPL1" s="696"/>
      <c r="GPM1" s="696"/>
      <c r="GPN1" s="696"/>
      <c r="GPO1" s="696"/>
      <c r="GPP1" s="696"/>
      <c r="GPQ1" s="696"/>
      <c r="GPR1" s="696"/>
      <c r="GPS1" s="696"/>
      <c r="GPT1" s="696"/>
      <c r="GPU1" s="696"/>
      <c r="GPV1" s="696"/>
      <c r="GPW1" s="696"/>
      <c r="GPX1" s="696"/>
      <c r="GPY1" s="696"/>
      <c r="GPZ1" s="696"/>
      <c r="GQA1" s="696"/>
      <c r="GQB1" s="696"/>
      <c r="GQC1" s="696"/>
      <c r="GQD1" s="696"/>
      <c r="GQE1" s="696"/>
      <c r="GQF1" s="696"/>
      <c r="GQG1" s="696"/>
      <c r="GQH1" s="696"/>
      <c r="GQI1" s="696"/>
      <c r="GQJ1" s="696"/>
      <c r="GQK1" s="696"/>
      <c r="GQL1" s="696"/>
      <c r="GQM1" s="696"/>
      <c r="GQN1" s="696"/>
      <c r="GQO1" s="696"/>
      <c r="GQP1" s="696"/>
      <c r="GQQ1" s="696"/>
      <c r="GQR1" s="696"/>
      <c r="GQS1" s="696"/>
      <c r="GQT1" s="696"/>
      <c r="GQU1" s="696"/>
      <c r="GQV1" s="696"/>
      <c r="GQW1" s="696"/>
      <c r="GQX1" s="696"/>
      <c r="GQY1" s="696"/>
      <c r="GQZ1" s="696"/>
      <c r="GRA1" s="696"/>
      <c r="GRB1" s="696"/>
      <c r="GRC1" s="696"/>
      <c r="GRD1" s="696"/>
      <c r="GRE1" s="696"/>
      <c r="GRF1" s="696"/>
      <c r="GRG1" s="696"/>
      <c r="GRH1" s="696"/>
      <c r="GRI1" s="696"/>
      <c r="GRJ1" s="696"/>
      <c r="GRK1" s="696"/>
      <c r="GRL1" s="696"/>
      <c r="GRM1" s="696"/>
      <c r="GRN1" s="696"/>
      <c r="GRO1" s="696"/>
      <c r="GRP1" s="696"/>
      <c r="GRQ1" s="696"/>
      <c r="GRR1" s="696"/>
      <c r="GRS1" s="696"/>
      <c r="GRT1" s="696"/>
      <c r="GRU1" s="696"/>
      <c r="GRV1" s="696"/>
      <c r="GRW1" s="696"/>
      <c r="GRX1" s="696"/>
      <c r="GRY1" s="696"/>
      <c r="GRZ1" s="696"/>
      <c r="GSA1" s="696"/>
      <c r="GSB1" s="696"/>
      <c r="GSC1" s="696"/>
      <c r="GSD1" s="696"/>
      <c r="GSE1" s="696"/>
      <c r="GSF1" s="696"/>
      <c r="GSG1" s="696"/>
      <c r="GSH1" s="696"/>
      <c r="GSI1" s="696"/>
      <c r="GSJ1" s="696"/>
      <c r="GSK1" s="696"/>
      <c r="GSL1" s="696"/>
      <c r="GSM1" s="696"/>
      <c r="GSN1" s="696"/>
      <c r="GSO1" s="696"/>
      <c r="GSP1" s="696"/>
      <c r="GSQ1" s="696"/>
      <c r="GSR1" s="696"/>
      <c r="GSS1" s="696"/>
      <c r="GST1" s="696"/>
      <c r="GSU1" s="696"/>
      <c r="GSV1" s="696"/>
      <c r="GSW1" s="696"/>
      <c r="GSX1" s="696"/>
      <c r="GSY1" s="696"/>
      <c r="GSZ1" s="696"/>
      <c r="GTA1" s="696"/>
      <c r="GTB1" s="696"/>
      <c r="GTC1" s="696"/>
      <c r="GTD1" s="696"/>
      <c r="GTE1" s="696"/>
      <c r="GTF1" s="696"/>
      <c r="GTG1" s="696"/>
      <c r="GTH1" s="696"/>
      <c r="GTI1" s="696"/>
      <c r="GTJ1" s="696"/>
      <c r="GTK1" s="696"/>
      <c r="GTL1" s="696"/>
      <c r="GTM1" s="696"/>
      <c r="GTN1" s="696"/>
      <c r="GTO1" s="696"/>
      <c r="GTP1" s="696"/>
      <c r="GTQ1" s="696"/>
      <c r="GTR1" s="696"/>
      <c r="GTS1" s="696"/>
      <c r="GTT1" s="696"/>
      <c r="GTU1" s="696"/>
      <c r="GTV1" s="696"/>
      <c r="GTW1" s="696"/>
      <c r="GTX1" s="696"/>
      <c r="GTY1" s="696"/>
      <c r="GTZ1" s="696"/>
      <c r="GUA1" s="696"/>
      <c r="GUB1" s="696"/>
      <c r="GUC1" s="696"/>
      <c r="GUD1" s="696"/>
      <c r="GUE1" s="696"/>
      <c r="GUF1" s="696"/>
      <c r="GUG1" s="696"/>
      <c r="GUH1" s="696"/>
      <c r="GUI1" s="696"/>
      <c r="GUJ1" s="696"/>
      <c r="GUK1" s="696"/>
      <c r="GUL1" s="696"/>
      <c r="GUM1" s="696"/>
      <c r="GUN1" s="696"/>
      <c r="GUO1" s="696"/>
      <c r="GUP1" s="696"/>
      <c r="GUQ1" s="696"/>
      <c r="GUR1" s="696"/>
      <c r="GUS1" s="696"/>
      <c r="GUT1" s="696"/>
      <c r="GUU1" s="696"/>
      <c r="GUV1" s="696"/>
      <c r="GUW1" s="696"/>
      <c r="GUX1" s="696"/>
      <c r="GUY1" s="696"/>
      <c r="GUZ1" s="696"/>
      <c r="GVA1" s="696"/>
      <c r="GVB1" s="696"/>
      <c r="GVC1" s="696"/>
      <c r="GVD1" s="696"/>
      <c r="GVE1" s="696"/>
      <c r="GVF1" s="696"/>
      <c r="GVG1" s="696"/>
      <c r="GVH1" s="696"/>
      <c r="GVI1" s="696"/>
      <c r="GVJ1" s="696"/>
      <c r="GVK1" s="696"/>
      <c r="GVL1" s="696"/>
      <c r="GVM1" s="696"/>
      <c r="GVN1" s="696"/>
      <c r="GVO1" s="696"/>
      <c r="GVP1" s="696"/>
      <c r="GVQ1" s="696"/>
      <c r="GVR1" s="696"/>
      <c r="GVS1" s="696"/>
      <c r="GVT1" s="696"/>
      <c r="GVU1" s="696"/>
      <c r="GVV1" s="696"/>
      <c r="GVW1" s="696"/>
      <c r="GVX1" s="696"/>
      <c r="GVY1" s="696"/>
      <c r="GVZ1" s="696"/>
      <c r="GWA1" s="696"/>
      <c r="GWB1" s="696"/>
      <c r="GWC1" s="696"/>
      <c r="GWD1" s="696"/>
      <c r="GWE1" s="696"/>
      <c r="GWF1" s="696"/>
      <c r="GWG1" s="696"/>
      <c r="GWH1" s="696"/>
      <c r="GWI1" s="696"/>
      <c r="GWJ1" s="696"/>
      <c r="GWK1" s="696"/>
      <c r="GWL1" s="696"/>
      <c r="GWM1" s="696"/>
      <c r="GWN1" s="696"/>
      <c r="GWO1" s="696"/>
      <c r="GWP1" s="696"/>
      <c r="GWQ1" s="696"/>
      <c r="GWR1" s="696"/>
      <c r="GWS1" s="696"/>
      <c r="GWT1" s="696"/>
      <c r="GWU1" s="696"/>
      <c r="GWV1" s="696"/>
      <c r="GWW1" s="696"/>
      <c r="GWX1" s="696"/>
      <c r="GWY1" s="696"/>
      <c r="GWZ1" s="696"/>
      <c r="GXA1" s="696"/>
      <c r="GXB1" s="696"/>
      <c r="GXC1" s="696"/>
      <c r="GXD1" s="696"/>
      <c r="GXE1" s="696"/>
      <c r="GXF1" s="696"/>
      <c r="GXG1" s="696"/>
      <c r="GXH1" s="696"/>
      <c r="GXI1" s="696"/>
      <c r="GXJ1" s="696"/>
      <c r="GXK1" s="696"/>
      <c r="GXL1" s="696"/>
      <c r="GXM1" s="696"/>
      <c r="GXN1" s="696"/>
      <c r="GXO1" s="696"/>
      <c r="GXP1" s="696"/>
      <c r="GXQ1" s="696"/>
      <c r="GXR1" s="696"/>
      <c r="GXS1" s="696"/>
      <c r="GXT1" s="696"/>
      <c r="GXU1" s="696"/>
      <c r="GXV1" s="696"/>
      <c r="GXW1" s="696"/>
      <c r="GXX1" s="696"/>
      <c r="GXY1" s="696"/>
      <c r="GXZ1" s="696"/>
      <c r="GYA1" s="696"/>
      <c r="GYB1" s="696"/>
      <c r="GYC1" s="696"/>
      <c r="GYD1" s="696"/>
      <c r="GYE1" s="696"/>
      <c r="GYF1" s="696"/>
      <c r="GYG1" s="696"/>
      <c r="GYH1" s="696"/>
      <c r="GYI1" s="696"/>
      <c r="GYJ1" s="696"/>
      <c r="GYK1" s="696"/>
      <c r="GYL1" s="696"/>
      <c r="GYM1" s="696"/>
      <c r="GYN1" s="696"/>
      <c r="GYO1" s="696"/>
      <c r="GYP1" s="696"/>
      <c r="GYQ1" s="696"/>
      <c r="GYR1" s="696"/>
      <c r="GYS1" s="696"/>
      <c r="GYT1" s="696"/>
      <c r="GYU1" s="696"/>
      <c r="GYV1" s="696"/>
      <c r="GYW1" s="696"/>
      <c r="GYX1" s="696"/>
      <c r="GYY1" s="696"/>
      <c r="GYZ1" s="696"/>
      <c r="GZA1" s="696"/>
      <c r="GZB1" s="696"/>
      <c r="GZC1" s="696"/>
      <c r="GZD1" s="696"/>
      <c r="GZE1" s="696"/>
      <c r="GZF1" s="696"/>
      <c r="GZG1" s="696"/>
      <c r="GZH1" s="696"/>
      <c r="GZI1" s="696"/>
      <c r="GZJ1" s="696"/>
      <c r="GZK1" s="696"/>
      <c r="GZL1" s="696"/>
      <c r="GZM1" s="696"/>
      <c r="GZN1" s="696"/>
      <c r="GZO1" s="696"/>
      <c r="GZP1" s="696"/>
      <c r="GZQ1" s="696"/>
      <c r="GZR1" s="696"/>
      <c r="GZS1" s="696"/>
      <c r="GZT1" s="696"/>
      <c r="GZU1" s="696"/>
      <c r="GZV1" s="696"/>
      <c r="GZW1" s="696"/>
      <c r="GZX1" s="696"/>
      <c r="GZY1" s="696"/>
      <c r="GZZ1" s="696"/>
      <c r="HAA1" s="696"/>
      <c r="HAB1" s="696"/>
      <c r="HAC1" s="696"/>
      <c r="HAD1" s="696"/>
      <c r="HAE1" s="696"/>
      <c r="HAF1" s="696"/>
      <c r="HAG1" s="696"/>
      <c r="HAH1" s="696"/>
      <c r="HAI1" s="696"/>
      <c r="HAJ1" s="696"/>
      <c r="HAK1" s="696"/>
      <c r="HAL1" s="696"/>
      <c r="HAM1" s="696"/>
      <c r="HAN1" s="696"/>
      <c r="HAO1" s="696"/>
      <c r="HAP1" s="696"/>
      <c r="HAQ1" s="696"/>
      <c r="HAR1" s="696"/>
      <c r="HAS1" s="696"/>
      <c r="HAT1" s="696"/>
      <c r="HAU1" s="696"/>
      <c r="HAV1" s="696"/>
      <c r="HAW1" s="696"/>
      <c r="HAX1" s="696"/>
      <c r="HAY1" s="696"/>
      <c r="HAZ1" s="696"/>
      <c r="HBA1" s="696"/>
      <c r="HBB1" s="696"/>
      <c r="HBC1" s="696"/>
      <c r="HBD1" s="696"/>
      <c r="HBE1" s="696"/>
      <c r="HBF1" s="696"/>
      <c r="HBG1" s="696"/>
      <c r="HBH1" s="696"/>
      <c r="HBI1" s="696"/>
      <c r="HBJ1" s="696"/>
      <c r="HBK1" s="696"/>
      <c r="HBL1" s="696"/>
      <c r="HBM1" s="696"/>
      <c r="HBN1" s="696"/>
      <c r="HBO1" s="696"/>
      <c r="HBP1" s="696"/>
      <c r="HBQ1" s="696"/>
      <c r="HBR1" s="696"/>
      <c r="HBS1" s="696"/>
      <c r="HBT1" s="696"/>
      <c r="HBU1" s="696"/>
      <c r="HBV1" s="696"/>
      <c r="HBW1" s="696"/>
      <c r="HBX1" s="696"/>
      <c r="HBY1" s="696"/>
      <c r="HBZ1" s="696"/>
      <c r="HCA1" s="696"/>
      <c r="HCB1" s="696"/>
      <c r="HCC1" s="696"/>
      <c r="HCD1" s="696"/>
      <c r="HCE1" s="696"/>
      <c r="HCF1" s="696"/>
      <c r="HCG1" s="696"/>
      <c r="HCH1" s="696"/>
      <c r="HCI1" s="696"/>
      <c r="HCJ1" s="696"/>
      <c r="HCK1" s="696"/>
      <c r="HCL1" s="696"/>
      <c r="HCM1" s="696"/>
      <c r="HCN1" s="696"/>
      <c r="HCO1" s="696"/>
      <c r="HCP1" s="696"/>
      <c r="HCQ1" s="696"/>
      <c r="HCR1" s="696"/>
      <c r="HCS1" s="696"/>
      <c r="HCT1" s="696"/>
      <c r="HCU1" s="696"/>
      <c r="HCV1" s="696"/>
      <c r="HCW1" s="696"/>
      <c r="HCX1" s="696"/>
      <c r="HCY1" s="696"/>
      <c r="HCZ1" s="696"/>
      <c r="HDA1" s="696"/>
      <c r="HDB1" s="696"/>
      <c r="HDC1" s="696"/>
      <c r="HDD1" s="696"/>
      <c r="HDE1" s="696"/>
      <c r="HDF1" s="696"/>
      <c r="HDG1" s="696"/>
      <c r="HDH1" s="696"/>
      <c r="HDI1" s="696"/>
      <c r="HDJ1" s="696"/>
      <c r="HDK1" s="696"/>
      <c r="HDL1" s="696"/>
      <c r="HDM1" s="696"/>
      <c r="HDN1" s="696"/>
      <c r="HDO1" s="696"/>
      <c r="HDP1" s="696"/>
      <c r="HDQ1" s="696"/>
      <c r="HDR1" s="696"/>
      <c r="HDS1" s="696"/>
      <c r="HDT1" s="696"/>
      <c r="HDU1" s="696"/>
      <c r="HDV1" s="696"/>
      <c r="HDW1" s="696"/>
      <c r="HDX1" s="696"/>
      <c r="HDY1" s="696"/>
      <c r="HDZ1" s="696"/>
      <c r="HEA1" s="696"/>
      <c r="HEB1" s="696"/>
      <c r="HEC1" s="696"/>
      <c r="HED1" s="696"/>
      <c r="HEE1" s="696"/>
      <c r="HEF1" s="696"/>
      <c r="HEG1" s="696"/>
      <c r="HEH1" s="696"/>
      <c r="HEI1" s="696"/>
      <c r="HEJ1" s="696"/>
      <c r="HEK1" s="696"/>
      <c r="HEL1" s="696"/>
      <c r="HEM1" s="696"/>
      <c r="HEN1" s="696"/>
      <c r="HEO1" s="696"/>
      <c r="HEP1" s="696"/>
      <c r="HEQ1" s="696"/>
      <c r="HER1" s="696"/>
      <c r="HES1" s="696"/>
      <c r="HET1" s="696"/>
      <c r="HEU1" s="696"/>
      <c r="HEV1" s="696"/>
      <c r="HEW1" s="696"/>
      <c r="HEX1" s="696"/>
      <c r="HEY1" s="696"/>
      <c r="HEZ1" s="696"/>
      <c r="HFA1" s="696"/>
      <c r="HFB1" s="696"/>
      <c r="HFC1" s="696"/>
      <c r="HFD1" s="696"/>
      <c r="HFE1" s="696"/>
      <c r="HFF1" s="696"/>
      <c r="HFG1" s="696"/>
      <c r="HFH1" s="696"/>
      <c r="HFI1" s="696"/>
      <c r="HFJ1" s="696"/>
      <c r="HFK1" s="696"/>
      <c r="HFL1" s="696"/>
      <c r="HFM1" s="696"/>
      <c r="HFN1" s="696"/>
      <c r="HFO1" s="696"/>
      <c r="HFP1" s="696"/>
      <c r="HFQ1" s="696"/>
      <c r="HFR1" s="696"/>
      <c r="HFS1" s="696"/>
      <c r="HFT1" s="696"/>
      <c r="HFU1" s="696"/>
      <c r="HFV1" s="696"/>
      <c r="HFW1" s="696"/>
      <c r="HFX1" s="696"/>
      <c r="HFY1" s="696"/>
      <c r="HFZ1" s="696"/>
      <c r="HGA1" s="696"/>
      <c r="HGB1" s="696"/>
      <c r="HGC1" s="696"/>
      <c r="HGD1" s="696"/>
      <c r="HGE1" s="696"/>
      <c r="HGF1" s="696"/>
      <c r="HGG1" s="696"/>
      <c r="HGH1" s="696"/>
      <c r="HGI1" s="696"/>
      <c r="HGJ1" s="696"/>
      <c r="HGK1" s="696"/>
      <c r="HGL1" s="696"/>
      <c r="HGM1" s="696"/>
      <c r="HGN1" s="696"/>
      <c r="HGO1" s="696"/>
      <c r="HGP1" s="696"/>
      <c r="HGQ1" s="696"/>
      <c r="HGR1" s="696"/>
      <c r="HGS1" s="696"/>
      <c r="HGT1" s="696"/>
      <c r="HGU1" s="696"/>
      <c r="HGV1" s="696"/>
      <c r="HGW1" s="696"/>
      <c r="HGX1" s="696"/>
      <c r="HGY1" s="696"/>
      <c r="HGZ1" s="696"/>
      <c r="HHA1" s="696"/>
      <c r="HHB1" s="696"/>
      <c r="HHC1" s="696"/>
      <c r="HHD1" s="696"/>
      <c r="HHE1" s="696"/>
      <c r="HHF1" s="696"/>
      <c r="HHG1" s="696"/>
      <c r="HHH1" s="696"/>
      <c r="HHI1" s="696"/>
      <c r="HHJ1" s="696"/>
      <c r="HHK1" s="696"/>
      <c r="HHL1" s="696"/>
      <c r="HHM1" s="696"/>
      <c r="HHN1" s="696"/>
      <c r="HHO1" s="696"/>
      <c r="HHP1" s="696"/>
      <c r="HHQ1" s="696"/>
      <c r="HHR1" s="696"/>
      <c r="HHS1" s="696"/>
      <c r="HHT1" s="696"/>
      <c r="HHU1" s="696"/>
      <c r="HHV1" s="696"/>
      <c r="HHW1" s="696"/>
      <c r="HHX1" s="696"/>
      <c r="HHY1" s="696"/>
      <c r="HHZ1" s="696"/>
      <c r="HIA1" s="696"/>
      <c r="HIB1" s="696"/>
      <c r="HIC1" s="696"/>
      <c r="HID1" s="696"/>
      <c r="HIE1" s="696"/>
      <c r="HIF1" s="696"/>
      <c r="HIG1" s="696"/>
      <c r="HIH1" s="696"/>
      <c r="HII1" s="696"/>
      <c r="HIJ1" s="696"/>
      <c r="HIK1" s="696"/>
      <c r="HIL1" s="696"/>
      <c r="HIM1" s="696"/>
      <c r="HIN1" s="696"/>
      <c r="HIO1" s="696"/>
      <c r="HIP1" s="696"/>
      <c r="HIQ1" s="696"/>
      <c r="HIR1" s="696"/>
      <c r="HIS1" s="696"/>
      <c r="HIT1" s="696"/>
      <c r="HIU1" s="696"/>
      <c r="HIV1" s="696"/>
      <c r="HIW1" s="696"/>
      <c r="HIX1" s="696"/>
      <c r="HIY1" s="696"/>
      <c r="HIZ1" s="696"/>
      <c r="HJA1" s="696"/>
      <c r="HJB1" s="696"/>
      <c r="HJC1" s="696"/>
      <c r="HJD1" s="696"/>
      <c r="HJE1" s="696"/>
      <c r="HJF1" s="696"/>
      <c r="HJG1" s="696"/>
      <c r="HJH1" s="696"/>
      <c r="HJI1" s="696"/>
      <c r="HJJ1" s="696"/>
      <c r="HJK1" s="696"/>
      <c r="HJL1" s="696"/>
      <c r="HJM1" s="696"/>
      <c r="HJN1" s="696"/>
      <c r="HJO1" s="696"/>
      <c r="HJP1" s="696"/>
      <c r="HJQ1" s="696"/>
      <c r="HJR1" s="696"/>
      <c r="HJS1" s="696"/>
      <c r="HJT1" s="696"/>
      <c r="HJU1" s="696"/>
      <c r="HJV1" s="696"/>
      <c r="HJW1" s="696"/>
      <c r="HJX1" s="696"/>
      <c r="HJY1" s="696"/>
      <c r="HJZ1" s="696"/>
      <c r="HKA1" s="696"/>
      <c r="HKB1" s="696"/>
      <c r="HKC1" s="696"/>
      <c r="HKD1" s="696"/>
      <c r="HKE1" s="696"/>
      <c r="HKF1" s="696"/>
      <c r="HKG1" s="696"/>
      <c r="HKH1" s="696"/>
      <c r="HKI1" s="696"/>
      <c r="HKJ1" s="696"/>
      <c r="HKK1" s="696"/>
      <c r="HKL1" s="696"/>
      <c r="HKM1" s="696"/>
      <c r="HKN1" s="696"/>
      <c r="HKO1" s="696"/>
      <c r="HKP1" s="696"/>
      <c r="HKQ1" s="696"/>
      <c r="HKR1" s="696"/>
      <c r="HKS1" s="696"/>
      <c r="HKT1" s="696"/>
      <c r="HKU1" s="696"/>
      <c r="HKV1" s="696"/>
      <c r="HKW1" s="696"/>
      <c r="HKX1" s="696"/>
      <c r="HKY1" s="696"/>
      <c r="HKZ1" s="696"/>
      <c r="HLA1" s="696"/>
      <c r="HLB1" s="696"/>
      <c r="HLC1" s="696"/>
      <c r="HLD1" s="696"/>
      <c r="HLE1" s="696"/>
      <c r="HLF1" s="696"/>
      <c r="HLG1" s="696"/>
      <c r="HLH1" s="696"/>
      <c r="HLI1" s="696"/>
      <c r="HLJ1" s="696"/>
      <c r="HLK1" s="696"/>
      <c r="HLL1" s="696"/>
      <c r="HLM1" s="696"/>
      <c r="HLN1" s="696"/>
      <c r="HLO1" s="696"/>
      <c r="HLP1" s="696"/>
      <c r="HLQ1" s="696"/>
      <c r="HLR1" s="696"/>
      <c r="HLS1" s="696"/>
      <c r="HLT1" s="696"/>
      <c r="HLU1" s="696"/>
      <c r="HLV1" s="696"/>
      <c r="HLW1" s="696"/>
      <c r="HLX1" s="696"/>
      <c r="HLY1" s="696"/>
      <c r="HLZ1" s="696"/>
      <c r="HMA1" s="696"/>
      <c r="HMB1" s="696"/>
      <c r="HMC1" s="696"/>
      <c r="HMD1" s="696"/>
      <c r="HME1" s="696"/>
      <c r="HMF1" s="696"/>
      <c r="HMG1" s="696"/>
      <c r="HMH1" s="696"/>
      <c r="HMI1" s="696"/>
      <c r="HMJ1" s="696"/>
      <c r="HMK1" s="696"/>
      <c r="HML1" s="696"/>
      <c r="HMM1" s="696"/>
      <c r="HMN1" s="696"/>
      <c r="HMO1" s="696"/>
      <c r="HMP1" s="696"/>
      <c r="HMQ1" s="696"/>
      <c r="HMR1" s="696"/>
      <c r="HMS1" s="696"/>
      <c r="HMT1" s="696"/>
      <c r="HMU1" s="696"/>
      <c r="HMV1" s="696"/>
      <c r="HMW1" s="696"/>
      <c r="HMX1" s="696"/>
      <c r="HMY1" s="696"/>
      <c r="HMZ1" s="696"/>
      <c r="HNA1" s="696"/>
      <c r="HNB1" s="696"/>
      <c r="HNC1" s="696"/>
      <c r="HND1" s="696"/>
      <c r="HNE1" s="696"/>
      <c r="HNF1" s="696"/>
      <c r="HNG1" s="696"/>
      <c r="HNH1" s="696"/>
      <c r="HNI1" s="696"/>
      <c r="HNJ1" s="696"/>
      <c r="HNK1" s="696"/>
      <c r="HNL1" s="696"/>
      <c r="HNM1" s="696"/>
      <c r="HNN1" s="696"/>
      <c r="HNO1" s="696"/>
      <c r="HNP1" s="696"/>
      <c r="HNQ1" s="696"/>
      <c r="HNR1" s="696"/>
      <c r="HNS1" s="696"/>
      <c r="HNT1" s="696"/>
      <c r="HNU1" s="696"/>
      <c r="HNV1" s="696"/>
      <c r="HNW1" s="696"/>
      <c r="HNX1" s="696"/>
      <c r="HNY1" s="696"/>
      <c r="HNZ1" s="696"/>
      <c r="HOA1" s="696"/>
      <c r="HOB1" s="696"/>
      <c r="HOC1" s="696"/>
      <c r="HOD1" s="696"/>
      <c r="HOE1" s="696"/>
      <c r="HOF1" s="696"/>
      <c r="HOG1" s="696"/>
      <c r="HOH1" s="696"/>
      <c r="HOI1" s="696"/>
      <c r="HOJ1" s="696"/>
      <c r="HOK1" s="696"/>
      <c r="HOL1" s="696"/>
      <c r="HOM1" s="696"/>
      <c r="HON1" s="696"/>
      <c r="HOO1" s="696"/>
      <c r="HOP1" s="696"/>
      <c r="HOQ1" s="696"/>
      <c r="HOR1" s="696"/>
      <c r="HOS1" s="696"/>
      <c r="HOT1" s="696"/>
      <c r="HOU1" s="696"/>
      <c r="HOV1" s="696"/>
      <c r="HOW1" s="696"/>
      <c r="HOX1" s="696"/>
      <c r="HOY1" s="696"/>
      <c r="HOZ1" s="696"/>
      <c r="HPA1" s="696"/>
      <c r="HPB1" s="696"/>
      <c r="HPC1" s="696"/>
      <c r="HPD1" s="696"/>
      <c r="HPE1" s="696"/>
      <c r="HPF1" s="696"/>
      <c r="HPG1" s="696"/>
      <c r="HPH1" s="696"/>
      <c r="HPI1" s="696"/>
      <c r="HPJ1" s="696"/>
      <c r="HPK1" s="696"/>
      <c r="HPL1" s="696"/>
      <c r="HPM1" s="696"/>
      <c r="HPN1" s="696"/>
      <c r="HPO1" s="696"/>
      <c r="HPP1" s="696"/>
      <c r="HPQ1" s="696"/>
      <c r="HPR1" s="696"/>
      <c r="HPS1" s="696"/>
      <c r="HPT1" s="696"/>
      <c r="HPU1" s="696"/>
      <c r="HPV1" s="696"/>
      <c r="HPW1" s="696"/>
      <c r="HPX1" s="696"/>
      <c r="HPY1" s="696"/>
      <c r="HPZ1" s="696"/>
      <c r="HQA1" s="696"/>
      <c r="HQB1" s="696"/>
      <c r="HQC1" s="696"/>
      <c r="HQD1" s="696"/>
      <c r="HQE1" s="696"/>
      <c r="HQF1" s="696"/>
      <c r="HQG1" s="696"/>
      <c r="HQH1" s="696"/>
      <c r="HQI1" s="696"/>
      <c r="HQJ1" s="696"/>
      <c r="HQK1" s="696"/>
      <c r="HQL1" s="696"/>
      <c r="HQM1" s="696"/>
      <c r="HQN1" s="696"/>
      <c r="HQO1" s="696"/>
      <c r="HQP1" s="696"/>
      <c r="HQQ1" s="696"/>
      <c r="HQR1" s="696"/>
      <c r="HQS1" s="696"/>
      <c r="HQT1" s="696"/>
      <c r="HQU1" s="696"/>
      <c r="HQV1" s="696"/>
      <c r="HQW1" s="696"/>
      <c r="HQX1" s="696"/>
      <c r="HQY1" s="696"/>
      <c r="HQZ1" s="696"/>
      <c r="HRA1" s="696"/>
      <c r="HRB1" s="696"/>
      <c r="HRC1" s="696"/>
      <c r="HRD1" s="696"/>
      <c r="HRE1" s="696"/>
      <c r="HRF1" s="696"/>
      <c r="HRG1" s="696"/>
      <c r="HRH1" s="696"/>
      <c r="HRI1" s="696"/>
      <c r="HRJ1" s="696"/>
      <c r="HRK1" s="696"/>
      <c r="HRL1" s="696"/>
      <c r="HRM1" s="696"/>
      <c r="HRN1" s="696"/>
      <c r="HRO1" s="696"/>
      <c r="HRP1" s="696"/>
      <c r="HRQ1" s="696"/>
      <c r="HRR1" s="696"/>
      <c r="HRS1" s="696"/>
      <c r="HRT1" s="696"/>
      <c r="HRU1" s="696"/>
      <c r="HRV1" s="696"/>
      <c r="HRW1" s="696"/>
      <c r="HRX1" s="696"/>
      <c r="HRY1" s="696"/>
      <c r="HRZ1" s="696"/>
      <c r="HSA1" s="696"/>
      <c r="HSB1" s="696"/>
      <c r="HSC1" s="696"/>
      <c r="HSD1" s="696"/>
      <c r="HSE1" s="696"/>
      <c r="HSF1" s="696"/>
      <c r="HSG1" s="696"/>
      <c r="HSH1" s="696"/>
      <c r="HSI1" s="696"/>
      <c r="HSJ1" s="696"/>
      <c r="HSK1" s="696"/>
      <c r="HSL1" s="696"/>
      <c r="HSM1" s="696"/>
      <c r="HSN1" s="696"/>
      <c r="HSO1" s="696"/>
      <c r="HSP1" s="696"/>
      <c r="HSQ1" s="696"/>
      <c r="HSR1" s="696"/>
      <c r="HSS1" s="696"/>
      <c r="HST1" s="696"/>
      <c r="HSU1" s="696"/>
      <c r="HSV1" s="696"/>
      <c r="HSW1" s="696"/>
      <c r="HSX1" s="696"/>
      <c r="HSY1" s="696"/>
      <c r="HSZ1" s="696"/>
      <c r="HTA1" s="696"/>
      <c r="HTB1" s="696"/>
      <c r="HTC1" s="696"/>
      <c r="HTD1" s="696"/>
      <c r="HTE1" s="696"/>
      <c r="HTF1" s="696"/>
      <c r="HTG1" s="696"/>
      <c r="HTH1" s="696"/>
      <c r="HTI1" s="696"/>
      <c r="HTJ1" s="696"/>
      <c r="HTK1" s="696"/>
      <c r="HTL1" s="696"/>
      <c r="HTM1" s="696"/>
      <c r="HTN1" s="696"/>
      <c r="HTO1" s="696"/>
      <c r="HTP1" s="696"/>
      <c r="HTQ1" s="696"/>
      <c r="HTR1" s="696"/>
      <c r="HTS1" s="696"/>
      <c r="HTT1" s="696"/>
      <c r="HTU1" s="696"/>
      <c r="HTV1" s="696"/>
      <c r="HTW1" s="696"/>
      <c r="HTX1" s="696"/>
      <c r="HTY1" s="696"/>
      <c r="HTZ1" s="696"/>
      <c r="HUA1" s="696"/>
      <c r="HUB1" s="696"/>
      <c r="HUC1" s="696"/>
      <c r="HUD1" s="696"/>
      <c r="HUE1" s="696"/>
      <c r="HUF1" s="696"/>
      <c r="HUG1" s="696"/>
      <c r="HUH1" s="696"/>
      <c r="HUI1" s="696"/>
      <c r="HUJ1" s="696"/>
      <c r="HUK1" s="696"/>
      <c r="HUL1" s="696"/>
      <c r="HUM1" s="696"/>
      <c r="HUN1" s="696"/>
      <c r="HUO1" s="696"/>
      <c r="HUP1" s="696"/>
      <c r="HUQ1" s="696"/>
      <c r="HUR1" s="696"/>
      <c r="HUS1" s="696"/>
      <c r="HUT1" s="696"/>
      <c r="HUU1" s="696"/>
      <c r="HUV1" s="696"/>
      <c r="HUW1" s="696"/>
      <c r="HUX1" s="696"/>
      <c r="HUY1" s="696"/>
      <c r="HUZ1" s="696"/>
      <c r="HVA1" s="696"/>
      <c r="HVB1" s="696"/>
      <c r="HVC1" s="696"/>
      <c r="HVD1" s="696"/>
      <c r="HVE1" s="696"/>
      <c r="HVF1" s="696"/>
      <c r="HVG1" s="696"/>
      <c r="HVH1" s="696"/>
      <c r="HVI1" s="696"/>
      <c r="HVJ1" s="696"/>
      <c r="HVK1" s="696"/>
      <c r="HVL1" s="696"/>
      <c r="HVM1" s="696"/>
      <c r="HVN1" s="696"/>
      <c r="HVO1" s="696"/>
      <c r="HVP1" s="696"/>
      <c r="HVQ1" s="696"/>
      <c r="HVR1" s="696"/>
      <c r="HVS1" s="696"/>
      <c r="HVT1" s="696"/>
      <c r="HVU1" s="696"/>
      <c r="HVV1" s="696"/>
      <c r="HVW1" s="696"/>
      <c r="HVX1" s="696"/>
      <c r="HVY1" s="696"/>
      <c r="HVZ1" s="696"/>
      <c r="HWA1" s="696"/>
      <c r="HWB1" s="696"/>
      <c r="HWC1" s="696"/>
      <c r="HWD1" s="696"/>
      <c r="HWE1" s="696"/>
      <c r="HWF1" s="696"/>
      <c r="HWG1" s="696"/>
      <c r="HWH1" s="696"/>
      <c r="HWI1" s="696"/>
      <c r="HWJ1" s="696"/>
      <c r="HWK1" s="696"/>
      <c r="HWL1" s="696"/>
      <c r="HWM1" s="696"/>
      <c r="HWN1" s="696"/>
      <c r="HWO1" s="696"/>
      <c r="HWP1" s="696"/>
      <c r="HWQ1" s="696"/>
      <c r="HWR1" s="696"/>
      <c r="HWS1" s="696"/>
      <c r="HWT1" s="696"/>
      <c r="HWU1" s="696"/>
      <c r="HWV1" s="696"/>
      <c r="HWW1" s="696"/>
      <c r="HWX1" s="696"/>
      <c r="HWY1" s="696"/>
      <c r="HWZ1" s="696"/>
      <c r="HXA1" s="696"/>
      <c r="HXB1" s="696"/>
      <c r="HXC1" s="696"/>
      <c r="HXD1" s="696"/>
      <c r="HXE1" s="696"/>
      <c r="HXF1" s="696"/>
      <c r="HXG1" s="696"/>
      <c r="HXH1" s="696"/>
      <c r="HXI1" s="696"/>
      <c r="HXJ1" s="696"/>
      <c r="HXK1" s="696"/>
      <c r="HXL1" s="696"/>
      <c r="HXM1" s="696"/>
      <c r="HXN1" s="696"/>
      <c r="HXO1" s="696"/>
      <c r="HXP1" s="696"/>
      <c r="HXQ1" s="696"/>
      <c r="HXR1" s="696"/>
      <c r="HXS1" s="696"/>
      <c r="HXT1" s="696"/>
      <c r="HXU1" s="696"/>
      <c r="HXV1" s="696"/>
      <c r="HXW1" s="696"/>
      <c r="HXX1" s="696"/>
      <c r="HXY1" s="696"/>
      <c r="HXZ1" s="696"/>
      <c r="HYA1" s="696"/>
      <c r="HYB1" s="696"/>
      <c r="HYC1" s="696"/>
      <c r="HYD1" s="696"/>
      <c r="HYE1" s="696"/>
      <c r="HYF1" s="696"/>
      <c r="HYG1" s="696"/>
      <c r="HYH1" s="696"/>
      <c r="HYI1" s="696"/>
      <c r="HYJ1" s="696"/>
      <c r="HYK1" s="696"/>
      <c r="HYL1" s="696"/>
      <c r="HYM1" s="696"/>
      <c r="HYN1" s="696"/>
      <c r="HYO1" s="696"/>
      <c r="HYP1" s="696"/>
      <c r="HYQ1" s="696"/>
      <c r="HYR1" s="696"/>
      <c r="HYS1" s="696"/>
      <c r="HYT1" s="696"/>
      <c r="HYU1" s="696"/>
      <c r="HYV1" s="696"/>
      <c r="HYW1" s="696"/>
      <c r="HYX1" s="696"/>
      <c r="HYY1" s="696"/>
      <c r="HYZ1" s="696"/>
      <c r="HZA1" s="696"/>
      <c r="HZB1" s="696"/>
      <c r="HZC1" s="696"/>
      <c r="HZD1" s="696"/>
      <c r="HZE1" s="696"/>
      <c r="HZF1" s="696"/>
      <c r="HZG1" s="696"/>
      <c r="HZH1" s="696"/>
      <c r="HZI1" s="696"/>
      <c r="HZJ1" s="696"/>
      <c r="HZK1" s="696"/>
      <c r="HZL1" s="696"/>
      <c r="HZM1" s="696"/>
      <c r="HZN1" s="696"/>
      <c r="HZO1" s="696"/>
      <c r="HZP1" s="696"/>
      <c r="HZQ1" s="696"/>
      <c r="HZR1" s="696"/>
      <c r="HZS1" s="696"/>
      <c r="HZT1" s="696"/>
      <c r="HZU1" s="696"/>
      <c r="HZV1" s="696"/>
      <c r="HZW1" s="696"/>
      <c r="HZX1" s="696"/>
      <c r="HZY1" s="696"/>
      <c r="HZZ1" s="696"/>
      <c r="IAA1" s="696"/>
      <c r="IAB1" s="696"/>
      <c r="IAC1" s="696"/>
      <c r="IAD1" s="696"/>
      <c r="IAE1" s="696"/>
      <c r="IAF1" s="696"/>
      <c r="IAG1" s="696"/>
      <c r="IAH1" s="696"/>
      <c r="IAI1" s="696"/>
      <c r="IAJ1" s="696"/>
      <c r="IAK1" s="696"/>
      <c r="IAL1" s="696"/>
      <c r="IAM1" s="696"/>
      <c r="IAN1" s="696"/>
      <c r="IAO1" s="696"/>
      <c r="IAP1" s="696"/>
      <c r="IAQ1" s="696"/>
      <c r="IAR1" s="696"/>
      <c r="IAS1" s="696"/>
      <c r="IAT1" s="696"/>
      <c r="IAU1" s="696"/>
      <c r="IAV1" s="696"/>
      <c r="IAW1" s="696"/>
      <c r="IAX1" s="696"/>
      <c r="IAY1" s="696"/>
      <c r="IAZ1" s="696"/>
      <c r="IBA1" s="696"/>
      <c r="IBB1" s="696"/>
      <c r="IBC1" s="696"/>
      <c r="IBD1" s="696"/>
      <c r="IBE1" s="696"/>
      <c r="IBF1" s="696"/>
      <c r="IBG1" s="696"/>
      <c r="IBH1" s="696"/>
      <c r="IBI1" s="696"/>
      <c r="IBJ1" s="696"/>
      <c r="IBK1" s="696"/>
      <c r="IBL1" s="696"/>
      <c r="IBM1" s="696"/>
      <c r="IBN1" s="696"/>
      <c r="IBO1" s="696"/>
      <c r="IBP1" s="696"/>
      <c r="IBQ1" s="696"/>
      <c r="IBR1" s="696"/>
      <c r="IBS1" s="696"/>
      <c r="IBT1" s="696"/>
      <c r="IBU1" s="696"/>
      <c r="IBV1" s="696"/>
      <c r="IBW1" s="696"/>
      <c r="IBX1" s="696"/>
      <c r="IBY1" s="696"/>
      <c r="IBZ1" s="696"/>
      <c r="ICA1" s="696"/>
      <c r="ICB1" s="696"/>
      <c r="ICC1" s="696"/>
      <c r="ICD1" s="696"/>
      <c r="ICE1" s="696"/>
      <c r="ICF1" s="696"/>
      <c r="ICG1" s="696"/>
      <c r="ICH1" s="696"/>
      <c r="ICI1" s="696"/>
      <c r="ICJ1" s="696"/>
      <c r="ICK1" s="696"/>
      <c r="ICL1" s="696"/>
      <c r="ICM1" s="696"/>
      <c r="ICN1" s="696"/>
      <c r="ICO1" s="696"/>
      <c r="ICP1" s="696"/>
      <c r="ICQ1" s="696"/>
      <c r="ICR1" s="696"/>
      <c r="ICS1" s="696"/>
      <c r="ICT1" s="696"/>
      <c r="ICU1" s="696"/>
      <c r="ICV1" s="696"/>
      <c r="ICW1" s="696"/>
      <c r="ICX1" s="696"/>
      <c r="ICY1" s="696"/>
      <c r="ICZ1" s="696"/>
      <c r="IDA1" s="696"/>
      <c r="IDB1" s="696"/>
      <c r="IDC1" s="696"/>
      <c r="IDD1" s="696"/>
      <c r="IDE1" s="696"/>
      <c r="IDF1" s="696"/>
      <c r="IDG1" s="696"/>
      <c r="IDH1" s="696"/>
      <c r="IDI1" s="696"/>
      <c r="IDJ1" s="696"/>
      <c r="IDK1" s="696"/>
      <c r="IDL1" s="696"/>
      <c r="IDM1" s="696"/>
      <c r="IDN1" s="696"/>
      <c r="IDO1" s="696"/>
      <c r="IDP1" s="696"/>
      <c r="IDQ1" s="696"/>
      <c r="IDR1" s="696"/>
      <c r="IDS1" s="696"/>
      <c r="IDT1" s="696"/>
      <c r="IDU1" s="696"/>
      <c r="IDV1" s="696"/>
      <c r="IDW1" s="696"/>
      <c r="IDX1" s="696"/>
      <c r="IDY1" s="696"/>
      <c r="IDZ1" s="696"/>
      <c r="IEA1" s="696"/>
      <c r="IEB1" s="696"/>
      <c r="IEC1" s="696"/>
      <c r="IED1" s="696"/>
      <c r="IEE1" s="696"/>
      <c r="IEF1" s="696"/>
      <c r="IEG1" s="696"/>
      <c r="IEH1" s="696"/>
      <c r="IEI1" s="696"/>
      <c r="IEJ1" s="696"/>
      <c r="IEK1" s="696"/>
      <c r="IEL1" s="696"/>
      <c r="IEM1" s="696"/>
      <c r="IEN1" s="696"/>
      <c r="IEO1" s="696"/>
      <c r="IEP1" s="696"/>
      <c r="IEQ1" s="696"/>
      <c r="IER1" s="696"/>
      <c r="IES1" s="696"/>
      <c r="IET1" s="696"/>
      <c r="IEU1" s="696"/>
      <c r="IEV1" s="696"/>
      <c r="IEW1" s="696"/>
      <c r="IEX1" s="696"/>
      <c r="IEY1" s="696"/>
      <c r="IEZ1" s="696"/>
      <c r="IFA1" s="696"/>
      <c r="IFB1" s="696"/>
      <c r="IFC1" s="696"/>
      <c r="IFD1" s="696"/>
      <c r="IFE1" s="696"/>
      <c r="IFF1" s="696"/>
      <c r="IFG1" s="696"/>
      <c r="IFH1" s="696"/>
      <c r="IFI1" s="696"/>
      <c r="IFJ1" s="696"/>
      <c r="IFK1" s="696"/>
      <c r="IFL1" s="696"/>
      <c r="IFM1" s="696"/>
      <c r="IFN1" s="696"/>
      <c r="IFO1" s="696"/>
      <c r="IFP1" s="696"/>
      <c r="IFQ1" s="696"/>
      <c r="IFR1" s="696"/>
      <c r="IFS1" s="696"/>
      <c r="IFT1" s="696"/>
      <c r="IFU1" s="696"/>
      <c r="IFV1" s="696"/>
      <c r="IFW1" s="696"/>
      <c r="IFX1" s="696"/>
      <c r="IFY1" s="696"/>
      <c r="IFZ1" s="696"/>
      <c r="IGA1" s="696"/>
      <c r="IGB1" s="696"/>
      <c r="IGC1" s="696"/>
      <c r="IGD1" s="696"/>
      <c r="IGE1" s="696"/>
      <c r="IGF1" s="696"/>
      <c r="IGG1" s="696"/>
      <c r="IGH1" s="696"/>
      <c r="IGI1" s="696"/>
      <c r="IGJ1" s="696"/>
      <c r="IGK1" s="696"/>
      <c r="IGL1" s="696"/>
      <c r="IGM1" s="696"/>
      <c r="IGN1" s="696"/>
      <c r="IGO1" s="696"/>
      <c r="IGP1" s="696"/>
      <c r="IGQ1" s="696"/>
      <c r="IGR1" s="696"/>
      <c r="IGS1" s="696"/>
      <c r="IGT1" s="696"/>
      <c r="IGU1" s="696"/>
      <c r="IGV1" s="696"/>
      <c r="IGW1" s="696"/>
      <c r="IGX1" s="696"/>
      <c r="IGY1" s="696"/>
      <c r="IGZ1" s="696"/>
      <c r="IHA1" s="696"/>
      <c r="IHB1" s="696"/>
      <c r="IHC1" s="696"/>
      <c r="IHD1" s="696"/>
      <c r="IHE1" s="696"/>
      <c r="IHF1" s="696"/>
      <c r="IHG1" s="696"/>
      <c r="IHH1" s="696"/>
      <c r="IHI1" s="696"/>
      <c r="IHJ1" s="696"/>
      <c r="IHK1" s="696"/>
      <c r="IHL1" s="696"/>
      <c r="IHM1" s="696"/>
      <c r="IHN1" s="696"/>
      <c r="IHO1" s="696"/>
      <c r="IHP1" s="696"/>
      <c r="IHQ1" s="696"/>
      <c r="IHR1" s="696"/>
      <c r="IHS1" s="696"/>
      <c r="IHT1" s="696"/>
      <c r="IHU1" s="696"/>
      <c r="IHV1" s="696"/>
      <c r="IHW1" s="696"/>
      <c r="IHX1" s="696"/>
      <c r="IHY1" s="696"/>
      <c r="IHZ1" s="696"/>
      <c r="IIA1" s="696"/>
      <c r="IIB1" s="696"/>
      <c r="IIC1" s="696"/>
      <c r="IID1" s="696"/>
      <c r="IIE1" s="696"/>
      <c r="IIF1" s="696"/>
      <c r="IIG1" s="696"/>
      <c r="IIH1" s="696"/>
      <c r="III1" s="696"/>
      <c r="IIJ1" s="696"/>
      <c r="IIK1" s="696"/>
      <c r="IIL1" s="696"/>
      <c r="IIM1" s="696"/>
      <c r="IIN1" s="696"/>
      <c r="IIO1" s="696"/>
      <c r="IIP1" s="696"/>
      <c r="IIQ1" s="696"/>
      <c r="IIR1" s="696"/>
      <c r="IIS1" s="696"/>
      <c r="IIT1" s="696"/>
      <c r="IIU1" s="696"/>
      <c r="IIV1" s="696"/>
      <c r="IIW1" s="696"/>
      <c r="IIX1" s="696"/>
      <c r="IIY1" s="696"/>
      <c r="IIZ1" s="696"/>
      <c r="IJA1" s="696"/>
      <c r="IJB1" s="696"/>
      <c r="IJC1" s="696"/>
      <c r="IJD1" s="696"/>
      <c r="IJE1" s="696"/>
      <c r="IJF1" s="696"/>
      <c r="IJG1" s="696"/>
      <c r="IJH1" s="696"/>
      <c r="IJI1" s="696"/>
      <c r="IJJ1" s="696"/>
      <c r="IJK1" s="696"/>
      <c r="IJL1" s="696"/>
      <c r="IJM1" s="696"/>
      <c r="IJN1" s="696"/>
      <c r="IJO1" s="696"/>
      <c r="IJP1" s="696"/>
      <c r="IJQ1" s="696"/>
      <c r="IJR1" s="696"/>
      <c r="IJS1" s="696"/>
      <c r="IJT1" s="696"/>
      <c r="IJU1" s="696"/>
      <c r="IJV1" s="696"/>
      <c r="IJW1" s="696"/>
      <c r="IJX1" s="696"/>
      <c r="IJY1" s="696"/>
      <c r="IJZ1" s="696"/>
      <c r="IKA1" s="696"/>
      <c r="IKB1" s="696"/>
      <c r="IKC1" s="696"/>
      <c r="IKD1" s="696"/>
      <c r="IKE1" s="696"/>
      <c r="IKF1" s="696"/>
      <c r="IKG1" s="696"/>
      <c r="IKH1" s="696"/>
      <c r="IKI1" s="696"/>
      <c r="IKJ1" s="696"/>
      <c r="IKK1" s="696"/>
      <c r="IKL1" s="696"/>
      <c r="IKM1" s="696"/>
      <c r="IKN1" s="696"/>
      <c r="IKO1" s="696"/>
      <c r="IKP1" s="696"/>
      <c r="IKQ1" s="696"/>
      <c r="IKR1" s="696"/>
      <c r="IKS1" s="696"/>
      <c r="IKT1" s="696"/>
      <c r="IKU1" s="696"/>
      <c r="IKV1" s="696"/>
      <c r="IKW1" s="696"/>
      <c r="IKX1" s="696"/>
      <c r="IKY1" s="696"/>
      <c r="IKZ1" s="696"/>
      <c r="ILA1" s="696"/>
      <c r="ILB1" s="696"/>
      <c r="ILC1" s="696"/>
      <c r="ILD1" s="696"/>
      <c r="ILE1" s="696"/>
      <c r="ILF1" s="696"/>
      <c r="ILG1" s="696"/>
      <c r="ILH1" s="696"/>
      <c r="ILI1" s="696"/>
      <c r="ILJ1" s="696"/>
      <c r="ILK1" s="696"/>
      <c r="ILL1" s="696"/>
      <c r="ILM1" s="696"/>
      <c r="ILN1" s="696"/>
      <c r="ILO1" s="696"/>
      <c r="ILP1" s="696"/>
      <c r="ILQ1" s="696"/>
      <c r="ILR1" s="696"/>
      <c r="ILS1" s="696"/>
      <c r="ILT1" s="696"/>
      <c r="ILU1" s="696"/>
      <c r="ILV1" s="696"/>
      <c r="ILW1" s="696"/>
      <c r="ILX1" s="696"/>
      <c r="ILY1" s="696"/>
      <c r="ILZ1" s="696"/>
      <c r="IMA1" s="696"/>
      <c r="IMB1" s="696"/>
      <c r="IMC1" s="696"/>
      <c r="IMD1" s="696"/>
      <c r="IME1" s="696"/>
      <c r="IMF1" s="696"/>
      <c r="IMG1" s="696"/>
      <c r="IMH1" s="696"/>
      <c r="IMI1" s="696"/>
      <c r="IMJ1" s="696"/>
      <c r="IMK1" s="696"/>
      <c r="IML1" s="696"/>
      <c r="IMM1" s="696"/>
      <c r="IMN1" s="696"/>
      <c r="IMO1" s="696"/>
      <c r="IMP1" s="696"/>
      <c r="IMQ1" s="696"/>
      <c r="IMR1" s="696"/>
      <c r="IMS1" s="696"/>
      <c r="IMT1" s="696"/>
      <c r="IMU1" s="696"/>
      <c r="IMV1" s="696"/>
      <c r="IMW1" s="696"/>
      <c r="IMX1" s="696"/>
      <c r="IMY1" s="696"/>
      <c r="IMZ1" s="696"/>
      <c r="INA1" s="696"/>
      <c r="INB1" s="696"/>
      <c r="INC1" s="696"/>
      <c r="IND1" s="696"/>
      <c r="INE1" s="696"/>
      <c r="INF1" s="696"/>
      <c r="ING1" s="696"/>
      <c r="INH1" s="696"/>
      <c r="INI1" s="696"/>
      <c r="INJ1" s="696"/>
      <c r="INK1" s="696"/>
      <c r="INL1" s="696"/>
      <c r="INM1" s="696"/>
      <c r="INN1" s="696"/>
      <c r="INO1" s="696"/>
      <c r="INP1" s="696"/>
      <c r="INQ1" s="696"/>
      <c r="INR1" s="696"/>
      <c r="INS1" s="696"/>
      <c r="INT1" s="696"/>
      <c r="INU1" s="696"/>
      <c r="INV1" s="696"/>
      <c r="INW1" s="696"/>
      <c r="INX1" s="696"/>
      <c r="INY1" s="696"/>
      <c r="INZ1" s="696"/>
      <c r="IOA1" s="696"/>
      <c r="IOB1" s="696"/>
      <c r="IOC1" s="696"/>
      <c r="IOD1" s="696"/>
      <c r="IOE1" s="696"/>
      <c r="IOF1" s="696"/>
      <c r="IOG1" s="696"/>
      <c r="IOH1" s="696"/>
      <c r="IOI1" s="696"/>
      <c r="IOJ1" s="696"/>
      <c r="IOK1" s="696"/>
      <c r="IOL1" s="696"/>
      <c r="IOM1" s="696"/>
      <c r="ION1" s="696"/>
      <c r="IOO1" s="696"/>
      <c r="IOP1" s="696"/>
      <c r="IOQ1" s="696"/>
      <c r="IOR1" s="696"/>
      <c r="IOS1" s="696"/>
      <c r="IOT1" s="696"/>
      <c r="IOU1" s="696"/>
      <c r="IOV1" s="696"/>
      <c r="IOW1" s="696"/>
      <c r="IOX1" s="696"/>
      <c r="IOY1" s="696"/>
      <c r="IOZ1" s="696"/>
      <c r="IPA1" s="696"/>
      <c r="IPB1" s="696"/>
      <c r="IPC1" s="696"/>
      <c r="IPD1" s="696"/>
      <c r="IPE1" s="696"/>
      <c r="IPF1" s="696"/>
      <c r="IPG1" s="696"/>
      <c r="IPH1" s="696"/>
      <c r="IPI1" s="696"/>
      <c r="IPJ1" s="696"/>
      <c r="IPK1" s="696"/>
      <c r="IPL1" s="696"/>
      <c r="IPM1" s="696"/>
      <c r="IPN1" s="696"/>
      <c r="IPO1" s="696"/>
      <c r="IPP1" s="696"/>
      <c r="IPQ1" s="696"/>
      <c r="IPR1" s="696"/>
      <c r="IPS1" s="696"/>
      <c r="IPT1" s="696"/>
      <c r="IPU1" s="696"/>
      <c r="IPV1" s="696"/>
      <c r="IPW1" s="696"/>
      <c r="IPX1" s="696"/>
      <c r="IPY1" s="696"/>
      <c r="IPZ1" s="696"/>
      <c r="IQA1" s="696"/>
      <c r="IQB1" s="696"/>
      <c r="IQC1" s="696"/>
      <c r="IQD1" s="696"/>
      <c r="IQE1" s="696"/>
      <c r="IQF1" s="696"/>
      <c r="IQG1" s="696"/>
      <c r="IQH1" s="696"/>
      <c r="IQI1" s="696"/>
      <c r="IQJ1" s="696"/>
      <c r="IQK1" s="696"/>
      <c r="IQL1" s="696"/>
      <c r="IQM1" s="696"/>
      <c r="IQN1" s="696"/>
      <c r="IQO1" s="696"/>
      <c r="IQP1" s="696"/>
      <c r="IQQ1" s="696"/>
      <c r="IQR1" s="696"/>
      <c r="IQS1" s="696"/>
      <c r="IQT1" s="696"/>
      <c r="IQU1" s="696"/>
      <c r="IQV1" s="696"/>
      <c r="IQW1" s="696"/>
      <c r="IQX1" s="696"/>
      <c r="IQY1" s="696"/>
      <c r="IQZ1" s="696"/>
      <c r="IRA1" s="696"/>
      <c r="IRB1" s="696"/>
      <c r="IRC1" s="696"/>
      <c r="IRD1" s="696"/>
      <c r="IRE1" s="696"/>
      <c r="IRF1" s="696"/>
      <c r="IRG1" s="696"/>
      <c r="IRH1" s="696"/>
      <c r="IRI1" s="696"/>
      <c r="IRJ1" s="696"/>
      <c r="IRK1" s="696"/>
      <c r="IRL1" s="696"/>
      <c r="IRM1" s="696"/>
      <c r="IRN1" s="696"/>
      <c r="IRO1" s="696"/>
      <c r="IRP1" s="696"/>
      <c r="IRQ1" s="696"/>
      <c r="IRR1" s="696"/>
      <c r="IRS1" s="696"/>
      <c r="IRT1" s="696"/>
      <c r="IRU1" s="696"/>
      <c r="IRV1" s="696"/>
      <c r="IRW1" s="696"/>
      <c r="IRX1" s="696"/>
      <c r="IRY1" s="696"/>
      <c r="IRZ1" s="696"/>
      <c r="ISA1" s="696"/>
      <c r="ISB1" s="696"/>
      <c r="ISC1" s="696"/>
      <c r="ISD1" s="696"/>
      <c r="ISE1" s="696"/>
      <c r="ISF1" s="696"/>
      <c r="ISG1" s="696"/>
      <c r="ISH1" s="696"/>
      <c r="ISI1" s="696"/>
      <c r="ISJ1" s="696"/>
      <c r="ISK1" s="696"/>
      <c r="ISL1" s="696"/>
      <c r="ISM1" s="696"/>
      <c r="ISN1" s="696"/>
      <c r="ISO1" s="696"/>
      <c r="ISP1" s="696"/>
      <c r="ISQ1" s="696"/>
      <c r="ISR1" s="696"/>
      <c r="ISS1" s="696"/>
      <c r="IST1" s="696"/>
      <c r="ISU1" s="696"/>
      <c r="ISV1" s="696"/>
      <c r="ISW1" s="696"/>
      <c r="ISX1" s="696"/>
      <c r="ISY1" s="696"/>
      <c r="ISZ1" s="696"/>
      <c r="ITA1" s="696"/>
      <c r="ITB1" s="696"/>
      <c r="ITC1" s="696"/>
      <c r="ITD1" s="696"/>
      <c r="ITE1" s="696"/>
      <c r="ITF1" s="696"/>
      <c r="ITG1" s="696"/>
      <c r="ITH1" s="696"/>
      <c r="ITI1" s="696"/>
      <c r="ITJ1" s="696"/>
      <c r="ITK1" s="696"/>
      <c r="ITL1" s="696"/>
      <c r="ITM1" s="696"/>
      <c r="ITN1" s="696"/>
      <c r="ITO1" s="696"/>
      <c r="ITP1" s="696"/>
      <c r="ITQ1" s="696"/>
      <c r="ITR1" s="696"/>
      <c r="ITS1" s="696"/>
      <c r="ITT1" s="696"/>
      <c r="ITU1" s="696"/>
      <c r="ITV1" s="696"/>
      <c r="ITW1" s="696"/>
      <c r="ITX1" s="696"/>
      <c r="ITY1" s="696"/>
      <c r="ITZ1" s="696"/>
      <c r="IUA1" s="696"/>
      <c r="IUB1" s="696"/>
      <c r="IUC1" s="696"/>
      <c r="IUD1" s="696"/>
      <c r="IUE1" s="696"/>
      <c r="IUF1" s="696"/>
      <c r="IUG1" s="696"/>
      <c r="IUH1" s="696"/>
      <c r="IUI1" s="696"/>
      <c r="IUJ1" s="696"/>
      <c r="IUK1" s="696"/>
      <c r="IUL1" s="696"/>
      <c r="IUM1" s="696"/>
      <c r="IUN1" s="696"/>
      <c r="IUO1" s="696"/>
      <c r="IUP1" s="696"/>
      <c r="IUQ1" s="696"/>
      <c r="IUR1" s="696"/>
      <c r="IUS1" s="696"/>
      <c r="IUT1" s="696"/>
      <c r="IUU1" s="696"/>
      <c r="IUV1" s="696"/>
      <c r="IUW1" s="696"/>
      <c r="IUX1" s="696"/>
      <c r="IUY1" s="696"/>
      <c r="IUZ1" s="696"/>
      <c r="IVA1" s="696"/>
      <c r="IVB1" s="696"/>
      <c r="IVC1" s="696"/>
      <c r="IVD1" s="696"/>
      <c r="IVE1" s="696"/>
      <c r="IVF1" s="696"/>
      <c r="IVG1" s="696"/>
      <c r="IVH1" s="696"/>
      <c r="IVI1" s="696"/>
      <c r="IVJ1" s="696"/>
      <c r="IVK1" s="696"/>
      <c r="IVL1" s="696"/>
      <c r="IVM1" s="696"/>
      <c r="IVN1" s="696"/>
      <c r="IVO1" s="696"/>
      <c r="IVP1" s="696"/>
      <c r="IVQ1" s="696"/>
      <c r="IVR1" s="696"/>
      <c r="IVS1" s="696"/>
      <c r="IVT1" s="696"/>
      <c r="IVU1" s="696"/>
      <c r="IVV1" s="696"/>
      <c r="IVW1" s="696"/>
      <c r="IVX1" s="696"/>
      <c r="IVY1" s="696"/>
      <c r="IVZ1" s="696"/>
      <c r="IWA1" s="696"/>
      <c r="IWB1" s="696"/>
      <c r="IWC1" s="696"/>
      <c r="IWD1" s="696"/>
      <c r="IWE1" s="696"/>
      <c r="IWF1" s="696"/>
      <c r="IWG1" s="696"/>
      <c r="IWH1" s="696"/>
      <c r="IWI1" s="696"/>
      <c r="IWJ1" s="696"/>
      <c r="IWK1" s="696"/>
      <c r="IWL1" s="696"/>
      <c r="IWM1" s="696"/>
      <c r="IWN1" s="696"/>
      <c r="IWO1" s="696"/>
      <c r="IWP1" s="696"/>
      <c r="IWQ1" s="696"/>
      <c r="IWR1" s="696"/>
      <c r="IWS1" s="696"/>
      <c r="IWT1" s="696"/>
      <c r="IWU1" s="696"/>
      <c r="IWV1" s="696"/>
      <c r="IWW1" s="696"/>
      <c r="IWX1" s="696"/>
      <c r="IWY1" s="696"/>
      <c r="IWZ1" s="696"/>
      <c r="IXA1" s="696"/>
      <c r="IXB1" s="696"/>
      <c r="IXC1" s="696"/>
      <c r="IXD1" s="696"/>
      <c r="IXE1" s="696"/>
      <c r="IXF1" s="696"/>
      <c r="IXG1" s="696"/>
      <c r="IXH1" s="696"/>
      <c r="IXI1" s="696"/>
      <c r="IXJ1" s="696"/>
      <c r="IXK1" s="696"/>
      <c r="IXL1" s="696"/>
      <c r="IXM1" s="696"/>
      <c r="IXN1" s="696"/>
      <c r="IXO1" s="696"/>
      <c r="IXP1" s="696"/>
      <c r="IXQ1" s="696"/>
      <c r="IXR1" s="696"/>
      <c r="IXS1" s="696"/>
      <c r="IXT1" s="696"/>
      <c r="IXU1" s="696"/>
      <c r="IXV1" s="696"/>
      <c r="IXW1" s="696"/>
      <c r="IXX1" s="696"/>
      <c r="IXY1" s="696"/>
      <c r="IXZ1" s="696"/>
      <c r="IYA1" s="696"/>
      <c r="IYB1" s="696"/>
      <c r="IYC1" s="696"/>
      <c r="IYD1" s="696"/>
      <c r="IYE1" s="696"/>
      <c r="IYF1" s="696"/>
      <c r="IYG1" s="696"/>
      <c r="IYH1" s="696"/>
      <c r="IYI1" s="696"/>
      <c r="IYJ1" s="696"/>
      <c r="IYK1" s="696"/>
      <c r="IYL1" s="696"/>
      <c r="IYM1" s="696"/>
      <c r="IYN1" s="696"/>
      <c r="IYO1" s="696"/>
      <c r="IYP1" s="696"/>
      <c r="IYQ1" s="696"/>
      <c r="IYR1" s="696"/>
      <c r="IYS1" s="696"/>
      <c r="IYT1" s="696"/>
      <c r="IYU1" s="696"/>
      <c r="IYV1" s="696"/>
      <c r="IYW1" s="696"/>
      <c r="IYX1" s="696"/>
      <c r="IYY1" s="696"/>
      <c r="IYZ1" s="696"/>
      <c r="IZA1" s="696"/>
      <c r="IZB1" s="696"/>
      <c r="IZC1" s="696"/>
      <c r="IZD1" s="696"/>
      <c r="IZE1" s="696"/>
      <c r="IZF1" s="696"/>
      <c r="IZG1" s="696"/>
      <c r="IZH1" s="696"/>
      <c r="IZI1" s="696"/>
      <c r="IZJ1" s="696"/>
      <c r="IZK1" s="696"/>
      <c r="IZL1" s="696"/>
      <c r="IZM1" s="696"/>
      <c r="IZN1" s="696"/>
      <c r="IZO1" s="696"/>
      <c r="IZP1" s="696"/>
      <c r="IZQ1" s="696"/>
      <c r="IZR1" s="696"/>
      <c r="IZS1" s="696"/>
      <c r="IZT1" s="696"/>
      <c r="IZU1" s="696"/>
      <c r="IZV1" s="696"/>
      <c r="IZW1" s="696"/>
      <c r="IZX1" s="696"/>
      <c r="IZY1" s="696"/>
      <c r="IZZ1" s="696"/>
      <c r="JAA1" s="696"/>
      <c r="JAB1" s="696"/>
      <c r="JAC1" s="696"/>
      <c r="JAD1" s="696"/>
      <c r="JAE1" s="696"/>
      <c r="JAF1" s="696"/>
      <c r="JAG1" s="696"/>
      <c r="JAH1" s="696"/>
      <c r="JAI1" s="696"/>
      <c r="JAJ1" s="696"/>
      <c r="JAK1" s="696"/>
      <c r="JAL1" s="696"/>
      <c r="JAM1" s="696"/>
      <c r="JAN1" s="696"/>
      <c r="JAO1" s="696"/>
      <c r="JAP1" s="696"/>
      <c r="JAQ1" s="696"/>
      <c r="JAR1" s="696"/>
      <c r="JAS1" s="696"/>
      <c r="JAT1" s="696"/>
      <c r="JAU1" s="696"/>
      <c r="JAV1" s="696"/>
      <c r="JAW1" s="696"/>
      <c r="JAX1" s="696"/>
      <c r="JAY1" s="696"/>
      <c r="JAZ1" s="696"/>
      <c r="JBA1" s="696"/>
      <c r="JBB1" s="696"/>
      <c r="JBC1" s="696"/>
      <c r="JBD1" s="696"/>
      <c r="JBE1" s="696"/>
      <c r="JBF1" s="696"/>
      <c r="JBG1" s="696"/>
      <c r="JBH1" s="696"/>
      <c r="JBI1" s="696"/>
      <c r="JBJ1" s="696"/>
      <c r="JBK1" s="696"/>
      <c r="JBL1" s="696"/>
      <c r="JBM1" s="696"/>
      <c r="JBN1" s="696"/>
      <c r="JBO1" s="696"/>
      <c r="JBP1" s="696"/>
      <c r="JBQ1" s="696"/>
      <c r="JBR1" s="696"/>
      <c r="JBS1" s="696"/>
      <c r="JBT1" s="696"/>
      <c r="JBU1" s="696"/>
      <c r="JBV1" s="696"/>
      <c r="JBW1" s="696"/>
      <c r="JBX1" s="696"/>
      <c r="JBY1" s="696"/>
      <c r="JBZ1" s="696"/>
      <c r="JCA1" s="696"/>
      <c r="JCB1" s="696"/>
      <c r="JCC1" s="696"/>
      <c r="JCD1" s="696"/>
      <c r="JCE1" s="696"/>
      <c r="JCF1" s="696"/>
      <c r="JCG1" s="696"/>
      <c r="JCH1" s="696"/>
      <c r="JCI1" s="696"/>
      <c r="JCJ1" s="696"/>
      <c r="JCK1" s="696"/>
      <c r="JCL1" s="696"/>
      <c r="JCM1" s="696"/>
      <c r="JCN1" s="696"/>
      <c r="JCO1" s="696"/>
      <c r="JCP1" s="696"/>
      <c r="JCQ1" s="696"/>
      <c r="JCR1" s="696"/>
      <c r="JCS1" s="696"/>
      <c r="JCT1" s="696"/>
      <c r="JCU1" s="696"/>
      <c r="JCV1" s="696"/>
      <c r="JCW1" s="696"/>
      <c r="JCX1" s="696"/>
      <c r="JCY1" s="696"/>
      <c r="JCZ1" s="696"/>
      <c r="JDA1" s="696"/>
      <c r="JDB1" s="696"/>
      <c r="JDC1" s="696"/>
      <c r="JDD1" s="696"/>
      <c r="JDE1" s="696"/>
      <c r="JDF1" s="696"/>
      <c r="JDG1" s="696"/>
      <c r="JDH1" s="696"/>
      <c r="JDI1" s="696"/>
      <c r="JDJ1" s="696"/>
      <c r="JDK1" s="696"/>
      <c r="JDL1" s="696"/>
      <c r="JDM1" s="696"/>
      <c r="JDN1" s="696"/>
      <c r="JDO1" s="696"/>
      <c r="JDP1" s="696"/>
      <c r="JDQ1" s="696"/>
      <c r="JDR1" s="696"/>
      <c r="JDS1" s="696"/>
      <c r="JDT1" s="696"/>
      <c r="JDU1" s="696"/>
      <c r="JDV1" s="696"/>
      <c r="JDW1" s="696"/>
      <c r="JDX1" s="696"/>
      <c r="JDY1" s="696"/>
      <c r="JDZ1" s="696"/>
      <c r="JEA1" s="696"/>
      <c r="JEB1" s="696"/>
      <c r="JEC1" s="696"/>
      <c r="JED1" s="696"/>
      <c r="JEE1" s="696"/>
      <c r="JEF1" s="696"/>
      <c r="JEG1" s="696"/>
      <c r="JEH1" s="696"/>
      <c r="JEI1" s="696"/>
      <c r="JEJ1" s="696"/>
      <c r="JEK1" s="696"/>
      <c r="JEL1" s="696"/>
      <c r="JEM1" s="696"/>
      <c r="JEN1" s="696"/>
      <c r="JEO1" s="696"/>
      <c r="JEP1" s="696"/>
      <c r="JEQ1" s="696"/>
      <c r="JER1" s="696"/>
      <c r="JES1" s="696"/>
      <c r="JET1" s="696"/>
      <c r="JEU1" s="696"/>
      <c r="JEV1" s="696"/>
      <c r="JEW1" s="696"/>
      <c r="JEX1" s="696"/>
      <c r="JEY1" s="696"/>
      <c r="JEZ1" s="696"/>
      <c r="JFA1" s="696"/>
      <c r="JFB1" s="696"/>
      <c r="JFC1" s="696"/>
      <c r="JFD1" s="696"/>
      <c r="JFE1" s="696"/>
      <c r="JFF1" s="696"/>
      <c r="JFG1" s="696"/>
      <c r="JFH1" s="696"/>
      <c r="JFI1" s="696"/>
      <c r="JFJ1" s="696"/>
      <c r="JFK1" s="696"/>
      <c r="JFL1" s="696"/>
      <c r="JFM1" s="696"/>
      <c r="JFN1" s="696"/>
      <c r="JFO1" s="696"/>
      <c r="JFP1" s="696"/>
      <c r="JFQ1" s="696"/>
      <c r="JFR1" s="696"/>
      <c r="JFS1" s="696"/>
      <c r="JFT1" s="696"/>
      <c r="JFU1" s="696"/>
      <c r="JFV1" s="696"/>
      <c r="JFW1" s="696"/>
      <c r="JFX1" s="696"/>
      <c r="JFY1" s="696"/>
      <c r="JFZ1" s="696"/>
      <c r="JGA1" s="696"/>
      <c r="JGB1" s="696"/>
      <c r="JGC1" s="696"/>
      <c r="JGD1" s="696"/>
      <c r="JGE1" s="696"/>
      <c r="JGF1" s="696"/>
      <c r="JGG1" s="696"/>
      <c r="JGH1" s="696"/>
      <c r="JGI1" s="696"/>
      <c r="JGJ1" s="696"/>
      <c r="JGK1" s="696"/>
      <c r="JGL1" s="696"/>
      <c r="JGM1" s="696"/>
      <c r="JGN1" s="696"/>
      <c r="JGO1" s="696"/>
      <c r="JGP1" s="696"/>
      <c r="JGQ1" s="696"/>
      <c r="JGR1" s="696"/>
      <c r="JGS1" s="696"/>
      <c r="JGT1" s="696"/>
      <c r="JGU1" s="696"/>
      <c r="JGV1" s="696"/>
      <c r="JGW1" s="696"/>
      <c r="JGX1" s="696"/>
      <c r="JGY1" s="696"/>
      <c r="JGZ1" s="696"/>
      <c r="JHA1" s="696"/>
      <c r="JHB1" s="696"/>
      <c r="JHC1" s="696"/>
      <c r="JHD1" s="696"/>
      <c r="JHE1" s="696"/>
      <c r="JHF1" s="696"/>
      <c r="JHG1" s="696"/>
      <c r="JHH1" s="696"/>
      <c r="JHI1" s="696"/>
      <c r="JHJ1" s="696"/>
      <c r="JHK1" s="696"/>
      <c r="JHL1" s="696"/>
      <c r="JHM1" s="696"/>
      <c r="JHN1" s="696"/>
      <c r="JHO1" s="696"/>
      <c r="JHP1" s="696"/>
      <c r="JHQ1" s="696"/>
      <c r="JHR1" s="696"/>
      <c r="JHS1" s="696"/>
      <c r="JHT1" s="696"/>
      <c r="JHU1" s="696"/>
      <c r="JHV1" s="696"/>
      <c r="JHW1" s="696"/>
      <c r="JHX1" s="696"/>
      <c r="JHY1" s="696"/>
      <c r="JHZ1" s="696"/>
      <c r="JIA1" s="696"/>
      <c r="JIB1" s="696"/>
      <c r="JIC1" s="696"/>
      <c r="JID1" s="696"/>
      <c r="JIE1" s="696"/>
      <c r="JIF1" s="696"/>
      <c r="JIG1" s="696"/>
      <c r="JIH1" s="696"/>
      <c r="JII1" s="696"/>
      <c r="JIJ1" s="696"/>
      <c r="JIK1" s="696"/>
      <c r="JIL1" s="696"/>
      <c r="JIM1" s="696"/>
      <c r="JIN1" s="696"/>
      <c r="JIO1" s="696"/>
      <c r="JIP1" s="696"/>
      <c r="JIQ1" s="696"/>
      <c r="JIR1" s="696"/>
      <c r="JIS1" s="696"/>
      <c r="JIT1" s="696"/>
      <c r="JIU1" s="696"/>
      <c r="JIV1" s="696"/>
      <c r="JIW1" s="696"/>
      <c r="JIX1" s="696"/>
      <c r="JIY1" s="696"/>
      <c r="JIZ1" s="696"/>
      <c r="JJA1" s="696"/>
      <c r="JJB1" s="696"/>
      <c r="JJC1" s="696"/>
      <c r="JJD1" s="696"/>
      <c r="JJE1" s="696"/>
      <c r="JJF1" s="696"/>
      <c r="JJG1" s="696"/>
      <c r="JJH1" s="696"/>
      <c r="JJI1" s="696"/>
      <c r="JJJ1" s="696"/>
      <c r="JJK1" s="696"/>
      <c r="JJL1" s="696"/>
      <c r="JJM1" s="696"/>
      <c r="JJN1" s="696"/>
      <c r="JJO1" s="696"/>
      <c r="JJP1" s="696"/>
      <c r="JJQ1" s="696"/>
      <c r="JJR1" s="696"/>
      <c r="JJS1" s="696"/>
      <c r="JJT1" s="696"/>
      <c r="JJU1" s="696"/>
      <c r="JJV1" s="696"/>
      <c r="JJW1" s="696"/>
      <c r="JJX1" s="696"/>
      <c r="JJY1" s="696"/>
      <c r="JJZ1" s="696"/>
      <c r="JKA1" s="696"/>
      <c r="JKB1" s="696"/>
      <c r="JKC1" s="696"/>
      <c r="JKD1" s="696"/>
      <c r="JKE1" s="696"/>
      <c r="JKF1" s="696"/>
      <c r="JKG1" s="696"/>
      <c r="JKH1" s="696"/>
      <c r="JKI1" s="696"/>
      <c r="JKJ1" s="696"/>
      <c r="JKK1" s="696"/>
      <c r="JKL1" s="696"/>
      <c r="JKM1" s="696"/>
      <c r="JKN1" s="696"/>
      <c r="JKO1" s="696"/>
      <c r="JKP1" s="696"/>
      <c r="JKQ1" s="696"/>
      <c r="JKR1" s="696"/>
      <c r="JKS1" s="696"/>
      <c r="JKT1" s="696"/>
      <c r="JKU1" s="696"/>
      <c r="JKV1" s="696"/>
      <c r="JKW1" s="696"/>
      <c r="JKX1" s="696"/>
      <c r="JKY1" s="696"/>
      <c r="JKZ1" s="696"/>
      <c r="JLA1" s="696"/>
      <c r="JLB1" s="696"/>
      <c r="JLC1" s="696"/>
      <c r="JLD1" s="696"/>
      <c r="JLE1" s="696"/>
      <c r="JLF1" s="696"/>
      <c r="JLG1" s="696"/>
      <c r="JLH1" s="696"/>
      <c r="JLI1" s="696"/>
      <c r="JLJ1" s="696"/>
      <c r="JLK1" s="696"/>
      <c r="JLL1" s="696"/>
      <c r="JLM1" s="696"/>
      <c r="JLN1" s="696"/>
      <c r="JLO1" s="696"/>
      <c r="JLP1" s="696"/>
      <c r="JLQ1" s="696"/>
      <c r="JLR1" s="696"/>
      <c r="JLS1" s="696"/>
      <c r="JLT1" s="696"/>
      <c r="JLU1" s="696"/>
      <c r="JLV1" s="696"/>
      <c r="JLW1" s="696"/>
      <c r="JLX1" s="696"/>
      <c r="JLY1" s="696"/>
      <c r="JLZ1" s="696"/>
      <c r="JMA1" s="696"/>
      <c r="JMB1" s="696"/>
      <c r="JMC1" s="696"/>
      <c r="JMD1" s="696"/>
      <c r="JME1" s="696"/>
      <c r="JMF1" s="696"/>
      <c r="JMG1" s="696"/>
      <c r="JMH1" s="696"/>
      <c r="JMI1" s="696"/>
      <c r="JMJ1" s="696"/>
      <c r="JMK1" s="696"/>
      <c r="JML1" s="696"/>
      <c r="JMM1" s="696"/>
      <c r="JMN1" s="696"/>
      <c r="JMO1" s="696"/>
      <c r="JMP1" s="696"/>
      <c r="JMQ1" s="696"/>
      <c r="JMR1" s="696"/>
      <c r="JMS1" s="696"/>
      <c r="JMT1" s="696"/>
      <c r="JMU1" s="696"/>
      <c r="JMV1" s="696"/>
      <c r="JMW1" s="696"/>
      <c r="JMX1" s="696"/>
      <c r="JMY1" s="696"/>
      <c r="JMZ1" s="696"/>
      <c r="JNA1" s="696"/>
      <c r="JNB1" s="696"/>
      <c r="JNC1" s="696"/>
      <c r="JND1" s="696"/>
      <c r="JNE1" s="696"/>
      <c r="JNF1" s="696"/>
      <c r="JNG1" s="696"/>
      <c r="JNH1" s="696"/>
      <c r="JNI1" s="696"/>
      <c r="JNJ1" s="696"/>
      <c r="JNK1" s="696"/>
      <c r="JNL1" s="696"/>
      <c r="JNM1" s="696"/>
      <c r="JNN1" s="696"/>
      <c r="JNO1" s="696"/>
      <c r="JNP1" s="696"/>
      <c r="JNQ1" s="696"/>
      <c r="JNR1" s="696"/>
      <c r="JNS1" s="696"/>
      <c r="JNT1" s="696"/>
      <c r="JNU1" s="696"/>
      <c r="JNV1" s="696"/>
      <c r="JNW1" s="696"/>
      <c r="JNX1" s="696"/>
      <c r="JNY1" s="696"/>
      <c r="JNZ1" s="696"/>
      <c r="JOA1" s="696"/>
      <c r="JOB1" s="696"/>
      <c r="JOC1" s="696"/>
      <c r="JOD1" s="696"/>
      <c r="JOE1" s="696"/>
      <c r="JOF1" s="696"/>
      <c r="JOG1" s="696"/>
      <c r="JOH1" s="696"/>
      <c r="JOI1" s="696"/>
      <c r="JOJ1" s="696"/>
      <c r="JOK1" s="696"/>
      <c r="JOL1" s="696"/>
      <c r="JOM1" s="696"/>
      <c r="JON1" s="696"/>
      <c r="JOO1" s="696"/>
      <c r="JOP1" s="696"/>
      <c r="JOQ1" s="696"/>
      <c r="JOR1" s="696"/>
      <c r="JOS1" s="696"/>
      <c r="JOT1" s="696"/>
      <c r="JOU1" s="696"/>
      <c r="JOV1" s="696"/>
      <c r="JOW1" s="696"/>
      <c r="JOX1" s="696"/>
      <c r="JOY1" s="696"/>
      <c r="JOZ1" s="696"/>
      <c r="JPA1" s="696"/>
      <c r="JPB1" s="696"/>
      <c r="JPC1" s="696"/>
      <c r="JPD1" s="696"/>
      <c r="JPE1" s="696"/>
      <c r="JPF1" s="696"/>
      <c r="JPG1" s="696"/>
      <c r="JPH1" s="696"/>
      <c r="JPI1" s="696"/>
      <c r="JPJ1" s="696"/>
      <c r="JPK1" s="696"/>
      <c r="JPL1" s="696"/>
      <c r="JPM1" s="696"/>
      <c r="JPN1" s="696"/>
      <c r="JPO1" s="696"/>
      <c r="JPP1" s="696"/>
      <c r="JPQ1" s="696"/>
      <c r="JPR1" s="696"/>
      <c r="JPS1" s="696"/>
      <c r="JPT1" s="696"/>
      <c r="JPU1" s="696"/>
      <c r="JPV1" s="696"/>
      <c r="JPW1" s="696"/>
      <c r="JPX1" s="696"/>
      <c r="JPY1" s="696"/>
      <c r="JPZ1" s="696"/>
      <c r="JQA1" s="696"/>
      <c r="JQB1" s="696"/>
      <c r="JQC1" s="696"/>
      <c r="JQD1" s="696"/>
      <c r="JQE1" s="696"/>
      <c r="JQF1" s="696"/>
      <c r="JQG1" s="696"/>
      <c r="JQH1" s="696"/>
      <c r="JQI1" s="696"/>
      <c r="JQJ1" s="696"/>
      <c r="JQK1" s="696"/>
      <c r="JQL1" s="696"/>
      <c r="JQM1" s="696"/>
      <c r="JQN1" s="696"/>
      <c r="JQO1" s="696"/>
      <c r="JQP1" s="696"/>
      <c r="JQQ1" s="696"/>
      <c r="JQR1" s="696"/>
      <c r="JQS1" s="696"/>
      <c r="JQT1" s="696"/>
      <c r="JQU1" s="696"/>
      <c r="JQV1" s="696"/>
      <c r="JQW1" s="696"/>
      <c r="JQX1" s="696"/>
      <c r="JQY1" s="696"/>
      <c r="JQZ1" s="696"/>
      <c r="JRA1" s="696"/>
      <c r="JRB1" s="696"/>
      <c r="JRC1" s="696"/>
      <c r="JRD1" s="696"/>
      <c r="JRE1" s="696"/>
      <c r="JRF1" s="696"/>
      <c r="JRG1" s="696"/>
      <c r="JRH1" s="696"/>
      <c r="JRI1" s="696"/>
      <c r="JRJ1" s="696"/>
      <c r="JRK1" s="696"/>
      <c r="JRL1" s="696"/>
      <c r="JRM1" s="696"/>
      <c r="JRN1" s="696"/>
      <c r="JRO1" s="696"/>
      <c r="JRP1" s="696"/>
      <c r="JRQ1" s="696"/>
      <c r="JRR1" s="696"/>
      <c r="JRS1" s="696"/>
      <c r="JRT1" s="696"/>
      <c r="JRU1" s="696"/>
      <c r="JRV1" s="696"/>
      <c r="JRW1" s="696"/>
      <c r="JRX1" s="696"/>
      <c r="JRY1" s="696"/>
      <c r="JRZ1" s="696"/>
      <c r="JSA1" s="696"/>
      <c r="JSB1" s="696"/>
      <c r="JSC1" s="696"/>
      <c r="JSD1" s="696"/>
      <c r="JSE1" s="696"/>
      <c r="JSF1" s="696"/>
      <c r="JSG1" s="696"/>
      <c r="JSH1" s="696"/>
      <c r="JSI1" s="696"/>
      <c r="JSJ1" s="696"/>
      <c r="JSK1" s="696"/>
      <c r="JSL1" s="696"/>
      <c r="JSM1" s="696"/>
      <c r="JSN1" s="696"/>
      <c r="JSO1" s="696"/>
      <c r="JSP1" s="696"/>
      <c r="JSQ1" s="696"/>
      <c r="JSR1" s="696"/>
      <c r="JSS1" s="696"/>
      <c r="JST1" s="696"/>
      <c r="JSU1" s="696"/>
      <c r="JSV1" s="696"/>
      <c r="JSW1" s="696"/>
      <c r="JSX1" s="696"/>
      <c r="JSY1" s="696"/>
      <c r="JSZ1" s="696"/>
      <c r="JTA1" s="696"/>
      <c r="JTB1" s="696"/>
      <c r="JTC1" s="696"/>
      <c r="JTD1" s="696"/>
      <c r="JTE1" s="696"/>
      <c r="JTF1" s="696"/>
      <c r="JTG1" s="696"/>
      <c r="JTH1" s="696"/>
      <c r="JTI1" s="696"/>
      <c r="JTJ1" s="696"/>
      <c r="JTK1" s="696"/>
      <c r="JTL1" s="696"/>
      <c r="JTM1" s="696"/>
      <c r="JTN1" s="696"/>
      <c r="JTO1" s="696"/>
      <c r="JTP1" s="696"/>
      <c r="JTQ1" s="696"/>
      <c r="JTR1" s="696"/>
      <c r="JTS1" s="696"/>
      <c r="JTT1" s="696"/>
      <c r="JTU1" s="696"/>
      <c r="JTV1" s="696"/>
      <c r="JTW1" s="696"/>
      <c r="JTX1" s="696"/>
      <c r="JTY1" s="696"/>
      <c r="JTZ1" s="696"/>
      <c r="JUA1" s="696"/>
      <c r="JUB1" s="696"/>
      <c r="JUC1" s="696"/>
      <c r="JUD1" s="696"/>
      <c r="JUE1" s="696"/>
      <c r="JUF1" s="696"/>
      <c r="JUG1" s="696"/>
      <c r="JUH1" s="696"/>
      <c r="JUI1" s="696"/>
      <c r="JUJ1" s="696"/>
      <c r="JUK1" s="696"/>
      <c r="JUL1" s="696"/>
      <c r="JUM1" s="696"/>
      <c r="JUN1" s="696"/>
      <c r="JUO1" s="696"/>
      <c r="JUP1" s="696"/>
      <c r="JUQ1" s="696"/>
      <c r="JUR1" s="696"/>
      <c r="JUS1" s="696"/>
      <c r="JUT1" s="696"/>
      <c r="JUU1" s="696"/>
      <c r="JUV1" s="696"/>
      <c r="JUW1" s="696"/>
      <c r="JUX1" s="696"/>
      <c r="JUY1" s="696"/>
      <c r="JUZ1" s="696"/>
      <c r="JVA1" s="696"/>
      <c r="JVB1" s="696"/>
      <c r="JVC1" s="696"/>
      <c r="JVD1" s="696"/>
      <c r="JVE1" s="696"/>
      <c r="JVF1" s="696"/>
      <c r="JVG1" s="696"/>
      <c r="JVH1" s="696"/>
      <c r="JVI1" s="696"/>
      <c r="JVJ1" s="696"/>
      <c r="JVK1" s="696"/>
      <c r="JVL1" s="696"/>
      <c r="JVM1" s="696"/>
      <c r="JVN1" s="696"/>
      <c r="JVO1" s="696"/>
      <c r="JVP1" s="696"/>
      <c r="JVQ1" s="696"/>
      <c r="JVR1" s="696"/>
      <c r="JVS1" s="696"/>
      <c r="JVT1" s="696"/>
      <c r="JVU1" s="696"/>
      <c r="JVV1" s="696"/>
      <c r="JVW1" s="696"/>
      <c r="JVX1" s="696"/>
      <c r="JVY1" s="696"/>
      <c r="JVZ1" s="696"/>
      <c r="JWA1" s="696"/>
      <c r="JWB1" s="696"/>
      <c r="JWC1" s="696"/>
      <c r="JWD1" s="696"/>
      <c r="JWE1" s="696"/>
      <c r="JWF1" s="696"/>
      <c r="JWG1" s="696"/>
      <c r="JWH1" s="696"/>
      <c r="JWI1" s="696"/>
      <c r="JWJ1" s="696"/>
      <c r="JWK1" s="696"/>
      <c r="JWL1" s="696"/>
      <c r="JWM1" s="696"/>
      <c r="JWN1" s="696"/>
      <c r="JWO1" s="696"/>
      <c r="JWP1" s="696"/>
      <c r="JWQ1" s="696"/>
      <c r="JWR1" s="696"/>
      <c r="JWS1" s="696"/>
      <c r="JWT1" s="696"/>
      <c r="JWU1" s="696"/>
      <c r="JWV1" s="696"/>
      <c r="JWW1" s="696"/>
      <c r="JWX1" s="696"/>
      <c r="JWY1" s="696"/>
      <c r="JWZ1" s="696"/>
      <c r="JXA1" s="696"/>
      <c r="JXB1" s="696"/>
      <c r="JXC1" s="696"/>
      <c r="JXD1" s="696"/>
      <c r="JXE1" s="696"/>
      <c r="JXF1" s="696"/>
      <c r="JXG1" s="696"/>
      <c r="JXH1" s="696"/>
      <c r="JXI1" s="696"/>
      <c r="JXJ1" s="696"/>
      <c r="JXK1" s="696"/>
      <c r="JXL1" s="696"/>
      <c r="JXM1" s="696"/>
      <c r="JXN1" s="696"/>
      <c r="JXO1" s="696"/>
      <c r="JXP1" s="696"/>
      <c r="JXQ1" s="696"/>
      <c r="JXR1" s="696"/>
      <c r="JXS1" s="696"/>
      <c r="JXT1" s="696"/>
      <c r="JXU1" s="696"/>
      <c r="JXV1" s="696"/>
      <c r="JXW1" s="696"/>
      <c r="JXX1" s="696"/>
      <c r="JXY1" s="696"/>
      <c r="JXZ1" s="696"/>
      <c r="JYA1" s="696"/>
      <c r="JYB1" s="696"/>
      <c r="JYC1" s="696"/>
      <c r="JYD1" s="696"/>
      <c r="JYE1" s="696"/>
      <c r="JYF1" s="696"/>
      <c r="JYG1" s="696"/>
      <c r="JYH1" s="696"/>
      <c r="JYI1" s="696"/>
      <c r="JYJ1" s="696"/>
      <c r="JYK1" s="696"/>
      <c r="JYL1" s="696"/>
      <c r="JYM1" s="696"/>
      <c r="JYN1" s="696"/>
      <c r="JYO1" s="696"/>
      <c r="JYP1" s="696"/>
      <c r="JYQ1" s="696"/>
      <c r="JYR1" s="696"/>
      <c r="JYS1" s="696"/>
      <c r="JYT1" s="696"/>
      <c r="JYU1" s="696"/>
      <c r="JYV1" s="696"/>
      <c r="JYW1" s="696"/>
      <c r="JYX1" s="696"/>
      <c r="JYY1" s="696"/>
      <c r="JYZ1" s="696"/>
      <c r="JZA1" s="696"/>
      <c r="JZB1" s="696"/>
      <c r="JZC1" s="696"/>
      <c r="JZD1" s="696"/>
      <c r="JZE1" s="696"/>
      <c r="JZF1" s="696"/>
      <c r="JZG1" s="696"/>
      <c r="JZH1" s="696"/>
      <c r="JZI1" s="696"/>
      <c r="JZJ1" s="696"/>
      <c r="JZK1" s="696"/>
      <c r="JZL1" s="696"/>
      <c r="JZM1" s="696"/>
      <c r="JZN1" s="696"/>
      <c r="JZO1" s="696"/>
      <c r="JZP1" s="696"/>
      <c r="JZQ1" s="696"/>
      <c r="JZR1" s="696"/>
      <c r="JZS1" s="696"/>
      <c r="JZT1" s="696"/>
      <c r="JZU1" s="696"/>
      <c r="JZV1" s="696"/>
      <c r="JZW1" s="696"/>
      <c r="JZX1" s="696"/>
      <c r="JZY1" s="696"/>
      <c r="JZZ1" s="696"/>
      <c r="KAA1" s="696"/>
      <c r="KAB1" s="696"/>
      <c r="KAC1" s="696"/>
      <c r="KAD1" s="696"/>
      <c r="KAE1" s="696"/>
      <c r="KAF1" s="696"/>
      <c r="KAG1" s="696"/>
      <c r="KAH1" s="696"/>
      <c r="KAI1" s="696"/>
      <c r="KAJ1" s="696"/>
      <c r="KAK1" s="696"/>
      <c r="KAL1" s="696"/>
      <c r="KAM1" s="696"/>
      <c r="KAN1" s="696"/>
      <c r="KAO1" s="696"/>
      <c r="KAP1" s="696"/>
      <c r="KAQ1" s="696"/>
      <c r="KAR1" s="696"/>
      <c r="KAS1" s="696"/>
      <c r="KAT1" s="696"/>
      <c r="KAU1" s="696"/>
      <c r="KAV1" s="696"/>
      <c r="KAW1" s="696"/>
      <c r="KAX1" s="696"/>
      <c r="KAY1" s="696"/>
      <c r="KAZ1" s="696"/>
      <c r="KBA1" s="696"/>
      <c r="KBB1" s="696"/>
      <c r="KBC1" s="696"/>
      <c r="KBD1" s="696"/>
      <c r="KBE1" s="696"/>
      <c r="KBF1" s="696"/>
      <c r="KBG1" s="696"/>
      <c r="KBH1" s="696"/>
      <c r="KBI1" s="696"/>
      <c r="KBJ1" s="696"/>
      <c r="KBK1" s="696"/>
      <c r="KBL1" s="696"/>
      <c r="KBM1" s="696"/>
      <c r="KBN1" s="696"/>
      <c r="KBO1" s="696"/>
      <c r="KBP1" s="696"/>
      <c r="KBQ1" s="696"/>
      <c r="KBR1" s="696"/>
      <c r="KBS1" s="696"/>
      <c r="KBT1" s="696"/>
      <c r="KBU1" s="696"/>
      <c r="KBV1" s="696"/>
      <c r="KBW1" s="696"/>
      <c r="KBX1" s="696"/>
      <c r="KBY1" s="696"/>
      <c r="KBZ1" s="696"/>
      <c r="KCA1" s="696"/>
      <c r="KCB1" s="696"/>
      <c r="KCC1" s="696"/>
      <c r="KCD1" s="696"/>
      <c r="KCE1" s="696"/>
      <c r="KCF1" s="696"/>
      <c r="KCG1" s="696"/>
      <c r="KCH1" s="696"/>
      <c r="KCI1" s="696"/>
      <c r="KCJ1" s="696"/>
      <c r="KCK1" s="696"/>
      <c r="KCL1" s="696"/>
      <c r="KCM1" s="696"/>
      <c r="KCN1" s="696"/>
      <c r="KCO1" s="696"/>
      <c r="KCP1" s="696"/>
      <c r="KCQ1" s="696"/>
      <c r="KCR1" s="696"/>
      <c r="KCS1" s="696"/>
      <c r="KCT1" s="696"/>
      <c r="KCU1" s="696"/>
      <c r="KCV1" s="696"/>
      <c r="KCW1" s="696"/>
      <c r="KCX1" s="696"/>
      <c r="KCY1" s="696"/>
      <c r="KCZ1" s="696"/>
      <c r="KDA1" s="696"/>
      <c r="KDB1" s="696"/>
      <c r="KDC1" s="696"/>
      <c r="KDD1" s="696"/>
      <c r="KDE1" s="696"/>
      <c r="KDF1" s="696"/>
      <c r="KDG1" s="696"/>
      <c r="KDH1" s="696"/>
      <c r="KDI1" s="696"/>
      <c r="KDJ1" s="696"/>
      <c r="KDK1" s="696"/>
      <c r="KDL1" s="696"/>
      <c r="KDM1" s="696"/>
      <c r="KDN1" s="696"/>
      <c r="KDO1" s="696"/>
      <c r="KDP1" s="696"/>
      <c r="KDQ1" s="696"/>
      <c r="KDR1" s="696"/>
      <c r="KDS1" s="696"/>
      <c r="KDT1" s="696"/>
      <c r="KDU1" s="696"/>
      <c r="KDV1" s="696"/>
      <c r="KDW1" s="696"/>
      <c r="KDX1" s="696"/>
      <c r="KDY1" s="696"/>
      <c r="KDZ1" s="696"/>
      <c r="KEA1" s="696"/>
      <c r="KEB1" s="696"/>
      <c r="KEC1" s="696"/>
      <c r="KED1" s="696"/>
      <c r="KEE1" s="696"/>
      <c r="KEF1" s="696"/>
      <c r="KEG1" s="696"/>
      <c r="KEH1" s="696"/>
      <c r="KEI1" s="696"/>
      <c r="KEJ1" s="696"/>
      <c r="KEK1" s="696"/>
      <c r="KEL1" s="696"/>
      <c r="KEM1" s="696"/>
      <c r="KEN1" s="696"/>
      <c r="KEO1" s="696"/>
      <c r="KEP1" s="696"/>
      <c r="KEQ1" s="696"/>
      <c r="KER1" s="696"/>
      <c r="KES1" s="696"/>
      <c r="KET1" s="696"/>
      <c r="KEU1" s="696"/>
      <c r="KEV1" s="696"/>
      <c r="KEW1" s="696"/>
      <c r="KEX1" s="696"/>
      <c r="KEY1" s="696"/>
      <c r="KEZ1" s="696"/>
      <c r="KFA1" s="696"/>
      <c r="KFB1" s="696"/>
      <c r="KFC1" s="696"/>
      <c r="KFD1" s="696"/>
      <c r="KFE1" s="696"/>
      <c r="KFF1" s="696"/>
      <c r="KFG1" s="696"/>
      <c r="KFH1" s="696"/>
      <c r="KFI1" s="696"/>
      <c r="KFJ1" s="696"/>
      <c r="KFK1" s="696"/>
      <c r="KFL1" s="696"/>
      <c r="KFM1" s="696"/>
      <c r="KFN1" s="696"/>
      <c r="KFO1" s="696"/>
      <c r="KFP1" s="696"/>
      <c r="KFQ1" s="696"/>
      <c r="KFR1" s="696"/>
      <c r="KFS1" s="696"/>
      <c r="KFT1" s="696"/>
      <c r="KFU1" s="696"/>
      <c r="KFV1" s="696"/>
      <c r="KFW1" s="696"/>
      <c r="KFX1" s="696"/>
      <c r="KFY1" s="696"/>
      <c r="KFZ1" s="696"/>
      <c r="KGA1" s="696"/>
      <c r="KGB1" s="696"/>
      <c r="KGC1" s="696"/>
      <c r="KGD1" s="696"/>
      <c r="KGE1" s="696"/>
      <c r="KGF1" s="696"/>
      <c r="KGG1" s="696"/>
      <c r="KGH1" s="696"/>
      <c r="KGI1" s="696"/>
      <c r="KGJ1" s="696"/>
      <c r="KGK1" s="696"/>
      <c r="KGL1" s="696"/>
      <c r="KGM1" s="696"/>
      <c r="KGN1" s="696"/>
      <c r="KGO1" s="696"/>
      <c r="KGP1" s="696"/>
      <c r="KGQ1" s="696"/>
      <c r="KGR1" s="696"/>
      <c r="KGS1" s="696"/>
      <c r="KGT1" s="696"/>
      <c r="KGU1" s="696"/>
      <c r="KGV1" s="696"/>
      <c r="KGW1" s="696"/>
      <c r="KGX1" s="696"/>
      <c r="KGY1" s="696"/>
      <c r="KGZ1" s="696"/>
      <c r="KHA1" s="696"/>
      <c r="KHB1" s="696"/>
      <c r="KHC1" s="696"/>
      <c r="KHD1" s="696"/>
      <c r="KHE1" s="696"/>
      <c r="KHF1" s="696"/>
      <c r="KHG1" s="696"/>
      <c r="KHH1" s="696"/>
      <c r="KHI1" s="696"/>
      <c r="KHJ1" s="696"/>
      <c r="KHK1" s="696"/>
      <c r="KHL1" s="696"/>
      <c r="KHM1" s="696"/>
      <c r="KHN1" s="696"/>
      <c r="KHO1" s="696"/>
      <c r="KHP1" s="696"/>
      <c r="KHQ1" s="696"/>
      <c r="KHR1" s="696"/>
      <c r="KHS1" s="696"/>
      <c r="KHT1" s="696"/>
      <c r="KHU1" s="696"/>
      <c r="KHV1" s="696"/>
      <c r="KHW1" s="696"/>
      <c r="KHX1" s="696"/>
      <c r="KHY1" s="696"/>
      <c r="KHZ1" s="696"/>
      <c r="KIA1" s="696"/>
      <c r="KIB1" s="696"/>
      <c r="KIC1" s="696"/>
      <c r="KID1" s="696"/>
      <c r="KIE1" s="696"/>
      <c r="KIF1" s="696"/>
      <c r="KIG1" s="696"/>
      <c r="KIH1" s="696"/>
      <c r="KII1" s="696"/>
      <c r="KIJ1" s="696"/>
      <c r="KIK1" s="696"/>
      <c r="KIL1" s="696"/>
      <c r="KIM1" s="696"/>
      <c r="KIN1" s="696"/>
      <c r="KIO1" s="696"/>
      <c r="KIP1" s="696"/>
      <c r="KIQ1" s="696"/>
      <c r="KIR1" s="696"/>
      <c r="KIS1" s="696"/>
      <c r="KIT1" s="696"/>
      <c r="KIU1" s="696"/>
      <c r="KIV1" s="696"/>
      <c r="KIW1" s="696"/>
      <c r="KIX1" s="696"/>
      <c r="KIY1" s="696"/>
      <c r="KIZ1" s="696"/>
      <c r="KJA1" s="696"/>
      <c r="KJB1" s="696"/>
      <c r="KJC1" s="696"/>
      <c r="KJD1" s="696"/>
      <c r="KJE1" s="696"/>
      <c r="KJF1" s="696"/>
      <c r="KJG1" s="696"/>
      <c r="KJH1" s="696"/>
      <c r="KJI1" s="696"/>
      <c r="KJJ1" s="696"/>
      <c r="KJK1" s="696"/>
      <c r="KJL1" s="696"/>
      <c r="KJM1" s="696"/>
      <c r="KJN1" s="696"/>
      <c r="KJO1" s="696"/>
      <c r="KJP1" s="696"/>
      <c r="KJQ1" s="696"/>
      <c r="KJR1" s="696"/>
      <c r="KJS1" s="696"/>
      <c r="KJT1" s="696"/>
      <c r="KJU1" s="696"/>
      <c r="KJV1" s="696"/>
      <c r="KJW1" s="696"/>
      <c r="KJX1" s="696"/>
      <c r="KJY1" s="696"/>
      <c r="KJZ1" s="696"/>
      <c r="KKA1" s="696"/>
      <c r="KKB1" s="696"/>
      <c r="KKC1" s="696"/>
      <c r="KKD1" s="696"/>
      <c r="KKE1" s="696"/>
      <c r="KKF1" s="696"/>
      <c r="KKG1" s="696"/>
      <c r="KKH1" s="696"/>
      <c r="KKI1" s="696"/>
      <c r="KKJ1" s="696"/>
      <c r="KKK1" s="696"/>
      <c r="KKL1" s="696"/>
      <c r="KKM1" s="696"/>
      <c r="KKN1" s="696"/>
      <c r="KKO1" s="696"/>
      <c r="KKP1" s="696"/>
      <c r="KKQ1" s="696"/>
      <c r="KKR1" s="696"/>
      <c r="KKS1" s="696"/>
      <c r="KKT1" s="696"/>
      <c r="KKU1" s="696"/>
      <c r="KKV1" s="696"/>
      <c r="KKW1" s="696"/>
      <c r="KKX1" s="696"/>
      <c r="KKY1" s="696"/>
      <c r="KKZ1" s="696"/>
      <c r="KLA1" s="696"/>
      <c r="KLB1" s="696"/>
      <c r="KLC1" s="696"/>
      <c r="KLD1" s="696"/>
      <c r="KLE1" s="696"/>
      <c r="KLF1" s="696"/>
      <c r="KLG1" s="696"/>
      <c r="KLH1" s="696"/>
      <c r="KLI1" s="696"/>
      <c r="KLJ1" s="696"/>
      <c r="KLK1" s="696"/>
      <c r="KLL1" s="696"/>
      <c r="KLM1" s="696"/>
      <c r="KLN1" s="696"/>
      <c r="KLO1" s="696"/>
      <c r="KLP1" s="696"/>
      <c r="KLQ1" s="696"/>
      <c r="KLR1" s="696"/>
      <c r="KLS1" s="696"/>
      <c r="KLT1" s="696"/>
      <c r="KLU1" s="696"/>
      <c r="KLV1" s="696"/>
      <c r="KLW1" s="696"/>
      <c r="KLX1" s="696"/>
      <c r="KLY1" s="696"/>
      <c r="KLZ1" s="696"/>
      <c r="KMA1" s="696"/>
      <c r="KMB1" s="696"/>
      <c r="KMC1" s="696"/>
      <c r="KMD1" s="696"/>
      <c r="KME1" s="696"/>
      <c r="KMF1" s="696"/>
      <c r="KMG1" s="696"/>
      <c r="KMH1" s="696"/>
      <c r="KMI1" s="696"/>
      <c r="KMJ1" s="696"/>
      <c r="KMK1" s="696"/>
      <c r="KML1" s="696"/>
      <c r="KMM1" s="696"/>
      <c r="KMN1" s="696"/>
      <c r="KMO1" s="696"/>
      <c r="KMP1" s="696"/>
      <c r="KMQ1" s="696"/>
      <c r="KMR1" s="696"/>
      <c r="KMS1" s="696"/>
      <c r="KMT1" s="696"/>
      <c r="KMU1" s="696"/>
      <c r="KMV1" s="696"/>
      <c r="KMW1" s="696"/>
      <c r="KMX1" s="696"/>
      <c r="KMY1" s="696"/>
      <c r="KMZ1" s="696"/>
      <c r="KNA1" s="696"/>
      <c r="KNB1" s="696"/>
      <c r="KNC1" s="696"/>
      <c r="KND1" s="696"/>
      <c r="KNE1" s="696"/>
      <c r="KNF1" s="696"/>
      <c r="KNG1" s="696"/>
      <c r="KNH1" s="696"/>
      <c r="KNI1" s="696"/>
      <c r="KNJ1" s="696"/>
      <c r="KNK1" s="696"/>
      <c r="KNL1" s="696"/>
      <c r="KNM1" s="696"/>
      <c r="KNN1" s="696"/>
      <c r="KNO1" s="696"/>
      <c r="KNP1" s="696"/>
      <c r="KNQ1" s="696"/>
      <c r="KNR1" s="696"/>
      <c r="KNS1" s="696"/>
      <c r="KNT1" s="696"/>
      <c r="KNU1" s="696"/>
      <c r="KNV1" s="696"/>
      <c r="KNW1" s="696"/>
      <c r="KNX1" s="696"/>
      <c r="KNY1" s="696"/>
      <c r="KNZ1" s="696"/>
      <c r="KOA1" s="696"/>
      <c r="KOB1" s="696"/>
      <c r="KOC1" s="696"/>
      <c r="KOD1" s="696"/>
      <c r="KOE1" s="696"/>
      <c r="KOF1" s="696"/>
      <c r="KOG1" s="696"/>
      <c r="KOH1" s="696"/>
      <c r="KOI1" s="696"/>
      <c r="KOJ1" s="696"/>
      <c r="KOK1" s="696"/>
      <c r="KOL1" s="696"/>
      <c r="KOM1" s="696"/>
      <c r="KON1" s="696"/>
      <c r="KOO1" s="696"/>
      <c r="KOP1" s="696"/>
      <c r="KOQ1" s="696"/>
      <c r="KOR1" s="696"/>
      <c r="KOS1" s="696"/>
      <c r="KOT1" s="696"/>
      <c r="KOU1" s="696"/>
      <c r="KOV1" s="696"/>
      <c r="KOW1" s="696"/>
      <c r="KOX1" s="696"/>
      <c r="KOY1" s="696"/>
      <c r="KOZ1" s="696"/>
      <c r="KPA1" s="696"/>
      <c r="KPB1" s="696"/>
      <c r="KPC1" s="696"/>
      <c r="KPD1" s="696"/>
      <c r="KPE1" s="696"/>
      <c r="KPF1" s="696"/>
      <c r="KPG1" s="696"/>
      <c r="KPH1" s="696"/>
      <c r="KPI1" s="696"/>
      <c r="KPJ1" s="696"/>
      <c r="KPK1" s="696"/>
      <c r="KPL1" s="696"/>
      <c r="KPM1" s="696"/>
      <c r="KPN1" s="696"/>
      <c r="KPO1" s="696"/>
      <c r="KPP1" s="696"/>
      <c r="KPQ1" s="696"/>
      <c r="KPR1" s="696"/>
      <c r="KPS1" s="696"/>
      <c r="KPT1" s="696"/>
      <c r="KPU1" s="696"/>
      <c r="KPV1" s="696"/>
      <c r="KPW1" s="696"/>
      <c r="KPX1" s="696"/>
      <c r="KPY1" s="696"/>
      <c r="KPZ1" s="696"/>
      <c r="KQA1" s="696"/>
      <c r="KQB1" s="696"/>
      <c r="KQC1" s="696"/>
      <c r="KQD1" s="696"/>
      <c r="KQE1" s="696"/>
      <c r="KQF1" s="696"/>
      <c r="KQG1" s="696"/>
      <c r="KQH1" s="696"/>
      <c r="KQI1" s="696"/>
      <c r="KQJ1" s="696"/>
      <c r="KQK1" s="696"/>
      <c r="KQL1" s="696"/>
      <c r="KQM1" s="696"/>
      <c r="KQN1" s="696"/>
      <c r="KQO1" s="696"/>
      <c r="KQP1" s="696"/>
      <c r="KQQ1" s="696"/>
      <c r="KQR1" s="696"/>
      <c r="KQS1" s="696"/>
      <c r="KQT1" s="696"/>
      <c r="KQU1" s="696"/>
      <c r="KQV1" s="696"/>
      <c r="KQW1" s="696"/>
      <c r="KQX1" s="696"/>
      <c r="KQY1" s="696"/>
      <c r="KQZ1" s="696"/>
      <c r="KRA1" s="696"/>
      <c r="KRB1" s="696"/>
      <c r="KRC1" s="696"/>
      <c r="KRD1" s="696"/>
      <c r="KRE1" s="696"/>
      <c r="KRF1" s="696"/>
      <c r="KRG1" s="696"/>
      <c r="KRH1" s="696"/>
      <c r="KRI1" s="696"/>
      <c r="KRJ1" s="696"/>
      <c r="KRK1" s="696"/>
      <c r="KRL1" s="696"/>
      <c r="KRM1" s="696"/>
      <c r="KRN1" s="696"/>
      <c r="KRO1" s="696"/>
      <c r="KRP1" s="696"/>
      <c r="KRQ1" s="696"/>
      <c r="KRR1" s="696"/>
      <c r="KRS1" s="696"/>
      <c r="KRT1" s="696"/>
      <c r="KRU1" s="696"/>
      <c r="KRV1" s="696"/>
      <c r="KRW1" s="696"/>
      <c r="KRX1" s="696"/>
      <c r="KRY1" s="696"/>
      <c r="KRZ1" s="696"/>
      <c r="KSA1" s="696"/>
      <c r="KSB1" s="696"/>
      <c r="KSC1" s="696"/>
      <c r="KSD1" s="696"/>
      <c r="KSE1" s="696"/>
      <c r="KSF1" s="696"/>
      <c r="KSG1" s="696"/>
      <c r="KSH1" s="696"/>
      <c r="KSI1" s="696"/>
      <c r="KSJ1" s="696"/>
      <c r="KSK1" s="696"/>
      <c r="KSL1" s="696"/>
      <c r="KSM1" s="696"/>
      <c r="KSN1" s="696"/>
      <c r="KSO1" s="696"/>
      <c r="KSP1" s="696"/>
      <c r="KSQ1" s="696"/>
      <c r="KSR1" s="696"/>
      <c r="KSS1" s="696"/>
      <c r="KST1" s="696"/>
      <c r="KSU1" s="696"/>
      <c r="KSV1" s="696"/>
      <c r="KSW1" s="696"/>
      <c r="KSX1" s="696"/>
      <c r="KSY1" s="696"/>
      <c r="KSZ1" s="696"/>
      <c r="KTA1" s="696"/>
      <c r="KTB1" s="696"/>
      <c r="KTC1" s="696"/>
      <c r="KTD1" s="696"/>
      <c r="KTE1" s="696"/>
      <c r="KTF1" s="696"/>
      <c r="KTG1" s="696"/>
      <c r="KTH1" s="696"/>
      <c r="KTI1" s="696"/>
      <c r="KTJ1" s="696"/>
      <c r="KTK1" s="696"/>
      <c r="KTL1" s="696"/>
      <c r="KTM1" s="696"/>
      <c r="KTN1" s="696"/>
      <c r="KTO1" s="696"/>
      <c r="KTP1" s="696"/>
      <c r="KTQ1" s="696"/>
      <c r="KTR1" s="696"/>
      <c r="KTS1" s="696"/>
      <c r="KTT1" s="696"/>
      <c r="KTU1" s="696"/>
      <c r="KTV1" s="696"/>
      <c r="KTW1" s="696"/>
      <c r="KTX1" s="696"/>
      <c r="KTY1" s="696"/>
      <c r="KTZ1" s="696"/>
      <c r="KUA1" s="696"/>
      <c r="KUB1" s="696"/>
      <c r="KUC1" s="696"/>
      <c r="KUD1" s="696"/>
      <c r="KUE1" s="696"/>
      <c r="KUF1" s="696"/>
      <c r="KUG1" s="696"/>
      <c r="KUH1" s="696"/>
      <c r="KUI1" s="696"/>
      <c r="KUJ1" s="696"/>
      <c r="KUK1" s="696"/>
      <c r="KUL1" s="696"/>
      <c r="KUM1" s="696"/>
      <c r="KUN1" s="696"/>
      <c r="KUO1" s="696"/>
      <c r="KUP1" s="696"/>
      <c r="KUQ1" s="696"/>
      <c r="KUR1" s="696"/>
      <c r="KUS1" s="696"/>
      <c r="KUT1" s="696"/>
      <c r="KUU1" s="696"/>
      <c r="KUV1" s="696"/>
      <c r="KUW1" s="696"/>
      <c r="KUX1" s="696"/>
      <c r="KUY1" s="696"/>
      <c r="KUZ1" s="696"/>
      <c r="KVA1" s="696"/>
      <c r="KVB1" s="696"/>
      <c r="KVC1" s="696"/>
      <c r="KVD1" s="696"/>
      <c r="KVE1" s="696"/>
      <c r="KVF1" s="696"/>
      <c r="KVG1" s="696"/>
      <c r="KVH1" s="696"/>
      <c r="KVI1" s="696"/>
      <c r="KVJ1" s="696"/>
      <c r="KVK1" s="696"/>
      <c r="KVL1" s="696"/>
      <c r="KVM1" s="696"/>
      <c r="KVN1" s="696"/>
      <c r="KVO1" s="696"/>
      <c r="KVP1" s="696"/>
      <c r="KVQ1" s="696"/>
      <c r="KVR1" s="696"/>
      <c r="KVS1" s="696"/>
      <c r="KVT1" s="696"/>
      <c r="KVU1" s="696"/>
      <c r="KVV1" s="696"/>
      <c r="KVW1" s="696"/>
      <c r="KVX1" s="696"/>
      <c r="KVY1" s="696"/>
      <c r="KVZ1" s="696"/>
      <c r="KWA1" s="696"/>
      <c r="KWB1" s="696"/>
      <c r="KWC1" s="696"/>
      <c r="KWD1" s="696"/>
      <c r="KWE1" s="696"/>
      <c r="KWF1" s="696"/>
      <c r="KWG1" s="696"/>
      <c r="KWH1" s="696"/>
      <c r="KWI1" s="696"/>
      <c r="KWJ1" s="696"/>
      <c r="KWK1" s="696"/>
      <c r="KWL1" s="696"/>
      <c r="KWM1" s="696"/>
      <c r="KWN1" s="696"/>
      <c r="KWO1" s="696"/>
      <c r="KWP1" s="696"/>
      <c r="KWQ1" s="696"/>
      <c r="KWR1" s="696"/>
      <c r="KWS1" s="696"/>
      <c r="KWT1" s="696"/>
      <c r="KWU1" s="696"/>
      <c r="KWV1" s="696"/>
      <c r="KWW1" s="696"/>
      <c r="KWX1" s="696"/>
      <c r="KWY1" s="696"/>
      <c r="KWZ1" s="696"/>
      <c r="KXA1" s="696"/>
      <c r="KXB1" s="696"/>
      <c r="KXC1" s="696"/>
      <c r="KXD1" s="696"/>
      <c r="KXE1" s="696"/>
      <c r="KXF1" s="696"/>
      <c r="KXG1" s="696"/>
      <c r="KXH1" s="696"/>
      <c r="KXI1" s="696"/>
      <c r="KXJ1" s="696"/>
      <c r="KXK1" s="696"/>
      <c r="KXL1" s="696"/>
      <c r="KXM1" s="696"/>
      <c r="KXN1" s="696"/>
      <c r="KXO1" s="696"/>
      <c r="KXP1" s="696"/>
      <c r="KXQ1" s="696"/>
      <c r="KXR1" s="696"/>
      <c r="KXS1" s="696"/>
      <c r="KXT1" s="696"/>
      <c r="KXU1" s="696"/>
      <c r="KXV1" s="696"/>
      <c r="KXW1" s="696"/>
      <c r="KXX1" s="696"/>
      <c r="KXY1" s="696"/>
      <c r="KXZ1" s="696"/>
      <c r="KYA1" s="696"/>
      <c r="KYB1" s="696"/>
      <c r="KYC1" s="696"/>
      <c r="KYD1" s="696"/>
      <c r="KYE1" s="696"/>
      <c r="KYF1" s="696"/>
      <c r="KYG1" s="696"/>
      <c r="KYH1" s="696"/>
      <c r="KYI1" s="696"/>
      <c r="KYJ1" s="696"/>
      <c r="KYK1" s="696"/>
      <c r="KYL1" s="696"/>
      <c r="KYM1" s="696"/>
      <c r="KYN1" s="696"/>
      <c r="KYO1" s="696"/>
      <c r="KYP1" s="696"/>
      <c r="KYQ1" s="696"/>
      <c r="KYR1" s="696"/>
      <c r="KYS1" s="696"/>
      <c r="KYT1" s="696"/>
      <c r="KYU1" s="696"/>
      <c r="KYV1" s="696"/>
      <c r="KYW1" s="696"/>
      <c r="KYX1" s="696"/>
      <c r="KYY1" s="696"/>
      <c r="KYZ1" s="696"/>
      <c r="KZA1" s="696"/>
      <c r="KZB1" s="696"/>
      <c r="KZC1" s="696"/>
      <c r="KZD1" s="696"/>
      <c r="KZE1" s="696"/>
      <c r="KZF1" s="696"/>
      <c r="KZG1" s="696"/>
      <c r="KZH1" s="696"/>
      <c r="KZI1" s="696"/>
      <c r="KZJ1" s="696"/>
      <c r="KZK1" s="696"/>
      <c r="KZL1" s="696"/>
      <c r="KZM1" s="696"/>
      <c r="KZN1" s="696"/>
      <c r="KZO1" s="696"/>
      <c r="KZP1" s="696"/>
      <c r="KZQ1" s="696"/>
      <c r="KZR1" s="696"/>
      <c r="KZS1" s="696"/>
      <c r="KZT1" s="696"/>
      <c r="KZU1" s="696"/>
      <c r="KZV1" s="696"/>
      <c r="KZW1" s="696"/>
      <c r="KZX1" s="696"/>
      <c r="KZY1" s="696"/>
      <c r="KZZ1" s="696"/>
      <c r="LAA1" s="696"/>
      <c r="LAB1" s="696"/>
      <c r="LAC1" s="696"/>
      <c r="LAD1" s="696"/>
      <c r="LAE1" s="696"/>
      <c r="LAF1" s="696"/>
      <c r="LAG1" s="696"/>
      <c r="LAH1" s="696"/>
      <c r="LAI1" s="696"/>
      <c r="LAJ1" s="696"/>
      <c r="LAK1" s="696"/>
      <c r="LAL1" s="696"/>
      <c r="LAM1" s="696"/>
      <c r="LAN1" s="696"/>
      <c r="LAO1" s="696"/>
      <c r="LAP1" s="696"/>
      <c r="LAQ1" s="696"/>
      <c r="LAR1" s="696"/>
      <c r="LAS1" s="696"/>
      <c r="LAT1" s="696"/>
      <c r="LAU1" s="696"/>
      <c r="LAV1" s="696"/>
      <c r="LAW1" s="696"/>
      <c r="LAX1" s="696"/>
      <c r="LAY1" s="696"/>
      <c r="LAZ1" s="696"/>
      <c r="LBA1" s="696"/>
      <c r="LBB1" s="696"/>
      <c r="LBC1" s="696"/>
      <c r="LBD1" s="696"/>
      <c r="LBE1" s="696"/>
      <c r="LBF1" s="696"/>
      <c r="LBG1" s="696"/>
      <c r="LBH1" s="696"/>
      <c r="LBI1" s="696"/>
      <c r="LBJ1" s="696"/>
      <c r="LBK1" s="696"/>
      <c r="LBL1" s="696"/>
      <c r="LBM1" s="696"/>
      <c r="LBN1" s="696"/>
      <c r="LBO1" s="696"/>
      <c r="LBP1" s="696"/>
      <c r="LBQ1" s="696"/>
      <c r="LBR1" s="696"/>
      <c r="LBS1" s="696"/>
      <c r="LBT1" s="696"/>
      <c r="LBU1" s="696"/>
      <c r="LBV1" s="696"/>
      <c r="LBW1" s="696"/>
      <c r="LBX1" s="696"/>
      <c r="LBY1" s="696"/>
      <c r="LBZ1" s="696"/>
      <c r="LCA1" s="696"/>
      <c r="LCB1" s="696"/>
      <c r="LCC1" s="696"/>
      <c r="LCD1" s="696"/>
      <c r="LCE1" s="696"/>
      <c r="LCF1" s="696"/>
      <c r="LCG1" s="696"/>
      <c r="LCH1" s="696"/>
      <c r="LCI1" s="696"/>
      <c r="LCJ1" s="696"/>
      <c r="LCK1" s="696"/>
      <c r="LCL1" s="696"/>
      <c r="LCM1" s="696"/>
      <c r="LCN1" s="696"/>
      <c r="LCO1" s="696"/>
      <c r="LCP1" s="696"/>
      <c r="LCQ1" s="696"/>
      <c r="LCR1" s="696"/>
      <c r="LCS1" s="696"/>
      <c r="LCT1" s="696"/>
      <c r="LCU1" s="696"/>
      <c r="LCV1" s="696"/>
      <c r="LCW1" s="696"/>
      <c r="LCX1" s="696"/>
      <c r="LCY1" s="696"/>
      <c r="LCZ1" s="696"/>
      <c r="LDA1" s="696"/>
      <c r="LDB1" s="696"/>
      <c r="LDC1" s="696"/>
      <c r="LDD1" s="696"/>
      <c r="LDE1" s="696"/>
      <c r="LDF1" s="696"/>
      <c r="LDG1" s="696"/>
      <c r="LDH1" s="696"/>
      <c r="LDI1" s="696"/>
      <c r="LDJ1" s="696"/>
      <c r="LDK1" s="696"/>
      <c r="LDL1" s="696"/>
      <c r="LDM1" s="696"/>
      <c r="LDN1" s="696"/>
      <c r="LDO1" s="696"/>
      <c r="LDP1" s="696"/>
      <c r="LDQ1" s="696"/>
      <c r="LDR1" s="696"/>
      <c r="LDS1" s="696"/>
      <c r="LDT1" s="696"/>
      <c r="LDU1" s="696"/>
      <c r="LDV1" s="696"/>
      <c r="LDW1" s="696"/>
      <c r="LDX1" s="696"/>
      <c r="LDY1" s="696"/>
      <c r="LDZ1" s="696"/>
      <c r="LEA1" s="696"/>
      <c r="LEB1" s="696"/>
      <c r="LEC1" s="696"/>
      <c r="LED1" s="696"/>
      <c r="LEE1" s="696"/>
      <c r="LEF1" s="696"/>
      <c r="LEG1" s="696"/>
      <c r="LEH1" s="696"/>
      <c r="LEI1" s="696"/>
      <c r="LEJ1" s="696"/>
      <c r="LEK1" s="696"/>
      <c r="LEL1" s="696"/>
      <c r="LEM1" s="696"/>
      <c r="LEN1" s="696"/>
      <c r="LEO1" s="696"/>
      <c r="LEP1" s="696"/>
      <c r="LEQ1" s="696"/>
      <c r="LER1" s="696"/>
      <c r="LES1" s="696"/>
      <c r="LET1" s="696"/>
      <c r="LEU1" s="696"/>
      <c r="LEV1" s="696"/>
      <c r="LEW1" s="696"/>
      <c r="LEX1" s="696"/>
      <c r="LEY1" s="696"/>
      <c r="LEZ1" s="696"/>
      <c r="LFA1" s="696"/>
      <c r="LFB1" s="696"/>
      <c r="LFC1" s="696"/>
      <c r="LFD1" s="696"/>
      <c r="LFE1" s="696"/>
      <c r="LFF1" s="696"/>
      <c r="LFG1" s="696"/>
      <c r="LFH1" s="696"/>
      <c r="LFI1" s="696"/>
      <c r="LFJ1" s="696"/>
      <c r="LFK1" s="696"/>
      <c r="LFL1" s="696"/>
      <c r="LFM1" s="696"/>
      <c r="LFN1" s="696"/>
      <c r="LFO1" s="696"/>
      <c r="LFP1" s="696"/>
      <c r="LFQ1" s="696"/>
      <c r="LFR1" s="696"/>
      <c r="LFS1" s="696"/>
      <c r="LFT1" s="696"/>
      <c r="LFU1" s="696"/>
      <c r="LFV1" s="696"/>
      <c r="LFW1" s="696"/>
      <c r="LFX1" s="696"/>
      <c r="LFY1" s="696"/>
      <c r="LFZ1" s="696"/>
      <c r="LGA1" s="696"/>
      <c r="LGB1" s="696"/>
      <c r="LGC1" s="696"/>
      <c r="LGD1" s="696"/>
      <c r="LGE1" s="696"/>
      <c r="LGF1" s="696"/>
      <c r="LGG1" s="696"/>
      <c r="LGH1" s="696"/>
      <c r="LGI1" s="696"/>
      <c r="LGJ1" s="696"/>
      <c r="LGK1" s="696"/>
      <c r="LGL1" s="696"/>
      <c r="LGM1" s="696"/>
      <c r="LGN1" s="696"/>
      <c r="LGO1" s="696"/>
      <c r="LGP1" s="696"/>
      <c r="LGQ1" s="696"/>
      <c r="LGR1" s="696"/>
      <c r="LGS1" s="696"/>
      <c r="LGT1" s="696"/>
      <c r="LGU1" s="696"/>
      <c r="LGV1" s="696"/>
      <c r="LGW1" s="696"/>
      <c r="LGX1" s="696"/>
      <c r="LGY1" s="696"/>
      <c r="LGZ1" s="696"/>
      <c r="LHA1" s="696"/>
      <c r="LHB1" s="696"/>
      <c r="LHC1" s="696"/>
      <c r="LHD1" s="696"/>
      <c r="LHE1" s="696"/>
      <c r="LHF1" s="696"/>
      <c r="LHG1" s="696"/>
      <c r="LHH1" s="696"/>
      <c r="LHI1" s="696"/>
      <c r="LHJ1" s="696"/>
      <c r="LHK1" s="696"/>
      <c r="LHL1" s="696"/>
      <c r="LHM1" s="696"/>
      <c r="LHN1" s="696"/>
      <c r="LHO1" s="696"/>
      <c r="LHP1" s="696"/>
      <c r="LHQ1" s="696"/>
      <c r="LHR1" s="696"/>
      <c r="LHS1" s="696"/>
      <c r="LHT1" s="696"/>
      <c r="LHU1" s="696"/>
      <c r="LHV1" s="696"/>
      <c r="LHW1" s="696"/>
      <c r="LHX1" s="696"/>
      <c r="LHY1" s="696"/>
      <c r="LHZ1" s="696"/>
      <c r="LIA1" s="696"/>
      <c r="LIB1" s="696"/>
      <c r="LIC1" s="696"/>
      <c r="LID1" s="696"/>
      <c r="LIE1" s="696"/>
      <c r="LIF1" s="696"/>
      <c r="LIG1" s="696"/>
      <c r="LIH1" s="696"/>
      <c r="LII1" s="696"/>
      <c r="LIJ1" s="696"/>
      <c r="LIK1" s="696"/>
      <c r="LIL1" s="696"/>
      <c r="LIM1" s="696"/>
      <c r="LIN1" s="696"/>
      <c r="LIO1" s="696"/>
      <c r="LIP1" s="696"/>
      <c r="LIQ1" s="696"/>
      <c r="LIR1" s="696"/>
      <c r="LIS1" s="696"/>
      <c r="LIT1" s="696"/>
      <c r="LIU1" s="696"/>
      <c r="LIV1" s="696"/>
      <c r="LIW1" s="696"/>
      <c r="LIX1" s="696"/>
      <c r="LIY1" s="696"/>
      <c r="LIZ1" s="696"/>
      <c r="LJA1" s="696"/>
      <c r="LJB1" s="696"/>
      <c r="LJC1" s="696"/>
      <c r="LJD1" s="696"/>
      <c r="LJE1" s="696"/>
      <c r="LJF1" s="696"/>
      <c r="LJG1" s="696"/>
      <c r="LJH1" s="696"/>
      <c r="LJI1" s="696"/>
      <c r="LJJ1" s="696"/>
      <c r="LJK1" s="696"/>
      <c r="LJL1" s="696"/>
      <c r="LJM1" s="696"/>
      <c r="LJN1" s="696"/>
      <c r="LJO1" s="696"/>
      <c r="LJP1" s="696"/>
      <c r="LJQ1" s="696"/>
      <c r="LJR1" s="696"/>
      <c r="LJS1" s="696"/>
      <c r="LJT1" s="696"/>
      <c r="LJU1" s="696"/>
      <c r="LJV1" s="696"/>
      <c r="LJW1" s="696"/>
      <c r="LJX1" s="696"/>
      <c r="LJY1" s="696"/>
      <c r="LJZ1" s="696"/>
      <c r="LKA1" s="696"/>
      <c r="LKB1" s="696"/>
      <c r="LKC1" s="696"/>
      <c r="LKD1" s="696"/>
      <c r="LKE1" s="696"/>
      <c r="LKF1" s="696"/>
      <c r="LKG1" s="696"/>
      <c r="LKH1" s="696"/>
      <c r="LKI1" s="696"/>
      <c r="LKJ1" s="696"/>
      <c r="LKK1" s="696"/>
      <c r="LKL1" s="696"/>
      <c r="LKM1" s="696"/>
      <c r="LKN1" s="696"/>
      <c r="LKO1" s="696"/>
      <c r="LKP1" s="696"/>
      <c r="LKQ1" s="696"/>
      <c r="LKR1" s="696"/>
      <c r="LKS1" s="696"/>
      <c r="LKT1" s="696"/>
      <c r="LKU1" s="696"/>
      <c r="LKV1" s="696"/>
      <c r="LKW1" s="696"/>
      <c r="LKX1" s="696"/>
      <c r="LKY1" s="696"/>
      <c r="LKZ1" s="696"/>
      <c r="LLA1" s="696"/>
      <c r="LLB1" s="696"/>
      <c r="LLC1" s="696"/>
      <c r="LLD1" s="696"/>
      <c r="LLE1" s="696"/>
      <c r="LLF1" s="696"/>
      <c r="LLG1" s="696"/>
      <c r="LLH1" s="696"/>
      <c r="LLI1" s="696"/>
      <c r="LLJ1" s="696"/>
      <c r="LLK1" s="696"/>
      <c r="LLL1" s="696"/>
      <c r="LLM1" s="696"/>
      <c r="LLN1" s="696"/>
      <c r="LLO1" s="696"/>
      <c r="LLP1" s="696"/>
      <c r="LLQ1" s="696"/>
      <c r="LLR1" s="696"/>
      <c r="LLS1" s="696"/>
      <c r="LLT1" s="696"/>
      <c r="LLU1" s="696"/>
      <c r="LLV1" s="696"/>
      <c r="LLW1" s="696"/>
      <c r="LLX1" s="696"/>
      <c r="LLY1" s="696"/>
      <c r="LLZ1" s="696"/>
      <c r="LMA1" s="696"/>
      <c r="LMB1" s="696"/>
      <c r="LMC1" s="696"/>
      <c r="LMD1" s="696"/>
      <c r="LME1" s="696"/>
      <c r="LMF1" s="696"/>
      <c r="LMG1" s="696"/>
      <c r="LMH1" s="696"/>
      <c r="LMI1" s="696"/>
      <c r="LMJ1" s="696"/>
      <c r="LMK1" s="696"/>
      <c r="LML1" s="696"/>
      <c r="LMM1" s="696"/>
      <c r="LMN1" s="696"/>
      <c r="LMO1" s="696"/>
      <c r="LMP1" s="696"/>
      <c r="LMQ1" s="696"/>
      <c r="LMR1" s="696"/>
      <c r="LMS1" s="696"/>
      <c r="LMT1" s="696"/>
      <c r="LMU1" s="696"/>
      <c r="LMV1" s="696"/>
      <c r="LMW1" s="696"/>
      <c r="LMX1" s="696"/>
      <c r="LMY1" s="696"/>
      <c r="LMZ1" s="696"/>
      <c r="LNA1" s="696"/>
      <c r="LNB1" s="696"/>
      <c r="LNC1" s="696"/>
      <c r="LND1" s="696"/>
      <c r="LNE1" s="696"/>
      <c r="LNF1" s="696"/>
      <c r="LNG1" s="696"/>
      <c r="LNH1" s="696"/>
      <c r="LNI1" s="696"/>
      <c r="LNJ1" s="696"/>
      <c r="LNK1" s="696"/>
      <c r="LNL1" s="696"/>
      <c r="LNM1" s="696"/>
      <c r="LNN1" s="696"/>
      <c r="LNO1" s="696"/>
      <c r="LNP1" s="696"/>
      <c r="LNQ1" s="696"/>
      <c r="LNR1" s="696"/>
      <c r="LNS1" s="696"/>
      <c r="LNT1" s="696"/>
      <c r="LNU1" s="696"/>
      <c r="LNV1" s="696"/>
      <c r="LNW1" s="696"/>
      <c r="LNX1" s="696"/>
      <c r="LNY1" s="696"/>
      <c r="LNZ1" s="696"/>
      <c r="LOA1" s="696"/>
      <c r="LOB1" s="696"/>
      <c r="LOC1" s="696"/>
      <c r="LOD1" s="696"/>
      <c r="LOE1" s="696"/>
      <c r="LOF1" s="696"/>
      <c r="LOG1" s="696"/>
      <c r="LOH1" s="696"/>
      <c r="LOI1" s="696"/>
      <c r="LOJ1" s="696"/>
      <c r="LOK1" s="696"/>
      <c r="LOL1" s="696"/>
      <c r="LOM1" s="696"/>
      <c r="LON1" s="696"/>
      <c r="LOO1" s="696"/>
      <c r="LOP1" s="696"/>
      <c r="LOQ1" s="696"/>
      <c r="LOR1" s="696"/>
      <c r="LOS1" s="696"/>
      <c r="LOT1" s="696"/>
      <c r="LOU1" s="696"/>
      <c r="LOV1" s="696"/>
      <c r="LOW1" s="696"/>
      <c r="LOX1" s="696"/>
      <c r="LOY1" s="696"/>
      <c r="LOZ1" s="696"/>
      <c r="LPA1" s="696"/>
      <c r="LPB1" s="696"/>
      <c r="LPC1" s="696"/>
      <c r="LPD1" s="696"/>
      <c r="LPE1" s="696"/>
      <c r="LPF1" s="696"/>
      <c r="LPG1" s="696"/>
      <c r="LPH1" s="696"/>
      <c r="LPI1" s="696"/>
      <c r="LPJ1" s="696"/>
      <c r="LPK1" s="696"/>
      <c r="LPL1" s="696"/>
      <c r="LPM1" s="696"/>
      <c r="LPN1" s="696"/>
      <c r="LPO1" s="696"/>
      <c r="LPP1" s="696"/>
      <c r="LPQ1" s="696"/>
      <c r="LPR1" s="696"/>
      <c r="LPS1" s="696"/>
      <c r="LPT1" s="696"/>
      <c r="LPU1" s="696"/>
      <c r="LPV1" s="696"/>
      <c r="LPW1" s="696"/>
      <c r="LPX1" s="696"/>
      <c r="LPY1" s="696"/>
      <c r="LPZ1" s="696"/>
      <c r="LQA1" s="696"/>
      <c r="LQB1" s="696"/>
      <c r="LQC1" s="696"/>
      <c r="LQD1" s="696"/>
      <c r="LQE1" s="696"/>
      <c r="LQF1" s="696"/>
      <c r="LQG1" s="696"/>
      <c r="LQH1" s="696"/>
      <c r="LQI1" s="696"/>
      <c r="LQJ1" s="696"/>
      <c r="LQK1" s="696"/>
      <c r="LQL1" s="696"/>
      <c r="LQM1" s="696"/>
      <c r="LQN1" s="696"/>
      <c r="LQO1" s="696"/>
      <c r="LQP1" s="696"/>
      <c r="LQQ1" s="696"/>
      <c r="LQR1" s="696"/>
      <c r="LQS1" s="696"/>
      <c r="LQT1" s="696"/>
      <c r="LQU1" s="696"/>
      <c r="LQV1" s="696"/>
      <c r="LQW1" s="696"/>
      <c r="LQX1" s="696"/>
      <c r="LQY1" s="696"/>
      <c r="LQZ1" s="696"/>
      <c r="LRA1" s="696"/>
      <c r="LRB1" s="696"/>
      <c r="LRC1" s="696"/>
      <c r="LRD1" s="696"/>
      <c r="LRE1" s="696"/>
      <c r="LRF1" s="696"/>
      <c r="LRG1" s="696"/>
      <c r="LRH1" s="696"/>
      <c r="LRI1" s="696"/>
      <c r="LRJ1" s="696"/>
      <c r="LRK1" s="696"/>
      <c r="LRL1" s="696"/>
      <c r="LRM1" s="696"/>
      <c r="LRN1" s="696"/>
      <c r="LRO1" s="696"/>
      <c r="LRP1" s="696"/>
      <c r="LRQ1" s="696"/>
      <c r="LRR1" s="696"/>
      <c r="LRS1" s="696"/>
      <c r="LRT1" s="696"/>
      <c r="LRU1" s="696"/>
      <c r="LRV1" s="696"/>
      <c r="LRW1" s="696"/>
      <c r="LRX1" s="696"/>
      <c r="LRY1" s="696"/>
      <c r="LRZ1" s="696"/>
      <c r="LSA1" s="696"/>
      <c r="LSB1" s="696"/>
      <c r="LSC1" s="696"/>
      <c r="LSD1" s="696"/>
      <c r="LSE1" s="696"/>
      <c r="LSF1" s="696"/>
      <c r="LSG1" s="696"/>
      <c r="LSH1" s="696"/>
      <c r="LSI1" s="696"/>
      <c r="LSJ1" s="696"/>
      <c r="LSK1" s="696"/>
      <c r="LSL1" s="696"/>
      <c r="LSM1" s="696"/>
      <c r="LSN1" s="696"/>
      <c r="LSO1" s="696"/>
      <c r="LSP1" s="696"/>
      <c r="LSQ1" s="696"/>
      <c r="LSR1" s="696"/>
      <c r="LSS1" s="696"/>
      <c r="LST1" s="696"/>
      <c r="LSU1" s="696"/>
      <c r="LSV1" s="696"/>
      <c r="LSW1" s="696"/>
      <c r="LSX1" s="696"/>
      <c r="LSY1" s="696"/>
      <c r="LSZ1" s="696"/>
      <c r="LTA1" s="696"/>
      <c r="LTB1" s="696"/>
      <c r="LTC1" s="696"/>
      <c r="LTD1" s="696"/>
      <c r="LTE1" s="696"/>
      <c r="LTF1" s="696"/>
      <c r="LTG1" s="696"/>
      <c r="LTH1" s="696"/>
      <c r="LTI1" s="696"/>
      <c r="LTJ1" s="696"/>
      <c r="LTK1" s="696"/>
      <c r="LTL1" s="696"/>
      <c r="LTM1" s="696"/>
      <c r="LTN1" s="696"/>
      <c r="LTO1" s="696"/>
      <c r="LTP1" s="696"/>
      <c r="LTQ1" s="696"/>
      <c r="LTR1" s="696"/>
      <c r="LTS1" s="696"/>
      <c r="LTT1" s="696"/>
      <c r="LTU1" s="696"/>
      <c r="LTV1" s="696"/>
      <c r="LTW1" s="696"/>
      <c r="LTX1" s="696"/>
      <c r="LTY1" s="696"/>
      <c r="LTZ1" s="696"/>
      <c r="LUA1" s="696"/>
      <c r="LUB1" s="696"/>
      <c r="LUC1" s="696"/>
      <c r="LUD1" s="696"/>
      <c r="LUE1" s="696"/>
      <c r="LUF1" s="696"/>
      <c r="LUG1" s="696"/>
      <c r="LUH1" s="696"/>
      <c r="LUI1" s="696"/>
      <c r="LUJ1" s="696"/>
      <c r="LUK1" s="696"/>
      <c r="LUL1" s="696"/>
      <c r="LUM1" s="696"/>
      <c r="LUN1" s="696"/>
      <c r="LUO1" s="696"/>
      <c r="LUP1" s="696"/>
      <c r="LUQ1" s="696"/>
      <c r="LUR1" s="696"/>
      <c r="LUS1" s="696"/>
      <c r="LUT1" s="696"/>
      <c r="LUU1" s="696"/>
      <c r="LUV1" s="696"/>
      <c r="LUW1" s="696"/>
      <c r="LUX1" s="696"/>
      <c r="LUY1" s="696"/>
      <c r="LUZ1" s="696"/>
      <c r="LVA1" s="696"/>
      <c r="LVB1" s="696"/>
      <c r="LVC1" s="696"/>
      <c r="LVD1" s="696"/>
      <c r="LVE1" s="696"/>
      <c r="LVF1" s="696"/>
      <c r="LVG1" s="696"/>
      <c r="LVH1" s="696"/>
      <c r="LVI1" s="696"/>
      <c r="LVJ1" s="696"/>
      <c r="LVK1" s="696"/>
      <c r="LVL1" s="696"/>
      <c r="LVM1" s="696"/>
      <c r="LVN1" s="696"/>
      <c r="LVO1" s="696"/>
      <c r="LVP1" s="696"/>
      <c r="LVQ1" s="696"/>
      <c r="LVR1" s="696"/>
      <c r="LVS1" s="696"/>
      <c r="LVT1" s="696"/>
      <c r="LVU1" s="696"/>
      <c r="LVV1" s="696"/>
      <c r="LVW1" s="696"/>
      <c r="LVX1" s="696"/>
      <c r="LVY1" s="696"/>
      <c r="LVZ1" s="696"/>
      <c r="LWA1" s="696"/>
      <c r="LWB1" s="696"/>
      <c r="LWC1" s="696"/>
      <c r="LWD1" s="696"/>
      <c r="LWE1" s="696"/>
      <c r="LWF1" s="696"/>
      <c r="LWG1" s="696"/>
      <c r="LWH1" s="696"/>
      <c r="LWI1" s="696"/>
      <c r="LWJ1" s="696"/>
      <c r="LWK1" s="696"/>
      <c r="LWL1" s="696"/>
      <c r="LWM1" s="696"/>
      <c r="LWN1" s="696"/>
      <c r="LWO1" s="696"/>
      <c r="LWP1" s="696"/>
      <c r="LWQ1" s="696"/>
      <c r="LWR1" s="696"/>
      <c r="LWS1" s="696"/>
      <c r="LWT1" s="696"/>
      <c r="LWU1" s="696"/>
      <c r="LWV1" s="696"/>
      <c r="LWW1" s="696"/>
      <c r="LWX1" s="696"/>
      <c r="LWY1" s="696"/>
      <c r="LWZ1" s="696"/>
      <c r="LXA1" s="696"/>
      <c r="LXB1" s="696"/>
      <c r="LXC1" s="696"/>
      <c r="LXD1" s="696"/>
      <c r="LXE1" s="696"/>
      <c r="LXF1" s="696"/>
      <c r="LXG1" s="696"/>
      <c r="LXH1" s="696"/>
      <c r="LXI1" s="696"/>
      <c r="LXJ1" s="696"/>
      <c r="LXK1" s="696"/>
      <c r="LXL1" s="696"/>
      <c r="LXM1" s="696"/>
      <c r="LXN1" s="696"/>
      <c r="LXO1" s="696"/>
      <c r="LXP1" s="696"/>
      <c r="LXQ1" s="696"/>
      <c r="LXR1" s="696"/>
      <c r="LXS1" s="696"/>
      <c r="LXT1" s="696"/>
      <c r="LXU1" s="696"/>
      <c r="LXV1" s="696"/>
      <c r="LXW1" s="696"/>
      <c r="LXX1" s="696"/>
      <c r="LXY1" s="696"/>
      <c r="LXZ1" s="696"/>
      <c r="LYA1" s="696"/>
      <c r="LYB1" s="696"/>
      <c r="LYC1" s="696"/>
      <c r="LYD1" s="696"/>
      <c r="LYE1" s="696"/>
      <c r="LYF1" s="696"/>
      <c r="LYG1" s="696"/>
      <c r="LYH1" s="696"/>
      <c r="LYI1" s="696"/>
      <c r="LYJ1" s="696"/>
      <c r="LYK1" s="696"/>
      <c r="LYL1" s="696"/>
      <c r="LYM1" s="696"/>
      <c r="LYN1" s="696"/>
      <c r="LYO1" s="696"/>
      <c r="LYP1" s="696"/>
      <c r="LYQ1" s="696"/>
      <c r="LYR1" s="696"/>
      <c r="LYS1" s="696"/>
      <c r="LYT1" s="696"/>
      <c r="LYU1" s="696"/>
      <c r="LYV1" s="696"/>
      <c r="LYW1" s="696"/>
      <c r="LYX1" s="696"/>
      <c r="LYY1" s="696"/>
      <c r="LYZ1" s="696"/>
      <c r="LZA1" s="696"/>
      <c r="LZB1" s="696"/>
      <c r="LZC1" s="696"/>
      <c r="LZD1" s="696"/>
      <c r="LZE1" s="696"/>
      <c r="LZF1" s="696"/>
      <c r="LZG1" s="696"/>
      <c r="LZH1" s="696"/>
      <c r="LZI1" s="696"/>
      <c r="LZJ1" s="696"/>
      <c r="LZK1" s="696"/>
      <c r="LZL1" s="696"/>
      <c r="LZM1" s="696"/>
      <c r="LZN1" s="696"/>
      <c r="LZO1" s="696"/>
      <c r="LZP1" s="696"/>
      <c r="LZQ1" s="696"/>
      <c r="LZR1" s="696"/>
      <c r="LZS1" s="696"/>
      <c r="LZT1" s="696"/>
      <c r="LZU1" s="696"/>
      <c r="LZV1" s="696"/>
      <c r="LZW1" s="696"/>
      <c r="LZX1" s="696"/>
      <c r="LZY1" s="696"/>
      <c r="LZZ1" s="696"/>
      <c r="MAA1" s="696"/>
      <c r="MAB1" s="696"/>
      <c r="MAC1" s="696"/>
      <c r="MAD1" s="696"/>
      <c r="MAE1" s="696"/>
      <c r="MAF1" s="696"/>
      <c r="MAG1" s="696"/>
      <c r="MAH1" s="696"/>
      <c r="MAI1" s="696"/>
      <c r="MAJ1" s="696"/>
      <c r="MAK1" s="696"/>
      <c r="MAL1" s="696"/>
      <c r="MAM1" s="696"/>
      <c r="MAN1" s="696"/>
      <c r="MAO1" s="696"/>
      <c r="MAP1" s="696"/>
      <c r="MAQ1" s="696"/>
      <c r="MAR1" s="696"/>
      <c r="MAS1" s="696"/>
      <c r="MAT1" s="696"/>
      <c r="MAU1" s="696"/>
      <c r="MAV1" s="696"/>
      <c r="MAW1" s="696"/>
      <c r="MAX1" s="696"/>
      <c r="MAY1" s="696"/>
      <c r="MAZ1" s="696"/>
      <c r="MBA1" s="696"/>
      <c r="MBB1" s="696"/>
      <c r="MBC1" s="696"/>
      <c r="MBD1" s="696"/>
      <c r="MBE1" s="696"/>
      <c r="MBF1" s="696"/>
      <c r="MBG1" s="696"/>
      <c r="MBH1" s="696"/>
      <c r="MBI1" s="696"/>
      <c r="MBJ1" s="696"/>
      <c r="MBK1" s="696"/>
      <c r="MBL1" s="696"/>
      <c r="MBM1" s="696"/>
      <c r="MBN1" s="696"/>
      <c r="MBO1" s="696"/>
      <c r="MBP1" s="696"/>
      <c r="MBQ1" s="696"/>
      <c r="MBR1" s="696"/>
      <c r="MBS1" s="696"/>
      <c r="MBT1" s="696"/>
      <c r="MBU1" s="696"/>
      <c r="MBV1" s="696"/>
      <c r="MBW1" s="696"/>
      <c r="MBX1" s="696"/>
      <c r="MBY1" s="696"/>
      <c r="MBZ1" s="696"/>
      <c r="MCA1" s="696"/>
      <c r="MCB1" s="696"/>
      <c r="MCC1" s="696"/>
      <c r="MCD1" s="696"/>
      <c r="MCE1" s="696"/>
      <c r="MCF1" s="696"/>
      <c r="MCG1" s="696"/>
      <c r="MCH1" s="696"/>
      <c r="MCI1" s="696"/>
      <c r="MCJ1" s="696"/>
      <c r="MCK1" s="696"/>
      <c r="MCL1" s="696"/>
      <c r="MCM1" s="696"/>
      <c r="MCN1" s="696"/>
      <c r="MCO1" s="696"/>
      <c r="MCP1" s="696"/>
      <c r="MCQ1" s="696"/>
      <c r="MCR1" s="696"/>
      <c r="MCS1" s="696"/>
      <c r="MCT1" s="696"/>
      <c r="MCU1" s="696"/>
      <c r="MCV1" s="696"/>
      <c r="MCW1" s="696"/>
      <c r="MCX1" s="696"/>
      <c r="MCY1" s="696"/>
      <c r="MCZ1" s="696"/>
      <c r="MDA1" s="696"/>
      <c r="MDB1" s="696"/>
      <c r="MDC1" s="696"/>
      <c r="MDD1" s="696"/>
      <c r="MDE1" s="696"/>
      <c r="MDF1" s="696"/>
      <c r="MDG1" s="696"/>
      <c r="MDH1" s="696"/>
      <c r="MDI1" s="696"/>
      <c r="MDJ1" s="696"/>
      <c r="MDK1" s="696"/>
      <c r="MDL1" s="696"/>
      <c r="MDM1" s="696"/>
      <c r="MDN1" s="696"/>
      <c r="MDO1" s="696"/>
      <c r="MDP1" s="696"/>
      <c r="MDQ1" s="696"/>
      <c r="MDR1" s="696"/>
      <c r="MDS1" s="696"/>
      <c r="MDT1" s="696"/>
      <c r="MDU1" s="696"/>
      <c r="MDV1" s="696"/>
      <c r="MDW1" s="696"/>
      <c r="MDX1" s="696"/>
      <c r="MDY1" s="696"/>
      <c r="MDZ1" s="696"/>
      <c r="MEA1" s="696"/>
      <c r="MEB1" s="696"/>
      <c r="MEC1" s="696"/>
      <c r="MED1" s="696"/>
      <c r="MEE1" s="696"/>
      <c r="MEF1" s="696"/>
      <c r="MEG1" s="696"/>
      <c r="MEH1" s="696"/>
      <c r="MEI1" s="696"/>
      <c r="MEJ1" s="696"/>
      <c r="MEK1" s="696"/>
      <c r="MEL1" s="696"/>
      <c r="MEM1" s="696"/>
      <c r="MEN1" s="696"/>
      <c r="MEO1" s="696"/>
      <c r="MEP1" s="696"/>
      <c r="MEQ1" s="696"/>
      <c r="MER1" s="696"/>
      <c r="MES1" s="696"/>
      <c r="MET1" s="696"/>
      <c r="MEU1" s="696"/>
      <c r="MEV1" s="696"/>
      <c r="MEW1" s="696"/>
      <c r="MEX1" s="696"/>
      <c r="MEY1" s="696"/>
      <c r="MEZ1" s="696"/>
      <c r="MFA1" s="696"/>
      <c r="MFB1" s="696"/>
      <c r="MFC1" s="696"/>
      <c r="MFD1" s="696"/>
      <c r="MFE1" s="696"/>
      <c r="MFF1" s="696"/>
      <c r="MFG1" s="696"/>
      <c r="MFH1" s="696"/>
      <c r="MFI1" s="696"/>
      <c r="MFJ1" s="696"/>
      <c r="MFK1" s="696"/>
      <c r="MFL1" s="696"/>
      <c r="MFM1" s="696"/>
      <c r="MFN1" s="696"/>
      <c r="MFO1" s="696"/>
      <c r="MFP1" s="696"/>
      <c r="MFQ1" s="696"/>
      <c r="MFR1" s="696"/>
      <c r="MFS1" s="696"/>
      <c r="MFT1" s="696"/>
      <c r="MFU1" s="696"/>
      <c r="MFV1" s="696"/>
      <c r="MFW1" s="696"/>
      <c r="MFX1" s="696"/>
      <c r="MFY1" s="696"/>
      <c r="MFZ1" s="696"/>
      <c r="MGA1" s="696"/>
      <c r="MGB1" s="696"/>
      <c r="MGC1" s="696"/>
      <c r="MGD1" s="696"/>
      <c r="MGE1" s="696"/>
      <c r="MGF1" s="696"/>
      <c r="MGG1" s="696"/>
      <c r="MGH1" s="696"/>
      <c r="MGI1" s="696"/>
      <c r="MGJ1" s="696"/>
      <c r="MGK1" s="696"/>
      <c r="MGL1" s="696"/>
      <c r="MGM1" s="696"/>
      <c r="MGN1" s="696"/>
      <c r="MGO1" s="696"/>
      <c r="MGP1" s="696"/>
      <c r="MGQ1" s="696"/>
      <c r="MGR1" s="696"/>
      <c r="MGS1" s="696"/>
      <c r="MGT1" s="696"/>
      <c r="MGU1" s="696"/>
      <c r="MGV1" s="696"/>
      <c r="MGW1" s="696"/>
      <c r="MGX1" s="696"/>
      <c r="MGY1" s="696"/>
      <c r="MGZ1" s="696"/>
      <c r="MHA1" s="696"/>
      <c r="MHB1" s="696"/>
      <c r="MHC1" s="696"/>
      <c r="MHD1" s="696"/>
      <c r="MHE1" s="696"/>
      <c r="MHF1" s="696"/>
      <c r="MHG1" s="696"/>
      <c r="MHH1" s="696"/>
      <c r="MHI1" s="696"/>
      <c r="MHJ1" s="696"/>
      <c r="MHK1" s="696"/>
      <c r="MHL1" s="696"/>
      <c r="MHM1" s="696"/>
      <c r="MHN1" s="696"/>
      <c r="MHO1" s="696"/>
      <c r="MHP1" s="696"/>
      <c r="MHQ1" s="696"/>
      <c r="MHR1" s="696"/>
      <c r="MHS1" s="696"/>
      <c r="MHT1" s="696"/>
      <c r="MHU1" s="696"/>
      <c r="MHV1" s="696"/>
      <c r="MHW1" s="696"/>
      <c r="MHX1" s="696"/>
      <c r="MHY1" s="696"/>
      <c r="MHZ1" s="696"/>
      <c r="MIA1" s="696"/>
      <c r="MIB1" s="696"/>
      <c r="MIC1" s="696"/>
      <c r="MID1" s="696"/>
      <c r="MIE1" s="696"/>
      <c r="MIF1" s="696"/>
      <c r="MIG1" s="696"/>
      <c r="MIH1" s="696"/>
      <c r="MII1" s="696"/>
      <c r="MIJ1" s="696"/>
      <c r="MIK1" s="696"/>
      <c r="MIL1" s="696"/>
      <c r="MIM1" s="696"/>
      <c r="MIN1" s="696"/>
      <c r="MIO1" s="696"/>
      <c r="MIP1" s="696"/>
      <c r="MIQ1" s="696"/>
      <c r="MIR1" s="696"/>
      <c r="MIS1" s="696"/>
      <c r="MIT1" s="696"/>
      <c r="MIU1" s="696"/>
      <c r="MIV1" s="696"/>
      <c r="MIW1" s="696"/>
      <c r="MIX1" s="696"/>
      <c r="MIY1" s="696"/>
      <c r="MIZ1" s="696"/>
      <c r="MJA1" s="696"/>
      <c r="MJB1" s="696"/>
      <c r="MJC1" s="696"/>
      <c r="MJD1" s="696"/>
      <c r="MJE1" s="696"/>
      <c r="MJF1" s="696"/>
      <c r="MJG1" s="696"/>
      <c r="MJH1" s="696"/>
      <c r="MJI1" s="696"/>
      <c r="MJJ1" s="696"/>
      <c r="MJK1" s="696"/>
      <c r="MJL1" s="696"/>
      <c r="MJM1" s="696"/>
      <c r="MJN1" s="696"/>
      <c r="MJO1" s="696"/>
      <c r="MJP1" s="696"/>
      <c r="MJQ1" s="696"/>
      <c r="MJR1" s="696"/>
      <c r="MJS1" s="696"/>
      <c r="MJT1" s="696"/>
      <c r="MJU1" s="696"/>
      <c r="MJV1" s="696"/>
      <c r="MJW1" s="696"/>
      <c r="MJX1" s="696"/>
      <c r="MJY1" s="696"/>
      <c r="MJZ1" s="696"/>
      <c r="MKA1" s="696"/>
      <c r="MKB1" s="696"/>
      <c r="MKC1" s="696"/>
      <c r="MKD1" s="696"/>
      <c r="MKE1" s="696"/>
      <c r="MKF1" s="696"/>
      <c r="MKG1" s="696"/>
      <c r="MKH1" s="696"/>
      <c r="MKI1" s="696"/>
      <c r="MKJ1" s="696"/>
      <c r="MKK1" s="696"/>
      <c r="MKL1" s="696"/>
      <c r="MKM1" s="696"/>
      <c r="MKN1" s="696"/>
      <c r="MKO1" s="696"/>
      <c r="MKP1" s="696"/>
      <c r="MKQ1" s="696"/>
      <c r="MKR1" s="696"/>
      <c r="MKS1" s="696"/>
      <c r="MKT1" s="696"/>
      <c r="MKU1" s="696"/>
      <c r="MKV1" s="696"/>
      <c r="MKW1" s="696"/>
      <c r="MKX1" s="696"/>
      <c r="MKY1" s="696"/>
      <c r="MKZ1" s="696"/>
      <c r="MLA1" s="696"/>
      <c r="MLB1" s="696"/>
      <c r="MLC1" s="696"/>
      <c r="MLD1" s="696"/>
      <c r="MLE1" s="696"/>
      <c r="MLF1" s="696"/>
      <c r="MLG1" s="696"/>
      <c r="MLH1" s="696"/>
      <c r="MLI1" s="696"/>
      <c r="MLJ1" s="696"/>
      <c r="MLK1" s="696"/>
      <c r="MLL1" s="696"/>
      <c r="MLM1" s="696"/>
      <c r="MLN1" s="696"/>
      <c r="MLO1" s="696"/>
      <c r="MLP1" s="696"/>
      <c r="MLQ1" s="696"/>
      <c r="MLR1" s="696"/>
      <c r="MLS1" s="696"/>
      <c r="MLT1" s="696"/>
      <c r="MLU1" s="696"/>
      <c r="MLV1" s="696"/>
      <c r="MLW1" s="696"/>
      <c r="MLX1" s="696"/>
      <c r="MLY1" s="696"/>
      <c r="MLZ1" s="696"/>
      <c r="MMA1" s="696"/>
      <c r="MMB1" s="696"/>
      <c r="MMC1" s="696"/>
      <c r="MMD1" s="696"/>
      <c r="MME1" s="696"/>
      <c r="MMF1" s="696"/>
      <c r="MMG1" s="696"/>
      <c r="MMH1" s="696"/>
      <c r="MMI1" s="696"/>
      <c r="MMJ1" s="696"/>
      <c r="MMK1" s="696"/>
      <c r="MML1" s="696"/>
      <c r="MMM1" s="696"/>
      <c r="MMN1" s="696"/>
      <c r="MMO1" s="696"/>
      <c r="MMP1" s="696"/>
      <c r="MMQ1" s="696"/>
      <c r="MMR1" s="696"/>
      <c r="MMS1" s="696"/>
      <c r="MMT1" s="696"/>
      <c r="MMU1" s="696"/>
      <c r="MMV1" s="696"/>
      <c r="MMW1" s="696"/>
      <c r="MMX1" s="696"/>
      <c r="MMY1" s="696"/>
      <c r="MMZ1" s="696"/>
      <c r="MNA1" s="696"/>
      <c r="MNB1" s="696"/>
      <c r="MNC1" s="696"/>
      <c r="MND1" s="696"/>
      <c r="MNE1" s="696"/>
      <c r="MNF1" s="696"/>
      <c r="MNG1" s="696"/>
      <c r="MNH1" s="696"/>
      <c r="MNI1" s="696"/>
      <c r="MNJ1" s="696"/>
      <c r="MNK1" s="696"/>
      <c r="MNL1" s="696"/>
      <c r="MNM1" s="696"/>
      <c r="MNN1" s="696"/>
      <c r="MNO1" s="696"/>
      <c r="MNP1" s="696"/>
      <c r="MNQ1" s="696"/>
      <c r="MNR1" s="696"/>
      <c r="MNS1" s="696"/>
      <c r="MNT1" s="696"/>
      <c r="MNU1" s="696"/>
      <c r="MNV1" s="696"/>
      <c r="MNW1" s="696"/>
      <c r="MNX1" s="696"/>
      <c r="MNY1" s="696"/>
      <c r="MNZ1" s="696"/>
      <c r="MOA1" s="696"/>
      <c r="MOB1" s="696"/>
      <c r="MOC1" s="696"/>
      <c r="MOD1" s="696"/>
      <c r="MOE1" s="696"/>
      <c r="MOF1" s="696"/>
      <c r="MOG1" s="696"/>
      <c r="MOH1" s="696"/>
      <c r="MOI1" s="696"/>
      <c r="MOJ1" s="696"/>
      <c r="MOK1" s="696"/>
      <c r="MOL1" s="696"/>
      <c r="MOM1" s="696"/>
      <c r="MON1" s="696"/>
      <c r="MOO1" s="696"/>
      <c r="MOP1" s="696"/>
      <c r="MOQ1" s="696"/>
      <c r="MOR1" s="696"/>
      <c r="MOS1" s="696"/>
      <c r="MOT1" s="696"/>
      <c r="MOU1" s="696"/>
      <c r="MOV1" s="696"/>
      <c r="MOW1" s="696"/>
      <c r="MOX1" s="696"/>
      <c r="MOY1" s="696"/>
      <c r="MOZ1" s="696"/>
      <c r="MPA1" s="696"/>
      <c r="MPB1" s="696"/>
      <c r="MPC1" s="696"/>
      <c r="MPD1" s="696"/>
      <c r="MPE1" s="696"/>
      <c r="MPF1" s="696"/>
      <c r="MPG1" s="696"/>
      <c r="MPH1" s="696"/>
      <c r="MPI1" s="696"/>
      <c r="MPJ1" s="696"/>
      <c r="MPK1" s="696"/>
      <c r="MPL1" s="696"/>
      <c r="MPM1" s="696"/>
      <c r="MPN1" s="696"/>
      <c r="MPO1" s="696"/>
      <c r="MPP1" s="696"/>
      <c r="MPQ1" s="696"/>
      <c r="MPR1" s="696"/>
      <c r="MPS1" s="696"/>
      <c r="MPT1" s="696"/>
      <c r="MPU1" s="696"/>
      <c r="MPV1" s="696"/>
      <c r="MPW1" s="696"/>
      <c r="MPX1" s="696"/>
      <c r="MPY1" s="696"/>
      <c r="MPZ1" s="696"/>
      <c r="MQA1" s="696"/>
      <c r="MQB1" s="696"/>
      <c r="MQC1" s="696"/>
      <c r="MQD1" s="696"/>
      <c r="MQE1" s="696"/>
      <c r="MQF1" s="696"/>
      <c r="MQG1" s="696"/>
      <c r="MQH1" s="696"/>
      <c r="MQI1" s="696"/>
      <c r="MQJ1" s="696"/>
      <c r="MQK1" s="696"/>
      <c r="MQL1" s="696"/>
      <c r="MQM1" s="696"/>
      <c r="MQN1" s="696"/>
      <c r="MQO1" s="696"/>
      <c r="MQP1" s="696"/>
      <c r="MQQ1" s="696"/>
      <c r="MQR1" s="696"/>
      <c r="MQS1" s="696"/>
      <c r="MQT1" s="696"/>
      <c r="MQU1" s="696"/>
      <c r="MQV1" s="696"/>
      <c r="MQW1" s="696"/>
      <c r="MQX1" s="696"/>
      <c r="MQY1" s="696"/>
      <c r="MQZ1" s="696"/>
      <c r="MRA1" s="696"/>
      <c r="MRB1" s="696"/>
      <c r="MRC1" s="696"/>
      <c r="MRD1" s="696"/>
      <c r="MRE1" s="696"/>
      <c r="MRF1" s="696"/>
      <c r="MRG1" s="696"/>
      <c r="MRH1" s="696"/>
      <c r="MRI1" s="696"/>
      <c r="MRJ1" s="696"/>
      <c r="MRK1" s="696"/>
      <c r="MRL1" s="696"/>
      <c r="MRM1" s="696"/>
      <c r="MRN1" s="696"/>
      <c r="MRO1" s="696"/>
      <c r="MRP1" s="696"/>
      <c r="MRQ1" s="696"/>
      <c r="MRR1" s="696"/>
      <c r="MRS1" s="696"/>
      <c r="MRT1" s="696"/>
      <c r="MRU1" s="696"/>
      <c r="MRV1" s="696"/>
      <c r="MRW1" s="696"/>
      <c r="MRX1" s="696"/>
      <c r="MRY1" s="696"/>
      <c r="MRZ1" s="696"/>
      <c r="MSA1" s="696"/>
      <c r="MSB1" s="696"/>
      <c r="MSC1" s="696"/>
      <c r="MSD1" s="696"/>
      <c r="MSE1" s="696"/>
      <c r="MSF1" s="696"/>
      <c r="MSG1" s="696"/>
      <c r="MSH1" s="696"/>
      <c r="MSI1" s="696"/>
      <c r="MSJ1" s="696"/>
      <c r="MSK1" s="696"/>
      <c r="MSL1" s="696"/>
      <c r="MSM1" s="696"/>
      <c r="MSN1" s="696"/>
      <c r="MSO1" s="696"/>
      <c r="MSP1" s="696"/>
      <c r="MSQ1" s="696"/>
      <c r="MSR1" s="696"/>
      <c r="MSS1" s="696"/>
      <c r="MST1" s="696"/>
      <c r="MSU1" s="696"/>
      <c r="MSV1" s="696"/>
      <c r="MSW1" s="696"/>
      <c r="MSX1" s="696"/>
      <c r="MSY1" s="696"/>
      <c r="MSZ1" s="696"/>
      <c r="MTA1" s="696"/>
      <c r="MTB1" s="696"/>
      <c r="MTC1" s="696"/>
      <c r="MTD1" s="696"/>
      <c r="MTE1" s="696"/>
      <c r="MTF1" s="696"/>
      <c r="MTG1" s="696"/>
      <c r="MTH1" s="696"/>
      <c r="MTI1" s="696"/>
      <c r="MTJ1" s="696"/>
      <c r="MTK1" s="696"/>
      <c r="MTL1" s="696"/>
      <c r="MTM1" s="696"/>
      <c r="MTN1" s="696"/>
      <c r="MTO1" s="696"/>
      <c r="MTP1" s="696"/>
      <c r="MTQ1" s="696"/>
      <c r="MTR1" s="696"/>
      <c r="MTS1" s="696"/>
      <c r="MTT1" s="696"/>
      <c r="MTU1" s="696"/>
      <c r="MTV1" s="696"/>
      <c r="MTW1" s="696"/>
      <c r="MTX1" s="696"/>
      <c r="MTY1" s="696"/>
      <c r="MTZ1" s="696"/>
      <c r="MUA1" s="696"/>
      <c r="MUB1" s="696"/>
      <c r="MUC1" s="696"/>
      <c r="MUD1" s="696"/>
      <c r="MUE1" s="696"/>
      <c r="MUF1" s="696"/>
      <c r="MUG1" s="696"/>
      <c r="MUH1" s="696"/>
      <c r="MUI1" s="696"/>
      <c r="MUJ1" s="696"/>
      <c r="MUK1" s="696"/>
      <c r="MUL1" s="696"/>
      <c r="MUM1" s="696"/>
      <c r="MUN1" s="696"/>
      <c r="MUO1" s="696"/>
      <c r="MUP1" s="696"/>
      <c r="MUQ1" s="696"/>
      <c r="MUR1" s="696"/>
      <c r="MUS1" s="696"/>
      <c r="MUT1" s="696"/>
      <c r="MUU1" s="696"/>
      <c r="MUV1" s="696"/>
      <c r="MUW1" s="696"/>
      <c r="MUX1" s="696"/>
      <c r="MUY1" s="696"/>
      <c r="MUZ1" s="696"/>
      <c r="MVA1" s="696"/>
      <c r="MVB1" s="696"/>
      <c r="MVC1" s="696"/>
      <c r="MVD1" s="696"/>
      <c r="MVE1" s="696"/>
      <c r="MVF1" s="696"/>
      <c r="MVG1" s="696"/>
      <c r="MVH1" s="696"/>
      <c r="MVI1" s="696"/>
      <c r="MVJ1" s="696"/>
      <c r="MVK1" s="696"/>
      <c r="MVL1" s="696"/>
      <c r="MVM1" s="696"/>
      <c r="MVN1" s="696"/>
      <c r="MVO1" s="696"/>
      <c r="MVP1" s="696"/>
      <c r="MVQ1" s="696"/>
      <c r="MVR1" s="696"/>
      <c r="MVS1" s="696"/>
      <c r="MVT1" s="696"/>
      <c r="MVU1" s="696"/>
      <c r="MVV1" s="696"/>
      <c r="MVW1" s="696"/>
      <c r="MVX1" s="696"/>
      <c r="MVY1" s="696"/>
      <c r="MVZ1" s="696"/>
      <c r="MWA1" s="696"/>
      <c r="MWB1" s="696"/>
      <c r="MWC1" s="696"/>
      <c r="MWD1" s="696"/>
      <c r="MWE1" s="696"/>
      <c r="MWF1" s="696"/>
      <c r="MWG1" s="696"/>
      <c r="MWH1" s="696"/>
      <c r="MWI1" s="696"/>
      <c r="MWJ1" s="696"/>
      <c r="MWK1" s="696"/>
      <c r="MWL1" s="696"/>
      <c r="MWM1" s="696"/>
      <c r="MWN1" s="696"/>
      <c r="MWO1" s="696"/>
      <c r="MWP1" s="696"/>
      <c r="MWQ1" s="696"/>
      <c r="MWR1" s="696"/>
      <c r="MWS1" s="696"/>
      <c r="MWT1" s="696"/>
      <c r="MWU1" s="696"/>
      <c r="MWV1" s="696"/>
      <c r="MWW1" s="696"/>
      <c r="MWX1" s="696"/>
      <c r="MWY1" s="696"/>
      <c r="MWZ1" s="696"/>
      <c r="MXA1" s="696"/>
      <c r="MXB1" s="696"/>
      <c r="MXC1" s="696"/>
      <c r="MXD1" s="696"/>
      <c r="MXE1" s="696"/>
      <c r="MXF1" s="696"/>
      <c r="MXG1" s="696"/>
      <c r="MXH1" s="696"/>
      <c r="MXI1" s="696"/>
      <c r="MXJ1" s="696"/>
      <c r="MXK1" s="696"/>
      <c r="MXL1" s="696"/>
      <c r="MXM1" s="696"/>
      <c r="MXN1" s="696"/>
      <c r="MXO1" s="696"/>
      <c r="MXP1" s="696"/>
      <c r="MXQ1" s="696"/>
      <c r="MXR1" s="696"/>
      <c r="MXS1" s="696"/>
      <c r="MXT1" s="696"/>
      <c r="MXU1" s="696"/>
      <c r="MXV1" s="696"/>
      <c r="MXW1" s="696"/>
      <c r="MXX1" s="696"/>
      <c r="MXY1" s="696"/>
      <c r="MXZ1" s="696"/>
      <c r="MYA1" s="696"/>
      <c r="MYB1" s="696"/>
      <c r="MYC1" s="696"/>
      <c r="MYD1" s="696"/>
      <c r="MYE1" s="696"/>
      <c r="MYF1" s="696"/>
      <c r="MYG1" s="696"/>
      <c r="MYH1" s="696"/>
      <c r="MYI1" s="696"/>
      <c r="MYJ1" s="696"/>
      <c r="MYK1" s="696"/>
      <c r="MYL1" s="696"/>
      <c r="MYM1" s="696"/>
      <c r="MYN1" s="696"/>
      <c r="MYO1" s="696"/>
      <c r="MYP1" s="696"/>
      <c r="MYQ1" s="696"/>
      <c r="MYR1" s="696"/>
      <c r="MYS1" s="696"/>
      <c r="MYT1" s="696"/>
      <c r="MYU1" s="696"/>
      <c r="MYV1" s="696"/>
      <c r="MYW1" s="696"/>
      <c r="MYX1" s="696"/>
      <c r="MYY1" s="696"/>
      <c r="MYZ1" s="696"/>
      <c r="MZA1" s="696"/>
      <c r="MZB1" s="696"/>
      <c r="MZC1" s="696"/>
      <c r="MZD1" s="696"/>
      <c r="MZE1" s="696"/>
      <c r="MZF1" s="696"/>
      <c r="MZG1" s="696"/>
      <c r="MZH1" s="696"/>
      <c r="MZI1" s="696"/>
      <c r="MZJ1" s="696"/>
      <c r="MZK1" s="696"/>
      <c r="MZL1" s="696"/>
      <c r="MZM1" s="696"/>
      <c r="MZN1" s="696"/>
      <c r="MZO1" s="696"/>
      <c r="MZP1" s="696"/>
      <c r="MZQ1" s="696"/>
      <c r="MZR1" s="696"/>
      <c r="MZS1" s="696"/>
      <c r="MZT1" s="696"/>
      <c r="MZU1" s="696"/>
      <c r="MZV1" s="696"/>
      <c r="MZW1" s="696"/>
      <c r="MZX1" s="696"/>
      <c r="MZY1" s="696"/>
      <c r="MZZ1" s="696"/>
      <c r="NAA1" s="696"/>
      <c r="NAB1" s="696"/>
      <c r="NAC1" s="696"/>
      <c r="NAD1" s="696"/>
      <c r="NAE1" s="696"/>
      <c r="NAF1" s="696"/>
      <c r="NAG1" s="696"/>
      <c r="NAH1" s="696"/>
      <c r="NAI1" s="696"/>
      <c r="NAJ1" s="696"/>
      <c r="NAK1" s="696"/>
      <c r="NAL1" s="696"/>
      <c r="NAM1" s="696"/>
      <c r="NAN1" s="696"/>
      <c r="NAO1" s="696"/>
      <c r="NAP1" s="696"/>
      <c r="NAQ1" s="696"/>
      <c r="NAR1" s="696"/>
      <c r="NAS1" s="696"/>
      <c r="NAT1" s="696"/>
      <c r="NAU1" s="696"/>
      <c r="NAV1" s="696"/>
      <c r="NAW1" s="696"/>
      <c r="NAX1" s="696"/>
      <c r="NAY1" s="696"/>
      <c r="NAZ1" s="696"/>
      <c r="NBA1" s="696"/>
      <c r="NBB1" s="696"/>
      <c r="NBC1" s="696"/>
      <c r="NBD1" s="696"/>
      <c r="NBE1" s="696"/>
      <c r="NBF1" s="696"/>
      <c r="NBG1" s="696"/>
      <c r="NBH1" s="696"/>
      <c r="NBI1" s="696"/>
      <c r="NBJ1" s="696"/>
      <c r="NBK1" s="696"/>
      <c r="NBL1" s="696"/>
      <c r="NBM1" s="696"/>
      <c r="NBN1" s="696"/>
      <c r="NBO1" s="696"/>
      <c r="NBP1" s="696"/>
      <c r="NBQ1" s="696"/>
      <c r="NBR1" s="696"/>
      <c r="NBS1" s="696"/>
      <c r="NBT1" s="696"/>
      <c r="NBU1" s="696"/>
      <c r="NBV1" s="696"/>
      <c r="NBW1" s="696"/>
      <c r="NBX1" s="696"/>
      <c r="NBY1" s="696"/>
      <c r="NBZ1" s="696"/>
      <c r="NCA1" s="696"/>
      <c r="NCB1" s="696"/>
      <c r="NCC1" s="696"/>
      <c r="NCD1" s="696"/>
      <c r="NCE1" s="696"/>
      <c r="NCF1" s="696"/>
      <c r="NCG1" s="696"/>
      <c r="NCH1" s="696"/>
      <c r="NCI1" s="696"/>
      <c r="NCJ1" s="696"/>
      <c r="NCK1" s="696"/>
      <c r="NCL1" s="696"/>
      <c r="NCM1" s="696"/>
      <c r="NCN1" s="696"/>
      <c r="NCO1" s="696"/>
      <c r="NCP1" s="696"/>
      <c r="NCQ1" s="696"/>
      <c r="NCR1" s="696"/>
      <c r="NCS1" s="696"/>
      <c r="NCT1" s="696"/>
      <c r="NCU1" s="696"/>
      <c r="NCV1" s="696"/>
      <c r="NCW1" s="696"/>
      <c r="NCX1" s="696"/>
      <c r="NCY1" s="696"/>
      <c r="NCZ1" s="696"/>
      <c r="NDA1" s="696"/>
      <c r="NDB1" s="696"/>
      <c r="NDC1" s="696"/>
      <c r="NDD1" s="696"/>
      <c r="NDE1" s="696"/>
      <c r="NDF1" s="696"/>
      <c r="NDG1" s="696"/>
      <c r="NDH1" s="696"/>
      <c r="NDI1" s="696"/>
      <c r="NDJ1" s="696"/>
      <c r="NDK1" s="696"/>
      <c r="NDL1" s="696"/>
      <c r="NDM1" s="696"/>
      <c r="NDN1" s="696"/>
      <c r="NDO1" s="696"/>
      <c r="NDP1" s="696"/>
      <c r="NDQ1" s="696"/>
      <c r="NDR1" s="696"/>
      <c r="NDS1" s="696"/>
      <c r="NDT1" s="696"/>
      <c r="NDU1" s="696"/>
      <c r="NDV1" s="696"/>
      <c r="NDW1" s="696"/>
      <c r="NDX1" s="696"/>
      <c r="NDY1" s="696"/>
      <c r="NDZ1" s="696"/>
      <c r="NEA1" s="696"/>
      <c r="NEB1" s="696"/>
      <c r="NEC1" s="696"/>
      <c r="NED1" s="696"/>
      <c r="NEE1" s="696"/>
      <c r="NEF1" s="696"/>
      <c r="NEG1" s="696"/>
      <c r="NEH1" s="696"/>
      <c r="NEI1" s="696"/>
      <c r="NEJ1" s="696"/>
      <c r="NEK1" s="696"/>
      <c r="NEL1" s="696"/>
      <c r="NEM1" s="696"/>
      <c r="NEN1" s="696"/>
      <c r="NEO1" s="696"/>
      <c r="NEP1" s="696"/>
      <c r="NEQ1" s="696"/>
      <c r="NER1" s="696"/>
      <c r="NES1" s="696"/>
      <c r="NET1" s="696"/>
      <c r="NEU1" s="696"/>
      <c r="NEV1" s="696"/>
      <c r="NEW1" s="696"/>
      <c r="NEX1" s="696"/>
      <c r="NEY1" s="696"/>
      <c r="NEZ1" s="696"/>
      <c r="NFA1" s="696"/>
      <c r="NFB1" s="696"/>
      <c r="NFC1" s="696"/>
      <c r="NFD1" s="696"/>
      <c r="NFE1" s="696"/>
      <c r="NFF1" s="696"/>
      <c r="NFG1" s="696"/>
      <c r="NFH1" s="696"/>
      <c r="NFI1" s="696"/>
      <c r="NFJ1" s="696"/>
      <c r="NFK1" s="696"/>
      <c r="NFL1" s="696"/>
      <c r="NFM1" s="696"/>
      <c r="NFN1" s="696"/>
      <c r="NFO1" s="696"/>
      <c r="NFP1" s="696"/>
      <c r="NFQ1" s="696"/>
      <c r="NFR1" s="696"/>
      <c r="NFS1" s="696"/>
      <c r="NFT1" s="696"/>
      <c r="NFU1" s="696"/>
      <c r="NFV1" s="696"/>
      <c r="NFW1" s="696"/>
      <c r="NFX1" s="696"/>
      <c r="NFY1" s="696"/>
      <c r="NFZ1" s="696"/>
      <c r="NGA1" s="696"/>
      <c r="NGB1" s="696"/>
      <c r="NGC1" s="696"/>
      <c r="NGD1" s="696"/>
      <c r="NGE1" s="696"/>
      <c r="NGF1" s="696"/>
      <c r="NGG1" s="696"/>
      <c r="NGH1" s="696"/>
      <c r="NGI1" s="696"/>
      <c r="NGJ1" s="696"/>
      <c r="NGK1" s="696"/>
      <c r="NGL1" s="696"/>
      <c r="NGM1" s="696"/>
      <c r="NGN1" s="696"/>
      <c r="NGO1" s="696"/>
      <c r="NGP1" s="696"/>
      <c r="NGQ1" s="696"/>
      <c r="NGR1" s="696"/>
      <c r="NGS1" s="696"/>
      <c r="NGT1" s="696"/>
      <c r="NGU1" s="696"/>
      <c r="NGV1" s="696"/>
      <c r="NGW1" s="696"/>
      <c r="NGX1" s="696"/>
      <c r="NGY1" s="696"/>
      <c r="NGZ1" s="696"/>
      <c r="NHA1" s="696"/>
      <c r="NHB1" s="696"/>
      <c r="NHC1" s="696"/>
      <c r="NHD1" s="696"/>
      <c r="NHE1" s="696"/>
      <c r="NHF1" s="696"/>
      <c r="NHG1" s="696"/>
      <c r="NHH1" s="696"/>
      <c r="NHI1" s="696"/>
      <c r="NHJ1" s="696"/>
      <c r="NHK1" s="696"/>
      <c r="NHL1" s="696"/>
      <c r="NHM1" s="696"/>
      <c r="NHN1" s="696"/>
      <c r="NHO1" s="696"/>
      <c r="NHP1" s="696"/>
      <c r="NHQ1" s="696"/>
      <c r="NHR1" s="696"/>
      <c r="NHS1" s="696"/>
      <c r="NHT1" s="696"/>
      <c r="NHU1" s="696"/>
      <c r="NHV1" s="696"/>
      <c r="NHW1" s="696"/>
      <c r="NHX1" s="696"/>
      <c r="NHY1" s="696"/>
      <c r="NHZ1" s="696"/>
      <c r="NIA1" s="696"/>
      <c r="NIB1" s="696"/>
      <c r="NIC1" s="696"/>
      <c r="NID1" s="696"/>
      <c r="NIE1" s="696"/>
      <c r="NIF1" s="696"/>
      <c r="NIG1" s="696"/>
      <c r="NIH1" s="696"/>
      <c r="NII1" s="696"/>
      <c r="NIJ1" s="696"/>
      <c r="NIK1" s="696"/>
      <c r="NIL1" s="696"/>
      <c r="NIM1" s="696"/>
      <c r="NIN1" s="696"/>
      <c r="NIO1" s="696"/>
      <c r="NIP1" s="696"/>
      <c r="NIQ1" s="696"/>
      <c r="NIR1" s="696"/>
      <c r="NIS1" s="696"/>
      <c r="NIT1" s="696"/>
      <c r="NIU1" s="696"/>
      <c r="NIV1" s="696"/>
      <c r="NIW1" s="696"/>
      <c r="NIX1" s="696"/>
      <c r="NIY1" s="696"/>
      <c r="NIZ1" s="696"/>
      <c r="NJA1" s="696"/>
      <c r="NJB1" s="696"/>
      <c r="NJC1" s="696"/>
      <c r="NJD1" s="696"/>
      <c r="NJE1" s="696"/>
      <c r="NJF1" s="696"/>
      <c r="NJG1" s="696"/>
      <c r="NJH1" s="696"/>
      <c r="NJI1" s="696"/>
      <c r="NJJ1" s="696"/>
      <c r="NJK1" s="696"/>
      <c r="NJL1" s="696"/>
      <c r="NJM1" s="696"/>
      <c r="NJN1" s="696"/>
      <c r="NJO1" s="696"/>
      <c r="NJP1" s="696"/>
      <c r="NJQ1" s="696"/>
      <c r="NJR1" s="696"/>
      <c r="NJS1" s="696"/>
      <c r="NJT1" s="696"/>
      <c r="NJU1" s="696"/>
      <c r="NJV1" s="696"/>
      <c r="NJW1" s="696"/>
      <c r="NJX1" s="696"/>
      <c r="NJY1" s="696"/>
      <c r="NJZ1" s="696"/>
      <c r="NKA1" s="696"/>
      <c r="NKB1" s="696"/>
      <c r="NKC1" s="696"/>
      <c r="NKD1" s="696"/>
      <c r="NKE1" s="696"/>
      <c r="NKF1" s="696"/>
      <c r="NKG1" s="696"/>
      <c r="NKH1" s="696"/>
      <c r="NKI1" s="696"/>
      <c r="NKJ1" s="696"/>
      <c r="NKK1" s="696"/>
      <c r="NKL1" s="696"/>
      <c r="NKM1" s="696"/>
      <c r="NKN1" s="696"/>
      <c r="NKO1" s="696"/>
      <c r="NKP1" s="696"/>
      <c r="NKQ1" s="696"/>
      <c r="NKR1" s="696"/>
      <c r="NKS1" s="696"/>
      <c r="NKT1" s="696"/>
      <c r="NKU1" s="696"/>
      <c r="NKV1" s="696"/>
      <c r="NKW1" s="696"/>
      <c r="NKX1" s="696"/>
      <c r="NKY1" s="696"/>
      <c r="NKZ1" s="696"/>
      <c r="NLA1" s="696"/>
      <c r="NLB1" s="696"/>
      <c r="NLC1" s="696"/>
      <c r="NLD1" s="696"/>
      <c r="NLE1" s="696"/>
      <c r="NLF1" s="696"/>
      <c r="NLG1" s="696"/>
      <c r="NLH1" s="696"/>
      <c r="NLI1" s="696"/>
      <c r="NLJ1" s="696"/>
      <c r="NLK1" s="696"/>
      <c r="NLL1" s="696"/>
      <c r="NLM1" s="696"/>
      <c r="NLN1" s="696"/>
      <c r="NLO1" s="696"/>
      <c r="NLP1" s="696"/>
      <c r="NLQ1" s="696"/>
      <c r="NLR1" s="696"/>
      <c r="NLS1" s="696"/>
      <c r="NLT1" s="696"/>
      <c r="NLU1" s="696"/>
      <c r="NLV1" s="696"/>
      <c r="NLW1" s="696"/>
      <c r="NLX1" s="696"/>
      <c r="NLY1" s="696"/>
      <c r="NLZ1" s="696"/>
      <c r="NMA1" s="696"/>
      <c r="NMB1" s="696"/>
      <c r="NMC1" s="696"/>
      <c r="NMD1" s="696"/>
      <c r="NME1" s="696"/>
      <c r="NMF1" s="696"/>
      <c r="NMG1" s="696"/>
      <c r="NMH1" s="696"/>
      <c r="NMI1" s="696"/>
      <c r="NMJ1" s="696"/>
      <c r="NMK1" s="696"/>
      <c r="NML1" s="696"/>
      <c r="NMM1" s="696"/>
      <c r="NMN1" s="696"/>
      <c r="NMO1" s="696"/>
      <c r="NMP1" s="696"/>
      <c r="NMQ1" s="696"/>
      <c r="NMR1" s="696"/>
      <c r="NMS1" s="696"/>
      <c r="NMT1" s="696"/>
      <c r="NMU1" s="696"/>
      <c r="NMV1" s="696"/>
      <c r="NMW1" s="696"/>
      <c r="NMX1" s="696"/>
      <c r="NMY1" s="696"/>
      <c r="NMZ1" s="696"/>
      <c r="NNA1" s="696"/>
      <c r="NNB1" s="696"/>
      <c r="NNC1" s="696"/>
      <c r="NND1" s="696"/>
      <c r="NNE1" s="696"/>
      <c r="NNF1" s="696"/>
      <c r="NNG1" s="696"/>
      <c r="NNH1" s="696"/>
      <c r="NNI1" s="696"/>
      <c r="NNJ1" s="696"/>
      <c r="NNK1" s="696"/>
      <c r="NNL1" s="696"/>
      <c r="NNM1" s="696"/>
      <c r="NNN1" s="696"/>
      <c r="NNO1" s="696"/>
      <c r="NNP1" s="696"/>
      <c r="NNQ1" s="696"/>
      <c r="NNR1" s="696"/>
      <c r="NNS1" s="696"/>
      <c r="NNT1" s="696"/>
      <c r="NNU1" s="696"/>
      <c r="NNV1" s="696"/>
      <c r="NNW1" s="696"/>
      <c r="NNX1" s="696"/>
      <c r="NNY1" s="696"/>
      <c r="NNZ1" s="696"/>
      <c r="NOA1" s="696"/>
      <c r="NOB1" s="696"/>
      <c r="NOC1" s="696"/>
      <c r="NOD1" s="696"/>
      <c r="NOE1" s="696"/>
      <c r="NOF1" s="696"/>
      <c r="NOG1" s="696"/>
      <c r="NOH1" s="696"/>
      <c r="NOI1" s="696"/>
      <c r="NOJ1" s="696"/>
      <c r="NOK1" s="696"/>
      <c r="NOL1" s="696"/>
      <c r="NOM1" s="696"/>
      <c r="NON1" s="696"/>
      <c r="NOO1" s="696"/>
      <c r="NOP1" s="696"/>
      <c r="NOQ1" s="696"/>
      <c r="NOR1" s="696"/>
      <c r="NOS1" s="696"/>
      <c r="NOT1" s="696"/>
      <c r="NOU1" s="696"/>
      <c r="NOV1" s="696"/>
      <c r="NOW1" s="696"/>
      <c r="NOX1" s="696"/>
      <c r="NOY1" s="696"/>
      <c r="NOZ1" s="696"/>
      <c r="NPA1" s="696"/>
      <c r="NPB1" s="696"/>
      <c r="NPC1" s="696"/>
      <c r="NPD1" s="696"/>
      <c r="NPE1" s="696"/>
      <c r="NPF1" s="696"/>
      <c r="NPG1" s="696"/>
      <c r="NPH1" s="696"/>
      <c r="NPI1" s="696"/>
      <c r="NPJ1" s="696"/>
      <c r="NPK1" s="696"/>
      <c r="NPL1" s="696"/>
      <c r="NPM1" s="696"/>
      <c r="NPN1" s="696"/>
      <c r="NPO1" s="696"/>
      <c r="NPP1" s="696"/>
      <c r="NPQ1" s="696"/>
      <c r="NPR1" s="696"/>
      <c r="NPS1" s="696"/>
      <c r="NPT1" s="696"/>
      <c r="NPU1" s="696"/>
      <c r="NPV1" s="696"/>
      <c r="NPW1" s="696"/>
      <c r="NPX1" s="696"/>
      <c r="NPY1" s="696"/>
      <c r="NPZ1" s="696"/>
      <c r="NQA1" s="696"/>
      <c r="NQB1" s="696"/>
      <c r="NQC1" s="696"/>
      <c r="NQD1" s="696"/>
      <c r="NQE1" s="696"/>
      <c r="NQF1" s="696"/>
      <c r="NQG1" s="696"/>
      <c r="NQH1" s="696"/>
      <c r="NQI1" s="696"/>
      <c r="NQJ1" s="696"/>
      <c r="NQK1" s="696"/>
      <c r="NQL1" s="696"/>
      <c r="NQM1" s="696"/>
      <c r="NQN1" s="696"/>
      <c r="NQO1" s="696"/>
      <c r="NQP1" s="696"/>
      <c r="NQQ1" s="696"/>
      <c r="NQR1" s="696"/>
      <c r="NQS1" s="696"/>
      <c r="NQT1" s="696"/>
      <c r="NQU1" s="696"/>
      <c r="NQV1" s="696"/>
      <c r="NQW1" s="696"/>
      <c r="NQX1" s="696"/>
      <c r="NQY1" s="696"/>
      <c r="NQZ1" s="696"/>
      <c r="NRA1" s="696"/>
      <c r="NRB1" s="696"/>
      <c r="NRC1" s="696"/>
      <c r="NRD1" s="696"/>
      <c r="NRE1" s="696"/>
      <c r="NRF1" s="696"/>
      <c r="NRG1" s="696"/>
      <c r="NRH1" s="696"/>
      <c r="NRI1" s="696"/>
      <c r="NRJ1" s="696"/>
      <c r="NRK1" s="696"/>
      <c r="NRL1" s="696"/>
      <c r="NRM1" s="696"/>
      <c r="NRN1" s="696"/>
      <c r="NRO1" s="696"/>
      <c r="NRP1" s="696"/>
      <c r="NRQ1" s="696"/>
      <c r="NRR1" s="696"/>
      <c r="NRS1" s="696"/>
      <c r="NRT1" s="696"/>
      <c r="NRU1" s="696"/>
      <c r="NRV1" s="696"/>
      <c r="NRW1" s="696"/>
      <c r="NRX1" s="696"/>
      <c r="NRY1" s="696"/>
      <c r="NRZ1" s="696"/>
      <c r="NSA1" s="696"/>
      <c r="NSB1" s="696"/>
      <c r="NSC1" s="696"/>
      <c r="NSD1" s="696"/>
      <c r="NSE1" s="696"/>
      <c r="NSF1" s="696"/>
      <c r="NSG1" s="696"/>
      <c r="NSH1" s="696"/>
      <c r="NSI1" s="696"/>
      <c r="NSJ1" s="696"/>
      <c r="NSK1" s="696"/>
      <c r="NSL1" s="696"/>
      <c r="NSM1" s="696"/>
      <c r="NSN1" s="696"/>
      <c r="NSO1" s="696"/>
      <c r="NSP1" s="696"/>
      <c r="NSQ1" s="696"/>
      <c r="NSR1" s="696"/>
      <c r="NSS1" s="696"/>
      <c r="NST1" s="696"/>
      <c r="NSU1" s="696"/>
      <c r="NSV1" s="696"/>
      <c r="NSW1" s="696"/>
      <c r="NSX1" s="696"/>
      <c r="NSY1" s="696"/>
      <c r="NSZ1" s="696"/>
      <c r="NTA1" s="696"/>
      <c r="NTB1" s="696"/>
      <c r="NTC1" s="696"/>
      <c r="NTD1" s="696"/>
      <c r="NTE1" s="696"/>
      <c r="NTF1" s="696"/>
      <c r="NTG1" s="696"/>
      <c r="NTH1" s="696"/>
      <c r="NTI1" s="696"/>
      <c r="NTJ1" s="696"/>
      <c r="NTK1" s="696"/>
      <c r="NTL1" s="696"/>
      <c r="NTM1" s="696"/>
      <c r="NTN1" s="696"/>
      <c r="NTO1" s="696"/>
      <c r="NTP1" s="696"/>
      <c r="NTQ1" s="696"/>
      <c r="NTR1" s="696"/>
      <c r="NTS1" s="696"/>
      <c r="NTT1" s="696"/>
      <c r="NTU1" s="696"/>
      <c r="NTV1" s="696"/>
      <c r="NTW1" s="696"/>
      <c r="NTX1" s="696"/>
      <c r="NTY1" s="696"/>
      <c r="NTZ1" s="696"/>
      <c r="NUA1" s="696"/>
      <c r="NUB1" s="696"/>
      <c r="NUC1" s="696"/>
      <c r="NUD1" s="696"/>
      <c r="NUE1" s="696"/>
      <c r="NUF1" s="696"/>
      <c r="NUG1" s="696"/>
      <c r="NUH1" s="696"/>
      <c r="NUI1" s="696"/>
      <c r="NUJ1" s="696"/>
      <c r="NUK1" s="696"/>
      <c r="NUL1" s="696"/>
      <c r="NUM1" s="696"/>
      <c r="NUN1" s="696"/>
      <c r="NUO1" s="696"/>
      <c r="NUP1" s="696"/>
      <c r="NUQ1" s="696"/>
      <c r="NUR1" s="696"/>
      <c r="NUS1" s="696"/>
      <c r="NUT1" s="696"/>
      <c r="NUU1" s="696"/>
      <c r="NUV1" s="696"/>
      <c r="NUW1" s="696"/>
      <c r="NUX1" s="696"/>
      <c r="NUY1" s="696"/>
      <c r="NUZ1" s="696"/>
      <c r="NVA1" s="696"/>
      <c r="NVB1" s="696"/>
      <c r="NVC1" s="696"/>
      <c r="NVD1" s="696"/>
      <c r="NVE1" s="696"/>
      <c r="NVF1" s="696"/>
      <c r="NVG1" s="696"/>
      <c r="NVH1" s="696"/>
      <c r="NVI1" s="696"/>
      <c r="NVJ1" s="696"/>
      <c r="NVK1" s="696"/>
      <c r="NVL1" s="696"/>
      <c r="NVM1" s="696"/>
      <c r="NVN1" s="696"/>
      <c r="NVO1" s="696"/>
      <c r="NVP1" s="696"/>
      <c r="NVQ1" s="696"/>
      <c r="NVR1" s="696"/>
      <c r="NVS1" s="696"/>
      <c r="NVT1" s="696"/>
      <c r="NVU1" s="696"/>
      <c r="NVV1" s="696"/>
      <c r="NVW1" s="696"/>
      <c r="NVX1" s="696"/>
      <c r="NVY1" s="696"/>
      <c r="NVZ1" s="696"/>
      <c r="NWA1" s="696"/>
      <c r="NWB1" s="696"/>
      <c r="NWC1" s="696"/>
      <c r="NWD1" s="696"/>
      <c r="NWE1" s="696"/>
      <c r="NWF1" s="696"/>
      <c r="NWG1" s="696"/>
      <c r="NWH1" s="696"/>
      <c r="NWI1" s="696"/>
      <c r="NWJ1" s="696"/>
      <c r="NWK1" s="696"/>
      <c r="NWL1" s="696"/>
      <c r="NWM1" s="696"/>
      <c r="NWN1" s="696"/>
      <c r="NWO1" s="696"/>
      <c r="NWP1" s="696"/>
      <c r="NWQ1" s="696"/>
      <c r="NWR1" s="696"/>
      <c r="NWS1" s="696"/>
      <c r="NWT1" s="696"/>
      <c r="NWU1" s="696"/>
      <c r="NWV1" s="696"/>
      <c r="NWW1" s="696"/>
      <c r="NWX1" s="696"/>
      <c r="NWY1" s="696"/>
      <c r="NWZ1" s="696"/>
      <c r="NXA1" s="696"/>
      <c r="NXB1" s="696"/>
      <c r="NXC1" s="696"/>
      <c r="NXD1" s="696"/>
      <c r="NXE1" s="696"/>
      <c r="NXF1" s="696"/>
      <c r="NXG1" s="696"/>
      <c r="NXH1" s="696"/>
      <c r="NXI1" s="696"/>
      <c r="NXJ1" s="696"/>
      <c r="NXK1" s="696"/>
      <c r="NXL1" s="696"/>
      <c r="NXM1" s="696"/>
      <c r="NXN1" s="696"/>
      <c r="NXO1" s="696"/>
      <c r="NXP1" s="696"/>
      <c r="NXQ1" s="696"/>
      <c r="NXR1" s="696"/>
      <c r="NXS1" s="696"/>
      <c r="NXT1" s="696"/>
      <c r="NXU1" s="696"/>
      <c r="NXV1" s="696"/>
      <c r="NXW1" s="696"/>
      <c r="NXX1" s="696"/>
      <c r="NXY1" s="696"/>
      <c r="NXZ1" s="696"/>
      <c r="NYA1" s="696"/>
      <c r="NYB1" s="696"/>
      <c r="NYC1" s="696"/>
      <c r="NYD1" s="696"/>
      <c r="NYE1" s="696"/>
      <c r="NYF1" s="696"/>
      <c r="NYG1" s="696"/>
      <c r="NYH1" s="696"/>
      <c r="NYI1" s="696"/>
      <c r="NYJ1" s="696"/>
      <c r="NYK1" s="696"/>
      <c r="NYL1" s="696"/>
      <c r="NYM1" s="696"/>
      <c r="NYN1" s="696"/>
      <c r="NYO1" s="696"/>
      <c r="NYP1" s="696"/>
      <c r="NYQ1" s="696"/>
      <c r="NYR1" s="696"/>
      <c r="NYS1" s="696"/>
      <c r="NYT1" s="696"/>
      <c r="NYU1" s="696"/>
      <c r="NYV1" s="696"/>
      <c r="NYW1" s="696"/>
      <c r="NYX1" s="696"/>
      <c r="NYY1" s="696"/>
      <c r="NYZ1" s="696"/>
      <c r="NZA1" s="696"/>
      <c r="NZB1" s="696"/>
      <c r="NZC1" s="696"/>
      <c r="NZD1" s="696"/>
      <c r="NZE1" s="696"/>
      <c r="NZF1" s="696"/>
      <c r="NZG1" s="696"/>
      <c r="NZH1" s="696"/>
      <c r="NZI1" s="696"/>
      <c r="NZJ1" s="696"/>
      <c r="NZK1" s="696"/>
      <c r="NZL1" s="696"/>
      <c r="NZM1" s="696"/>
      <c r="NZN1" s="696"/>
      <c r="NZO1" s="696"/>
      <c r="NZP1" s="696"/>
      <c r="NZQ1" s="696"/>
      <c r="NZR1" s="696"/>
      <c r="NZS1" s="696"/>
      <c r="NZT1" s="696"/>
      <c r="NZU1" s="696"/>
      <c r="NZV1" s="696"/>
      <c r="NZW1" s="696"/>
      <c r="NZX1" s="696"/>
      <c r="NZY1" s="696"/>
      <c r="NZZ1" s="696"/>
      <c r="OAA1" s="696"/>
      <c r="OAB1" s="696"/>
      <c r="OAC1" s="696"/>
      <c r="OAD1" s="696"/>
      <c r="OAE1" s="696"/>
      <c r="OAF1" s="696"/>
      <c r="OAG1" s="696"/>
      <c r="OAH1" s="696"/>
      <c r="OAI1" s="696"/>
      <c r="OAJ1" s="696"/>
      <c r="OAK1" s="696"/>
      <c r="OAL1" s="696"/>
      <c r="OAM1" s="696"/>
      <c r="OAN1" s="696"/>
      <c r="OAO1" s="696"/>
      <c r="OAP1" s="696"/>
      <c r="OAQ1" s="696"/>
      <c r="OAR1" s="696"/>
      <c r="OAS1" s="696"/>
      <c r="OAT1" s="696"/>
      <c r="OAU1" s="696"/>
      <c r="OAV1" s="696"/>
      <c r="OAW1" s="696"/>
      <c r="OAX1" s="696"/>
      <c r="OAY1" s="696"/>
      <c r="OAZ1" s="696"/>
      <c r="OBA1" s="696"/>
      <c r="OBB1" s="696"/>
      <c r="OBC1" s="696"/>
      <c r="OBD1" s="696"/>
      <c r="OBE1" s="696"/>
      <c r="OBF1" s="696"/>
      <c r="OBG1" s="696"/>
      <c r="OBH1" s="696"/>
      <c r="OBI1" s="696"/>
      <c r="OBJ1" s="696"/>
      <c r="OBK1" s="696"/>
      <c r="OBL1" s="696"/>
      <c r="OBM1" s="696"/>
      <c r="OBN1" s="696"/>
      <c r="OBO1" s="696"/>
      <c r="OBP1" s="696"/>
      <c r="OBQ1" s="696"/>
      <c r="OBR1" s="696"/>
      <c r="OBS1" s="696"/>
      <c r="OBT1" s="696"/>
      <c r="OBU1" s="696"/>
      <c r="OBV1" s="696"/>
      <c r="OBW1" s="696"/>
      <c r="OBX1" s="696"/>
      <c r="OBY1" s="696"/>
      <c r="OBZ1" s="696"/>
      <c r="OCA1" s="696"/>
      <c r="OCB1" s="696"/>
      <c r="OCC1" s="696"/>
      <c r="OCD1" s="696"/>
      <c r="OCE1" s="696"/>
      <c r="OCF1" s="696"/>
      <c r="OCG1" s="696"/>
      <c r="OCH1" s="696"/>
      <c r="OCI1" s="696"/>
      <c r="OCJ1" s="696"/>
      <c r="OCK1" s="696"/>
      <c r="OCL1" s="696"/>
      <c r="OCM1" s="696"/>
      <c r="OCN1" s="696"/>
      <c r="OCO1" s="696"/>
      <c r="OCP1" s="696"/>
      <c r="OCQ1" s="696"/>
      <c r="OCR1" s="696"/>
      <c r="OCS1" s="696"/>
      <c r="OCT1" s="696"/>
      <c r="OCU1" s="696"/>
      <c r="OCV1" s="696"/>
      <c r="OCW1" s="696"/>
      <c r="OCX1" s="696"/>
      <c r="OCY1" s="696"/>
      <c r="OCZ1" s="696"/>
      <c r="ODA1" s="696"/>
      <c r="ODB1" s="696"/>
      <c r="ODC1" s="696"/>
      <c r="ODD1" s="696"/>
      <c r="ODE1" s="696"/>
      <c r="ODF1" s="696"/>
      <c r="ODG1" s="696"/>
      <c r="ODH1" s="696"/>
      <c r="ODI1" s="696"/>
      <c r="ODJ1" s="696"/>
      <c r="ODK1" s="696"/>
      <c r="ODL1" s="696"/>
      <c r="ODM1" s="696"/>
      <c r="ODN1" s="696"/>
      <c r="ODO1" s="696"/>
      <c r="ODP1" s="696"/>
      <c r="ODQ1" s="696"/>
      <c r="ODR1" s="696"/>
      <c r="ODS1" s="696"/>
      <c r="ODT1" s="696"/>
      <c r="ODU1" s="696"/>
      <c r="ODV1" s="696"/>
      <c r="ODW1" s="696"/>
      <c r="ODX1" s="696"/>
      <c r="ODY1" s="696"/>
      <c r="ODZ1" s="696"/>
      <c r="OEA1" s="696"/>
      <c r="OEB1" s="696"/>
      <c r="OEC1" s="696"/>
      <c r="OED1" s="696"/>
      <c r="OEE1" s="696"/>
      <c r="OEF1" s="696"/>
      <c r="OEG1" s="696"/>
      <c r="OEH1" s="696"/>
      <c r="OEI1" s="696"/>
      <c r="OEJ1" s="696"/>
      <c r="OEK1" s="696"/>
      <c r="OEL1" s="696"/>
      <c r="OEM1" s="696"/>
      <c r="OEN1" s="696"/>
      <c r="OEO1" s="696"/>
      <c r="OEP1" s="696"/>
      <c r="OEQ1" s="696"/>
      <c r="OER1" s="696"/>
      <c r="OES1" s="696"/>
      <c r="OET1" s="696"/>
      <c r="OEU1" s="696"/>
      <c r="OEV1" s="696"/>
      <c r="OEW1" s="696"/>
      <c r="OEX1" s="696"/>
      <c r="OEY1" s="696"/>
      <c r="OEZ1" s="696"/>
      <c r="OFA1" s="696"/>
      <c r="OFB1" s="696"/>
      <c r="OFC1" s="696"/>
      <c r="OFD1" s="696"/>
      <c r="OFE1" s="696"/>
      <c r="OFF1" s="696"/>
      <c r="OFG1" s="696"/>
      <c r="OFH1" s="696"/>
      <c r="OFI1" s="696"/>
      <c r="OFJ1" s="696"/>
      <c r="OFK1" s="696"/>
      <c r="OFL1" s="696"/>
      <c r="OFM1" s="696"/>
      <c r="OFN1" s="696"/>
      <c r="OFO1" s="696"/>
      <c r="OFP1" s="696"/>
      <c r="OFQ1" s="696"/>
      <c r="OFR1" s="696"/>
      <c r="OFS1" s="696"/>
      <c r="OFT1" s="696"/>
      <c r="OFU1" s="696"/>
      <c r="OFV1" s="696"/>
      <c r="OFW1" s="696"/>
      <c r="OFX1" s="696"/>
      <c r="OFY1" s="696"/>
      <c r="OFZ1" s="696"/>
      <c r="OGA1" s="696"/>
      <c r="OGB1" s="696"/>
      <c r="OGC1" s="696"/>
      <c r="OGD1" s="696"/>
      <c r="OGE1" s="696"/>
      <c r="OGF1" s="696"/>
      <c r="OGG1" s="696"/>
      <c r="OGH1" s="696"/>
      <c r="OGI1" s="696"/>
      <c r="OGJ1" s="696"/>
      <c r="OGK1" s="696"/>
      <c r="OGL1" s="696"/>
      <c r="OGM1" s="696"/>
      <c r="OGN1" s="696"/>
      <c r="OGO1" s="696"/>
      <c r="OGP1" s="696"/>
      <c r="OGQ1" s="696"/>
      <c r="OGR1" s="696"/>
      <c r="OGS1" s="696"/>
      <c r="OGT1" s="696"/>
      <c r="OGU1" s="696"/>
      <c r="OGV1" s="696"/>
      <c r="OGW1" s="696"/>
      <c r="OGX1" s="696"/>
      <c r="OGY1" s="696"/>
      <c r="OGZ1" s="696"/>
      <c r="OHA1" s="696"/>
      <c r="OHB1" s="696"/>
      <c r="OHC1" s="696"/>
      <c r="OHD1" s="696"/>
      <c r="OHE1" s="696"/>
      <c r="OHF1" s="696"/>
      <c r="OHG1" s="696"/>
      <c r="OHH1" s="696"/>
      <c r="OHI1" s="696"/>
      <c r="OHJ1" s="696"/>
      <c r="OHK1" s="696"/>
      <c r="OHL1" s="696"/>
      <c r="OHM1" s="696"/>
      <c r="OHN1" s="696"/>
      <c r="OHO1" s="696"/>
      <c r="OHP1" s="696"/>
      <c r="OHQ1" s="696"/>
      <c r="OHR1" s="696"/>
      <c r="OHS1" s="696"/>
      <c r="OHT1" s="696"/>
      <c r="OHU1" s="696"/>
      <c r="OHV1" s="696"/>
      <c r="OHW1" s="696"/>
      <c r="OHX1" s="696"/>
      <c r="OHY1" s="696"/>
      <c r="OHZ1" s="696"/>
      <c r="OIA1" s="696"/>
      <c r="OIB1" s="696"/>
      <c r="OIC1" s="696"/>
      <c r="OID1" s="696"/>
      <c r="OIE1" s="696"/>
      <c r="OIF1" s="696"/>
      <c r="OIG1" s="696"/>
      <c r="OIH1" s="696"/>
      <c r="OII1" s="696"/>
      <c r="OIJ1" s="696"/>
      <c r="OIK1" s="696"/>
      <c r="OIL1" s="696"/>
      <c r="OIM1" s="696"/>
      <c r="OIN1" s="696"/>
      <c r="OIO1" s="696"/>
      <c r="OIP1" s="696"/>
      <c r="OIQ1" s="696"/>
      <c r="OIR1" s="696"/>
      <c r="OIS1" s="696"/>
      <c r="OIT1" s="696"/>
      <c r="OIU1" s="696"/>
      <c r="OIV1" s="696"/>
      <c r="OIW1" s="696"/>
      <c r="OIX1" s="696"/>
      <c r="OIY1" s="696"/>
      <c r="OIZ1" s="696"/>
      <c r="OJA1" s="696"/>
      <c r="OJB1" s="696"/>
      <c r="OJC1" s="696"/>
      <c r="OJD1" s="696"/>
      <c r="OJE1" s="696"/>
      <c r="OJF1" s="696"/>
      <c r="OJG1" s="696"/>
      <c r="OJH1" s="696"/>
      <c r="OJI1" s="696"/>
      <c r="OJJ1" s="696"/>
      <c r="OJK1" s="696"/>
      <c r="OJL1" s="696"/>
      <c r="OJM1" s="696"/>
      <c r="OJN1" s="696"/>
      <c r="OJO1" s="696"/>
      <c r="OJP1" s="696"/>
      <c r="OJQ1" s="696"/>
      <c r="OJR1" s="696"/>
      <c r="OJS1" s="696"/>
      <c r="OJT1" s="696"/>
      <c r="OJU1" s="696"/>
      <c r="OJV1" s="696"/>
      <c r="OJW1" s="696"/>
      <c r="OJX1" s="696"/>
      <c r="OJY1" s="696"/>
      <c r="OJZ1" s="696"/>
      <c r="OKA1" s="696"/>
      <c r="OKB1" s="696"/>
      <c r="OKC1" s="696"/>
      <c r="OKD1" s="696"/>
      <c r="OKE1" s="696"/>
      <c r="OKF1" s="696"/>
      <c r="OKG1" s="696"/>
      <c r="OKH1" s="696"/>
      <c r="OKI1" s="696"/>
      <c r="OKJ1" s="696"/>
      <c r="OKK1" s="696"/>
      <c r="OKL1" s="696"/>
      <c r="OKM1" s="696"/>
      <c r="OKN1" s="696"/>
      <c r="OKO1" s="696"/>
      <c r="OKP1" s="696"/>
      <c r="OKQ1" s="696"/>
      <c r="OKR1" s="696"/>
      <c r="OKS1" s="696"/>
      <c r="OKT1" s="696"/>
      <c r="OKU1" s="696"/>
      <c r="OKV1" s="696"/>
      <c r="OKW1" s="696"/>
      <c r="OKX1" s="696"/>
      <c r="OKY1" s="696"/>
      <c r="OKZ1" s="696"/>
      <c r="OLA1" s="696"/>
      <c r="OLB1" s="696"/>
      <c r="OLC1" s="696"/>
      <c r="OLD1" s="696"/>
      <c r="OLE1" s="696"/>
      <c r="OLF1" s="696"/>
      <c r="OLG1" s="696"/>
      <c r="OLH1" s="696"/>
      <c r="OLI1" s="696"/>
      <c r="OLJ1" s="696"/>
      <c r="OLK1" s="696"/>
      <c r="OLL1" s="696"/>
      <c r="OLM1" s="696"/>
      <c r="OLN1" s="696"/>
      <c r="OLO1" s="696"/>
      <c r="OLP1" s="696"/>
      <c r="OLQ1" s="696"/>
      <c r="OLR1" s="696"/>
      <c r="OLS1" s="696"/>
      <c r="OLT1" s="696"/>
      <c r="OLU1" s="696"/>
      <c r="OLV1" s="696"/>
      <c r="OLW1" s="696"/>
      <c r="OLX1" s="696"/>
      <c r="OLY1" s="696"/>
      <c r="OLZ1" s="696"/>
      <c r="OMA1" s="696"/>
      <c r="OMB1" s="696"/>
      <c r="OMC1" s="696"/>
      <c r="OMD1" s="696"/>
      <c r="OME1" s="696"/>
      <c r="OMF1" s="696"/>
      <c r="OMG1" s="696"/>
      <c r="OMH1" s="696"/>
      <c r="OMI1" s="696"/>
      <c r="OMJ1" s="696"/>
      <c r="OMK1" s="696"/>
      <c r="OML1" s="696"/>
      <c r="OMM1" s="696"/>
      <c r="OMN1" s="696"/>
      <c r="OMO1" s="696"/>
      <c r="OMP1" s="696"/>
      <c r="OMQ1" s="696"/>
      <c r="OMR1" s="696"/>
      <c r="OMS1" s="696"/>
      <c r="OMT1" s="696"/>
      <c r="OMU1" s="696"/>
      <c r="OMV1" s="696"/>
      <c r="OMW1" s="696"/>
      <c r="OMX1" s="696"/>
      <c r="OMY1" s="696"/>
      <c r="OMZ1" s="696"/>
      <c r="ONA1" s="696"/>
      <c r="ONB1" s="696"/>
      <c r="ONC1" s="696"/>
      <c r="OND1" s="696"/>
      <c r="ONE1" s="696"/>
      <c r="ONF1" s="696"/>
      <c r="ONG1" s="696"/>
      <c r="ONH1" s="696"/>
      <c r="ONI1" s="696"/>
      <c r="ONJ1" s="696"/>
      <c r="ONK1" s="696"/>
      <c r="ONL1" s="696"/>
      <c r="ONM1" s="696"/>
      <c r="ONN1" s="696"/>
      <c r="ONO1" s="696"/>
      <c r="ONP1" s="696"/>
      <c r="ONQ1" s="696"/>
      <c r="ONR1" s="696"/>
      <c r="ONS1" s="696"/>
      <c r="ONT1" s="696"/>
      <c r="ONU1" s="696"/>
      <c r="ONV1" s="696"/>
      <c r="ONW1" s="696"/>
      <c r="ONX1" s="696"/>
      <c r="ONY1" s="696"/>
      <c r="ONZ1" s="696"/>
      <c r="OOA1" s="696"/>
      <c r="OOB1" s="696"/>
      <c r="OOC1" s="696"/>
      <c r="OOD1" s="696"/>
      <c r="OOE1" s="696"/>
      <c r="OOF1" s="696"/>
      <c r="OOG1" s="696"/>
      <c r="OOH1" s="696"/>
      <c r="OOI1" s="696"/>
      <c r="OOJ1" s="696"/>
      <c r="OOK1" s="696"/>
      <c r="OOL1" s="696"/>
      <c r="OOM1" s="696"/>
      <c r="OON1" s="696"/>
      <c r="OOO1" s="696"/>
      <c r="OOP1" s="696"/>
      <c r="OOQ1" s="696"/>
      <c r="OOR1" s="696"/>
      <c r="OOS1" s="696"/>
      <c r="OOT1" s="696"/>
      <c r="OOU1" s="696"/>
      <c r="OOV1" s="696"/>
      <c r="OOW1" s="696"/>
      <c r="OOX1" s="696"/>
      <c r="OOY1" s="696"/>
      <c r="OOZ1" s="696"/>
      <c r="OPA1" s="696"/>
      <c r="OPB1" s="696"/>
      <c r="OPC1" s="696"/>
      <c r="OPD1" s="696"/>
      <c r="OPE1" s="696"/>
      <c r="OPF1" s="696"/>
      <c r="OPG1" s="696"/>
      <c r="OPH1" s="696"/>
      <c r="OPI1" s="696"/>
      <c r="OPJ1" s="696"/>
      <c r="OPK1" s="696"/>
      <c r="OPL1" s="696"/>
      <c r="OPM1" s="696"/>
      <c r="OPN1" s="696"/>
      <c r="OPO1" s="696"/>
      <c r="OPP1" s="696"/>
      <c r="OPQ1" s="696"/>
      <c r="OPR1" s="696"/>
      <c r="OPS1" s="696"/>
      <c r="OPT1" s="696"/>
      <c r="OPU1" s="696"/>
      <c r="OPV1" s="696"/>
      <c r="OPW1" s="696"/>
      <c r="OPX1" s="696"/>
      <c r="OPY1" s="696"/>
      <c r="OPZ1" s="696"/>
      <c r="OQA1" s="696"/>
      <c r="OQB1" s="696"/>
      <c r="OQC1" s="696"/>
      <c r="OQD1" s="696"/>
      <c r="OQE1" s="696"/>
      <c r="OQF1" s="696"/>
      <c r="OQG1" s="696"/>
      <c r="OQH1" s="696"/>
      <c r="OQI1" s="696"/>
      <c r="OQJ1" s="696"/>
      <c r="OQK1" s="696"/>
      <c r="OQL1" s="696"/>
      <c r="OQM1" s="696"/>
      <c r="OQN1" s="696"/>
      <c r="OQO1" s="696"/>
      <c r="OQP1" s="696"/>
      <c r="OQQ1" s="696"/>
      <c r="OQR1" s="696"/>
      <c r="OQS1" s="696"/>
      <c r="OQT1" s="696"/>
      <c r="OQU1" s="696"/>
      <c r="OQV1" s="696"/>
      <c r="OQW1" s="696"/>
      <c r="OQX1" s="696"/>
      <c r="OQY1" s="696"/>
      <c r="OQZ1" s="696"/>
      <c r="ORA1" s="696"/>
      <c r="ORB1" s="696"/>
      <c r="ORC1" s="696"/>
      <c r="ORD1" s="696"/>
      <c r="ORE1" s="696"/>
      <c r="ORF1" s="696"/>
      <c r="ORG1" s="696"/>
      <c r="ORH1" s="696"/>
      <c r="ORI1" s="696"/>
      <c r="ORJ1" s="696"/>
      <c r="ORK1" s="696"/>
      <c r="ORL1" s="696"/>
      <c r="ORM1" s="696"/>
      <c r="ORN1" s="696"/>
      <c r="ORO1" s="696"/>
      <c r="ORP1" s="696"/>
      <c r="ORQ1" s="696"/>
      <c r="ORR1" s="696"/>
      <c r="ORS1" s="696"/>
      <c r="ORT1" s="696"/>
      <c r="ORU1" s="696"/>
      <c r="ORV1" s="696"/>
      <c r="ORW1" s="696"/>
      <c r="ORX1" s="696"/>
      <c r="ORY1" s="696"/>
      <c r="ORZ1" s="696"/>
      <c r="OSA1" s="696"/>
      <c r="OSB1" s="696"/>
      <c r="OSC1" s="696"/>
      <c r="OSD1" s="696"/>
      <c r="OSE1" s="696"/>
      <c r="OSF1" s="696"/>
      <c r="OSG1" s="696"/>
      <c r="OSH1" s="696"/>
      <c r="OSI1" s="696"/>
      <c r="OSJ1" s="696"/>
      <c r="OSK1" s="696"/>
      <c r="OSL1" s="696"/>
      <c r="OSM1" s="696"/>
      <c r="OSN1" s="696"/>
      <c r="OSO1" s="696"/>
      <c r="OSP1" s="696"/>
      <c r="OSQ1" s="696"/>
      <c r="OSR1" s="696"/>
      <c r="OSS1" s="696"/>
      <c r="OST1" s="696"/>
      <c r="OSU1" s="696"/>
      <c r="OSV1" s="696"/>
      <c r="OSW1" s="696"/>
      <c r="OSX1" s="696"/>
      <c r="OSY1" s="696"/>
      <c r="OSZ1" s="696"/>
      <c r="OTA1" s="696"/>
      <c r="OTB1" s="696"/>
      <c r="OTC1" s="696"/>
      <c r="OTD1" s="696"/>
      <c r="OTE1" s="696"/>
      <c r="OTF1" s="696"/>
      <c r="OTG1" s="696"/>
      <c r="OTH1" s="696"/>
      <c r="OTI1" s="696"/>
      <c r="OTJ1" s="696"/>
      <c r="OTK1" s="696"/>
      <c r="OTL1" s="696"/>
      <c r="OTM1" s="696"/>
      <c r="OTN1" s="696"/>
      <c r="OTO1" s="696"/>
      <c r="OTP1" s="696"/>
      <c r="OTQ1" s="696"/>
      <c r="OTR1" s="696"/>
      <c r="OTS1" s="696"/>
      <c r="OTT1" s="696"/>
      <c r="OTU1" s="696"/>
      <c r="OTV1" s="696"/>
      <c r="OTW1" s="696"/>
      <c r="OTX1" s="696"/>
      <c r="OTY1" s="696"/>
      <c r="OTZ1" s="696"/>
      <c r="OUA1" s="696"/>
      <c r="OUB1" s="696"/>
      <c r="OUC1" s="696"/>
      <c r="OUD1" s="696"/>
      <c r="OUE1" s="696"/>
      <c r="OUF1" s="696"/>
      <c r="OUG1" s="696"/>
      <c r="OUH1" s="696"/>
      <c r="OUI1" s="696"/>
      <c r="OUJ1" s="696"/>
      <c r="OUK1" s="696"/>
      <c r="OUL1" s="696"/>
      <c r="OUM1" s="696"/>
      <c r="OUN1" s="696"/>
      <c r="OUO1" s="696"/>
      <c r="OUP1" s="696"/>
      <c r="OUQ1" s="696"/>
      <c r="OUR1" s="696"/>
      <c r="OUS1" s="696"/>
      <c r="OUT1" s="696"/>
      <c r="OUU1" s="696"/>
      <c r="OUV1" s="696"/>
      <c r="OUW1" s="696"/>
      <c r="OUX1" s="696"/>
      <c r="OUY1" s="696"/>
      <c r="OUZ1" s="696"/>
      <c r="OVA1" s="696"/>
      <c r="OVB1" s="696"/>
      <c r="OVC1" s="696"/>
      <c r="OVD1" s="696"/>
      <c r="OVE1" s="696"/>
      <c r="OVF1" s="696"/>
      <c r="OVG1" s="696"/>
      <c r="OVH1" s="696"/>
      <c r="OVI1" s="696"/>
      <c r="OVJ1" s="696"/>
      <c r="OVK1" s="696"/>
      <c r="OVL1" s="696"/>
      <c r="OVM1" s="696"/>
      <c r="OVN1" s="696"/>
      <c r="OVO1" s="696"/>
      <c r="OVP1" s="696"/>
      <c r="OVQ1" s="696"/>
      <c r="OVR1" s="696"/>
      <c r="OVS1" s="696"/>
      <c r="OVT1" s="696"/>
      <c r="OVU1" s="696"/>
      <c r="OVV1" s="696"/>
      <c r="OVW1" s="696"/>
      <c r="OVX1" s="696"/>
      <c r="OVY1" s="696"/>
      <c r="OVZ1" s="696"/>
      <c r="OWA1" s="696"/>
      <c r="OWB1" s="696"/>
      <c r="OWC1" s="696"/>
      <c r="OWD1" s="696"/>
      <c r="OWE1" s="696"/>
      <c r="OWF1" s="696"/>
      <c r="OWG1" s="696"/>
      <c r="OWH1" s="696"/>
      <c r="OWI1" s="696"/>
      <c r="OWJ1" s="696"/>
      <c r="OWK1" s="696"/>
      <c r="OWL1" s="696"/>
      <c r="OWM1" s="696"/>
      <c r="OWN1" s="696"/>
      <c r="OWO1" s="696"/>
      <c r="OWP1" s="696"/>
      <c r="OWQ1" s="696"/>
      <c r="OWR1" s="696"/>
      <c r="OWS1" s="696"/>
      <c r="OWT1" s="696"/>
      <c r="OWU1" s="696"/>
      <c r="OWV1" s="696"/>
      <c r="OWW1" s="696"/>
      <c r="OWX1" s="696"/>
      <c r="OWY1" s="696"/>
      <c r="OWZ1" s="696"/>
      <c r="OXA1" s="696"/>
      <c r="OXB1" s="696"/>
      <c r="OXC1" s="696"/>
      <c r="OXD1" s="696"/>
      <c r="OXE1" s="696"/>
      <c r="OXF1" s="696"/>
      <c r="OXG1" s="696"/>
      <c r="OXH1" s="696"/>
      <c r="OXI1" s="696"/>
      <c r="OXJ1" s="696"/>
      <c r="OXK1" s="696"/>
      <c r="OXL1" s="696"/>
      <c r="OXM1" s="696"/>
      <c r="OXN1" s="696"/>
      <c r="OXO1" s="696"/>
      <c r="OXP1" s="696"/>
      <c r="OXQ1" s="696"/>
      <c r="OXR1" s="696"/>
      <c r="OXS1" s="696"/>
      <c r="OXT1" s="696"/>
      <c r="OXU1" s="696"/>
      <c r="OXV1" s="696"/>
      <c r="OXW1" s="696"/>
      <c r="OXX1" s="696"/>
      <c r="OXY1" s="696"/>
      <c r="OXZ1" s="696"/>
      <c r="OYA1" s="696"/>
      <c r="OYB1" s="696"/>
      <c r="OYC1" s="696"/>
      <c r="OYD1" s="696"/>
      <c r="OYE1" s="696"/>
      <c r="OYF1" s="696"/>
      <c r="OYG1" s="696"/>
      <c r="OYH1" s="696"/>
      <c r="OYI1" s="696"/>
      <c r="OYJ1" s="696"/>
      <c r="OYK1" s="696"/>
      <c r="OYL1" s="696"/>
      <c r="OYM1" s="696"/>
      <c r="OYN1" s="696"/>
      <c r="OYO1" s="696"/>
      <c r="OYP1" s="696"/>
      <c r="OYQ1" s="696"/>
      <c r="OYR1" s="696"/>
      <c r="OYS1" s="696"/>
      <c r="OYT1" s="696"/>
      <c r="OYU1" s="696"/>
      <c r="OYV1" s="696"/>
      <c r="OYW1" s="696"/>
      <c r="OYX1" s="696"/>
      <c r="OYY1" s="696"/>
      <c r="OYZ1" s="696"/>
      <c r="OZA1" s="696"/>
      <c r="OZB1" s="696"/>
      <c r="OZC1" s="696"/>
      <c r="OZD1" s="696"/>
      <c r="OZE1" s="696"/>
      <c r="OZF1" s="696"/>
      <c r="OZG1" s="696"/>
      <c r="OZH1" s="696"/>
      <c r="OZI1" s="696"/>
      <c r="OZJ1" s="696"/>
      <c r="OZK1" s="696"/>
      <c r="OZL1" s="696"/>
      <c r="OZM1" s="696"/>
      <c r="OZN1" s="696"/>
      <c r="OZO1" s="696"/>
      <c r="OZP1" s="696"/>
      <c r="OZQ1" s="696"/>
      <c r="OZR1" s="696"/>
      <c r="OZS1" s="696"/>
      <c r="OZT1" s="696"/>
      <c r="OZU1" s="696"/>
      <c r="OZV1" s="696"/>
      <c r="OZW1" s="696"/>
      <c r="OZX1" s="696"/>
      <c r="OZY1" s="696"/>
      <c r="OZZ1" s="696"/>
      <c r="PAA1" s="696"/>
      <c r="PAB1" s="696"/>
      <c r="PAC1" s="696"/>
      <c r="PAD1" s="696"/>
      <c r="PAE1" s="696"/>
      <c r="PAF1" s="696"/>
      <c r="PAG1" s="696"/>
      <c r="PAH1" s="696"/>
      <c r="PAI1" s="696"/>
      <c r="PAJ1" s="696"/>
      <c r="PAK1" s="696"/>
      <c r="PAL1" s="696"/>
      <c r="PAM1" s="696"/>
      <c r="PAN1" s="696"/>
      <c r="PAO1" s="696"/>
      <c r="PAP1" s="696"/>
      <c r="PAQ1" s="696"/>
      <c r="PAR1" s="696"/>
      <c r="PAS1" s="696"/>
      <c r="PAT1" s="696"/>
      <c r="PAU1" s="696"/>
      <c r="PAV1" s="696"/>
      <c r="PAW1" s="696"/>
      <c r="PAX1" s="696"/>
      <c r="PAY1" s="696"/>
      <c r="PAZ1" s="696"/>
      <c r="PBA1" s="696"/>
      <c r="PBB1" s="696"/>
      <c r="PBC1" s="696"/>
      <c r="PBD1" s="696"/>
      <c r="PBE1" s="696"/>
      <c r="PBF1" s="696"/>
      <c r="PBG1" s="696"/>
      <c r="PBH1" s="696"/>
      <c r="PBI1" s="696"/>
      <c r="PBJ1" s="696"/>
      <c r="PBK1" s="696"/>
      <c r="PBL1" s="696"/>
      <c r="PBM1" s="696"/>
      <c r="PBN1" s="696"/>
      <c r="PBO1" s="696"/>
      <c r="PBP1" s="696"/>
      <c r="PBQ1" s="696"/>
      <c r="PBR1" s="696"/>
      <c r="PBS1" s="696"/>
      <c r="PBT1" s="696"/>
      <c r="PBU1" s="696"/>
      <c r="PBV1" s="696"/>
      <c r="PBW1" s="696"/>
      <c r="PBX1" s="696"/>
      <c r="PBY1" s="696"/>
      <c r="PBZ1" s="696"/>
      <c r="PCA1" s="696"/>
      <c r="PCB1" s="696"/>
      <c r="PCC1" s="696"/>
      <c r="PCD1" s="696"/>
      <c r="PCE1" s="696"/>
      <c r="PCF1" s="696"/>
      <c r="PCG1" s="696"/>
      <c r="PCH1" s="696"/>
      <c r="PCI1" s="696"/>
      <c r="PCJ1" s="696"/>
      <c r="PCK1" s="696"/>
      <c r="PCL1" s="696"/>
      <c r="PCM1" s="696"/>
      <c r="PCN1" s="696"/>
      <c r="PCO1" s="696"/>
      <c r="PCP1" s="696"/>
      <c r="PCQ1" s="696"/>
      <c r="PCR1" s="696"/>
      <c r="PCS1" s="696"/>
      <c r="PCT1" s="696"/>
      <c r="PCU1" s="696"/>
      <c r="PCV1" s="696"/>
      <c r="PCW1" s="696"/>
      <c r="PCX1" s="696"/>
      <c r="PCY1" s="696"/>
      <c r="PCZ1" s="696"/>
      <c r="PDA1" s="696"/>
      <c r="PDB1" s="696"/>
      <c r="PDC1" s="696"/>
      <c r="PDD1" s="696"/>
      <c r="PDE1" s="696"/>
      <c r="PDF1" s="696"/>
      <c r="PDG1" s="696"/>
      <c r="PDH1" s="696"/>
      <c r="PDI1" s="696"/>
      <c r="PDJ1" s="696"/>
      <c r="PDK1" s="696"/>
      <c r="PDL1" s="696"/>
      <c r="PDM1" s="696"/>
      <c r="PDN1" s="696"/>
      <c r="PDO1" s="696"/>
      <c r="PDP1" s="696"/>
      <c r="PDQ1" s="696"/>
      <c r="PDR1" s="696"/>
      <c r="PDS1" s="696"/>
      <c r="PDT1" s="696"/>
      <c r="PDU1" s="696"/>
      <c r="PDV1" s="696"/>
      <c r="PDW1" s="696"/>
      <c r="PDX1" s="696"/>
      <c r="PDY1" s="696"/>
      <c r="PDZ1" s="696"/>
      <c r="PEA1" s="696"/>
      <c r="PEB1" s="696"/>
      <c r="PEC1" s="696"/>
      <c r="PED1" s="696"/>
      <c r="PEE1" s="696"/>
      <c r="PEF1" s="696"/>
      <c r="PEG1" s="696"/>
      <c r="PEH1" s="696"/>
      <c r="PEI1" s="696"/>
      <c r="PEJ1" s="696"/>
      <c r="PEK1" s="696"/>
      <c r="PEL1" s="696"/>
      <c r="PEM1" s="696"/>
      <c r="PEN1" s="696"/>
      <c r="PEO1" s="696"/>
      <c r="PEP1" s="696"/>
      <c r="PEQ1" s="696"/>
      <c r="PER1" s="696"/>
      <c r="PES1" s="696"/>
      <c r="PET1" s="696"/>
      <c r="PEU1" s="696"/>
      <c r="PEV1" s="696"/>
      <c r="PEW1" s="696"/>
      <c r="PEX1" s="696"/>
      <c r="PEY1" s="696"/>
      <c r="PEZ1" s="696"/>
      <c r="PFA1" s="696"/>
      <c r="PFB1" s="696"/>
      <c r="PFC1" s="696"/>
      <c r="PFD1" s="696"/>
      <c r="PFE1" s="696"/>
      <c r="PFF1" s="696"/>
      <c r="PFG1" s="696"/>
      <c r="PFH1" s="696"/>
      <c r="PFI1" s="696"/>
      <c r="PFJ1" s="696"/>
      <c r="PFK1" s="696"/>
      <c r="PFL1" s="696"/>
      <c r="PFM1" s="696"/>
      <c r="PFN1" s="696"/>
      <c r="PFO1" s="696"/>
      <c r="PFP1" s="696"/>
      <c r="PFQ1" s="696"/>
      <c r="PFR1" s="696"/>
      <c r="PFS1" s="696"/>
      <c r="PFT1" s="696"/>
      <c r="PFU1" s="696"/>
      <c r="PFV1" s="696"/>
      <c r="PFW1" s="696"/>
      <c r="PFX1" s="696"/>
      <c r="PFY1" s="696"/>
      <c r="PFZ1" s="696"/>
      <c r="PGA1" s="696"/>
      <c r="PGB1" s="696"/>
      <c r="PGC1" s="696"/>
      <c r="PGD1" s="696"/>
      <c r="PGE1" s="696"/>
      <c r="PGF1" s="696"/>
      <c r="PGG1" s="696"/>
      <c r="PGH1" s="696"/>
      <c r="PGI1" s="696"/>
      <c r="PGJ1" s="696"/>
      <c r="PGK1" s="696"/>
      <c r="PGL1" s="696"/>
      <c r="PGM1" s="696"/>
      <c r="PGN1" s="696"/>
      <c r="PGO1" s="696"/>
      <c r="PGP1" s="696"/>
      <c r="PGQ1" s="696"/>
      <c r="PGR1" s="696"/>
      <c r="PGS1" s="696"/>
      <c r="PGT1" s="696"/>
      <c r="PGU1" s="696"/>
      <c r="PGV1" s="696"/>
      <c r="PGW1" s="696"/>
      <c r="PGX1" s="696"/>
      <c r="PGY1" s="696"/>
      <c r="PGZ1" s="696"/>
      <c r="PHA1" s="696"/>
      <c r="PHB1" s="696"/>
      <c r="PHC1" s="696"/>
      <c r="PHD1" s="696"/>
      <c r="PHE1" s="696"/>
      <c r="PHF1" s="696"/>
      <c r="PHG1" s="696"/>
      <c r="PHH1" s="696"/>
      <c r="PHI1" s="696"/>
      <c r="PHJ1" s="696"/>
      <c r="PHK1" s="696"/>
      <c r="PHL1" s="696"/>
      <c r="PHM1" s="696"/>
      <c r="PHN1" s="696"/>
      <c r="PHO1" s="696"/>
      <c r="PHP1" s="696"/>
      <c r="PHQ1" s="696"/>
      <c r="PHR1" s="696"/>
      <c r="PHS1" s="696"/>
      <c r="PHT1" s="696"/>
      <c r="PHU1" s="696"/>
      <c r="PHV1" s="696"/>
      <c r="PHW1" s="696"/>
      <c r="PHX1" s="696"/>
      <c r="PHY1" s="696"/>
      <c r="PHZ1" s="696"/>
      <c r="PIA1" s="696"/>
      <c r="PIB1" s="696"/>
      <c r="PIC1" s="696"/>
      <c r="PID1" s="696"/>
      <c r="PIE1" s="696"/>
      <c r="PIF1" s="696"/>
      <c r="PIG1" s="696"/>
      <c r="PIH1" s="696"/>
      <c r="PII1" s="696"/>
      <c r="PIJ1" s="696"/>
      <c r="PIK1" s="696"/>
      <c r="PIL1" s="696"/>
      <c r="PIM1" s="696"/>
      <c r="PIN1" s="696"/>
      <c r="PIO1" s="696"/>
      <c r="PIP1" s="696"/>
      <c r="PIQ1" s="696"/>
      <c r="PIR1" s="696"/>
      <c r="PIS1" s="696"/>
      <c r="PIT1" s="696"/>
      <c r="PIU1" s="696"/>
      <c r="PIV1" s="696"/>
      <c r="PIW1" s="696"/>
      <c r="PIX1" s="696"/>
      <c r="PIY1" s="696"/>
      <c r="PIZ1" s="696"/>
      <c r="PJA1" s="696"/>
      <c r="PJB1" s="696"/>
      <c r="PJC1" s="696"/>
      <c r="PJD1" s="696"/>
      <c r="PJE1" s="696"/>
      <c r="PJF1" s="696"/>
      <c r="PJG1" s="696"/>
      <c r="PJH1" s="696"/>
      <c r="PJI1" s="696"/>
      <c r="PJJ1" s="696"/>
      <c r="PJK1" s="696"/>
      <c r="PJL1" s="696"/>
      <c r="PJM1" s="696"/>
      <c r="PJN1" s="696"/>
      <c r="PJO1" s="696"/>
      <c r="PJP1" s="696"/>
      <c r="PJQ1" s="696"/>
      <c r="PJR1" s="696"/>
      <c r="PJS1" s="696"/>
      <c r="PJT1" s="696"/>
      <c r="PJU1" s="696"/>
      <c r="PJV1" s="696"/>
      <c r="PJW1" s="696"/>
      <c r="PJX1" s="696"/>
      <c r="PJY1" s="696"/>
      <c r="PJZ1" s="696"/>
      <c r="PKA1" s="696"/>
      <c r="PKB1" s="696"/>
      <c r="PKC1" s="696"/>
      <c r="PKD1" s="696"/>
      <c r="PKE1" s="696"/>
      <c r="PKF1" s="696"/>
      <c r="PKG1" s="696"/>
      <c r="PKH1" s="696"/>
      <c r="PKI1" s="696"/>
      <c r="PKJ1" s="696"/>
      <c r="PKK1" s="696"/>
      <c r="PKL1" s="696"/>
      <c r="PKM1" s="696"/>
      <c r="PKN1" s="696"/>
      <c r="PKO1" s="696"/>
      <c r="PKP1" s="696"/>
      <c r="PKQ1" s="696"/>
      <c r="PKR1" s="696"/>
      <c r="PKS1" s="696"/>
      <c r="PKT1" s="696"/>
      <c r="PKU1" s="696"/>
      <c r="PKV1" s="696"/>
      <c r="PKW1" s="696"/>
      <c r="PKX1" s="696"/>
      <c r="PKY1" s="696"/>
      <c r="PKZ1" s="696"/>
      <c r="PLA1" s="696"/>
      <c r="PLB1" s="696"/>
      <c r="PLC1" s="696"/>
      <c r="PLD1" s="696"/>
      <c r="PLE1" s="696"/>
      <c r="PLF1" s="696"/>
      <c r="PLG1" s="696"/>
      <c r="PLH1" s="696"/>
      <c r="PLI1" s="696"/>
      <c r="PLJ1" s="696"/>
      <c r="PLK1" s="696"/>
      <c r="PLL1" s="696"/>
      <c r="PLM1" s="696"/>
      <c r="PLN1" s="696"/>
      <c r="PLO1" s="696"/>
      <c r="PLP1" s="696"/>
      <c r="PLQ1" s="696"/>
      <c r="PLR1" s="696"/>
      <c r="PLS1" s="696"/>
      <c r="PLT1" s="696"/>
      <c r="PLU1" s="696"/>
      <c r="PLV1" s="696"/>
      <c r="PLW1" s="696"/>
      <c r="PLX1" s="696"/>
      <c r="PLY1" s="696"/>
      <c r="PLZ1" s="696"/>
      <c r="PMA1" s="696"/>
      <c r="PMB1" s="696"/>
      <c r="PMC1" s="696"/>
      <c r="PMD1" s="696"/>
      <c r="PME1" s="696"/>
      <c r="PMF1" s="696"/>
      <c r="PMG1" s="696"/>
      <c r="PMH1" s="696"/>
      <c r="PMI1" s="696"/>
      <c r="PMJ1" s="696"/>
      <c r="PMK1" s="696"/>
      <c r="PML1" s="696"/>
      <c r="PMM1" s="696"/>
      <c r="PMN1" s="696"/>
      <c r="PMO1" s="696"/>
      <c r="PMP1" s="696"/>
      <c r="PMQ1" s="696"/>
      <c r="PMR1" s="696"/>
      <c r="PMS1" s="696"/>
      <c r="PMT1" s="696"/>
      <c r="PMU1" s="696"/>
      <c r="PMV1" s="696"/>
      <c r="PMW1" s="696"/>
      <c r="PMX1" s="696"/>
      <c r="PMY1" s="696"/>
      <c r="PMZ1" s="696"/>
      <c r="PNA1" s="696"/>
      <c r="PNB1" s="696"/>
      <c r="PNC1" s="696"/>
      <c r="PND1" s="696"/>
      <c r="PNE1" s="696"/>
      <c r="PNF1" s="696"/>
      <c r="PNG1" s="696"/>
      <c r="PNH1" s="696"/>
      <c r="PNI1" s="696"/>
      <c r="PNJ1" s="696"/>
      <c r="PNK1" s="696"/>
      <c r="PNL1" s="696"/>
      <c r="PNM1" s="696"/>
      <c r="PNN1" s="696"/>
      <c r="PNO1" s="696"/>
      <c r="PNP1" s="696"/>
      <c r="PNQ1" s="696"/>
      <c r="PNR1" s="696"/>
      <c r="PNS1" s="696"/>
      <c r="PNT1" s="696"/>
      <c r="PNU1" s="696"/>
      <c r="PNV1" s="696"/>
      <c r="PNW1" s="696"/>
      <c r="PNX1" s="696"/>
      <c r="PNY1" s="696"/>
      <c r="PNZ1" s="696"/>
      <c r="POA1" s="696"/>
      <c r="POB1" s="696"/>
      <c r="POC1" s="696"/>
      <c r="POD1" s="696"/>
      <c r="POE1" s="696"/>
      <c r="POF1" s="696"/>
      <c r="POG1" s="696"/>
      <c r="POH1" s="696"/>
      <c r="POI1" s="696"/>
      <c r="POJ1" s="696"/>
      <c r="POK1" s="696"/>
      <c r="POL1" s="696"/>
      <c r="POM1" s="696"/>
      <c r="PON1" s="696"/>
      <c r="POO1" s="696"/>
      <c r="POP1" s="696"/>
      <c r="POQ1" s="696"/>
      <c r="POR1" s="696"/>
      <c r="POS1" s="696"/>
      <c r="POT1" s="696"/>
      <c r="POU1" s="696"/>
      <c r="POV1" s="696"/>
      <c r="POW1" s="696"/>
      <c r="POX1" s="696"/>
      <c r="POY1" s="696"/>
      <c r="POZ1" s="696"/>
      <c r="PPA1" s="696"/>
      <c r="PPB1" s="696"/>
      <c r="PPC1" s="696"/>
      <c r="PPD1" s="696"/>
      <c r="PPE1" s="696"/>
      <c r="PPF1" s="696"/>
      <c r="PPG1" s="696"/>
      <c r="PPH1" s="696"/>
      <c r="PPI1" s="696"/>
      <c r="PPJ1" s="696"/>
      <c r="PPK1" s="696"/>
      <c r="PPL1" s="696"/>
      <c r="PPM1" s="696"/>
      <c r="PPN1" s="696"/>
      <c r="PPO1" s="696"/>
      <c r="PPP1" s="696"/>
      <c r="PPQ1" s="696"/>
      <c r="PPR1" s="696"/>
      <c r="PPS1" s="696"/>
      <c r="PPT1" s="696"/>
      <c r="PPU1" s="696"/>
      <c r="PPV1" s="696"/>
      <c r="PPW1" s="696"/>
      <c r="PPX1" s="696"/>
      <c r="PPY1" s="696"/>
      <c r="PPZ1" s="696"/>
      <c r="PQA1" s="696"/>
      <c r="PQB1" s="696"/>
      <c r="PQC1" s="696"/>
      <c r="PQD1" s="696"/>
      <c r="PQE1" s="696"/>
      <c r="PQF1" s="696"/>
      <c r="PQG1" s="696"/>
      <c r="PQH1" s="696"/>
      <c r="PQI1" s="696"/>
      <c r="PQJ1" s="696"/>
      <c r="PQK1" s="696"/>
      <c r="PQL1" s="696"/>
      <c r="PQM1" s="696"/>
      <c r="PQN1" s="696"/>
      <c r="PQO1" s="696"/>
      <c r="PQP1" s="696"/>
      <c r="PQQ1" s="696"/>
      <c r="PQR1" s="696"/>
      <c r="PQS1" s="696"/>
      <c r="PQT1" s="696"/>
      <c r="PQU1" s="696"/>
      <c r="PQV1" s="696"/>
      <c r="PQW1" s="696"/>
      <c r="PQX1" s="696"/>
      <c r="PQY1" s="696"/>
      <c r="PQZ1" s="696"/>
      <c r="PRA1" s="696"/>
      <c r="PRB1" s="696"/>
      <c r="PRC1" s="696"/>
      <c r="PRD1" s="696"/>
      <c r="PRE1" s="696"/>
      <c r="PRF1" s="696"/>
      <c r="PRG1" s="696"/>
      <c r="PRH1" s="696"/>
      <c r="PRI1" s="696"/>
      <c r="PRJ1" s="696"/>
      <c r="PRK1" s="696"/>
      <c r="PRL1" s="696"/>
      <c r="PRM1" s="696"/>
      <c r="PRN1" s="696"/>
      <c r="PRO1" s="696"/>
      <c r="PRP1" s="696"/>
      <c r="PRQ1" s="696"/>
      <c r="PRR1" s="696"/>
      <c r="PRS1" s="696"/>
      <c r="PRT1" s="696"/>
      <c r="PRU1" s="696"/>
      <c r="PRV1" s="696"/>
      <c r="PRW1" s="696"/>
      <c r="PRX1" s="696"/>
      <c r="PRY1" s="696"/>
      <c r="PRZ1" s="696"/>
      <c r="PSA1" s="696"/>
      <c r="PSB1" s="696"/>
      <c r="PSC1" s="696"/>
      <c r="PSD1" s="696"/>
      <c r="PSE1" s="696"/>
      <c r="PSF1" s="696"/>
      <c r="PSG1" s="696"/>
      <c r="PSH1" s="696"/>
      <c r="PSI1" s="696"/>
      <c r="PSJ1" s="696"/>
      <c r="PSK1" s="696"/>
      <c r="PSL1" s="696"/>
      <c r="PSM1" s="696"/>
      <c r="PSN1" s="696"/>
      <c r="PSO1" s="696"/>
      <c r="PSP1" s="696"/>
      <c r="PSQ1" s="696"/>
      <c r="PSR1" s="696"/>
      <c r="PSS1" s="696"/>
      <c r="PST1" s="696"/>
      <c r="PSU1" s="696"/>
      <c r="PSV1" s="696"/>
      <c r="PSW1" s="696"/>
      <c r="PSX1" s="696"/>
      <c r="PSY1" s="696"/>
      <c r="PSZ1" s="696"/>
      <c r="PTA1" s="696"/>
      <c r="PTB1" s="696"/>
      <c r="PTC1" s="696"/>
      <c r="PTD1" s="696"/>
      <c r="PTE1" s="696"/>
      <c r="PTF1" s="696"/>
      <c r="PTG1" s="696"/>
      <c r="PTH1" s="696"/>
      <c r="PTI1" s="696"/>
      <c r="PTJ1" s="696"/>
      <c r="PTK1" s="696"/>
      <c r="PTL1" s="696"/>
      <c r="PTM1" s="696"/>
      <c r="PTN1" s="696"/>
      <c r="PTO1" s="696"/>
      <c r="PTP1" s="696"/>
      <c r="PTQ1" s="696"/>
      <c r="PTR1" s="696"/>
      <c r="PTS1" s="696"/>
      <c r="PTT1" s="696"/>
      <c r="PTU1" s="696"/>
      <c r="PTV1" s="696"/>
      <c r="PTW1" s="696"/>
      <c r="PTX1" s="696"/>
      <c r="PTY1" s="696"/>
      <c r="PTZ1" s="696"/>
      <c r="PUA1" s="696"/>
      <c r="PUB1" s="696"/>
      <c r="PUC1" s="696"/>
      <c r="PUD1" s="696"/>
      <c r="PUE1" s="696"/>
      <c r="PUF1" s="696"/>
      <c r="PUG1" s="696"/>
      <c r="PUH1" s="696"/>
      <c r="PUI1" s="696"/>
      <c r="PUJ1" s="696"/>
      <c r="PUK1" s="696"/>
      <c r="PUL1" s="696"/>
      <c r="PUM1" s="696"/>
      <c r="PUN1" s="696"/>
      <c r="PUO1" s="696"/>
      <c r="PUP1" s="696"/>
      <c r="PUQ1" s="696"/>
      <c r="PUR1" s="696"/>
      <c r="PUS1" s="696"/>
      <c r="PUT1" s="696"/>
      <c r="PUU1" s="696"/>
      <c r="PUV1" s="696"/>
      <c r="PUW1" s="696"/>
      <c r="PUX1" s="696"/>
      <c r="PUY1" s="696"/>
      <c r="PUZ1" s="696"/>
      <c r="PVA1" s="696"/>
      <c r="PVB1" s="696"/>
      <c r="PVC1" s="696"/>
      <c r="PVD1" s="696"/>
      <c r="PVE1" s="696"/>
      <c r="PVF1" s="696"/>
      <c r="PVG1" s="696"/>
      <c r="PVH1" s="696"/>
      <c r="PVI1" s="696"/>
      <c r="PVJ1" s="696"/>
      <c r="PVK1" s="696"/>
      <c r="PVL1" s="696"/>
      <c r="PVM1" s="696"/>
      <c r="PVN1" s="696"/>
      <c r="PVO1" s="696"/>
      <c r="PVP1" s="696"/>
      <c r="PVQ1" s="696"/>
      <c r="PVR1" s="696"/>
      <c r="PVS1" s="696"/>
      <c r="PVT1" s="696"/>
      <c r="PVU1" s="696"/>
      <c r="PVV1" s="696"/>
      <c r="PVW1" s="696"/>
      <c r="PVX1" s="696"/>
      <c r="PVY1" s="696"/>
      <c r="PVZ1" s="696"/>
      <c r="PWA1" s="696"/>
      <c r="PWB1" s="696"/>
      <c r="PWC1" s="696"/>
      <c r="PWD1" s="696"/>
      <c r="PWE1" s="696"/>
      <c r="PWF1" s="696"/>
      <c r="PWG1" s="696"/>
      <c r="PWH1" s="696"/>
      <c r="PWI1" s="696"/>
      <c r="PWJ1" s="696"/>
      <c r="PWK1" s="696"/>
      <c r="PWL1" s="696"/>
      <c r="PWM1" s="696"/>
      <c r="PWN1" s="696"/>
      <c r="PWO1" s="696"/>
      <c r="PWP1" s="696"/>
      <c r="PWQ1" s="696"/>
      <c r="PWR1" s="696"/>
      <c r="PWS1" s="696"/>
      <c r="PWT1" s="696"/>
      <c r="PWU1" s="696"/>
      <c r="PWV1" s="696"/>
      <c r="PWW1" s="696"/>
      <c r="PWX1" s="696"/>
      <c r="PWY1" s="696"/>
      <c r="PWZ1" s="696"/>
      <c r="PXA1" s="696"/>
      <c r="PXB1" s="696"/>
      <c r="PXC1" s="696"/>
      <c r="PXD1" s="696"/>
      <c r="PXE1" s="696"/>
      <c r="PXF1" s="696"/>
      <c r="PXG1" s="696"/>
      <c r="PXH1" s="696"/>
      <c r="PXI1" s="696"/>
      <c r="PXJ1" s="696"/>
      <c r="PXK1" s="696"/>
      <c r="PXL1" s="696"/>
      <c r="PXM1" s="696"/>
      <c r="PXN1" s="696"/>
      <c r="PXO1" s="696"/>
      <c r="PXP1" s="696"/>
      <c r="PXQ1" s="696"/>
      <c r="PXR1" s="696"/>
      <c r="PXS1" s="696"/>
      <c r="PXT1" s="696"/>
      <c r="PXU1" s="696"/>
      <c r="PXV1" s="696"/>
      <c r="PXW1" s="696"/>
      <c r="PXX1" s="696"/>
      <c r="PXY1" s="696"/>
      <c r="PXZ1" s="696"/>
      <c r="PYA1" s="696"/>
      <c r="PYB1" s="696"/>
      <c r="PYC1" s="696"/>
      <c r="PYD1" s="696"/>
      <c r="PYE1" s="696"/>
      <c r="PYF1" s="696"/>
      <c r="PYG1" s="696"/>
      <c r="PYH1" s="696"/>
      <c r="PYI1" s="696"/>
      <c r="PYJ1" s="696"/>
      <c r="PYK1" s="696"/>
      <c r="PYL1" s="696"/>
      <c r="PYM1" s="696"/>
      <c r="PYN1" s="696"/>
      <c r="PYO1" s="696"/>
      <c r="PYP1" s="696"/>
      <c r="PYQ1" s="696"/>
      <c r="PYR1" s="696"/>
      <c r="PYS1" s="696"/>
      <c r="PYT1" s="696"/>
      <c r="PYU1" s="696"/>
      <c r="PYV1" s="696"/>
      <c r="PYW1" s="696"/>
      <c r="PYX1" s="696"/>
      <c r="PYY1" s="696"/>
      <c r="PYZ1" s="696"/>
      <c r="PZA1" s="696"/>
      <c r="PZB1" s="696"/>
      <c r="PZC1" s="696"/>
      <c r="PZD1" s="696"/>
      <c r="PZE1" s="696"/>
      <c r="PZF1" s="696"/>
      <c r="PZG1" s="696"/>
      <c r="PZH1" s="696"/>
      <c r="PZI1" s="696"/>
      <c r="PZJ1" s="696"/>
      <c r="PZK1" s="696"/>
      <c r="PZL1" s="696"/>
      <c r="PZM1" s="696"/>
      <c r="PZN1" s="696"/>
      <c r="PZO1" s="696"/>
      <c r="PZP1" s="696"/>
      <c r="PZQ1" s="696"/>
      <c r="PZR1" s="696"/>
      <c r="PZS1" s="696"/>
      <c r="PZT1" s="696"/>
      <c r="PZU1" s="696"/>
      <c r="PZV1" s="696"/>
      <c r="PZW1" s="696"/>
      <c r="PZX1" s="696"/>
      <c r="PZY1" s="696"/>
      <c r="PZZ1" s="696"/>
      <c r="QAA1" s="696"/>
      <c r="QAB1" s="696"/>
      <c r="QAC1" s="696"/>
      <c r="QAD1" s="696"/>
      <c r="QAE1" s="696"/>
      <c r="QAF1" s="696"/>
      <c r="QAG1" s="696"/>
      <c r="QAH1" s="696"/>
      <c r="QAI1" s="696"/>
      <c r="QAJ1" s="696"/>
      <c r="QAK1" s="696"/>
      <c r="QAL1" s="696"/>
      <c r="QAM1" s="696"/>
      <c r="QAN1" s="696"/>
      <c r="QAO1" s="696"/>
      <c r="QAP1" s="696"/>
      <c r="QAQ1" s="696"/>
      <c r="QAR1" s="696"/>
      <c r="QAS1" s="696"/>
      <c r="QAT1" s="696"/>
      <c r="QAU1" s="696"/>
      <c r="QAV1" s="696"/>
      <c r="QAW1" s="696"/>
      <c r="QAX1" s="696"/>
      <c r="QAY1" s="696"/>
      <c r="QAZ1" s="696"/>
      <c r="QBA1" s="696"/>
      <c r="QBB1" s="696"/>
      <c r="QBC1" s="696"/>
      <c r="QBD1" s="696"/>
      <c r="QBE1" s="696"/>
      <c r="QBF1" s="696"/>
      <c r="QBG1" s="696"/>
      <c r="QBH1" s="696"/>
      <c r="QBI1" s="696"/>
      <c r="QBJ1" s="696"/>
      <c r="QBK1" s="696"/>
      <c r="QBL1" s="696"/>
      <c r="QBM1" s="696"/>
      <c r="QBN1" s="696"/>
      <c r="QBO1" s="696"/>
      <c r="QBP1" s="696"/>
      <c r="QBQ1" s="696"/>
      <c r="QBR1" s="696"/>
      <c r="QBS1" s="696"/>
      <c r="QBT1" s="696"/>
      <c r="QBU1" s="696"/>
      <c r="QBV1" s="696"/>
      <c r="QBW1" s="696"/>
      <c r="QBX1" s="696"/>
      <c r="QBY1" s="696"/>
      <c r="QBZ1" s="696"/>
      <c r="QCA1" s="696"/>
      <c r="QCB1" s="696"/>
      <c r="QCC1" s="696"/>
      <c r="QCD1" s="696"/>
      <c r="QCE1" s="696"/>
      <c r="QCF1" s="696"/>
      <c r="QCG1" s="696"/>
      <c r="QCH1" s="696"/>
      <c r="QCI1" s="696"/>
      <c r="QCJ1" s="696"/>
      <c r="QCK1" s="696"/>
      <c r="QCL1" s="696"/>
      <c r="QCM1" s="696"/>
      <c r="QCN1" s="696"/>
      <c r="QCO1" s="696"/>
      <c r="QCP1" s="696"/>
      <c r="QCQ1" s="696"/>
      <c r="QCR1" s="696"/>
      <c r="QCS1" s="696"/>
      <c r="QCT1" s="696"/>
      <c r="QCU1" s="696"/>
      <c r="QCV1" s="696"/>
      <c r="QCW1" s="696"/>
      <c r="QCX1" s="696"/>
      <c r="QCY1" s="696"/>
      <c r="QCZ1" s="696"/>
      <c r="QDA1" s="696"/>
      <c r="QDB1" s="696"/>
      <c r="QDC1" s="696"/>
      <c r="QDD1" s="696"/>
      <c r="QDE1" s="696"/>
      <c r="QDF1" s="696"/>
      <c r="QDG1" s="696"/>
      <c r="QDH1" s="696"/>
      <c r="QDI1" s="696"/>
      <c r="QDJ1" s="696"/>
      <c r="QDK1" s="696"/>
      <c r="QDL1" s="696"/>
      <c r="QDM1" s="696"/>
      <c r="QDN1" s="696"/>
      <c r="QDO1" s="696"/>
      <c r="QDP1" s="696"/>
      <c r="QDQ1" s="696"/>
      <c r="QDR1" s="696"/>
      <c r="QDS1" s="696"/>
      <c r="QDT1" s="696"/>
      <c r="QDU1" s="696"/>
      <c r="QDV1" s="696"/>
      <c r="QDW1" s="696"/>
      <c r="QDX1" s="696"/>
      <c r="QDY1" s="696"/>
      <c r="QDZ1" s="696"/>
      <c r="QEA1" s="696"/>
      <c r="QEB1" s="696"/>
      <c r="QEC1" s="696"/>
      <c r="QED1" s="696"/>
      <c r="QEE1" s="696"/>
      <c r="QEF1" s="696"/>
      <c r="QEG1" s="696"/>
      <c r="QEH1" s="696"/>
      <c r="QEI1" s="696"/>
      <c r="QEJ1" s="696"/>
      <c r="QEK1" s="696"/>
      <c r="QEL1" s="696"/>
      <c r="QEM1" s="696"/>
      <c r="QEN1" s="696"/>
      <c r="QEO1" s="696"/>
      <c r="QEP1" s="696"/>
      <c r="QEQ1" s="696"/>
      <c r="QER1" s="696"/>
      <c r="QES1" s="696"/>
      <c r="QET1" s="696"/>
      <c r="QEU1" s="696"/>
      <c r="QEV1" s="696"/>
      <c r="QEW1" s="696"/>
      <c r="QEX1" s="696"/>
      <c r="QEY1" s="696"/>
      <c r="QEZ1" s="696"/>
      <c r="QFA1" s="696"/>
      <c r="QFB1" s="696"/>
      <c r="QFC1" s="696"/>
      <c r="QFD1" s="696"/>
      <c r="QFE1" s="696"/>
      <c r="QFF1" s="696"/>
      <c r="QFG1" s="696"/>
      <c r="QFH1" s="696"/>
      <c r="QFI1" s="696"/>
      <c r="QFJ1" s="696"/>
      <c r="QFK1" s="696"/>
      <c r="QFL1" s="696"/>
      <c r="QFM1" s="696"/>
      <c r="QFN1" s="696"/>
      <c r="QFO1" s="696"/>
      <c r="QFP1" s="696"/>
      <c r="QFQ1" s="696"/>
      <c r="QFR1" s="696"/>
      <c r="QFS1" s="696"/>
      <c r="QFT1" s="696"/>
      <c r="QFU1" s="696"/>
      <c r="QFV1" s="696"/>
      <c r="QFW1" s="696"/>
      <c r="QFX1" s="696"/>
      <c r="QFY1" s="696"/>
      <c r="QFZ1" s="696"/>
      <c r="QGA1" s="696"/>
      <c r="QGB1" s="696"/>
      <c r="QGC1" s="696"/>
      <c r="QGD1" s="696"/>
      <c r="QGE1" s="696"/>
      <c r="QGF1" s="696"/>
      <c r="QGG1" s="696"/>
      <c r="QGH1" s="696"/>
      <c r="QGI1" s="696"/>
      <c r="QGJ1" s="696"/>
      <c r="QGK1" s="696"/>
      <c r="QGL1" s="696"/>
      <c r="QGM1" s="696"/>
      <c r="QGN1" s="696"/>
      <c r="QGO1" s="696"/>
      <c r="QGP1" s="696"/>
      <c r="QGQ1" s="696"/>
      <c r="QGR1" s="696"/>
      <c r="QGS1" s="696"/>
      <c r="QGT1" s="696"/>
      <c r="QGU1" s="696"/>
      <c r="QGV1" s="696"/>
      <c r="QGW1" s="696"/>
      <c r="QGX1" s="696"/>
      <c r="QGY1" s="696"/>
      <c r="QGZ1" s="696"/>
      <c r="QHA1" s="696"/>
      <c r="QHB1" s="696"/>
      <c r="QHC1" s="696"/>
      <c r="QHD1" s="696"/>
      <c r="QHE1" s="696"/>
      <c r="QHF1" s="696"/>
      <c r="QHG1" s="696"/>
      <c r="QHH1" s="696"/>
      <c r="QHI1" s="696"/>
      <c r="QHJ1" s="696"/>
      <c r="QHK1" s="696"/>
      <c r="QHL1" s="696"/>
      <c r="QHM1" s="696"/>
      <c r="QHN1" s="696"/>
      <c r="QHO1" s="696"/>
      <c r="QHP1" s="696"/>
      <c r="QHQ1" s="696"/>
      <c r="QHR1" s="696"/>
      <c r="QHS1" s="696"/>
      <c r="QHT1" s="696"/>
      <c r="QHU1" s="696"/>
      <c r="QHV1" s="696"/>
      <c r="QHW1" s="696"/>
      <c r="QHX1" s="696"/>
      <c r="QHY1" s="696"/>
      <c r="QHZ1" s="696"/>
      <c r="QIA1" s="696"/>
      <c r="QIB1" s="696"/>
      <c r="QIC1" s="696"/>
      <c r="QID1" s="696"/>
      <c r="QIE1" s="696"/>
      <c r="QIF1" s="696"/>
      <c r="QIG1" s="696"/>
      <c r="QIH1" s="696"/>
      <c r="QII1" s="696"/>
      <c r="QIJ1" s="696"/>
      <c r="QIK1" s="696"/>
      <c r="QIL1" s="696"/>
      <c r="QIM1" s="696"/>
      <c r="QIN1" s="696"/>
      <c r="QIO1" s="696"/>
      <c r="QIP1" s="696"/>
      <c r="QIQ1" s="696"/>
      <c r="QIR1" s="696"/>
      <c r="QIS1" s="696"/>
      <c r="QIT1" s="696"/>
      <c r="QIU1" s="696"/>
      <c r="QIV1" s="696"/>
      <c r="QIW1" s="696"/>
      <c r="QIX1" s="696"/>
      <c r="QIY1" s="696"/>
      <c r="QIZ1" s="696"/>
      <c r="QJA1" s="696"/>
      <c r="QJB1" s="696"/>
      <c r="QJC1" s="696"/>
      <c r="QJD1" s="696"/>
      <c r="QJE1" s="696"/>
      <c r="QJF1" s="696"/>
      <c r="QJG1" s="696"/>
      <c r="QJH1" s="696"/>
      <c r="QJI1" s="696"/>
      <c r="QJJ1" s="696"/>
      <c r="QJK1" s="696"/>
      <c r="QJL1" s="696"/>
      <c r="QJM1" s="696"/>
      <c r="QJN1" s="696"/>
      <c r="QJO1" s="696"/>
      <c r="QJP1" s="696"/>
      <c r="QJQ1" s="696"/>
      <c r="QJR1" s="696"/>
      <c r="QJS1" s="696"/>
      <c r="QJT1" s="696"/>
      <c r="QJU1" s="696"/>
      <c r="QJV1" s="696"/>
      <c r="QJW1" s="696"/>
      <c r="QJX1" s="696"/>
      <c r="QJY1" s="696"/>
      <c r="QJZ1" s="696"/>
      <c r="QKA1" s="696"/>
      <c r="QKB1" s="696"/>
      <c r="QKC1" s="696"/>
      <c r="QKD1" s="696"/>
      <c r="QKE1" s="696"/>
      <c r="QKF1" s="696"/>
      <c r="QKG1" s="696"/>
      <c r="QKH1" s="696"/>
      <c r="QKI1" s="696"/>
      <c r="QKJ1" s="696"/>
      <c r="QKK1" s="696"/>
      <c r="QKL1" s="696"/>
      <c r="QKM1" s="696"/>
      <c r="QKN1" s="696"/>
      <c r="QKO1" s="696"/>
      <c r="QKP1" s="696"/>
      <c r="QKQ1" s="696"/>
      <c r="QKR1" s="696"/>
      <c r="QKS1" s="696"/>
      <c r="QKT1" s="696"/>
      <c r="QKU1" s="696"/>
      <c r="QKV1" s="696"/>
      <c r="QKW1" s="696"/>
      <c r="QKX1" s="696"/>
      <c r="QKY1" s="696"/>
      <c r="QKZ1" s="696"/>
      <c r="QLA1" s="696"/>
      <c r="QLB1" s="696"/>
      <c r="QLC1" s="696"/>
      <c r="QLD1" s="696"/>
      <c r="QLE1" s="696"/>
      <c r="QLF1" s="696"/>
      <c r="QLG1" s="696"/>
      <c r="QLH1" s="696"/>
      <c r="QLI1" s="696"/>
      <c r="QLJ1" s="696"/>
      <c r="QLK1" s="696"/>
      <c r="QLL1" s="696"/>
      <c r="QLM1" s="696"/>
      <c r="QLN1" s="696"/>
      <c r="QLO1" s="696"/>
      <c r="QLP1" s="696"/>
      <c r="QLQ1" s="696"/>
      <c r="QLR1" s="696"/>
      <c r="QLS1" s="696"/>
      <c r="QLT1" s="696"/>
      <c r="QLU1" s="696"/>
      <c r="QLV1" s="696"/>
      <c r="QLW1" s="696"/>
      <c r="QLX1" s="696"/>
      <c r="QLY1" s="696"/>
      <c r="QLZ1" s="696"/>
      <c r="QMA1" s="696"/>
      <c r="QMB1" s="696"/>
      <c r="QMC1" s="696"/>
      <c r="QMD1" s="696"/>
      <c r="QME1" s="696"/>
      <c r="QMF1" s="696"/>
      <c r="QMG1" s="696"/>
      <c r="QMH1" s="696"/>
      <c r="QMI1" s="696"/>
      <c r="QMJ1" s="696"/>
      <c r="QMK1" s="696"/>
      <c r="QML1" s="696"/>
      <c r="QMM1" s="696"/>
      <c r="QMN1" s="696"/>
      <c r="QMO1" s="696"/>
      <c r="QMP1" s="696"/>
      <c r="QMQ1" s="696"/>
      <c r="QMR1" s="696"/>
      <c r="QMS1" s="696"/>
      <c r="QMT1" s="696"/>
      <c r="QMU1" s="696"/>
      <c r="QMV1" s="696"/>
      <c r="QMW1" s="696"/>
      <c r="QMX1" s="696"/>
      <c r="QMY1" s="696"/>
      <c r="QMZ1" s="696"/>
      <c r="QNA1" s="696"/>
      <c r="QNB1" s="696"/>
      <c r="QNC1" s="696"/>
      <c r="QND1" s="696"/>
      <c r="QNE1" s="696"/>
      <c r="QNF1" s="696"/>
      <c r="QNG1" s="696"/>
      <c r="QNH1" s="696"/>
      <c r="QNI1" s="696"/>
      <c r="QNJ1" s="696"/>
      <c r="QNK1" s="696"/>
      <c r="QNL1" s="696"/>
      <c r="QNM1" s="696"/>
      <c r="QNN1" s="696"/>
      <c r="QNO1" s="696"/>
      <c r="QNP1" s="696"/>
      <c r="QNQ1" s="696"/>
      <c r="QNR1" s="696"/>
      <c r="QNS1" s="696"/>
      <c r="QNT1" s="696"/>
      <c r="QNU1" s="696"/>
      <c r="QNV1" s="696"/>
      <c r="QNW1" s="696"/>
      <c r="QNX1" s="696"/>
      <c r="QNY1" s="696"/>
      <c r="QNZ1" s="696"/>
      <c r="QOA1" s="696"/>
      <c r="QOB1" s="696"/>
      <c r="QOC1" s="696"/>
      <c r="QOD1" s="696"/>
      <c r="QOE1" s="696"/>
      <c r="QOF1" s="696"/>
      <c r="QOG1" s="696"/>
      <c r="QOH1" s="696"/>
      <c r="QOI1" s="696"/>
      <c r="QOJ1" s="696"/>
      <c r="QOK1" s="696"/>
      <c r="QOL1" s="696"/>
      <c r="QOM1" s="696"/>
      <c r="QON1" s="696"/>
      <c r="QOO1" s="696"/>
      <c r="QOP1" s="696"/>
      <c r="QOQ1" s="696"/>
      <c r="QOR1" s="696"/>
      <c r="QOS1" s="696"/>
      <c r="QOT1" s="696"/>
      <c r="QOU1" s="696"/>
      <c r="QOV1" s="696"/>
      <c r="QOW1" s="696"/>
      <c r="QOX1" s="696"/>
      <c r="QOY1" s="696"/>
      <c r="QOZ1" s="696"/>
      <c r="QPA1" s="696"/>
      <c r="QPB1" s="696"/>
      <c r="QPC1" s="696"/>
      <c r="QPD1" s="696"/>
      <c r="QPE1" s="696"/>
      <c r="QPF1" s="696"/>
      <c r="QPG1" s="696"/>
      <c r="QPH1" s="696"/>
      <c r="QPI1" s="696"/>
      <c r="QPJ1" s="696"/>
      <c r="QPK1" s="696"/>
      <c r="QPL1" s="696"/>
      <c r="QPM1" s="696"/>
      <c r="QPN1" s="696"/>
      <c r="QPO1" s="696"/>
      <c r="QPP1" s="696"/>
      <c r="QPQ1" s="696"/>
      <c r="QPR1" s="696"/>
      <c r="QPS1" s="696"/>
      <c r="QPT1" s="696"/>
      <c r="QPU1" s="696"/>
      <c r="QPV1" s="696"/>
      <c r="QPW1" s="696"/>
      <c r="QPX1" s="696"/>
      <c r="QPY1" s="696"/>
      <c r="QPZ1" s="696"/>
      <c r="QQA1" s="696"/>
      <c r="QQB1" s="696"/>
      <c r="QQC1" s="696"/>
      <c r="QQD1" s="696"/>
      <c r="QQE1" s="696"/>
      <c r="QQF1" s="696"/>
      <c r="QQG1" s="696"/>
      <c r="QQH1" s="696"/>
      <c r="QQI1" s="696"/>
      <c r="QQJ1" s="696"/>
      <c r="QQK1" s="696"/>
      <c r="QQL1" s="696"/>
      <c r="QQM1" s="696"/>
      <c r="QQN1" s="696"/>
      <c r="QQO1" s="696"/>
      <c r="QQP1" s="696"/>
      <c r="QQQ1" s="696"/>
      <c r="QQR1" s="696"/>
      <c r="QQS1" s="696"/>
      <c r="QQT1" s="696"/>
      <c r="QQU1" s="696"/>
      <c r="QQV1" s="696"/>
      <c r="QQW1" s="696"/>
      <c r="QQX1" s="696"/>
      <c r="QQY1" s="696"/>
      <c r="QQZ1" s="696"/>
      <c r="QRA1" s="696"/>
      <c r="QRB1" s="696"/>
      <c r="QRC1" s="696"/>
      <c r="QRD1" s="696"/>
      <c r="QRE1" s="696"/>
      <c r="QRF1" s="696"/>
      <c r="QRG1" s="696"/>
      <c r="QRH1" s="696"/>
      <c r="QRI1" s="696"/>
      <c r="QRJ1" s="696"/>
      <c r="QRK1" s="696"/>
      <c r="QRL1" s="696"/>
      <c r="QRM1" s="696"/>
      <c r="QRN1" s="696"/>
      <c r="QRO1" s="696"/>
      <c r="QRP1" s="696"/>
      <c r="QRQ1" s="696"/>
      <c r="QRR1" s="696"/>
      <c r="QRS1" s="696"/>
      <c r="QRT1" s="696"/>
      <c r="QRU1" s="696"/>
      <c r="QRV1" s="696"/>
      <c r="QRW1" s="696"/>
      <c r="QRX1" s="696"/>
      <c r="QRY1" s="696"/>
      <c r="QRZ1" s="696"/>
      <c r="QSA1" s="696"/>
      <c r="QSB1" s="696"/>
      <c r="QSC1" s="696"/>
      <c r="QSD1" s="696"/>
      <c r="QSE1" s="696"/>
      <c r="QSF1" s="696"/>
      <c r="QSG1" s="696"/>
      <c r="QSH1" s="696"/>
      <c r="QSI1" s="696"/>
      <c r="QSJ1" s="696"/>
      <c r="QSK1" s="696"/>
      <c r="QSL1" s="696"/>
      <c r="QSM1" s="696"/>
      <c r="QSN1" s="696"/>
      <c r="QSO1" s="696"/>
      <c r="QSP1" s="696"/>
      <c r="QSQ1" s="696"/>
      <c r="QSR1" s="696"/>
      <c r="QSS1" s="696"/>
      <c r="QST1" s="696"/>
      <c r="QSU1" s="696"/>
      <c r="QSV1" s="696"/>
      <c r="QSW1" s="696"/>
      <c r="QSX1" s="696"/>
      <c r="QSY1" s="696"/>
      <c r="QSZ1" s="696"/>
      <c r="QTA1" s="696"/>
      <c r="QTB1" s="696"/>
      <c r="QTC1" s="696"/>
      <c r="QTD1" s="696"/>
      <c r="QTE1" s="696"/>
      <c r="QTF1" s="696"/>
      <c r="QTG1" s="696"/>
      <c r="QTH1" s="696"/>
      <c r="QTI1" s="696"/>
      <c r="QTJ1" s="696"/>
      <c r="QTK1" s="696"/>
      <c r="QTL1" s="696"/>
      <c r="QTM1" s="696"/>
      <c r="QTN1" s="696"/>
      <c r="QTO1" s="696"/>
      <c r="QTP1" s="696"/>
      <c r="QTQ1" s="696"/>
      <c r="QTR1" s="696"/>
      <c r="QTS1" s="696"/>
      <c r="QTT1" s="696"/>
      <c r="QTU1" s="696"/>
      <c r="QTV1" s="696"/>
      <c r="QTW1" s="696"/>
      <c r="QTX1" s="696"/>
      <c r="QTY1" s="696"/>
      <c r="QTZ1" s="696"/>
      <c r="QUA1" s="696"/>
      <c r="QUB1" s="696"/>
      <c r="QUC1" s="696"/>
      <c r="QUD1" s="696"/>
      <c r="QUE1" s="696"/>
      <c r="QUF1" s="696"/>
      <c r="QUG1" s="696"/>
      <c r="QUH1" s="696"/>
      <c r="QUI1" s="696"/>
      <c r="QUJ1" s="696"/>
      <c r="QUK1" s="696"/>
      <c r="QUL1" s="696"/>
      <c r="QUM1" s="696"/>
      <c r="QUN1" s="696"/>
      <c r="QUO1" s="696"/>
      <c r="QUP1" s="696"/>
      <c r="QUQ1" s="696"/>
      <c r="QUR1" s="696"/>
      <c r="QUS1" s="696"/>
      <c r="QUT1" s="696"/>
      <c r="QUU1" s="696"/>
      <c r="QUV1" s="696"/>
      <c r="QUW1" s="696"/>
      <c r="QUX1" s="696"/>
      <c r="QUY1" s="696"/>
      <c r="QUZ1" s="696"/>
      <c r="QVA1" s="696"/>
      <c r="QVB1" s="696"/>
      <c r="QVC1" s="696"/>
      <c r="QVD1" s="696"/>
      <c r="QVE1" s="696"/>
      <c r="QVF1" s="696"/>
      <c r="QVG1" s="696"/>
      <c r="QVH1" s="696"/>
      <c r="QVI1" s="696"/>
      <c r="QVJ1" s="696"/>
      <c r="QVK1" s="696"/>
      <c r="QVL1" s="696"/>
      <c r="QVM1" s="696"/>
      <c r="QVN1" s="696"/>
      <c r="QVO1" s="696"/>
      <c r="QVP1" s="696"/>
      <c r="QVQ1" s="696"/>
      <c r="QVR1" s="696"/>
      <c r="QVS1" s="696"/>
      <c r="QVT1" s="696"/>
      <c r="QVU1" s="696"/>
      <c r="QVV1" s="696"/>
      <c r="QVW1" s="696"/>
      <c r="QVX1" s="696"/>
      <c r="QVY1" s="696"/>
      <c r="QVZ1" s="696"/>
      <c r="QWA1" s="696"/>
      <c r="QWB1" s="696"/>
      <c r="QWC1" s="696"/>
      <c r="QWD1" s="696"/>
      <c r="QWE1" s="696"/>
      <c r="QWF1" s="696"/>
      <c r="QWG1" s="696"/>
      <c r="QWH1" s="696"/>
      <c r="QWI1" s="696"/>
      <c r="QWJ1" s="696"/>
      <c r="QWK1" s="696"/>
      <c r="QWL1" s="696"/>
      <c r="QWM1" s="696"/>
      <c r="QWN1" s="696"/>
      <c r="QWO1" s="696"/>
      <c r="QWP1" s="696"/>
      <c r="QWQ1" s="696"/>
      <c r="QWR1" s="696"/>
      <c r="QWS1" s="696"/>
      <c r="QWT1" s="696"/>
      <c r="QWU1" s="696"/>
      <c r="QWV1" s="696"/>
      <c r="QWW1" s="696"/>
      <c r="QWX1" s="696"/>
      <c r="QWY1" s="696"/>
      <c r="QWZ1" s="696"/>
      <c r="QXA1" s="696"/>
      <c r="QXB1" s="696"/>
      <c r="QXC1" s="696"/>
      <c r="QXD1" s="696"/>
      <c r="QXE1" s="696"/>
      <c r="QXF1" s="696"/>
      <c r="QXG1" s="696"/>
      <c r="QXH1" s="696"/>
      <c r="QXI1" s="696"/>
      <c r="QXJ1" s="696"/>
      <c r="QXK1" s="696"/>
      <c r="QXL1" s="696"/>
      <c r="QXM1" s="696"/>
      <c r="QXN1" s="696"/>
      <c r="QXO1" s="696"/>
      <c r="QXP1" s="696"/>
      <c r="QXQ1" s="696"/>
      <c r="QXR1" s="696"/>
      <c r="QXS1" s="696"/>
      <c r="QXT1" s="696"/>
      <c r="QXU1" s="696"/>
      <c r="QXV1" s="696"/>
      <c r="QXW1" s="696"/>
      <c r="QXX1" s="696"/>
      <c r="QXY1" s="696"/>
      <c r="QXZ1" s="696"/>
      <c r="QYA1" s="696"/>
      <c r="QYB1" s="696"/>
      <c r="QYC1" s="696"/>
      <c r="QYD1" s="696"/>
      <c r="QYE1" s="696"/>
      <c r="QYF1" s="696"/>
      <c r="QYG1" s="696"/>
      <c r="QYH1" s="696"/>
      <c r="QYI1" s="696"/>
      <c r="QYJ1" s="696"/>
      <c r="QYK1" s="696"/>
      <c r="QYL1" s="696"/>
      <c r="QYM1" s="696"/>
      <c r="QYN1" s="696"/>
      <c r="QYO1" s="696"/>
      <c r="QYP1" s="696"/>
      <c r="QYQ1" s="696"/>
      <c r="QYR1" s="696"/>
      <c r="QYS1" s="696"/>
      <c r="QYT1" s="696"/>
      <c r="QYU1" s="696"/>
      <c r="QYV1" s="696"/>
      <c r="QYW1" s="696"/>
      <c r="QYX1" s="696"/>
      <c r="QYY1" s="696"/>
      <c r="QYZ1" s="696"/>
      <c r="QZA1" s="696"/>
      <c r="QZB1" s="696"/>
      <c r="QZC1" s="696"/>
      <c r="QZD1" s="696"/>
      <c r="QZE1" s="696"/>
      <c r="QZF1" s="696"/>
      <c r="QZG1" s="696"/>
      <c r="QZH1" s="696"/>
      <c r="QZI1" s="696"/>
      <c r="QZJ1" s="696"/>
      <c r="QZK1" s="696"/>
      <c r="QZL1" s="696"/>
      <c r="QZM1" s="696"/>
      <c r="QZN1" s="696"/>
      <c r="QZO1" s="696"/>
      <c r="QZP1" s="696"/>
      <c r="QZQ1" s="696"/>
      <c r="QZR1" s="696"/>
      <c r="QZS1" s="696"/>
      <c r="QZT1" s="696"/>
      <c r="QZU1" s="696"/>
      <c r="QZV1" s="696"/>
      <c r="QZW1" s="696"/>
      <c r="QZX1" s="696"/>
      <c r="QZY1" s="696"/>
      <c r="QZZ1" s="696"/>
      <c r="RAA1" s="696"/>
      <c r="RAB1" s="696"/>
      <c r="RAC1" s="696"/>
      <c r="RAD1" s="696"/>
      <c r="RAE1" s="696"/>
      <c r="RAF1" s="696"/>
      <c r="RAG1" s="696"/>
      <c r="RAH1" s="696"/>
      <c r="RAI1" s="696"/>
      <c r="RAJ1" s="696"/>
      <c r="RAK1" s="696"/>
      <c r="RAL1" s="696"/>
      <c r="RAM1" s="696"/>
      <c r="RAN1" s="696"/>
      <c r="RAO1" s="696"/>
      <c r="RAP1" s="696"/>
      <c r="RAQ1" s="696"/>
      <c r="RAR1" s="696"/>
      <c r="RAS1" s="696"/>
      <c r="RAT1" s="696"/>
      <c r="RAU1" s="696"/>
      <c r="RAV1" s="696"/>
      <c r="RAW1" s="696"/>
      <c r="RAX1" s="696"/>
      <c r="RAY1" s="696"/>
      <c r="RAZ1" s="696"/>
      <c r="RBA1" s="696"/>
      <c r="RBB1" s="696"/>
      <c r="RBC1" s="696"/>
      <c r="RBD1" s="696"/>
      <c r="RBE1" s="696"/>
      <c r="RBF1" s="696"/>
      <c r="RBG1" s="696"/>
      <c r="RBH1" s="696"/>
      <c r="RBI1" s="696"/>
      <c r="RBJ1" s="696"/>
      <c r="RBK1" s="696"/>
      <c r="RBL1" s="696"/>
      <c r="RBM1" s="696"/>
      <c r="RBN1" s="696"/>
      <c r="RBO1" s="696"/>
      <c r="RBP1" s="696"/>
      <c r="RBQ1" s="696"/>
      <c r="RBR1" s="696"/>
      <c r="RBS1" s="696"/>
      <c r="RBT1" s="696"/>
      <c r="RBU1" s="696"/>
      <c r="RBV1" s="696"/>
      <c r="RBW1" s="696"/>
      <c r="RBX1" s="696"/>
      <c r="RBY1" s="696"/>
      <c r="RBZ1" s="696"/>
      <c r="RCA1" s="696"/>
      <c r="RCB1" s="696"/>
      <c r="RCC1" s="696"/>
      <c r="RCD1" s="696"/>
      <c r="RCE1" s="696"/>
      <c r="RCF1" s="696"/>
      <c r="RCG1" s="696"/>
      <c r="RCH1" s="696"/>
      <c r="RCI1" s="696"/>
      <c r="RCJ1" s="696"/>
      <c r="RCK1" s="696"/>
      <c r="RCL1" s="696"/>
      <c r="RCM1" s="696"/>
      <c r="RCN1" s="696"/>
      <c r="RCO1" s="696"/>
      <c r="RCP1" s="696"/>
      <c r="RCQ1" s="696"/>
      <c r="RCR1" s="696"/>
      <c r="RCS1" s="696"/>
      <c r="RCT1" s="696"/>
      <c r="RCU1" s="696"/>
      <c r="RCV1" s="696"/>
      <c r="RCW1" s="696"/>
      <c r="RCX1" s="696"/>
      <c r="RCY1" s="696"/>
      <c r="RCZ1" s="696"/>
      <c r="RDA1" s="696"/>
      <c r="RDB1" s="696"/>
      <c r="RDC1" s="696"/>
      <c r="RDD1" s="696"/>
      <c r="RDE1" s="696"/>
      <c r="RDF1" s="696"/>
      <c r="RDG1" s="696"/>
      <c r="RDH1" s="696"/>
      <c r="RDI1" s="696"/>
      <c r="RDJ1" s="696"/>
      <c r="RDK1" s="696"/>
      <c r="RDL1" s="696"/>
      <c r="RDM1" s="696"/>
      <c r="RDN1" s="696"/>
      <c r="RDO1" s="696"/>
      <c r="RDP1" s="696"/>
      <c r="RDQ1" s="696"/>
      <c r="RDR1" s="696"/>
      <c r="RDS1" s="696"/>
      <c r="RDT1" s="696"/>
      <c r="RDU1" s="696"/>
      <c r="RDV1" s="696"/>
      <c r="RDW1" s="696"/>
      <c r="RDX1" s="696"/>
      <c r="RDY1" s="696"/>
      <c r="RDZ1" s="696"/>
      <c r="REA1" s="696"/>
      <c r="REB1" s="696"/>
      <c r="REC1" s="696"/>
      <c r="RED1" s="696"/>
      <c r="REE1" s="696"/>
      <c r="REF1" s="696"/>
      <c r="REG1" s="696"/>
      <c r="REH1" s="696"/>
      <c r="REI1" s="696"/>
      <c r="REJ1" s="696"/>
      <c r="REK1" s="696"/>
      <c r="REL1" s="696"/>
      <c r="REM1" s="696"/>
      <c r="REN1" s="696"/>
      <c r="REO1" s="696"/>
      <c r="REP1" s="696"/>
      <c r="REQ1" s="696"/>
      <c r="RER1" s="696"/>
      <c r="RES1" s="696"/>
      <c r="RET1" s="696"/>
      <c r="REU1" s="696"/>
      <c r="REV1" s="696"/>
      <c r="REW1" s="696"/>
      <c r="REX1" s="696"/>
      <c r="REY1" s="696"/>
      <c r="REZ1" s="696"/>
      <c r="RFA1" s="696"/>
      <c r="RFB1" s="696"/>
      <c r="RFC1" s="696"/>
      <c r="RFD1" s="696"/>
      <c r="RFE1" s="696"/>
      <c r="RFF1" s="696"/>
      <c r="RFG1" s="696"/>
      <c r="RFH1" s="696"/>
      <c r="RFI1" s="696"/>
      <c r="RFJ1" s="696"/>
      <c r="RFK1" s="696"/>
      <c r="RFL1" s="696"/>
      <c r="RFM1" s="696"/>
      <c r="RFN1" s="696"/>
      <c r="RFO1" s="696"/>
      <c r="RFP1" s="696"/>
      <c r="RFQ1" s="696"/>
      <c r="RFR1" s="696"/>
      <c r="RFS1" s="696"/>
      <c r="RFT1" s="696"/>
      <c r="RFU1" s="696"/>
      <c r="RFV1" s="696"/>
      <c r="RFW1" s="696"/>
      <c r="RFX1" s="696"/>
      <c r="RFY1" s="696"/>
      <c r="RFZ1" s="696"/>
      <c r="RGA1" s="696"/>
      <c r="RGB1" s="696"/>
      <c r="RGC1" s="696"/>
      <c r="RGD1" s="696"/>
      <c r="RGE1" s="696"/>
      <c r="RGF1" s="696"/>
      <c r="RGG1" s="696"/>
      <c r="RGH1" s="696"/>
      <c r="RGI1" s="696"/>
      <c r="RGJ1" s="696"/>
      <c r="RGK1" s="696"/>
      <c r="RGL1" s="696"/>
      <c r="RGM1" s="696"/>
      <c r="RGN1" s="696"/>
      <c r="RGO1" s="696"/>
      <c r="RGP1" s="696"/>
      <c r="RGQ1" s="696"/>
      <c r="RGR1" s="696"/>
      <c r="RGS1" s="696"/>
      <c r="RGT1" s="696"/>
      <c r="RGU1" s="696"/>
      <c r="RGV1" s="696"/>
      <c r="RGW1" s="696"/>
      <c r="RGX1" s="696"/>
      <c r="RGY1" s="696"/>
      <c r="RGZ1" s="696"/>
      <c r="RHA1" s="696"/>
      <c r="RHB1" s="696"/>
      <c r="RHC1" s="696"/>
      <c r="RHD1" s="696"/>
      <c r="RHE1" s="696"/>
      <c r="RHF1" s="696"/>
      <c r="RHG1" s="696"/>
      <c r="RHH1" s="696"/>
      <c r="RHI1" s="696"/>
      <c r="RHJ1" s="696"/>
      <c r="RHK1" s="696"/>
      <c r="RHL1" s="696"/>
      <c r="RHM1" s="696"/>
      <c r="RHN1" s="696"/>
      <c r="RHO1" s="696"/>
      <c r="RHP1" s="696"/>
      <c r="RHQ1" s="696"/>
      <c r="RHR1" s="696"/>
      <c r="RHS1" s="696"/>
      <c r="RHT1" s="696"/>
      <c r="RHU1" s="696"/>
      <c r="RHV1" s="696"/>
      <c r="RHW1" s="696"/>
      <c r="RHX1" s="696"/>
      <c r="RHY1" s="696"/>
      <c r="RHZ1" s="696"/>
      <c r="RIA1" s="696"/>
      <c r="RIB1" s="696"/>
      <c r="RIC1" s="696"/>
      <c r="RID1" s="696"/>
      <c r="RIE1" s="696"/>
      <c r="RIF1" s="696"/>
      <c r="RIG1" s="696"/>
      <c r="RIH1" s="696"/>
      <c r="RII1" s="696"/>
      <c r="RIJ1" s="696"/>
      <c r="RIK1" s="696"/>
      <c r="RIL1" s="696"/>
      <c r="RIM1" s="696"/>
      <c r="RIN1" s="696"/>
      <c r="RIO1" s="696"/>
      <c r="RIP1" s="696"/>
      <c r="RIQ1" s="696"/>
      <c r="RIR1" s="696"/>
      <c r="RIS1" s="696"/>
      <c r="RIT1" s="696"/>
      <c r="RIU1" s="696"/>
      <c r="RIV1" s="696"/>
      <c r="RIW1" s="696"/>
      <c r="RIX1" s="696"/>
      <c r="RIY1" s="696"/>
      <c r="RIZ1" s="696"/>
      <c r="RJA1" s="696"/>
      <c r="RJB1" s="696"/>
      <c r="RJC1" s="696"/>
      <c r="RJD1" s="696"/>
      <c r="RJE1" s="696"/>
      <c r="RJF1" s="696"/>
      <c r="RJG1" s="696"/>
      <c r="RJH1" s="696"/>
      <c r="RJI1" s="696"/>
      <c r="RJJ1" s="696"/>
      <c r="RJK1" s="696"/>
      <c r="RJL1" s="696"/>
      <c r="RJM1" s="696"/>
      <c r="RJN1" s="696"/>
      <c r="RJO1" s="696"/>
      <c r="RJP1" s="696"/>
      <c r="RJQ1" s="696"/>
      <c r="RJR1" s="696"/>
      <c r="RJS1" s="696"/>
      <c r="RJT1" s="696"/>
      <c r="RJU1" s="696"/>
      <c r="RJV1" s="696"/>
      <c r="RJW1" s="696"/>
      <c r="RJX1" s="696"/>
      <c r="RJY1" s="696"/>
      <c r="RJZ1" s="696"/>
      <c r="RKA1" s="696"/>
      <c r="RKB1" s="696"/>
      <c r="RKC1" s="696"/>
      <c r="RKD1" s="696"/>
      <c r="RKE1" s="696"/>
      <c r="RKF1" s="696"/>
      <c r="RKG1" s="696"/>
      <c r="RKH1" s="696"/>
      <c r="RKI1" s="696"/>
      <c r="RKJ1" s="696"/>
      <c r="RKK1" s="696"/>
      <c r="RKL1" s="696"/>
      <c r="RKM1" s="696"/>
      <c r="RKN1" s="696"/>
      <c r="RKO1" s="696"/>
      <c r="RKP1" s="696"/>
      <c r="RKQ1" s="696"/>
      <c r="RKR1" s="696"/>
      <c r="RKS1" s="696"/>
      <c r="RKT1" s="696"/>
      <c r="RKU1" s="696"/>
      <c r="RKV1" s="696"/>
      <c r="RKW1" s="696"/>
      <c r="RKX1" s="696"/>
      <c r="RKY1" s="696"/>
      <c r="RKZ1" s="696"/>
      <c r="RLA1" s="696"/>
      <c r="RLB1" s="696"/>
      <c r="RLC1" s="696"/>
      <c r="RLD1" s="696"/>
      <c r="RLE1" s="696"/>
      <c r="RLF1" s="696"/>
      <c r="RLG1" s="696"/>
      <c r="RLH1" s="696"/>
      <c r="RLI1" s="696"/>
      <c r="RLJ1" s="696"/>
      <c r="RLK1" s="696"/>
      <c r="RLL1" s="696"/>
      <c r="RLM1" s="696"/>
      <c r="RLN1" s="696"/>
      <c r="RLO1" s="696"/>
      <c r="RLP1" s="696"/>
      <c r="RLQ1" s="696"/>
      <c r="RLR1" s="696"/>
      <c r="RLS1" s="696"/>
      <c r="RLT1" s="696"/>
      <c r="RLU1" s="696"/>
      <c r="RLV1" s="696"/>
      <c r="RLW1" s="696"/>
      <c r="RLX1" s="696"/>
      <c r="RLY1" s="696"/>
      <c r="RLZ1" s="696"/>
      <c r="RMA1" s="696"/>
      <c r="RMB1" s="696"/>
      <c r="RMC1" s="696"/>
      <c r="RMD1" s="696"/>
      <c r="RME1" s="696"/>
      <c r="RMF1" s="696"/>
      <c r="RMG1" s="696"/>
      <c r="RMH1" s="696"/>
      <c r="RMI1" s="696"/>
      <c r="RMJ1" s="696"/>
      <c r="RMK1" s="696"/>
      <c r="RML1" s="696"/>
      <c r="RMM1" s="696"/>
      <c r="RMN1" s="696"/>
      <c r="RMO1" s="696"/>
      <c r="RMP1" s="696"/>
      <c r="RMQ1" s="696"/>
      <c r="RMR1" s="696"/>
      <c r="RMS1" s="696"/>
      <c r="RMT1" s="696"/>
      <c r="RMU1" s="696"/>
      <c r="RMV1" s="696"/>
      <c r="RMW1" s="696"/>
      <c r="RMX1" s="696"/>
      <c r="RMY1" s="696"/>
      <c r="RMZ1" s="696"/>
      <c r="RNA1" s="696"/>
      <c r="RNB1" s="696"/>
      <c r="RNC1" s="696"/>
      <c r="RND1" s="696"/>
      <c r="RNE1" s="696"/>
      <c r="RNF1" s="696"/>
      <c r="RNG1" s="696"/>
      <c r="RNH1" s="696"/>
      <c r="RNI1" s="696"/>
      <c r="RNJ1" s="696"/>
      <c r="RNK1" s="696"/>
      <c r="RNL1" s="696"/>
      <c r="RNM1" s="696"/>
      <c r="RNN1" s="696"/>
      <c r="RNO1" s="696"/>
      <c r="RNP1" s="696"/>
      <c r="RNQ1" s="696"/>
      <c r="RNR1" s="696"/>
      <c r="RNS1" s="696"/>
      <c r="RNT1" s="696"/>
      <c r="RNU1" s="696"/>
      <c r="RNV1" s="696"/>
      <c r="RNW1" s="696"/>
      <c r="RNX1" s="696"/>
      <c r="RNY1" s="696"/>
      <c r="RNZ1" s="696"/>
      <c r="ROA1" s="696"/>
      <c r="ROB1" s="696"/>
      <c r="ROC1" s="696"/>
      <c r="ROD1" s="696"/>
      <c r="ROE1" s="696"/>
      <c r="ROF1" s="696"/>
      <c r="ROG1" s="696"/>
      <c r="ROH1" s="696"/>
      <c r="ROI1" s="696"/>
      <c r="ROJ1" s="696"/>
      <c r="ROK1" s="696"/>
      <c r="ROL1" s="696"/>
      <c r="ROM1" s="696"/>
      <c r="RON1" s="696"/>
      <c r="ROO1" s="696"/>
      <c r="ROP1" s="696"/>
      <c r="ROQ1" s="696"/>
      <c r="ROR1" s="696"/>
      <c r="ROS1" s="696"/>
      <c r="ROT1" s="696"/>
      <c r="ROU1" s="696"/>
      <c r="ROV1" s="696"/>
      <c r="ROW1" s="696"/>
      <c r="ROX1" s="696"/>
      <c r="ROY1" s="696"/>
      <c r="ROZ1" s="696"/>
      <c r="RPA1" s="696"/>
      <c r="RPB1" s="696"/>
      <c r="RPC1" s="696"/>
      <c r="RPD1" s="696"/>
      <c r="RPE1" s="696"/>
      <c r="RPF1" s="696"/>
      <c r="RPG1" s="696"/>
      <c r="RPH1" s="696"/>
      <c r="RPI1" s="696"/>
      <c r="RPJ1" s="696"/>
      <c r="RPK1" s="696"/>
      <c r="RPL1" s="696"/>
      <c r="RPM1" s="696"/>
      <c r="RPN1" s="696"/>
      <c r="RPO1" s="696"/>
      <c r="RPP1" s="696"/>
      <c r="RPQ1" s="696"/>
      <c r="RPR1" s="696"/>
      <c r="RPS1" s="696"/>
      <c r="RPT1" s="696"/>
      <c r="RPU1" s="696"/>
      <c r="RPV1" s="696"/>
      <c r="RPW1" s="696"/>
      <c r="RPX1" s="696"/>
      <c r="RPY1" s="696"/>
      <c r="RPZ1" s="696"/>
      <c r="RQA1" s="696"/>
      <c r="RQB1" s="696"/>
      <c r="RQC1" s="696"/>
      <c r="RQD1" s="696"/>
      <c r="RQE1" s="696"/>
      <c r="RQF1" s="696"/>
      <c r="RQG1" s="696"/>
      <c r="RQH1" s="696"/>
      <c r="RQI1" s="696"/>
      <c r="RQJ1" s="696"/>
      <c r="RQK1" s="696"/>
      <c r="RQL1" s="696"/>
      <c r="RQM1" s="696"/>
      <c r="RQN1" s="696"/>
      <c r="RQO1" s="696"/>
      <c r="RQP1" s="696"/>
      <c r="RQQ1" s="696"/>
      <c r="RQR1" s="696"/>
      <c r="RQS1" s="696"/>
      <c r="RQT1" s="696"/>
      <c r="RQU1" s="696"/>
      <c r="RQV1" s="696"/>
      <c r="RQW1" s="696"/>
      <c r="RQX1" s="696"/>
      <c r="RQY1" s="696"/>
      <c r="RQZ1" s="696"/>
      <c r="RRA1" s="696"/>
      <c r="RRB1" s="696"/>
      <c r="RRC1" s="696"/>
      <c r="RRD1" s="696"/>
      <c r="RRE1" s="696"/>
      <c r="RRF1" s="696"/>
      <c r="RRG1" s="696"/>
      <c r="RRH1" s="696"/>
      <c r="RRI1" s="696"/>
      <c r="RRJ1" s="696"/>
      <c r="RRK1" s="696"/>
      <c r="RRL1" s="696"/>
      <c r="RRM1" s="696"/>
      <c r="RRN1" s="696"/>
      <c r="RRO1" s="696"/>
      <c r="RRP1" s="696"/>
      <c r="RRQ1" s="696"/>
      <c r="RRR1" s="696"/>
      <c r="RRS1" s="696"/>
      <c r="RRT1" s="696"/>
      <c r="RRU1" s="696"/>
      <c r="RRV1" s="696"/>
      <c r="RRW1" s="696"/>
      <c r="RRX1" s="696"/>
      <c r="RRY1" s="696"/>
      <c r="RRZ1" s="696"/>
      <c r="RSA1" s="696"/>
      <c r="RSB1" s="696"/>
      <c r="RSC1" s="696"/>
      <c r="RSD1" s="696"/>
      <c r="RSE1" s="696"/>
      <c r="RSF1" s="696"/>
      <c r="RSG1" s="696"/>
      <c r="RSH1" s="696"/>
      <c r="RSI1" s="696"/>
      <c r="RSJ1" s="696"/>
      <c r="RSK1" s="696"/>
      <c r="RSL1" s="696"/>
      <c r="RSM1" s="696"/>
      <c r="RSN1" s="696"/>
      <c r="RSO1" s="696"/>
      <c r="RSP1" s="696"/>
      <c r="RSQ1" s="696"/>
      <c r="RSR1" s="696"/>
      <c r="RSS1" s="696"/>
      <c r="RST1" s="696"/>
      <c r="RSU1" s="696"/>
      <c r="RSV1" s="696"/>
      <c r="RSW1" s="696"/>
      <c r="RSX1" s="696"/>
      <c r="RSY1" s="696"/>
      <c r="RSZ1" s="696"/>
      <c r="RTA1" s="696"/>
      <c r="RTB1" s="696"/>
      <c r="RTC1" s="696"/>
      <c r="RTD1" s="696"/>
      <c r="RTE1" s="696"/>
      <c r="RTF1" s="696"/>
      <c r="RTG1" s="696"/>
      <c r="RTH1" s="696"/>
      <c r="RTI1" s="696"/>
      <c r="RTJ1" s="696"/>
      <c r="RTK1" s="696"/>
      <c r="RTL1" s="696"/>
      <c r="RTM1" s="696"/>
      <c r="RTN1" s="696"/>
      <c r="RTO1" s="696"/>
      <c r="RTP1" s="696"/>
      <c r="RTQ1" s="696"/>
      <c r="RTR1" s="696"/>
      <c r="RTS1" s="696"/>
      <c r="RTT1" s="696"/>
      <c r="RTU1" s="696"/>
      <c r="RTV1" s="696"/>
      <c r="RTW1" s="696"/>
      <c r="RTX1" s="696"/>
      <c r="RTY1" s="696"/>
      <c r="RTZ1" s="696"/>
      <c r="RUA1" s="696"/>
      <c r="RUB1" s="696"/>
      <c r="RUC1" s="696"/>
      <c r="RUD1" s="696"/>
      <c r="RUE1" s="696"/>
      <c r="RUF1" s="696"/>
      <c r="RUG1" s="696"/>
      <c r="RUH1" s="696"/>
      <c r="RUI1" s="696"/>
      <c r="RUJ1" s="696"/>
      <c r="RUK1" s="696"/>
      <c r="RUL1" s="696"/>
      <c r="RUM1" s="696"/>
      <c r="RUN1" s="696"/>
      <c r="RUO1" s="696"/>
      <c r="RUP1" s="696"/>
      <c r="RUQ1" s="696"/>
      <c r="RUR1" s="696"/>
      <c r="RUS1" s="696"/>
      <c r="RUT1" s="696"/>
      <c r="RUU1" s="696"/>
      <c r="RUV1" s="696"/>
      <c r="RUW1" s="696"/>
      <c r="RUX1" s="696"/>
      <c r="RUY1" s="696"/>
      <c r="RUZ1" s="696"/>
      <c r="RVA1" s="696"/>
      <c r="RVB1" s="696"/>
      <c r="RVC1" s="696"/>
      <c r="RVD1" s="696"/>
      <c r="RVE1" s="696"/>
      <c r="RVF1" s="696"/>
      <c r="RVG1" s="696"/>
      <c r="RVH1" s="696"/>
      <c r="RVI1" s="696"/>
      <c r="RVJ1" s="696"/>
      <c r="RVK1" s="696"/>
      <c r="RVL1" s="696"/>
      <c r="RVM1" s="696"/>
      <c r="RVN1" s="696"/>
      <c r="RVO1" s="696"/>
      <c r="RVP1" s="696"/>
      <c r="RVQ1" s="696"/>
      <c r="RVR1" s="696"/>
      <c r="RVS1" s="696"/>
      <c r="RVT1" s="696"/>
      <c r="RVU1" s="696"/>
      <c r="RVV1" s="696"/>
      <c r="RVW1" s="696"/>
      <c r="RVX1" s="696"/>
      <c r="RVY1" s="696"/>
      <c r="RVZ1" s="696"/>
      <c r="RWA1" s="696"/>
      <c r="RWB1" s="696"/>
      <c r="RWC1" s="696"/>
      <c r="RWD1" s="696"/>
      <c r="RWE1" s="696"/>
      <c r="RWF1" s="696"/>
      <c r="RWG1" s="696"/>
      <c r="RWH1" s="696"/>
      <c r="RWI1" s="696"/>
      <c r="RWJ1" s="696"/>
      <c r="RWK1" s="696"/>
      <c r="RWL1" s="696"/>
      <c r="RWM1" s="696"/>
      <c r="RWN1" s="696"/>
      <c r="RWO1" s="696"/>
      <c r="RWP1" s="696"/>
      <c r="RWQ1" s="696"/>
      <c r="RWR1" s="696"/>
      <c r="RWS1" s="696"/>
      <c r="RWT1" s="696"/>
      <c r="RWU1" s="696"/>
      <c r="RWV1" s="696"/>
      <c r="RWW1" s="696"/>
      <c r="RWX1" s="696"/>
      <c r="RWY1" s="696"/>
      <c r="RWZ1" s="696"/>
      <c r="RXA1" s="696"/>
      <c r="RXB1" s="696"/>
      <c r="RXC1" s="696"/>
      <c r="RXD1" s="696"/>
      <c r="RXE1" s="696"/>
      <c r="RXF1" s="696"/>
      <c r="RXG1" s="696"/>
      <c r="RXH1" s="696"/>
      <c r="RXI1" s="696"/>
      <c r="RXJ1" s="696"/>
      <c r="RXK1" s="696"/>
      <c r="RXL1" s="696"/>
      <c r="RXM1" s="696"/>
      <c r="RXN1" s="696"/>
      <c r="RXO1" s="696"/>
      <c r="RXP1" s="696"/>
      <c r="RXQ1" s="696"/>
      <c r="RXR1" s="696"/>
      <c r="RXS1" s="696"/>
      <c r="RXT1" s="696"/>
      <c r="RXU1" s="696"/>
      <c r="RXV1" s="696"/>
      <c r="RXW1" s="696"/>
      <c r="RXX1" s="696"/>
      <c r="RXY1" s="696"/>
      <c r="RXZ1" s="696"/>
      <c r="RYA1" s="696"/>
      <c r="RYB1" s="696"/>
      <c r="RYC1" s="696"/>
      <c r="RYD1" s="696"/>
      <c r="RYE1" s="696"/>
      <c r="RYF1" s="696"/>
      <c r="RYG1" s="696"/>
      <c r="RYH1" s="696"/>
      <c r="RYI1" s="696"/>
      <c r="RYJ1" s="696"/>
      <c r="RYK1" s="696"/>
      <c r="RYL1" s="696"/>
      <c r="RYM1" s="696"/>
      <c r="RYN1" s="696"/>
      <c r="RYO1" s="696"/>
      <c r="RYP1" s="696"/>
      <c r="RYQ1" s="696"/>
      <c r="RYR1" s="696"/>
      <c r="RYS1" s="696"/>
      <c r="RYT1" s="696"/>
      <c r="RYU1" s="696"/>
      <c r="RYV1" s="696"/>
      <c r="RYW1" s="696"/>
      <c r="RYX1" s="696"/>
      <c r="RYY1" s="696"/>
      <c r="RYZ1" s="696"/>
      <c r="RZA1" s="696"/>
      <c r="RZB1" s="696"/>
      <c r="RZC1" s="696"/>
      <c r="RZD1" s="696"/>
      <c r="RZE1" s="696"/>
      <c r="RZF1" s="696"/>
      <c r="RZG1" s="696"/>
      <c r="RZH1" s="696"/>
      <c r="RZI1" s="696"/>
      <c r="RZJ1" s="696"/>
      <c r="RZK1" s="696"/>
      <c r="RZL1" s="696"/>
      <c r="RZM1" s="696"/>
      <c r="RZN1" s="696"/>
      <c r="RZO1" s="696"/>
      <c r="RZP1" s="696"/>
      <c r="RZQ1" s="696"/>
      <c r="RZR1" s="696"/>
      <c r="RZS1" s="696"/>
      <c r="RZT1" s="696"/>
      <c r="RZU1" s="696"/>
      <c r="RZV1" s="696"/>
      <c r="RZW1" s="696"/>
      <c r="RZX1" s="696"/>
      <c r="RZY1" s="696"/>
      <c r="RZZ1" s="696"/>
      <c r="SAA1" s="696"/>
      <c r="SAB1" s="696"/>
      <c r="SAC1" s="696"/>
      <c r="SAD1" s="696"/>
      <c r="SAE1" s="696"/>
      <c r="SAF1" s="696"/>
      <c r="SAG1" s="696"/>
      <c r="SAH1" s="696"/>
      <c r="SAI1" s="696"/>
      <c r="SAJ1" s="696"/>
      <c r="SAK1" s="696"/>
      <c r="SAL1" s="696"/>
      <c r="SAM1" s="696"/>
      <c r="SAN1" s="696"/>
      <c r="SAO1" s="696"/>
      <c r="SAP1" s="696"/>
      <c r="SAQ1" s="696"/>
      <c r="SAR1" s="696"/>
      <c r="SAS1" s="696"/>
      <c r="SAT1" s="696"/>
      <c r="SAU1" s="696"/>
      <c r="SAV1" s="696"/>
      <c r="SAW1" s="696"/>
      <c r="SAX1" s="696"/>
      <c r="SAY1" s="696"/>
      <c r="SAZ1" s="696"/>
      <c r="SBA1" s="696"/>
      <c r="SBB1" s="696"/>
      <c r="SBC1" s="696"/>
      <c r="SBD1" s="696"/>
      <c r="SBE1" s="696"/>
      <c r="SBF1" s="696"/>
      <c r="SBG1" s="696"/>
      <c r="SBH1" s="696"/>
      <c r="SBI1" s="696"/>
      <c r="SBJ1" s="696"/>
      <c r="SBK1" s="696"/>
      <c r="SBL1" s="696"/>
      <c r="SBM1" s="696"/>
      <c r="SBN1" s="696"/>
      <c r="SBO1" s="696"/>
      <c r="SBP1" s="696"/>
      <c r="SBQ1" s="696"/>
      <c r="SBR1" s="696"/>
      <c r="SBS1" s="696"/>
      <c r="SBT1" s="696"/>
      <c r="SBU1" s="696"/>
      <c r="SBV1" s="696"/>
      <c r="SBW1" s="696"/>
      <c r="SBX1" s="696"/>
      <c r="SBY1" s="696"/>
      <c r="SBZ1" s="696"/>
      <c r="SCA1" s="696"/>
      <c r="SCB1" s="696"/>
      <c r="SCC1" s="696"/>
      <c r="SCD1" s="696"/>
      <c r="SCE1" s="696"/>
      <c r="SCF1" s="696"/>
      <c r="SCG1" s="696"/>
      <c r="SCH1" s="696"/>
      <c r="SCI1" s="696"/>
      <c r="SCJ1" s="696"/>
      <c r="SCK1" s="696"/>
      <c r="SCL1" s="696"/>
      <c r="SCM1" s="696"/>
      <c r="SCN1" s="696"/>
      <c r="SCO1" s="696"/>
      <c r="SCP1" s="696"/>
      <c r="SCQ1" s="696"/>
      <c r="SCR1" s="696"/>
      <c r="SCS1" s="696"/>
      <c r="SCT1" s="696"/>
      <c r="SCU1" s="696"/>
      <c r="SCV1" s="696"/>
      <c r="SCW1" s="696"/>
      <c r="SCX1" s="696"/>
      <c r="SCY1" s="696"/>
      <c r="SCZ1" s="696"/>
      <c r="SDA1" s="696"/>
      <c r="SDB1" s="696"/>
      <c r="SDC1" s="696"/>
      <c r="SDD1" s="696"/>
      <c r="SDE1" s="696"/>
      <c r="SDF1" s="696"/>
      <c r="SDG1" s="696"/>
      <c r="SDH1" s="696"/>
      <c r="SDI1" s="696"/>
      <c r="SDJ1" s="696"/>
      <c r="SDK1" s="696"/>
      <c r="SDL1" s="696"/>
      <c r="SDM1" s="696"/>
      <c r="SDN1" s="696"/>
      <c r="SDO1" s="696"/>
      <c r="SDP1" s="696"/>
      <c r="SDQ1" s="696"/>
      <c r="SDR1" s="696"/>
      <c r="SDS1" s="696"/>
      <c r="SDT1" s="696"/>
      <c r="SDU1" s="696"/>
      <c r="SDV1" s="696"/>
      <c r="SDW1" s="696"/>
      <c r="SDX1" s="696"/>
      <c r="SDY1" s="696"/>
      <c r="SDZ1" s="696"/>
      <c r="SEA1" s="696"/>
      <c r="SEB1" s="696"/>
      <c r="SEC1" s="696"/>
      <c r="SED1" s="696"/>
      <c r="SEE1" s="696"/>
      <c r="SEF1" s="696"/>
      <c r="SEG1" s="696"/>
      <c r="SEH1" s="696"/>
      <c r="SEI1" s="696"/>
      <c r="SEJ1" s="696"/>
      <c r="SEK1" s="696"/>
      <c r="SEL1" s="696"/>
      <c r="SEM1" s="696"/>
      <c r="SEN1" s="696"/>
      <c r="SEO1" s="696"/>
      <c r="SEP1" s="696"/>
      <c r="SEQ1" s="696"/>
      <c r="SER1" s="696"/>
      <c r="SES1" s="696"/>
      <c r="SET1" s="696"/>
      <c r="SEU1" s="696"/>
      <c r="SEV1" s="696"/>
      <c r="SEW1" s="696"/>
      <c r="SEX1" s="696"/>
      <c r="SEY1" s="696"/>
      <c r="SEZ1" s="696"/>
      <c r="SFA1" s="696"/>
      <c r="SFB1" s="696"/>
      <c r="SFC1" s="696"/>
      <c r="SFD1" s="696"/>
      <c r="SFE1" s="696"/>
      <c r="SFF1" s="696"/>
      <c r="SFG1" s="696"/>
      <c r="SFH1" s="696"/>
      <c r="SFI1" s="696"/>
      <c r="SFJ1" s="696"/>
      <c r="SFK1" s="696"/>
      <c r="SFL1" s="696"/>
      <c r="SFM1" s="696"/>
      <c r="SFN1" s="696"/>
      <c r="SFO1" s="696"/>
      <c r="SFP1" s="696"/>
      <c r="SFQ1" s="696"/>
      <c r="SFR1" s="696"/>
      <c r="SFS1" s="696"/>
      <c r="SFT1" s="696"/>
      <c r="SFU1" s="696"/>
      <c r="SFV1" s="696"/>
      <c r="SFW1" s="696"/>
      <c r="SFX1" s="696"/>
      <c r="SFY1" s="696"/>
      <c r="SFZ1" s="696"/>
      <c r="SGA1" s="696"/>
      <c r="SGB1" s="696"/>
      <c r="SGC1" s="696"/>
      <c r="SGD1" s="696"/>
      <c r="SGE1" s="696"/>
      <c r="SGF1" s="696"/>
      <c r="SGG1" s="696"/>
      <c r="SGH1" s="696"/>
      <c r="SGI1" s="696"/>
      <c r="SGJ1" s="696"/>
      <c r="SGK1" s="696"/>
      <c r="SGL1" s="696"/>
      <c r="SGM1" s="696"/>
      <c r="SGN1" s="696"/>
      <c r="SGO1" s="696"/>
      <c r="SGP1" s="696"/>
      <c r="SGQ1" s="696"/>
      <c r="SGR1" s="696"/>
      <c r="SGS1" s="696"/>
      <c r="SGT1" s="696"/>
      <c r="SGU1" s="696"/>
      <c r="SGV1" s="696"/>
      <c r="SGW1" s="696"/>
      <c r="SGX1" s="696"/>
      <c r="SGY1" s="696"/>
      <c r="SGZ1" s="696"/>
      <c r="SHA1" s="696"/>
      <c r="SHB1" s="696"/>
      <c r="SHC1" s="696"/>
      <c r="SHD1" s="696"/>
      <c r="SHE1" s="696"/>
      <c r="SHF1" s="696"/>
      <c r="SHG1" s="696"/>
      <c r="SHH1" s="696"/>
      <c r="SHI1" s="696"/>
      <c r="SHJ1" s="696"/>
      <c r="SHK1" s="696"/>
      <c r="SHL1" s="696"/>
      <c r="SHM1" s="696"/>
      <c r="SHN1" s="696"/>
      <c r="SHO1" s="696"/>
      <c r="SHP1" s="696"/>
      <c r="SHQ1" s="696"/>
      <c r="SHR1" s="696"/>
      <c r="SHS1" s="696"/>
      <c r="SHT1" s="696"/>
      <c r="SHU1" s="696"/>
      <c r="SHV1" s="696"/>
      <c r="SHW1" s="696"/>
      <c r="SHX1" s="696"/>
      <c r="SHY1" s="696"/>
      <c r="SHZ1" s="696"/>
      <c r="SIA1" s="696"/>
      <c r="SIB1" s="696"/>
      <c r="SIC1" s="696"/>
      <c r="SID1" s="696"/>
      <c r="SIE1" s="696"/>
      <c r="SIF1" s="696"/>
      <c r="SIG1" s="696"/>
      <c r="SIH1" s="696"/>
      <c r="SII1" s="696"/>
      <c r="SIJ1" s="696"/>
      <c r="SIK1" s="696"/>
      <c r="SIL1" s="696"/>
      <c r="SIM1" s="696"/>
      <c r="SIN1" s="696"/>
      <c r="SIO1" s="696"/>
      <c r="SIP1" s="696"/>
      <c r="SIQ1" s="696"/>
      <c r="SIR1" s="696"/>
      <c r="SIS1" s="696"/>
      <c r="SIT1" s="696"/>
      <c r="SIU1" s="696"/>
      <c r="SIV1" s="696"/>
      <c r="SIW1" s="696"/>
      <c r="SIX1" s="696"/>
      <c r="SIY1" s="696"/>
      <c r="SIZ1" s="696"/>
      <c r="SJA1" s="696"/>
      <c r="SJB1" s="696"/>
      <c r="SJC1" s="696"/>
      <c r="SJD1" s="696"/>
      <c r="SJE1" s="696"/>
      <c r="SJF1" s="696"/>
      <c r="SJG1" s="696"/>
      <c r="SJH1" s="696"/>
      <c r="SJI1" s="696"/>
      <c r="SJJ1" s="696"/>
      <c r="SJK1" s="696"/>
      <c r="SJL1" s="696"/>
      <c r="SJM1" s="696"/>
      <c r="SJN1" s="696"/>
      <c r="SJO1" s="696"/>
      <c r="SJP1" s="696"/>
      <c r="SJQ1" s="696"/>
      <c r="SJR1" s="696"/>
      <c r="SJS1" s="696"/>
      <c r="SJT1" s="696"/>
      <c r="SJU1" s="696"/>
      <c r="SJV1" s="696"/>
      <c r="SJW1" s="696"/>
      <c r="SJX1" s="696"/>
      <c r="SJY1" s="696"/>
      <c r="SJZ1" s="696"/>
      <c r="SKA1" s="696"/>
      <c r="SKB1" s="696"/>
      <c r="SKC1" s="696"/>
      <c r="SKD1" s="696"/>
      <c r="SKE1" s="696"/>
      <c r="SKF1" s="696"/>
      <c r="SKG1" s="696"/>
      <c r="SKH1" s="696"/>
      <c r="SKI1" s="696"/>
      <c r="SKJ1" s="696"/>
      <c r="SKK1" s="696"/>
      <c r="SKL1" s="696"/>
      <c r="SKM1" s="696"/>
      <c r="SKN1" s="696"/>
      <c r="SKO1" s="696"/>
      <c r="SKP1" s="696"/>
      <c r="SKQ1" s="696"/>
      <c r="SKR1" s="696"/>
      <c r="SKS1" s="696"/>
      <c r="SKT1" s="696"/>
      <c r="SKU1" s="696"/>
      <c r="SKV1" s="696"/>
      <c r="SKW1" s="696"/>
      <c r="SKX1" s="696"/>
      <c r="SKY1" s="696"/>
      <c r="SKZ1" s="696"/>
      <c r="SLA1" s="696"/>
      <c r="SLB1" s="696"/>
      <c r="SLC1" s="696"/>
      <c r="SLD1" s="696"/>
      <c r="SLE1" s="696"/>
      <c r="SLF1" s="696"/>
      <c r="SLG1" s="696"/>
      <c r="SLH1" s="696"/>
      <c r="SLI1" s="696"/>
      <c r="SLJ1" s="696"/>
      <c r="SLK1" s="696"/>
      <c r="SLL1" s="696"/>
      <c r="SLM1" s="696"/>
      <c r="SLN1" s="696"/>
      <c r="SLO1" s="696"/>
      <c r="SLP1" s="696"/>
      <c r="SLQ1" s="696"/>
      <c r="SLR1" s="696"/>
      <c r="SLS1" s="696"/>
      <c r="SLT1" s="696"/>
      <c r="SLU1" s="696"/>
      <c r="SLV1" s="696"/>
      <c r="SLW1" s="696"/>
      <c r="SLX1" s="696"/>
      <c r="SLY1" s="696"/>
      <c r="SLZ1" s="696"/>
      <c r="SMA1" s="696"/>
      <c r="SMB1" s="696"/>
      <c r="SMC1" s="696"/>
      <c r="SMD1" s="696"/>
      <c r="SME1" s="696"/>
      <c r="SMF1" s="696"/>
      <c r="SMG1" s="696"/>
      <c r="SMH1" s="696"/>
      <c r="SMI1" s="696"/>
      <c r="SMJ1" s="696"/>
      <c r="SMK1" s="696"/>
      <c r="SML1" s="696"/>
      <c r="SMM1" s="696"/>
      <c r="SMN1" s="696"/>
      <c r="SMO1" s="696"/>
      <c r="SMP1" s="696"/>
      <c r="SMQ1" s="696"/>
      <c r="SMR1" s="696"/>
      <c r="SMS1" s="696"/>
      <c r="SMT1" s="696"/>
      <c r="SMU1" s="696"/>
      <c r="SMV1" s="696"/>
      <c r="SMW1" s="696"/>
      <c r="SMX1" s="696"/>
      <c r="SMY1" s="696"/>
      <c r="SMZ1" s="696"/>
      <c r="SNA1" s="696"/>
      <c r="SNB1" s="696"/>
      <c r="SNC1" s="696"/>
      <c r="SND1" s="696"/>
      <c r="SNE1" s="696"/>
      <c r="SNF1" s="696"/>
      <c r="SNG1" s="696"/>
      <c r="SNH1" s="696"/>
      <c r="SNI1" s="696"/>
      <c r="SNJ1" s="696"/>
      <c r="SNK1" s="696"/>
      <c r="SNL1" s="696"/>
      <c r="SNM1" s="696"/>
      <c r="SNN1" s="696"/>
      <c r="SNO1" s="696"/>
      <c r="SNP1" s="696"/>
      <c r="SNQ1" s="696"/>
      <c r="SNR1" s="696"/>
      <c r="SNS1" s="696"/>
      <c r="SNT1" s="696"/>
      <c r="SNU1" s="696"/>
      <c r="SNV1" s="696"/>
      <c r="SNW1" s="696"/>
      <c r="SNX1" s="696"/>
      <c r="SNY1" s="696"/>
      <c r="SNZ1" s="696"/>
      <c r="SOA1" s="696"/>
      <c r="SOB1" s="696"/>
      <c r="SOC1" s="696"/>
      <c r="SOD1" s="696"/>
      <c r="SOE1" s="696"/>
      <c r="SOF1" s="696"/>
      <c r="SOG1" s="696"/>
      <c r="SOH1" s="696"/>
      <c r="SOI1" s="696"/>
      <c r="SOJ1" s="696"/>
      <c r="SOK1" s="696"/>
      <c r="SOL1" s="696"/>
      <c r="SOM1" s="696"/>
      <c r="SON1" s="696"/>
      <c r="SOO1" s="696"/>
      <c r="SOP1" s="696"/>
      <c r="SOQ1" s="696"/>
      <c r="SOR1" s="696"/>
      <c r="SOS1" s="696"/>
      <c r="SOT1" s="696"/>
      <c r="SOU1" s="696"/>
      <c r="SOV1" s="696"/>
      <c r="SOW1" s="696"/>
      <c r="SOX1" s="696"/>
      <c r="SOY1" s="696"/>
      <c r="SOZ1" s="696"/>
      <c r="SPA1" s="696"/>
      <c r="SPB1" s="696"/>
      <c r="SPC1" s="696"/>
      <c r="SPD1" s="696"/>
      <c r="SPE1" s="696"/>
      <c r="SPF1" s="696"/>
      <c r="SPG1" s="696"/>
      <c r="SPH1" s="696"/>
      <c r="SPI1" s="696"/>
      <c r="SPJ1" s="696"/>
      <c r="SPK1" s="696"/>
      <c r="SPL1" s="696"/>
      <c r="SPM1" s="696"/>
      <c r="SPN1" s="696"/>
      <c r="SPO1" s="696"/>
      <c r="SPP1" s="696"/>
      <c r="SPQ1" s="696"/>
      <c r="SPR1" s="696"/>
      <c r="SPS1" s="696"/>
      <c r="SPT1" s="696"/>
      <c r="SPU1" s="696"/>
      <c r="SPV1" s="696"/>
      <c r="SPW1" s="696"/>
      <c r="SPX1" s="696"/>
      <c r="SPY1" s="696"/>
      <c r="SPZ1" s="696"/>
      <c r="SQA1" s="696"/>
      <c r="SQB1" s="696"/>
      <c r="SQC1" s="696"/>
      <c r="SQD1" s="696"/>
      <c r="SQE1" s="696"/>
      <c r="SQF1" s="696"/>
      <c r="SQG1" s="696"/>
      <c r="SQH1" s="696"/>
      <c r="SQI1" s="696"/>
      <c r="SQJ1" s="696"/>
      <c r="SQK1" s="696"/>
      <c r="SQL1" s="696"/>
      <c r="SQM1" s="696"/>
      <c r="SQN1" s="696"/>
      <c r="SQO1" s="696"/>
      <c r="SQP1" s="696"/>
      <c r="SQQ1" s="696"/>
      <c r="SQR1" s="696"/>
      <c r="SQS1" s="696"/>
      <c r="SQT1" s="696"/>
      <c r="SQU1" s="696"/>
      <c r="SQV1" s="696"/>
      <c r="SQW1" s="696"/>
      <c r="SQX1" s="696"/>
      <c r="SQY1" s="696"/>
      <c r="SQZ1" s="696"/>
      <c r="SRA1" s="696"/>
      <c r="SRB1" s="696"/>
      <c r="SRC1" s="696"/>
      <c r="SRD1" s="696"/>
      <c r="SRE1" s="696"/>
      <c r="SRF1" s="696"/>
      <c r="SRG1" s="696"/>
      <c r="SRH1" s="696"/>
      <c r="SRI1" s="696"/>
      <c r="SRJ1" s="696"/>
      <c r="SRK1" s="696"/>
      <c r="SRL1" s="696"/>
      <c r="SRM1" s="696"/>
      <c r="SRN1" s="696"/>
      <c r="SRO1" s="696"/>
      <c r="SRP1" s="696"/>
      <c r="SRQ1" s="696"/>
      <c r="SRR1" s="696"/>
      <c r="SRS1" s="696"/>
      <c r="SRT1" s="696"/>
      <c r="SRU1" s="696"/>
      <c r="SRV1" s="696"/>
      <c r="SRW1" s="696"/>
      <c r="SRX1" s="696"/>
      <c r="SRY1" s="696"/>
      <c r="SRZ1" s="696"/>
      <c r="SSA1" s="696"/>
      <c r="SSB1" s="696"/>
      <c r="SSC1" s="696"/>
      <c r="SSD1" s="696"/>
      <c r="SSE1" s="696"/>
      <c r="SSF1" s="696"/>
      <c r="SSG1" s="696"/>
      <c r="SSH1" s="696"/>
      <c r="SSI1" s="696"/>
      <c r="SSJ1" s="696"/>
      <c r="SSK1" s="696"/>
      <c r="SSL1" s="696"/>
      <c r="SSM1" s="696"/>
      <c r="SSN1" s="696"/>
      <c r="SSO1" s="696"/>
      <c r="SSP1" s="696"/>
      <c r="SSQ1" s="696"/>
      <c r="SSR1" s="696"/>
      <c r="SSS1" s="696"/>
      <c r="SST1" s="696"/>
      <c r="SSU1" s="696"/>
      <c r="SSV1" s="696"/>
      <c r="SSW1" s="696"/>
      <c r="SSX1" s="696"/>
      <c r="SSY1" s="696"/>
      <c r="SSZ1" s="696"/>
      <c r="STA1" s="696"/>
      <c r="STB1" s="696"/>
      <c r="STC1" s="696"/>
      <c r="STD1" s="696"/>
      <c r="STE1" s="696"/>
      <c r="STF1" s="696"/>
      <c r="STG1" s="696"/>
      <c r="STH1" s="696"/>
      <c r="STI1" s="696"/>
      <c r="STJ1" s="696"/>
      <c r="STK1" s="696"/>
      <c r="STL1" s="696"/>
      <c r="STM1" s="696"/>
      <c r="STN1" s="696"/>
      <c r="STO1" s="696"/>
      <c r="STP1" s="696"/>
      <c r="STQ1" s="696"/>
      <c r="STR1" s="696"/>
      <c r="STS1" s="696"/>
      <c r="STT1" s="696"/>
      <c r="STU1" s="696"/>
      <c r="STV1" s="696"/>
      <c r="STW1" s="696"/>
      <c r="STX1" s="696"/>
      <c r="STY1" s="696"/>
      <c r="STZ1" s="696"/>
      <c r="SUA1" s="696"/>
      <c r="SUB1" s="696"/>
      <c r="SUC1" s="696"/>
      <c r="SUD1" s="696"/>
      <c r="SUE1" s="696"/>
      <c r="SUF1" s="696"/>
      <c r="SUG1" s="696"/>
      <c r="SUH1" s="696"/>
      <c r="SUI1" s="696"/>
      <c r="SUJ1" s="696"/>
      <c r="SUK1" s="696"/>
      <c r="SUL1" s="696"/>
      <c r="SUM1" s="696"/>
      <c r="SUN1" s="696"/>
      <c r="SUO1" s="696"/>
      <c r="SUP1" s="696"/>
      <c r="SUQ1" s="696"/>
      <c r="SUR1" s="696"/>
      <c r="SUS1" s="696"/>
      <c r="SUT1" s="696"/>
      <c r="SUU1" s="696"/>
      <c r="SUV1" s="696"/>
      <c r="SUW1" s="696"/>
      <c r="SUX1" s="696"/>
      <c r="SUY1" s="696"/>
      <c r="SUZ1" s="696"/>
      <c r="SVA1" s="696"/>
      <c r="SVB1" s="696"/>
      <c r="SVC1" s="696"/>
      <c r="SVD1" s="696"/>
      <c r="SVE1" s="696"/>
      <c r="SVF1" s="696"/>
      <c r="SVG1" s="696"/>
      <c r="SVH1" s="696"/>
      <c r="SVI1" s="696"/>
      <c r="SVJ1" s="696"/>
      <c r="SVK1" s="696"/>
      <c r="SVL1" s="696"/>
      <c r="SVM1" s="696"/>
      <c r="SVN1" s="696"/>
      <c r="SVO1" s="696"/>
      <c r="SVP1" s="696"/>
      <c r="SVQ1" s="696"/>
      <c r="SVR1" s="696"/>
      <c r="SVS1" s="696"/>
      <c r="SVT1" s="696"/>
      <c r="SVU1" s="696"/>
      <c r="SVV1" s="696"/>
      <c r="SVW1" s="696"/>
      <c r="SVX1" s="696"/>
      <c r="SVY1" s="696"/>
      <c r="SVZ1" s="696"/>
      <c r="SWA1" s="696"/>
      <c r="SWB1" s="696"/>
      <c r="SWC1" s="696"/>
      <c r="SWD1" s="696"/>
      <c r="SWE1" s="696"/>
      <c r="SWF1" s="696"/>
      <c r="SWG1" s="696"/>
      <c r="SWH1" s="696"/>
      <c r="SWI1" s="696"/>
      <c r="SWJ1" s="696"/>
      <c r="SWK1" s="696"/>
      <c r="SWL1" s="696"/>
      <c r="SWM1" s="696"/>
      <c r="SWN1" s="696"/>
      <c r="SWO1" s="696"/>
      <c r="SWP1" s="696"/>
      <c r="SWQ1" s="696"/>
      <c r="SWR1" s="696"/>
      <c r="SWS1" s="696"/>
      <c r="SWT1" s="696"/>
      <c r="SWU1" s="696"/>
      <c r="SWV1" s="696"/>
      <c r="SWW1" s="696"/>
      <c r="SWX1" s="696"/>
      <c r="SWY1" s="696"/>
      <c r="SWZ1" s="696"/>
      <c r="SXA1" s="696"/>
      <c r="SXB1" s="696"/>
      <c r="SXC1" s="696"/>
      <c r="SXD1" s="696"/>
      <c r="SXE1" s="696"/>
      <c r="SXF1" s="696"/>
      <c r="SXG1" s="696"/>
      <c r="SXH1" s="696"/>
      <c r="SXI1" s="696"/>
      <c r="SXJ1" s="696"/>
      <c r="SXK1" s="696"/>
      <c r="SXL1" s="696"/>
      <c r="SXM1" s="696"/>
      <c r="SXN1" s="696"/>
      <c r="SXO1" s="696"/>
      <c r="SXP1" s="696"/>
      <c r="SXQ1" s="696"/>
      <c r="SXR1" s="696"/>
      <c r="SXS1" s="696"/>
      <c r="SXT1" s="696"/>
      <c r="SXU1" s="696"/>
      <c r="SXV1" s="696"/>
      <c r="SXW1" s="696"/>
      <c r="SXX1" s="696"/>
      <c r="SXY1" s="696"/>
      <c r="SXZ1" s="696"/>
      <c r="SYA1" s="696"/>
      <c r="SYB1" s="696"/>
      <c r="SYC1" s="696"/>
      <c r="SYD1" s="696"/>
      <c r="SYE1" s="696"/>
      <c r="SYF1" s="696"/>
      <c r="SYG1" s="696"/>
      <c r="SYH1" s="696"/>
      <c r="SYI1" s="696"/>
      <c r="SYJ1" s="696"/>
      <c r="SYK1" s="696"/>
      <c r="SYL1" s="696"/>
      <c r="SYM1" s="696"/>
      <c r="SYN1" s="696"/>
      <c r="SYO1" s="696"/>
      <c r="SYP1" s="696"/>
      <c r="SYQ1" s="696"/>
      <c r="SYR1" s="696"/>
      <c r="SYS1" s="696"/>
      <c r="SYT1" s="696"/>
      <c r="SYU1" s="696"/>
      <c r="SYV1" s="696"/>
      <c r="SYW1" s="696"/>
      <c r="SYX1" s="696"/>
      <c r="SYY1" s="696"/>
      <c r="SYZ1" s="696"/>
      <c r="SZA1" s="696"/>
      <c r="SZB1" s="696"/>
      <c r="SZC1" s="696"/>
      <c r="SZD1" s="696"/>
      <c r="SZE1" s="696"/>
      <c r="SZF1" s="696"/>
      <c r="SZG1" s="696"/>
      <c r="SZH1" s="696"/>
      <c r="SZI1" s="696"/>
      <c r="SZJ1" s="696"/>
      <c r="SZK1" s="696"/>
      <c r="SZL1" s="696"/>
      <c r="SZM1" s="696"/>
      <c r="SZN1" s="696"/>
      <c r="SZO1" s="696"/>
      <c r="SZP1" s="696"/>
      <c r="SZQ1" s="696"/>
      <c r="SZR1" s="696"/>
      <c r="SZS1" s="696"/>
      <c r="SZT1" s="696"/>
      <c r="SZU1" s="696"/>
      <c r="SZV1" s="696"/>
      <c r="SZW1" s="696"/>
      <c r="SZX1" s="696"/>
      <c r="SZY1" s="696"/>
      <c r="SZZ1" s="696"/>
      <c r="TAA1" s="696"/>
      <c r="TAB1" s="696"/>
      <c r="TAC1" s="696"/>
      <c r="TAD1" s="696"/>
      <c r="TAE1" s="696"/>
      <c r="TAF1" s="696"/>
      <c r="TAG1" s="696"/>
      <c r="TAH1" s="696"/>
      <c r="TAI1" s="696"/>
      <c r="TAJ1" s="696"/>
      <c r="TAK1" s="696"/>
      <c r="TAL1" s="696"/>
      <c r="TAM1" s="696"/>
      <c r="TAN1" s="696"/>
      <c r="TAO1" s="696"/>
      <c r="TAP1" s="696"/>
      <c r="TAQ1" s="696"/>
      <c r="TAR1" s="696"/>
      <c r="TAS1" s="696"/>
      <c r="TAT1" s="696"/>
      <c r="TAU1" s="696"/>
      <c r="TAV1" s="696"/>
      <c r="TAW1" s="696"/>
      <c r="TAX1" s="696"/>
      <c r="TAY1" s="696"/>
      <c r="TAZ1" s="696"/>
      <c r="TBA1" s="696"/>
      <c r="TBB1" s="696"/>
      <c r="TBC1" s="696"/>
      <c r="TBD1" s="696"/>
      <c r="TBE1" s="696"/>
      <c r="TBF1" s="696"/>
      <c r="TBG1" s="696"/>
      <c r="TBH1" s="696"/>
      <c r="TBI1" s="696"/>
      <c r="TBJ1" s="696"/>
      <c r="TBK1" s="696"/>
      <c r="TBL1" s="696"/>
      <c r="TBM1" s="696"/>
      <c r="TBN1" s="696"/>
      <c r="TBO1" s="696"/>
      <c r="TBP1" s="696"/>
      <c r="TBQ1" s="696"/>
      <c r="TBR1" s="696"/>
      <c r="TBS1" s="696"/>
      <c r="TBT1" s="696"/>
      <c r="TBU1" s="696"/>
      <c r="TBV1" s="696"/>
      <c r="TBW1" s="696"/>
      <c r="TBX1" s="696"/>
      <c r="TBY1" s="696"/>
      <c r="TBZ1" s="696"/>
      <c r="TCA1" s="696"/>
      <c r="TCB1" s="696"/>
      <c r="TCC1" s="696"/>
      <c r="TCD1" s="696"/>
      <c r="TCE1" s="696"/>
      <c r="TCF1" s="696"/>
      <c r="TCG1" s="696"/>
      <c r="TCH1" s="696"/>
      <c r="TCI1" s="696"/>
      <c r="TCJ1" s="696"/>
      <c r="TCK1" s="696"/>
      <c r="TCL1" s="696"/>
      <c r="TCM1" s="696"/>
      <c r="TCN1" s="696"/>
      <c r="TCO1" s="696"/>
      <c r="TCP1" s="696"/>
      <c r="TCQ1" s="696"/>
      <c r="TCR1" s="696"/>
      <c r="TCS1" s="696"/>
      <c r="TCT1" s="696"/>
      <c r="TCU1" s="696"/>
      <c r="TCV1" s="696"/>
      <c r="TCW1" s="696"/>
      <c r="TCX1" s="696"/>
      <c r="TCY1" s="696"/>
      <c r="TCZ1" s="696"/>
      <c r="TDA1" s="696"/>
      <c r="TDB1" s="696"/>
      <c r="TDC1" s="696"/>
      <c r="TDD1" s="696"/>
      <c r="TDE1" s="696"/>
      <c r="TDF1" s="696"/>
      <c r="TDG1" s="696"/>
      <c r="TDH1" s="696"/>
      <c r="TDI1" s="696"/>
      <c r="TDJ1" s="696"/>
      <c r="TDK1" s="696"/>
      <c r="TDL1" s="696"/>
      <c r="TDM1" s="696"/>
      <c r="TDN1" s="696"/>
      <c r="TDO1" s="696"/>
      <c r="TDP1" s="696"/>
      <c r="TDQ1" s="696"/>
      <c r="TDR1" s="696"/>
      <c r="TDS1" s="696"/>
      <c r="TDT1" s="696"/>
      <c r="TDU1" s="696"/>
      <c r="TDV1" s="696"/>
      <c r="TDW1" s="696"/>
      <c r="TDX1" s="696"/>
      <c r="TDY1" s="696"/>
      <c r="TDZ1" s="696"/>
      <c r="TEA1" s="696"/>
      <c r="TEB1" s="696"/>
      <c r="TEC1" s="696"/>
      <c r="TED1" s="696"/>
      <c r="TEE1" s="696"/>
      <c r="TEF1" s="696"/>
      <c r="TEG1" s="696"/>
      <c r="TEH1" s="696"/>
      <c r="TEI1" s="696"/>
      <c r="TEJ1" s="696"/>
      <c r="TEK1" s="696"/>
      <c r="TEL1" s="696"/>
      <c r="TEM1" s="696"/>
      <c r="TEN1" s="696"/>
      <c r="TEO1" s="696"/>
      <c r="TEP1" s="696"/>
      <c r="TEQ1" s="696"/>
      <c r="TER1" s="696"/>
      <c r="TES1" s="696"/>
      <c r="TET1" s="696"/>
      <c r="TEU1" s="696"/>
      <c r="TEV1" s="696"/>
      <c r="TEW1" s="696"/>
      <c r="TEX1" s="696"/>
      <c r="TEY1" s="696"/>
      <c r="TEZ1" s="696"/>
      <c r="TFA1" s="696"/>
      <c r="TFB1" s="696"/>
      <c r="TFC1" s="696"/>
      <c r="TFD1" s="696"/>
      <c r="TFE1" s="696"/>
      <c r="TFF1" s="696"/>
      <c r="TFG1" s="696"/>
      <c r="TFH1" s="696"/>
      <c r="TFI1" s="696"/>
      <c r="TFJ1" s="696"/>
      <c r="TFK1" s="696"/>
      <c r="TFL1" s="696"/>
      <c r="TFM1" s="696"/>
      <c r="TFN1" s="696"/>
      <c r="TFO1" s="696"/>
      <c r="TFP1" s="696"/>
      <c r="TFQ1" s="696"/>
      <c r="TFR1" s="696"/>
      <c r="TFS1" s="696"/>
      <c r="TFT1" s="696"/>
      <c r="TFU1" s="696"/>
      <c r="TFV1" s="696"/>
      <c r="TFW1" s="696"/>
      <c r="TFX1" s="696"/>
      <c r="TFY1" s="696"/>
      <c r="TFZ1" s="696"/>
      <c r="TGA1" s="696"/>
      <c r="TGB1" s="696"/>
      <c r="TGC1" s="696"/>
      <c r="TGD1" s="696"/>
      <c r="TGE1" s="696"/>
      <c r="TGF1" s="696"/>
      <c r="TGG1" s="696"/>
      <c r="TGH1" s="696"/>
      <c r="TGI1" s="696"/>
      <c r="TGJ1" s="696"/>
      <c r="TGK1" s="696"/>
      <c r="TGL1" s="696"/>
      <c r="TGM1" s="696"/>
      <c r="TGN1" s="696"/>
      <c r="TGO1" s="696"/>
      <c r="TGP1" s="696"/>
      <c r="TGQ1" s="696"/>
      <c r="TGR1" s="696"/>
      <c r="TGS1" s="696"/>
      <c r="TGT1" s="696"/>
      <c r="TGU1" s="696"/>
      <c r="TGV1" s="696"/>
      <c r="TGW1" s="696"/>
      <c r="TGX1" s="696"/>
      <c r="TGY1" s="696"/>
      <c r="TGZ1" s="696"/>
      <c r="THA1" s="696"/>
      <c r="THB1" s="696"/>
      <c r="THC1" s="696"/>
      <c r="THD1" s="696"/>
      <c r="THE1" s="696"/>
      <c r="THF1" s="696"/>
      <c r="THG1" s="696"/>
      <c r="THH1" s="696"/>
      <c r="THI1" s="696"/>
      <c r="THJ1" s="696"/>
      <c r="THK1" s="696"/>
      <c r="THL1" s="696"/>
      <c r="THM1" s="696"/>
      <c r="THN1" s="696"/>
      <c r="THO1" s="696"/>
      <c r="THP1" s="696"/>
      <c r="THQ1" s="696"/>
      <c r="THR1" s="696"/>
      <c r="THS1" s="696"/>
      <c r="THT1" s="696"/>
      <c r="THU1" s="696"/>
      <c r="THV1" s="696"/>
      <c r="THW1" s="696"/>
      <c r="THX1" s="696"/>
      <c r="THY1" s="696"/>
      <c r="THZ1" s="696"/>
      <c r="TIA1" s="696"/>
      <c r="TIB1" s="696"/>
      <c r="TIC1" s="696"/>
      <c r="TID1" s="696"/>
      <c r="TIE1" s="696"/>
      <c r="TIF1" s="696"/>
      <c r="TIG1" s="696"/>
      <c r="TIH1" s="696"/>
      <c r="TII1" s="696"/>
      <c r="TIJ1" s="696"/>
      <c r="TIK1" s="696"/>
      <c r="TIL1" s="696"/>
      <c r="TIM1" s="696"/>
      <c r="TIN1" s="696"/>
      <c r="TIO1" s="696"/>
      <c r="TIP1" s="696"/>
      <c r="TIQ1" s="696"/>
      <c r="TIR1" s="696"/>
      <c r="TIS1" s="696"/>
      <c r="TIT1" s="696"/>
      <c r="TIU1" s="696"/>
      <c r="TIV1" s="696"/>
      <c r="TIW1" s="696"/>
      <c r="TIX1" s="696"/>
      <c r="TIY1" s="696"/>
      <c r="TIZ1" s="696"/>
      <c r="TJA1" s="696"/>
      <c r="TJB1" s="696"/>
      <c r="TJC1" s="696"/>
      <c r="TJD1" s="696"/>
      <c r="TJE1" s="696"/>
      <c r="TJF1" s="696"/>
      <c r="TJG1" s="696"/>
      <c r="TJH1" s="696"/>
      <c r="TJI1" s="696"/>
      <c r="TJJ1" s="696"/>
      <c r="TJK1" s="696"/>
      <c r="TJL1" s="696"/>
      <c r="TJM1" s="696"/>
      <c r="TJN1" s="696"/>
      <c r="TJO1" s="696"/>
      <c r="TJP1" s="696"/>
      <c r="TJQ1" s="696"/>
      <c r="TJR1" s="696"/>
      <c r="TJS1" s="696"/>
      <c r="TJT1" s="696"/>
      <c r="TJU1" s="696"/>
      <c r="TJV1" s="696"/>
      <c r="TJW1" s="696"/>
      <c r="TJX1" s="696"/>
      <c r="TJY1" s="696"/>
      <c r="TJZ1" s="696"/>
      <c r="TKA1" s="696"/>
      <c r="TKB1" s="696"/>
      <c r="TKC1" s="696"/>
      <c r="TKD1" s="696"/>
      <c r="TKE1" s="696"/>
      <c r="TKF1" s="696"/>
      <c r="TKG1" s="696"/>
      <c r="TKH1" s="696"/>
      <c r="TKI1" s="696"/>
      <c r="TKJ1" s="696"/>
      <c r="TKK1" s="696"/>
      <c r="TKL1" s="696"/>
      <c r="TKM1" s="696"/>
      <c r="TKN1" s="696"/>
      <c r="TKO1" s="696"/>
      <c r="TKP1" s="696"/>
      <c r="TKQ1" s="696"/>
      <c r="TKR1" s="696"/>
      <c r="TKS1" s="696"/>
      <c r="TKT1" s="696"/>
      <c r="TKU1" s="696"/>
      <c r="TKV1" s="696"/>
      <c r="TKW1" s="696"/>
      <c r="TKX1" s="696"/>
      <c r="TKY1" s="696"/>
      <c r="TKZ1" s="696"/>
      <c r="TLA1" s="696"/>
      <c r="TLB1" s="696"/>
      <c r="TLC1" s="696"/>
      <c r="TLD1" s="696"/>
      <c r="TLE1" s="696"/>
      <c r="TLF1" s="696"/>
      <c r="TLG1" s="696"/>
      <c r="TLH1" s="696"/>
      <c r="TLI1" s="696"/>
      <c r="TLJ1" s="696"/>
      <c r="TLK1" s="696"/>
      <c r="TLL1" s="696"/>
      <c r="TLM1" s="696"/>
      <c r="TLN1" s="696"/>
      <c r="TLO1" s="696"/>
      <c r="TLP1" s="696"/>
      <c r="TLQ1" s="696"/>
      <c r="TLR1" s="696"/>
      <c r="TLS1" s="696"/>
      <c r="TLT1" s="696"/>
      <c r="TLU1" s="696"/>
      <c r="TLV1" s="696"/>
      <c r="TLW1" s="696"/>
      <c r="TLX1" s="696"/>
      <c r="TLY1" s="696"/>
      <c r="TLZ1" s="696"/>
      <c r="TMA1" s="696"/>
      <c r="TMB1" s="696"/>
      <c r="TMC1" s="696"/>
      <c r="TMD1" s="696"/>
      <c r="TME1" s="696"/>
      <c r="TMF1" s="696"/>
      <c r="TMG1" s="696"/>
      <c r="TMH1" s="696"/>
      <c r="TMI1" s="696"/>
      <c r="TMJ1" s="696"/>
      <c r="TMK1" s="696"/>
      <c r="TML1" s="696"/>
      <c r="TMM1" s="696"/>
      <c r="TMN1" s="696"/>
      <c r="TMO1" s="696"/>
      <c r="TMP1" s="696"/>
      <c r="TMQ1" s="696"/>
      <c r="TMR1" s="696"/>
      <c r="TMS1" s="696"/>
      <c r="TMT1" s="696"/>
      <c r="TMU1" s="696"/>
      <c r="TMV1" s="696"/>
      <c r="TMW1" s="696"/>
      <c r="TMX1" s="696"/>
      <c r="TMY1" s="696"/>
      <c r="TMZ1" s="696"/>
      <c r="TNA1" s="696"/>
      <c r="TNB1" s="696"/>
      <c r="TNC1" s="696"/>
      <c r="TND1" s="696"/>
      <c r="TNE1" s="696"/>
      <c r="TNF1" s="696"/>
      <c r="TNG1" s="696"/>
      <c r="TNH1" s="696"/>
      <c r="TNI1" s="696"/>
      <c r="TNJ1" s="696"/>
      <c r="TNK1" s="696"/>
      <c r="TNL1" s="696"/>
      <c r="TNM1" s="696"/>
      <c r="TNN1" s="696"/>
      <c r="TNO1" s="696"/>
      <c r="TNP1" s="696"/>
      <c r="TNQ1" s="696"/>
      <c r="TNR1" s="696"/>
      <c r="TNS1" s="696"/>
      <c r="TNT1" s="696"/>
      <c r="TNU1" s="696"/>
      <c r="TNV1" s="696"/>
      <c r="TNW1" s="696"/>
      <c r="TNX1" s="696"/>
      <c r="TNY1" s="696"/>
      <c r="TNZ1" s="696"/>
      <c r="TOA1" s="696"/>
      <c r="TOB1" s="696"/>
      <c r="TOC1" s="696"/>
      <c r="TOD1" s="696"/>
      <c r="TOE1" s="696"/>
      <c r="TOF1" s="696"/>
      <c r="TOG1" s="696"/>
      <c r="TOH1" s="696"/>
      <c r="TOI1" s="696"/>
      <c r="TOJ1" s="696"/>
      <c r="TOK1" s="696"/>
      <c r="TOL1" s="696"/>
      <c r="TOM1" s="696"/>
      <c r="TON1" s="696"/>
      <c r="TOO1" s="696"/>
      <c r="TOP1" s="696"/>
      <c r="TOQ1" s="696"/>
      <c r="TOR1" s="696"/>
      <c r="TOS1" s="696"/>
      <c r="TOT1" s="696"/>
      <c r="TOU1" s="696"/>
      <c r="TOV1" s="696"/>
      <c r="TOW1" s="696"/>
      <c r="TOX1" s="696"/>
      <c r="TOY1" s="696"/>
      <c r="TOZ1" s="696"/>
      <c r="TPA1" s="696"/>
      <c r="TPB1" s="696"/>
      <c r="TPC1" s="696"/>
      <c r="TPD1" s="696"/>
      <c r="TPE1" s="696"/>
      <c r="TPF1" s="696"/>
      <c r="TPG1" s="696"/>
      <c r="TPH1" s="696"/>
      <c r="TPI1" s="696"/>
      <c r="TPJ1" s="696"/>
      <c r="TPK1" s="696"/>
      <c r="TPL1" s="696"/>
      <c r="TPM1" s="696"/>
      <c r="TPN1" s="696"/>
      <c r="TPO1" s="696"/>
      <c r="TPP1" s="696"/>
      <c r="TPQ1" s="696"/>
      <c r="TPR1" s="696"/>
      <c r="TPS1" s="696"/>
      <c r="TPT1" s="696"/>
      <c r="TPU1" s="696"/>
      <c r="TPV1" s="696"/>
      <c r="TPW1" s="696"/>
      <c r="TPX1" s="696"/>
      <c r="TPY1" s="696"/>
      <c r="TPZ1" s="696"/>
      <c r="TQA1" s="696"/>
      <c r="TQB1" s="696"/>
      <c r="TQC1" s="696"/>
      <c r="TQD1" s="696"/>
      <c r="TQE1" s="696"/>
      <c r="TQF1" s="696"/>
      <c r="TQG1" s="696"/>
      <c r="TQH1" s="696"/>
      <c r="TQI1" s="696"/>
      <c r="TQJ1" s="696"/>
      <c r="TQK1" s="696"/>
      <c r="TQL1" s="696"/>
      <c r="TQM1" s="696"/>
      <c r="TQN1" s="696"/>
      <c r="TQO1" s="696"/>
      <c r="TQP1" s="696"/>
      <c r="TQQ1" s="696"/>
      <c r="TQR1" s="696"/>
      <c r="TQS1" s="696"/>
      <c r="TQT1" s="696"/>
      <c r="TQU1" s="696"/>
      <c r="TQV1" s="696"/>
      <c r="TQW1" s="696"/>
      <c r="TQX1" s="696"/>
      <c r="TQY1" s="696"/>
      <c r="TQZ1" s="696"/>
      <c r="TRA1" s="696"/>
      <c r="TRB1" s="696"/>
      <c r="TRC1" s="696"/>
      <c r="TRD1" s="696"/>
      <c r="TRE1" s="696"/>
      <c r="TRF1" s="696"/>
      <c r="TRG1" s="696"/>
      <c r="TRH1" s="696"/>
      <c r="TRI1" s="696"/>
      <c r="TRJ1" s="696"/>
      <c r="TRK1" s="696"/>
      <c r="TRL1" s="696"/>
      <c r="TRM1" s="696"/>
      <c r="TRN1" s="696"/>
      <c r="TRO1" s="696"/>
      <c r="TRP1" s="696"/>
      <c r="TRQ1" s="696"/>
      <c r="TRR1" s="696"/>
      <c r="TRS1" s="696"/>
      <c r="TRT1" s="696"/>
      <c r="TRU1" s="696"/>
      <c r="TRV1" s="696"/>
      <c r="TRW1" s="696"/>
      <c r="TRX1" s="696"/>
      <c r="TRY1" s="696"/>
      <c r="TRZ1" s="696"/>
      <c r="TSA1" s="696"/>
      <c r="TSB1" s="696"/>
      <c r="TSC1" s="696"/>
      <c r="TSD1" s="696"/>
      <c r="TSE1" s="696"/>
      <c r="TSF1" s="696"/>
      <c r="TSG1" s="696"/>
      <c r="TSH1" s="696"/>
      <c r="TSI1" s="696"/>
      <c r="TSJ1" s="696"/>
      <c r="TSK1" s="696"/>
      <c r="TSL1" s="696"/>
      <c r="TSM1" s="696"/>
      <c r="TSN1" s="696"/>
      <c r="TSO1" s="696"/>
      <c r="TSP1" s="696"/>
      <c r="TSQ1" s="696"/>
      <c r="TSR1" s="696"/>
      <c r="TSS1" s="696"/>
      <c r="TST1" s="696"/>
      <c r="TSU1" s="696"/>
      <c r="TSV1" s="696"/>
      <c r="TSW1" s="696"/>
      <c r="TSX1" s="696"/>
      <c r="TSY1" s="696"/>
      <c r="TSZ1" s="696"/>
      <c r="TTA1" s="696"/>
      <c r="TTB1" s="696"/>
      <c r="TTC1" s="696"/>
      <c r="TTD1" s="696"/>
      <c r="TTE1" s="696"/>
      <c r="TTF1" s="696"/>
      <c r="TTG1" s="696"/>
      <c r="TTH1" s="696"/>
      <c r="TTI1" s="696"/>
      <c r="TTJ1" s="696"/>
      <c r="TTK1" s="696"/>
      <c r="TTL1" s="696"/>
      <c r="TTM1" s="696"/>
      <c r="TTN1" s="696"/>
      <c r="TTO1" s="696"/>
      <c r="TTP1" s="696"/>
      <c r="TTQ1" s="696"/>
      <c r="TTR1" s="696"/>
      <c r="TTS1" s="696"/>
      <c r="TTT1" s="696"/>
      <c r="TTU1" s="696"/>
      <c r="TTV1" s="696"/>
      <c r="TTW1" s="696"/>
      <c r="TTX1" s="696"/>
      <c r="TTY1" s="696"/>
      <c r="TTZ1" s="696"/>
      <c r="TUA1" s="696"/>
      <c r="TUB1" s="696"/>
      <c r="TUC1" s="696"/>
      <c r="TUD1" s="696"/>
      <c r="TUE1" s="696"/>
      <c r="TUF1" s="696"/>
      <c r="TUG1" s="696"/>
      <c r="TUH1" s="696"/>
      <c r="TUI1" s="696"/>
      <c r="TUJ1" s="696"/>
      <c r="TUK1" s="696"/>
      <c r="TUL1" s="696"/>
      <c r="TUM1" s="696"/>
      <c r="TUN1" s="696"/>
      <c r="TUO1" s="696"/>
      <c r="TUP1" s="696"/>
      <c r="TUQ1" s="696"/>
      <c r="TUR1" s="696"/>
      <c r="TUS1" s="696"/>
      <c r="TUT1" s="696"/>
      <c r="TUU1" s="696"/>
      <c r="TUV1" s="696"/>
      <c r="TUW1" s="696"/>
      <c r="TUX1" s="696"/>
      <c r="TUY1" s="696"/>
      <c r="TUZ1" s="696"/>
      <c r="TVA1" s="696"/>
      <c r="TVB1" s="696"/>
      <c r="TVC1" s="696"/>
      <c r="TVD1" s="696"/>
      <c r="TVE1" s="696"/>
      <c r="TVF1" s="696"/>
      <c r="TVG1" s="696"/>
      <c r="TVH1" s="696"/>
      <c r="TVI1" s="696"/>
      <c r="TVJ1" s="696"/>
      <c r="TVK1" s="696"/>
      <c r="TVL1" s="696"/>
      <c r="TVM1" s="696"/>
      <c r="TVN1" s="696"/>
      <c r="TVO1" s="696"/>
      <c r="TVP1" s="696"/>
      <c r="TVQ1" s="696"/>
      <c r="TVR1" s="696"/>
      <c r="TVS1" s="696"/>
      <c r="TVT1" s="696"/>
      <c r="TVU1" s="696"/>
      <c r="TVV1" s="696"/>
      <c r="TVW1" s="696"/>
      <c r="TVX1" s="696"/>
      <c r="TVY1" s="696"/>
      <c r="TVZ1" s="696"/>
      <c r="TWA1" s="696"/>
      <c r="TWB1" s="696"/>
      <c r="TWC1" s="696"/>
      <c r="TWD1" s="696"/>
      <c r="TWE1" s="696"/>
      <c r="TWF1" s="696"/>
      <c r="TWG1" s="696"/>
      <c r="TWH1" s="696"/>
      <c r="TWI1" s="696"/>
      <c r="TWJ1" s="696"/>
      <c r="TWK1" s="696"/>
      <c r="TWL1" s="696"/>
      <c r="TWM1" s="696"/>
      <c r="TWN1" s="696"/>
      <c r="TWO1" s="696"/>
      <c r="TWP1" s="696"/>
      <c r="TWQ1" s="696"/>
      <c r="TWR1" s="696"/>
      <c r="TWS1" s="696"/>
      <c r="TWT1" s="696"/>
      <c r="TWU1" s="696"/>
      <c r="TWV1" s="696"/>
      <c r="TWW1" s="696"/>
      <c r="TWX1" s="696"/>
      <c r="TWY1" s="696"/>
      <c r="TWZ1" s="696"/>
      <c r="TXA1" s="696"/>
      <c r="TXB1" s="696"/>
      <c r="TXC1" s="696"/>
      <c r="TXD1" s="696"/>
      <c r="TXE1" s="696"/>
      <c r="TXF1" s="696"/>
      <c r="TXG1" s="696"/>
      <c r="TXH1" s="696"/>
      <c r="TXI1" s="696"/>
      <c r="TXJ1" s="696"/>
      <c r="TXK1" s="696"/>
      <c r="TXL1" s="696"/>
      <c r="TXM1" s="696"/>
      <c r="TXN1" s="696"/>
      <c r="TXO1" s="696"/>
      <c r="TXP1" s="696"/>
      <c r="TXQ1" s="696"/>
      <c r="TXR1" s="696"/>
      <c r="TXS1" s="696"/>
      <c r="TXT1" s="696"/>
      <c r="TXU1" s="696"/>
      <c r="TXV1" s="696"/>
      <c r="TXW1" s="696"/>
      <c r="TXX1" s="696"/>
      <c r="TXY1" s="696"/>
      <c r="TXZ1" s="696"/>
      <c r="TYA1" s="696"/>
      <c r="TYB1" s="696"/>
      <c r="TYC1" s="696"/>
      <c r="TYD1" s="696"/>
      <c r="TYE1" s="696"/>
      <c r="TYF1" s="696"/>
      <c r="TYG1" s="696"/>
      <c r="TYH1" s="696"/>
      <c r="TYI1" s="696"/>
      <c r="TYJ1" s="696"/>
      <c r="TYK1" s="696"/>
      <c r="TYL1" s="696"/>
      <c r="TYM1" s="696"/>
      <c r="TYN1" s="696"/>
      <c r="TYO1" s="696"/>
      <c r="TYP1" s="696"/>
      <c r="TYQ1" s="696"/>
      <c r="TYR1" s="696"/>
      <c r="TYS1" s="696"/>
      <c r="TYT1" s="696"/>
      <c r="TYU1" s="696"/>
      <c r="TYV1" s="696"/>
      <c r="TYW1" s="696"/>
      <c r="TYX1" s="696"/>
      <c r="TYY1" s="696"/>
      <c r="TYZ1" s="696"/>
      <c r="TZA1" s="696"/>
      <c r="TZB1" s="696"/>
      <c r="TZC1" s="696"/>
      <c r="TZD1" s="696"/>
      <c r="TZE1" s="696"/>
      <c r="TZF1" s="696"/>
      <c r="TZG1" s="696"/>
      <c r="TZH1" s="696"/>
      <c r="TZI1" s="696"/>
      <c r="TZJ1" s="696"/>
      <c r="TZK1" s="696"/>
      <c r="TZL1" s="696"/>
      <c r="TZM1" s="696"/>
      <c r="TZN1" s="696"/>
      <c r="TZO1" s="696"/>
      <c r="TZP1" s="696"/>
      <c r="TZQ1" s="696"/>
      <c r="TZR1" s="696"/>
      <c r="TZS1" s="696"/>
      <c r="TZT1" s="696"/>
      <c r="TZU1" s="696"/>
      <c r="TZV1" s="696"/>
      <c r="TZW1" s="696"/>
      <c r="TZX1" s="696"/>
      <c r="TZY1" s="696"/>
      <c r="TZZ1" s="696"/>
      <c r="UAA1" s="696"/>
      <c r="UAB1" s="696"/>
      <c r="UAC1" s="696"/>
      <c r="UAD1" s="696"/>
      <c r="UAE1" s="696"/>
      <c r="UAF1" s="696"/>
      <c r="UAG1" s="696"/>
      <c r="UAH1" s="696"/>
      <c r="UAI1" s="696"/>
      <c r="UAJ1" s="696"/>
      <c r="UAK1" s="696"/>
      <c r="UAL1" s="696"/>
      <c r="UAM1" s="696"/>
      <c r="UAN1" s="696"/>
      <c r="UAO1" s="696"/>
      <c r="UAP1" s="696"/>
      <c r="UAQ1" s="696"/>
      <c r="UAR1" s="696"/>
      <c r="UAS1" s="696"/>
      <c r="UAT1" s="696"/>
      <c r="UAU1" s="696"/>
      <c r="UAV1" s="696"/>
      <c r="UAW1" s="696"/>
      <c r="UAX1" s="696"/>
      <c r="UAY1" s="696"/>
      <c r="UAZ1" s="696"/>
      <c r="UBA1" s="696"/>
      <c r="UBB1" s="696"/>
      <c r="UBC1" s="696"/>
      <c r="UBD1" s="696"/>
      <c r="UBE1" s="696"/>
      <c r="UBF1" s="696"/>
      <c r="UBG1" s="696"/>
      <c r="UBH1" s="696"/>
      <c r="UBI1" s="696"/>
      <c r="UBJ1" s="696"/>
      <c r="UBK1" s="696"/>
      <c r="UBL1" s="696"/>
      <c r="UBM1" s="696"/>
      <c r="UBN1" s="696"/>
      <c r="UBO1" s="696"/>
      <c r="UBP1" s="696"/>
      <c r="UBQ1" s="696"/>
      <c r="UBR1" s="696"/>
      <c r="UBS1" s="696"/>
      <c r="UBT1" s="696"/>
      <c r="UBU1" s="696"/>
      <c r="UBV1" s="696"/>
      <c r="UBW1" s="696"/>
      <c r="UBX1" s="696"/>
      <c r="UBY1" s="696"/>
      <c r="UBZ1" s="696"/>
      <c r="UCA1" s="696"/>
      <c r="UCB1" s="696"/>
      <c r="UCC1" s="696"/>
      <c r="UCD1" s="696"/>
      <c r="UCE1" s="696"/>
      <c r="UCF1" s="696"/>
      <c r="UCG1" s="696"/>
      <c r="UCH1" s="696"/>
      <c r="UCI1" s="696"/>
      <c r="UCJ1" s="696"/>
      <c r="UCK1" s="696"/>
      <c r="UCL1" s="696"/>
      <c r="UCM1" s="696"/>
      <c r="UCN1" s="696"/>
      <c r="UCO1" s="696"/>
      <c r="UCP1" s="696"/>
      <c r="UCQ1" s="696"/>
      <c r="UCR1" s="696"/>
      <c r="UCS1" s="696"/>
      <c r="UCT1" s="696"/>
      <c r="UCU1" s="696"/>
      <c r="UCV1" s="696"/>
      <c r="UCW1" s="696"/>
      <c r="UCX1" s="696"/>
      <c r="UCY1" s="696"/>
      <c r="UCZ1" s="696"/>
      <c r="UDA1" s="696"/>
      <c r="UDB1" s="696"/>
      <c r="UDC1" s="696"/>
      <c r="UDD1" s="696"/>
      <c r="UDE1" s="696"/>
      <c r="UDF1" s="696"/>
      <c r="UDG1" s="696"/>
      <c r="UDH1" s="696"/>
      <c r="UDI1" s="696"/>
      <c r="UDJ1" s="696"/>
      <c r="UDK1" s="696"/>
      <c r="UDL1" s="696"/>
      <c r="UDM1" s="696"/>
      <c r="UDN1" s="696"/>
      <c r="UDO1" s="696"/>
      <c r="UDP1" s="696"/>
      <c r="UDQ1" s="696"/>
      <c r="UDR1" s="696"/>
      <c r="UDS1" s="696"/>
      <c r="UDT1" s="696"/>
      <c r="UDU1" s="696"/>
      <c r="UDV1" s="696"/>
      <c r="UDW1" s="696"/>
      <c r="UDX1" s="696"/>
      <c r="UDY1" s="696"/>
      <c r="UDZ1" s="696"/>
      <c r="UEA1" s="696"/>
      <c r="UEB1" s="696"/>
      <c r="UEC1" s="696"/>
      <c r="UED1" s="696"/>
      <c r="UEE1" s="696"/>
      <c r="UEF1" s="696"/>
      <c r="UEG1" s="696"/>
      <c r="UEH1" s="696"/>
      <c r="UEI1" s="696"/>
      <c r="UEJ1" s="696"/>
      <c r="UEK1" s="696"/>
      <c r="UEL1" s="696"/>
      <c r="UEM1" s="696"/>
      <c r="UEN1" s="696"/>
      <c r="UEO1" s="696"/>
      <c r="UEP1" s="696"/>
      <c r="UEQ1" s="696"/>
      <c r="UER1" s="696"/>
      <c r="UES1" s="696"/>
      <c r="UET1" s="696"/>
      <c r="UEU1" s="696"/>
      <c r="UEV1" s="696"/>
      <c r="UEW1" s="696"/>
      <c r="UEX1" s="696"/>
      <c r="UEY1" s="696"/>
      <c r="UEZ1" s="696"/>
      <c r="UFA1" s="696"/>
      <c r="UFB1" s="696"/>
      <c r="UFC1" s="696"/>
      <c r="UFD1" s="696"/>
      <c r="UFE1" s="696"/>
      <c r="UFF1" s="696"/>
      <c r="UFG1" s="696"/>
      <c r="UFH1" s="696"/>
      <c r="UFI1" s="696"/>
      <c r="UFJ1" s="696"/>
      <c r="UFK1" s="696"/>
      <c r="UFL1" s="696"/>
      <c r="UFM1" s="696"/>
      <c r="UFN1" s="696"/>
      <c r="UFO1" s="696"/>
      <c r="UFP1" s="696"/>
      <c r="UFQ1" s="696"/>
      <c r="UFR1" s="696"/>
      <c r="UFS1" s="696"/>
      <c r="UFT1" s="696"/>
      <c r="UFU1" s="696"/>
      <c r="UFV1" s="696"/>
      <c r="UFW1" s="696"/>
      <c r="UFX1" s="696"/>
      <c r="UFY1" s="696"/>
      <c r="UFZ1" s="696"/>
      <c r="UGA1" s="696"/>
      <c r="UGB1" s="696"/>
      <c r="UGC1" s="696"/>
      <c r="UGD1" s="696"/>
      <c r="UGE1" s="696"/>
      <c r="UGF1" s="696"/>
      <c r="UGG1" s="696"/>
      <c r="UGH1" s="696"/>
      <c r="UGI1" s="696"/>
      <c r="UGJ1" s="696"/>
      <c r="UGK1" s="696"/>
      <c r="UGL1" s="696"/>
      <c r="UGM1" s="696"/>
      <c r="UGN1" s="696"/>
      <c r="UGO1" s="696"/>
      <c r="UGP1" s="696"/>
      <c r="UGQ1" s="696"/>
      <c r="UGR1" s="696"/>
      <c r="UGS1" s="696"/>
      <c r="UGT1" s="696"/>
      <c r="UGU1" s="696"/>
      <c r="UGV1" s="696"/>
      <c r="UGW1" s="696"/>
      <c r="UGX1" s="696"/>
      <c r="UGY1" s="696"/>
      <c r="UGZ1" s="696"/>
      <c r="UHA1" s="696"/>
      <c r="UHB1" s="696"/>
      <c r="UHC1" s="696"/>
      <c r="UHD1" s="696"/>
      <c r="UHE1" s="696"/>
      <c r="UHF1" s="696"/>
      <c r="UHG1" s="696"/>
      <c r="UHH1" s="696"/>
      <c r="UHI1" s="696"/>
      <c r="UHJ1" s="696"/>
      <c r="UHK1" s="696"/>
      <c r="UHL1" s="696"/>
      <c r="UHM1" s="696"/>
      <c r="UHN1" s="696"/>
      <c r="UHO1" s="696"/>
      <c r="UHP1" s="696"/>
      <c r="UHQ1" s="696"/>
      <c r="UHR1" s="696"/>
      <c r="UHS1" s="696"/>
      <c r="UHT1" s="696"/>
      <c r="UHU1" s="696"/>
      <c r="UHV1" s="696"/>
      <c r="UHW1" s="696"/>
      <c r="UHX1" s="696"/>
      <c r="UHY1" s="696"/>
      <c r="UHZ1" s="696"/>
      <c r="UIA1" s="696"/>
      <c r="UIB1" s="696"/>
      <c r="UIC1" s="696"/>
      <c r="UID1" s="696"/>
      <c r="UIE1" s="696"/>
      <c r="UIF1" s="696"/>
      <c r="UIG1" s="696"/>
      <c r="UIH1" s="696"/>
      <c r="UII1" s="696"/>
      <c r="UIJ1" s="696"/>
      <c r="UIK1" s="696"/>
      <c r="UIL1" s="696"/>
      <c r="UIM1" s="696"/>
      <c r="UIN1" s="696"/>
      <c r="UIO1" s="696"/>
      <c r="UIP1" s="696"/>
      <c r="UIQ1" s="696"/>
      <c r="UIR1" s="696"/>
      <c r="UIS1" s="696"/>
      <c r="UIT1" s="696"/>
      <c r="UIU1" s="696"/>
      <c r="UIV1" s="696"/>
      <c r="UIW1" s="696"/>
      <c r="UIX1" s="696"/>
      <c r="UIY1" s="696"/>
      <c r="UIZ1" s="696"/>
      <c r="UJA1" s="696"/>
      <c r="UJB1" s="696"/>
      <c r="UJC1" s="696"/>
      <c r="UJD1" s="696"/>
      <c r="UJE1" s="696"/>
      <c r="UJF1" s="696"/>
      <c r="UJG1" s="696"/>
      <c r="UJH1" s="696"/>
      <c r="UJI1" s="696"/>
      <c r="UJJ1" s="696"/>
      <c r="UJK1" s="696"/>
      <c r="UJL1" s="696"/>
      <c r="UJM1" s="696"/>
      <c r="UJN1" s="696"/>
      <c r="UJO1" s="696"/>
      <c r="UJP1" s="696"/>
      <c r="UJQ1" s="696"/>
      <c r="UJR1" s="696"/>
      <c r="UJS1" s="696"/>
      <c r="UJT1" s="696"/>
      <c r="UJU1" s="696"/>
      <c r="UJV1" s="696"/>
      <c r="UJW1" s="696"/>
      <c r="UJX1" s="696"/>
      <c r="UJY1" s="696"/>
      <c r="UJZ1" s="696"/>
      <c r="UKA1" s="696"/>
      <c r="UKB1" s="696"/>
      <c r="UKC1" s="696"/>
      <c r="UKD1" s="696"/>
      <c r="UKE1" s="696"/>
      <c r="UKF1" s="696"/>
      <c r="UKG1" s="696"/>
      <c r="UKH1" s="696"/>
      <c r="UKI1" s="696"/>
      <c r="UKJ1" s="696"/>
      <c r="UKK1" s="696"/>
      <c r="UKL1" s="696"/>
      <c r="UKM1" s="696"/>
      <c r="UKN1" s="696"/>
      <c r="UKO1" s="696"/>
      <c r="UKP1" s="696"/>
      <c r="UKQ1" s="696"/>
      <c r="UKR1" s="696"/>
      <c r="UKS1" s="696"/>
      <c r="UKT1" s="696"/>
      <c r="UKU1" s="696"/>
      <c r="UKV1" s="696"/>
      <c r="UKW1" s="696"/>
      <c r="UKX1" s="696"/>
      <c r="UKY1" s="696"/>
      <c r="UKZ1" s="696"/>
      <c r="ULA1" s="696"/>
      <c r="ULB1" s="696"/>
      <c r="ULC1" s="696"/>
      <c r="ULD1" s="696"/>
      <c r="ULE1" s="696"/>
      <c r="ULF1" s="696"/>
      <c r="ULG1" s="696"/>
      <c r="ULH1" s="696"/>
      <c r="ULI1" s="696"/>
      <c r="ULJ1" s="696"/>
      <c r="ULK1" s="696"/>
      <c r="ULL1" s="696"/>
      <c r="ULM1" s="696"/>
      <c r="ULN1" s="696"/>
      <c r="ULO1" s="696"/>
      <c r="ULP1" s="696"/>
      <c r="ULQ1" s="696"/>
      <c r="ULR1" s="696"/>
      <c r="ULS1" s="696"/>
      <c r="ULT1" s="696"/>
      <c r="ULU1" s="696"/>
      <c r="ULV1" s="696"/>
      <c r="ULW1" s="696"/>
      <c r="ULX1" s="696"/>
      <c r="ULY1" s="696"/>
      <c r="ULZ1" s="696"/>
      <c r="UMA1" s="696"/>
      <c r="UMB1" s="696"/>
      <c r="UMC1" s="696"/>
      <c r="UMD1" s="696"/>
      <c r="UME1" s="696"/>
      <c r="UMF1" s="696"/>
      <c r="UMG1" s="696"/>
      <c r="UMH1" s="696"/>
      <c r="UMI1" s="696"/>
      <c r="UMJ1" s="696"/>
      <c r="UMK1" s="696"/>
      <c r="UML1" s="696"/>
      <c r="UMM1" s="696"/>
      <c r="UMN1" s="696"/>
      <c r="UMO1" s="696"/>
      <c r="UMP1" s="696"/>
      <c r="UMQ1" s="696"/>
      <c r="UMR1" s="696"/>
      <c r="UMS1" s="696"/>
      <c r="UMT1" s="696"/>
      <c r="UMU1" s="696"/>
      <c r="UMV1" s="696"/>
      <c r="UMW1" s="696"/>
      <c r="UMX1" s="696"/>
      <c r="UMY1" s="696"/>
      <c r="UMZ1" s="696"/>
      <c r="UNA1" s="696"/>
      <c r="UNB1" s="696"/>
      <c r="UNC1" s="696"/>
      <c r="UND1" s="696"/>
      <c r="UNE1" s="696"/>
      <c r="UNF1" s="696"/>
      <c r="UNG1" s="696"/>
      <c r="UNH1" s="696"/>
      <c r="UNI1" s="696"/>
      <c r="UNJ1" s="696"/>
      <c r="UNK1" s="696"/>
      <c r="UNL1" s="696"/>
      <c r="UNM1" s="696"/>
      <c r="UNN1" s="696"/>
      <c r="UNO1" s="696"/>
      <c r="UNP1" s="696"/>
      <c r="UNQ1" s="696"/>
      <c r="UNR1" s="696"/>
      <c r="UNS1" s="696"/>
      <c r="UNT1" s="696"/>
      <c r="UNU1" s="696"/>
      <c r="UNV1" s="696"/>
      <c r="UNW1" s="696"/>
      <c r="UNX1" s="696"/>
      <c r="UNY1" s="696"/>
      <c r="UNZ1" s="696"/>
      <c r="UOA1" s="696"/>
      <c r="UOB1" s="696"/>
      <c r="UOC1" s="696"/>
      <c r="UOD1" s="696"/>
      <c r="UOE1" s="696"/>
      <c r="UOF1" s="696"/>
      <c r="UOG1" s="696"/>
      <c r="UOH1" s="696"/>
      <c r="UOI1" s="696"/>
      <c r="UOJ1" s="696"/>
      <c r="UOK1" s="696"/>
      <c r="UOL1" s="696"/>
      <c r="UOM1" s="696"/>
      <c r="UON1" s="696"/>
      <c r="UOO1" s="696"/>
      <c r="UOP1" s="696"/>
      <c r="UOQ1" s="696"/>
      <c r="UOR1" s="696"/>
      <c r="UOS1" s="696"/>
      <c r="UOT1" s="696"/>
      <c r="UOU1" s="696"/>
      <c r="UOV1" s="696"/>
      <c r="UOW1" s="696"/>
      <c r="UOX1" s="696"/>
      <c r="UOY1" s="696"/>
      <c r="UOZ1" s="696"/>
      <c r="UPA1" s="696"/>
      <c r="UPB1" s="696"/>
      <c r="UPC1" s="696"/>
      <c r="UPD1" s="696"/>
      <c r="UPE1" s="696"/>
      <c r="UPF1" s="696"/>
      <c r="UPG1" s="696"/>
      <c r="UPH1" s="696"/>
      <c r="UPI1" s="696"/>
      <c r="UPJ1" s="696"/>
      <c r="UPK1" s="696"/>
      <c r="UPL1" s="696"/>
      <c r="UPM1" s="696"/>
      <c r="UPN1" s="696"/>
      <c r="UPO1" s="696"/>
      <c r="UPP1" s="696"/>
      <c r="UPQ1" s="696"/>
      <c r="UPR1" s="696"/>
      <c r="UPS1" s="696"/>
      <c r="UPT1" s="696"/>
      <c r="UPU1" s="696"/>
      <c r="UPV1" s="696"/>
      <c r="UPW1" s="696"/>
      <c r="UPX1" s="696"/>
      <c r="UPY1" s="696"/>
      <c r="UPZ1" s="696"/>
      <c r="UQA1" s="696"/>
      <c r="UQB1" s="696"/>
      <c r="UQC1" s="696"/>
      <c r="UQD1" s="696"/>
      <c r="UQE1" s="696"/>
      <c r="UQF1" s="696"/>
      <c r="UQG1" s="696"/>
      <c r="UQH1" s="696"/>
      <c r="UQI1" s="696"/>
      <c r="UQJ1" s="696"/>
      <c r="UQK1" s="696"/>
      <c r="UQL1" s="696"/>
      <c r="UQM1" s="696"/>
      <c r="UQN1" s="696"/>
      <c r="UQO1" s="696"/>
      <c r="UQP1" s="696"/>
      <c r="UQQ1" s="696"/>
      <c r="UQR1" s="696"/>
      <c r="UQS1" s="696"/>
      <c r="UQT1" s="696"/>
      <c r="UQU1" s="696"/>
      <c r="UQV1" s="696"/>
      <c r="UQW1" s="696"/>
      <c r="UQX1" s="696"/>
      <c r="UQY1" s="696"/>
      <c r="UQZ1" s="696"/>
      <c r="URA1" s="696"/>
      <c r="URB1" s="696"/>
      <c r="URC1" s="696"/>
      <c r="URD1" s="696"/>
      <c r="URE1" s="696"/>
      <c r="URF1" s="696"/>
      <c r="URG1" s="696"/>
      <c r="URH1" s="696"/>
      <c r="URI1" s="696"/>
      <c r="URJ1" s="696"/>
      <c r="URK1" s="696"/>
      <c r="URL1" s="696"/>
      <c r="URM1" s="696"/>
      <c r="URN1" s="696"/>
      <c r="URO1" s="696"/>
      <c r="URP1" s="696"/>
      <c r="URQ1" s="696"/>
      <c r="URR1" s="696"/>
      <c r="URS1" s="696"/>
      <c r="URT1" s="696"/>
      <c r="URU1" s="696"/>
      <c r="URV1" s="696"/>
      <c r="URW1" s="696"/>
      <c r="URX1" s="696"/>
      <c r="URY1" s="696"/>
      <c r="URZ1" s="696"/>
      <c r="USA1" s="696"/>
      <c r="USB1" s="696"/>
      <c r="USC1" s="696"/>
      <c r="USD1" s="696"/>
      <c r="USE1" s="696"/>
      <c r="USF1" s="696"/>
      <c r="USG1" s="696"/>
      <c r="USH1" s="696"/>
      <c r="USI1" s="696"/>
      <c r="USJ1" s="696"/>
      <c r="USK1" s="696"/>
      <c r="USL1" s="696"/>
      <c r="USM1" s="696"/>
      <c r="USN1" s="696"/>
      <c r="USO1" s="696"/>
      <c r="USP1" s="696"/>
      <c r="USQ1" s="696"/>
      <c r="USR1" s="696"/>
      <c r="USS1" s="696"/>
      <c r="UST1" s="696"/>
      <c r="USU1" s="696"/>
      <c r="USV1" s="696"/>
      <c r="USW1" s="696"/>
      <c r="USX1" s="696"/>
      <c r="USY1" s="696"/>
      <c r="USZ1" s="696"/>
      <c r="UTA1" s="696"/>
      <c r="UTB1" s="696"/>
      <c r="UTC1" s="696"/>
      <c r="UTD1" s="696"/>
      <c r="UTE1" s="696"/>
      <c r="UTF1" s="696"/>
      <c r="UTG1" s="696"/>
      <c r="UTH1" s="696"/>
      <c r="UTI1" s="696"/>
      <c r="UTJ1" s="696"/>
      <c r="UTK1" s="696"/>
      <c r="UTL1" s="696"/>
      <c r="UTM1" s="696"/>
      <c r="UTN1" s="696"/>
      <c r="UTO1" s="696"/>
      <c r="UTP1" s="696"/>
      <c r="UTQ1" s="696"/>
      <c r="UTR1" s="696"/>
      <c r="UTS1" s="696"/>
      <c r="UTT1" s="696"/>
      <c r="UTU1" s="696"/>
      <c r="UTV1" s="696"/>
      <c r="UTW1" s="696"/>
      <c r="UTX1" s="696"/>
      <c r="UTY1" s="696"/>
      <c r="UTZ1" s="696"/>
      <c r="UUA1" s="696"/>
      <c r="UUB1" s="696"/>
      <c r="UUC1" s="696"/>
      <c r="UUD1" s="696"/>
      <c r="UUE1" s="696"/>
      <c r="UUF1" s="696"/>
      <c r="UUG1" s="696"/>
      <c r="UUH1" s="696"/>
      <c r="UUI1" s="696"/>
      <c r="UUJ1" s="696"/>
      <c r="UUK1" s="696"/>
      <c r="UUL1" s="696"/>
      <c r="UUM1" s="696"/>
      <c r="UUN1" s="696"/>
      <c r="UUO1" s="696"/>
      <c r="UUP1" s="696"/>
      <c r="UUQ1" s="696"/>
      <c r="UUR1" s="696"/>
      <c r="UUS1" s="696"/>
      <c r="UUT1" s="696"/>
      <c r="UUU1" s="696"/>
      <c r="UUV1" s="696"/>
      <c r="UUW1" s="696"/>
      <c r="UUX1" s="696"/>
      <c r="UUY1" s="696"/>
      <c r="UUZ1" s="696"/>
      <c r="UVA1" s="696"/>
      <c r="UVB1" s="696"/>
      <c r="UVC1" s="696"/>
      <c r="UVD1" s="696"/>
      <c r="UVE1" s="696"/>
      <c r="UVF1" s="696"/>
      <c r="UVG1" s="696"/>
      <c r="UVH1" s="696"/>
      <c r="UVI1" s="696"/>
      <c r="UVJ1" s="696"/>
      <c r="UVK1" s="696"/>
      <c r="UVL1" s="696"/>
      <c r="UVM1" s="696"/>
      <c r="UVN1" s="696"/>
      <c r="UVO1" s="696"/>
      <c r="UVP1" s="696"/>
      <c r="UVQ1" s="696"/>
      <c r="UVR1" s="696"/>
      <c r="UVS1" s="696"/>
      <c r="UVT1" s="696"/>
      <c r="UVU1" s="696"/>
      <c r="UVV1" s="696"/>
      <c r="UVW1" s="696"/>
      <c r="UVX1" s="696"/>
      <c r="UVY1" s="696"/>
      <c r="UVZ1" s="696"/>
      <c r="UWA1" s="696"/>
      <c r="UWB1" s="696"/>
      <c r="UWC1" s="696"/>
      <c r="UWD1" s="696"/>
      <c r="UWE1" s="696"/>
      <c r="UWF1" s="696"/>
      <c r="UWG1" s="696"/>
      <c r="UWH1" s="696"/>
      <c r="UWI1" s="696"/>
      <c r="UWJ1" s="696"/>
      <c r="UWK1" s="696"/>
      <c r="UWL1" s="696"/>
      <c r="UWM1" s="696"/>
      <c r="UWN1" s="696"/>
      <c r="UWO1" s="696"/>
      <c r="UWP1" s="696"/>
      <c r="UWQ1" s="696"/>
      <c r="UWR1" s="696"/>
      <c r="UWS1" s="696"/>
      <c r="UWT1" s="696"/>
      <c r="UWU1" s="696"/>
      <c r="UWV1" s="696"/>
      <c r="UWW1" s="696"/>
      <c r="UWX1" s="696"/>
      <c r="UWY1" s="696"/>
      <c r="UWZ1" s="696"/>
      <c r="UXA1" s="696"/>
      <c r="UXB1" s="696"/>
      <c r="UXC1" s="696"/>
      <c r="UXD1" s="696"/>
      <c r="UXE1" s="696"/>
      <c r="UXF1" s="696"/>
      <c r="UXG1" s="696"/>
      <c r="UXH1" s="696"/>
      <c r="UXI1" s="696"/>
      <c r="UXJ1" s="696"/>
      <c r="UXK1" s="696"/>
      <c r="UXL1" s="696"/>
      <c r="UXM1" s="696"/>
      <c r="UXN1" s="696"/>
      <c r="UXO1" s="696"/>
      <c r="UXP1" s="696"/>
      <c r="UXQ1" s="696"/>
      <c r="UXR1" s="696"/>
      <c r="UXS1" s="696"/>
      <c r="UXT1" s="696"/>
      <c r="UXU1" s="696"/>
      <c r="UXV1" s="696"/>
      <c r="UXW1" s="696"/>
      <c r="UXX1" s="696"/>
      <c r="UXY1" s="696"/>
      <c r="UXZ1" s="696"/>
      <c r="UYA1" s="696"/>
      <c r="UYB1" s="696"/>
      <c r="UYC1" s="696"/>
      <c r="UYD1" s="696"/>
      <c r="UYE1" s="696"/>
      <c r="UYF1" s="696"/>
      <c r="UYG1" s="696"/>
      <c r="UYH1" s="696"/>
      <c r="UYI1" s="696"/>
      <c r="UYJ1" s="696"/>
      <c r="UYK1" s="696"/>
      <c r="UYL1" s="696"/>
      <c r="UYM1" s="696"/>
      <c r="UYN1" s="696"/>
      <c r="UYO1" s="696"/>
      <c r="UYP1" s="696"/>
      <c r="UYQ1" s="696"/>
      <c r="UYR1" s="696"/>
      <c r="UYS1" s="696"/>
      <c r="UYT1" s="696"/>
      <c r="UYU1" s="696"/>
      <c r="UYV1" s="696"/>
      <c r="UYW1" s="696"/>
      <c r="UYX1" s="696"/>
      <c r="UYY1" s="696"/>
      <c r="UYZ1" s="696"/>
      <c r="UZA1" s="696"/>
      <c r="UZB1" s="696"/>
      <c r="UZC1" s="696"/>
      <c r="UZD1" s="696"/>
      <c r="UZE1" s="696"/>
      <c r="UZF1" s="696"/>
      <c r="UZG1" s="696"/>
      <c r="UZH1" s="696"/>
      <c r="UZI1" s="696"/>
      <c r="UZJ1" s="696"/>
      <c r="UZK1" s="696"/>
      <c r="UZL1" s="696"/>
      <c r="UZM1" s="696"/>
      <c r="UZN1" s="696"/>
      <c r="UZO1" s="696"/>
      <c r="UZP1" s="696"/>
      <c r="UZQ1" s="696"/>
      <c r="UZR1" s="696"/>
      <c r="UZS1" s="696"/>
      <c r="UZT1" s="696"/>
      <c r="UZU1" s="696"/>
      <c r="UZV1" s="696"/>
      <c r="UZW1" s="696"/>
      <c r="UZX1" s="696"/>
      <c r="UZY1" s="696"/>
      <c r="UZZ1" s="696"/>
      <c r="VAA1" s="696"/>
      <c r="VAB1" s="696"/>
      <c r="VAC1" s="696"/>
      <c r="VAD1" s="696"/>
      <c r="VAE1" s="696"/>
      <c r="VAF1" s="696"/>
      <c r="VAG1" s="696"/>
      <c r="VAH1" s="696"/>
      <c r="VAI1" s="696"/>
      <c r="VAJ1" s="696"/>
      <c r="VAK1" s="696"/>
      <c r="VAL1" s="696"/>
      <c r="VAM1" s="696"/>
      <c r="VAN1" s="696"/>
      <c r="VAO1" s="696"/>
      <c r="VAP1" s="696"/>
      <c r="VAQ1" s="696"/>
      <c r="VAR1" s="696"/>
      <c r="VAS1" s="696"/>
      <c r="VAT1" s="696"/>
      <c r="VAU1" s="696"/>
      <c r="VAV1" s="696"/>
      <c r="VAW1" s="696"/>
      <c r="VAX1" s="696"/>
      <c r="VAY1" s="696"/>
      <c r="VAZ1" s="696"/>
      <c r="VBA1" s="696"/>
      <c r="VBB1" s="696"/>
      <c r="VBC1" s="696"/>
      <c r="VBD1" s="696"/>
      <c r="VBE1" s="696"/>
      <c r="VBF1" s="696"/>
      <c r="VBG1" s="696"/>
      <c r="VBH1" s="696"/>
      <c r="VBI1" s="696"/>
      <c r="VBJ1" s="696"/>
      <c r="VBK1" s="696"/>
      <c r="VBL1" s="696"/>
      <c r="VBM1" s="696"/>
      <c r="VBN1" s="696"/>
      <c r="VBO1" s="696"/>
      <c r="VBP1" s="696"/>
      <c r="VBQ1" s="696"/>
      <c r="VBR1" s="696"/>
      <c r="VBS1" s="696"/>
      <c r="VBT1" s="696"/>
      <c r="VBU1" s="696"/>
      <c r="VBV1" s="696"/>
      <c r="VBW1" s="696"/>
      <c r="VBX1" s="696"/>
      <c r="VBY1" s="696"/>
      <c r="VBZ1" s="696"/>
      <c r="VCA1" s="696"/>
      <c r="VCB1" s="696"/>
      <c r="VCC1" s="696"/>
      <c r="VCD1" s="696"/>
      <c r="VCE1" s="696"/>
      <c r="VCF1" s="696"/>
      <c r="VCG1" s="696"/>
      <c r="VCH1" s="696"/>
      <c r="VCI1" s="696"/>
      <c r="VCJ1" s="696"/>
      <c r="VCK1" s="696"/>
      <c r="VCL1" s="696"/>
      <c r="VCM1" s="696"/>
      <c r="VCN1" s="696"/>
      <c r="VCO1" s="696"/>
      <c r="VCP1" s="696"/>
      <c r="VCQ1" s="696"/>
      <c r="VCR1" s="696"/>
      <c r="VCS1" s="696"/>
      <c r="VCT1" s="696"/>
      <c r="VCU1" s="696"/>
      <c r="VCV1" s="696"/>
      <c r="VCW1" s="696"/>
      <c r="VCX1" s="696"/>
      <c r="VCY1" s="696"/>
      <c r="VCZ1" s="696"/>
      <c r="VDA1" s="696"/>
      <c r="VDB1" s="696"/>
      <c r="VDC1" s="696"/>
      <c r="VDD1" s="696"/>
      <c r="VDE1" s="696"/>
      <c r="VDF1" s="696"/>
      <c r="VDG1" s="696"/>
      <c r="VDH1" s="696"/>
      <c r="VDI1" s="696"/>
      <c r="VDJ1" s="696"/>
      <c r="VDK1" s="696"/>
      <c r="VDL1" s="696"/>
      <c r="VDM1" s="696"/>
      <c r="VDN1" s="696"/>
      <c r="VDO1" s="696"/>
      <c r="VDP1" s="696"/>
      <c r="VDQ1" s="696"/>
      <c r="VDR1" s="696"/>
      <c r="VDS1" s="696"/>
      <c r="VDT1" s="696"/>
      <c r="VDU1" s="696"/>
      <c r="VDV1" s="696"/>
      <c r="VDW1" s="696"/>
      <c r="VDX1" s="696"/>
      <c r="VDY1" s="696"/>
      <c r="VDZ1" s="696"/>
      <c r="VEA1" s="696"/>
      <c r="VEB1" s="696"/>
      <c r="VEC1" s="696"/>
      <c r="VED1" s="696"/>
      <c r="VEE1" s="696"/>
      <c r="VEF1" s="696"/>
      <c r="VEG1" s="696"/>
      <c r="VEH1" s="696"/>
      <c r="VEI1" s="696"/>
      <c r="VEJ1" s="696"/>
      <c r="VEK1" s="696"/>
      <c r="VEL1" s="696"/>
      <c r="VEM1" s="696"/>
      <c r="VEN1" s="696"/>
      <c r="VEO1" s="696"/>
      <c r="VEP1" s="696"/>
      <c r="VEQ1" s="696"/>
      <c r="VER1" s="696"/>
      <c r="VES1" s="696"/>
      <c r="VET1" s="696"/>
      <c r="VEU1" s="696"/>
      <c r="VEV1" s="696"/>
      <c r="VEW1" s="696"/>
      <c r="VEX1" s="696"/>
      <c r="VEY1" s="696"/>
      <c r="VEZ1" s="696"/>
      <c r="VFA1" s="696"/>
      <c r="VFB1" s="696"/>
      <c r="VFC1" s="696"/>
      <c r="VFD1" s="696"/>
      <c r="VFE1" s="696"/>
      <c r="VFF1" s="696"/>
      <c r="VFG1" s="696"/>
      <c r="VFH1" s="696"/>
      <c r="VFI1" s="696"/>
      <c r="VFJ1" s="696"/>
      <c r="VFK1" s="696"/>
      <c r="VFL1" s="696"/>
      <c r="VFM1" s="696"/>
      <c r="VFN1" s="696"/>
      <c r="VFO1" s="696"/>
      <c r="VFP1" s="696"/>
      <c r="VFQ1" s="696"/>
      <c r="VFR1" s="696"/>
      <c r="VFS1" s="696"/>
      <c r="VFT1" s="696"/>
      <c r="VFU1" s="696"/>
      <c r="VFV1" s="696"/>
      <c r="VFW1" s="696"/>
      <c r="VFX1" s="696"/>
      <c r="VFY1" s="696"/>
      <c r="VFZ1" s="696"/>
      <c r="VGA1" s="696"/>
      <c r="VGB1" s="696"/>
      <c r="VGC1" s="696"/>
      <c r="VGD1" s="696"/>
      <c r="VGE1" s="696"/>
      <c r="VGF1" s="696"/>
      <c r="VGG1" s="696"/>
      <c r="VGH1" s="696"/>
      <c r="VGI1" s="696"/>
      <c r="VGJ1" s="696"/>
      <c r="VGK1" s="696"/>
      <c r="VGL1" s="696"/>
      <c r="VGM1" s="696"/>
      <c r="VGN1" s="696"/>
      <c r="VGO1" s="696"/>
      <c r="VGP1" s="696"/>
      <c r="VGQ1" s="696"/>
      <c r="VGR1" s="696"/>
      <c r="VGS1" s="696"/>
      <c r="VGT1" s="696"/>
      <c r="VGU1" s="696"/>
      <c r="VGV1" s="696"/>
      <c r="VGW1" s="696"/>
      <c r="VGX1" s="696"/>
      <c r="VGY1" s="696"/>
      <c r="VGZ1" s="696"/>
      <c r="VHA1" s="696"/>
      <c r="VHB1" s="696"/>
      <c r="VHC1" s="696"/>
      <c r="VHD1" s="696"/>
      <c r="VHE1" s="696"/>
      <c r="VHF1" s="696"/>
      <c r="VHG1" s="696"/>
      <c r="VHH1" s="696"/>
      <c r="VHI1" s="696"/>
      <c r="VHJ1" s="696"/>
      <c r="VHK1" s="696"/>
      <c r="VHL1" s="696"/>
      <c r="VHM1" s="696"/>
      <c r="VHN1" s="696"/>
      <c r="VHO1" s="696"/>
      <c r="VHP1" s="696"/>
      <c r="VHQ1" s="696"/>
      <c r="VHR1" s="696"/>
      <c r="VHS1" s="696"/>
      <c r="VHT1" s="696"/>
      <c r="VHU1" s="696"/>
      <c r="VHV1" s="696"/>
      <c r="VHW1" s="696"/>
      <c r="VHX1" s="696"/>
      <c r="VHY1" s="696"/>
      <c r="VHZ1" s="696"/>
      <c r="VIA1" s="696"/>
      <c r="VIB1" s="696"/>
      <c r="VIC1" s="696"/>
      <c r="VID1" s="696"/>
      <c r="VIE1" s="696"/>
      <c r="VIF1" s="696"/>
      <c r="VIG1" s="696"/>
      <c r="VIH1" s="696"/>
      <c r="VII1" s="696"/>
      <c r="VIJ1" s="696"/>
      <c r="VIK1" s="696"/>
      <c r="VIL1" s="696"/>
      <c r="VIM1" s="696"/>
      <c r="VIN1" s="696"/>
      <c r="VIO1" s="696"/>
      <c r="VIP1" s="696"/>
      <c r="VIQ1" s="696"/>
      <c r="VIR1" s="696"/>
      <c r="VIS1" s="696"/>
      <c r="VIT1" s="696"/>
      <c r="VIU1" s="696"/>
      <c r="VIV1" s="696"/>
      <c r="VIW1" s="696"/>
      <c r="VIX1" s="696"/>
      <c r="VIY1" s="696"/>
      <c r="VIZ1" s="696"/>
      <c r="VJA1" s="696"/>
      <c r="VJB1" s="696"/>
      <c r="VJC1" s="696"/>
      <c r="VJD1" s="696"/>
      <c r="VJE1" s="696"/>
      <c r="VJF1" s="696"/>
      <c r="VJG1" s="696"/>
      <c r="VJH1" s="696"/>
      <c r="VJI1" s="696"/>
      <c r="VJJ1" s="696"/>
      <c r="VJK1" s="696"/>
      <c r="VJL1" s="696"/>
      <c r="VJM1" s="696"/>
      <c r="VJN1" s="696"/>
      <c r="VJO1" s="696"/>
      <c r="VJP1" s="696"/>
      <c r="VJQ1" s="696"/>
      <c r="VJR1" s="696"/>
      <c r="VJS1" s="696"/>
      <c r="VJT1" s="696"/>
      <c r="VJU1" s="696"/>
      <c r="VJV1" s="696"/>
      <c r="VJW1" s="696"/>
      <c r="VJX1" s="696"/>
      <c r="VJY1" s="696"/>
      <c r="VJZ1" s="696"/>
      <c r="VKA1" s="696"/>
      <c r="VKB1" s="696"/>
      <c r="VKC1" s="696"/>
      <c r="VKD1" s="696"/>
      <c r="VKE1" s="696"/>
      <c r="VKF1" s="696"/>
      <c r="VKG1" s="696"/>
      <c r="VKH1" s="696"/>
      <c r="VKI1" s="696"/>
      <c r="VKJ1" s="696"/>
      <c r="VKK1" s="696"/>
      <c r="VKL1" s="696"/>
      <c r="VKM1" s="696"/>
      <c r="VKN1" s="696"/>
      <c r="VKO1" s="696"/>
      <c r="VKP1" s="696"/>
      <c r="VKQ1" s="696"/>
      <c r="VKR1" s="696"/>
      <c r="VKS1" s="696"/>
      <c r="VKT1" s="696"/>
      <c r="VKU1" s="696"/>
      <c r="VKV1" s="696"/>
      <c r="VKW1" s="696"/>
      <c r="VKX1" s="696"/>
      <c r="VKY1" s="696"/>
      <c r="VKZ1" s="696"/>
      <c r="VLA1" s="696"/>
      <c r="VLB1" s="696"/>
      <c r="VLC1" s="696"/>
      <c r="VLD1" s="696"/>
      <c r="VLE1" s="696"/>
      <c r="VLF1" s="696"/>
      <c r="VLG1" s="696"/>
      <c r="VLH1" s="696"/>
      <c r="VLI1" s="696"/>
      <c r="VLJ1" s="696"/>
      <c r="VLK1" s="696"/>
      <c r="VLL1" s="696"/>
      <c r="VLM1" s="696"/>
      <c r="VLN1" s="696"/>
      <c r="VLO1" s="696"/>
      <c r="VLP1" s="696"/>
      <c r="VLQ1" s="696"/>
      <c r="VLR1" s="696"/>
      <c r="VLS1" s="696"/>
      <c r="VLT1" s="696"/>
      <c r="VLU1" s="696"/>
      <c r="VLV1" s="696"/>
      <c r="VLW1" s="696"/>
      <c r="VLX1" s="696"/>
      <c r="VLY1" s="696"/>
      <c r="VLZ1" s="696"/>
      <c r="VMA1" s="696"/>
      <c r="VMB1" s="696"/>
      <c r="VMC1" s="696"/>
      <c r="VMD1" s="696"/>
      <c r="VME1" s="696"/>
      <c r="VMF1" s="696"/>
      <c r="VMG1" s="696"/>
      <c r="VMH1" s="696"/>
      <c r="VMI1" s="696"/>
      <c r="VMJ1" s="696"/>
      <c r="VMK1" s="696"/>
      <c r="VML1" s="696"/>
      <c r="VMM1" s="696"/>
      <c r="VMN1" s="696"/>
      <c r="VMO1" s="696"/>
      <c r="VMP1" s="696"/>
      <c r="VMQ1" s="696"/>
      <c r="VMR1" s="696"/>
      <c r="VMS1" s="696"/>
      <c r="VMT1" s="696"/>
      <c r="VMU1" s="696"/>
      <c r="VMV1" s="696"/>
      <c r="VMW1" s="696"/>
      <c r="VMX1" s="696"/>
      <c r="VMY1" s="696"/>
      <c r="VMZ1" s="696"/>
      <c r="VNA1" s="696"/>
      <c r="VNB1" s="696"/>
      <c r="VNC1" s="696"/>
      <c r="VND1" s="696"/>
      <c r="VNE1" s="696"/>
      <c r="VNF1" s="696"/>
      <c r="VNG1" s="696"/>
      <c r="VNH1" s="696"/>
      <c r="VNI1" s="696"/>
      <c r="VNJ1" s="696"/>
      <c r="VNK1" s="696"/>
      <c r="VNL1" s="696"/>
      <c r="VNM1" s="696"/>
      <c r="VNN1" s="696"/>
      <c r="VNO1" s="696"/>
      <c r="VNP1" s="696"/>
      <c r="VNQ1" s="696"/>
      <c r="VNR1" s="696"/>
      <c r="VNS1" s="696"/>
      <c r="VNT1" s="696"/>
      <c r="VNU1" s="696"/>
      <c r="VNV1" s="696"/>
      <c r="VNW1" s="696"/>
      <c r="VNX1" s="696"/>
      <c r="VNY1" s="696"/>
      <c r="VNZ1" s="696"/>
      <c r="VOA1" s="696"/>
      <c r="VOB1" s="696"/>
      <c r="VOC1" s="696"/>
      <c r="VOD1" s="696"/>
      <c r="VOE1" s="696"/>
      <c r="VOF1" s="696"/>
      <c r="VOG1" s="696"/>
      <c r="VOH1" s="696"/>
      <c r="VOI1" s="696"/>
      <c r="VOJ1" s="696"/>
      <c r="VOK1" s="696"/>
      <c r="VOL1" s="696"/>
      <c r="VOM1" s="696"/>
      <c r="VON1" s="696"/>
      <c r="VOO1" s="696"/>
      <c r="VOP1" s="696"/>
      <c r="VOQ1" s="696"/>
      <c r="VOR1" s="696"/>
      <c r="VOS1" s="696"/>
      <c r="VOT1" s="696"/>
      <c r="VOU1" s="696"/>
      <c r="VOV1" s="696"/>
      <c r="VOW1" s="696"/>
      <c r="VOX1" s="696"/>
      <c r="VOY1" s="696"/>
      <c r="VOZ1" s="696"/>
      <c r="VPA1" s="696"/>
      <c r="VPB1" s="696"/>
      <c r="VPC1" s="696"/>
      <c r="VPD1" s="696"/>
      <c r="VPE1" s="696"/>
      <c r="VPF1" s="696"/>
      <c r="VPG1" s="696"/>
      <c r="VPH1" s="696"/>
      <c r="VPI1" s="696"/>
      <c r="VPJ1" s="696"/>
      <c r="VPK1" s="696"/>
      <c r="VPL1" s="696"/>
      <c r="VPM1" s="696"/>
      <c r="VPN1" s="696"/>
      <c r="VPO1" s="696"/>
      <c r="VPP1" s="696"/>
      <c r="VPQ1" s="696"/>
      <c r="VPR1" s="696"/>
      <c r="VPS1" s="696"/>
      <c r="VPT1" s="696"/>
      <c r="VPU1" s="696"/>
      <c r="VPV1" s="696"/>
      <c r="VPW1" s="696"/>
      <c r="VPX1" s="696"/>
      <c r="VPY1" s="696"/>
      <c r="VPZ1" s="696"/>
      <c r="VQA1" s="696"/>
      <c r="VQB1" s="696"/>
      <c r="VQC1" s="696"/>
      <c r="VQD1" s="696"/>
      <c r="VQE1" s="696"/>
      <c r="VQF1" s="696"/>
      <c r="VQG1" s="696"/>
      <c r="VQH1" s="696"/>
      <c r="VQI1" s="696"/>
      <c r="VQJ1" s="696"/>
      <c r="VQK1" s="696"/>
      <c r="VQL1" s="696"/>
      <c r="VQM1" s="696"/>
      <c r="VQN1" s="696"/>
      <c r="VQO1" s="696"/>
      <c r="VQP1" s="696"/>
      <c r="VQQ1" s="696"/>
      <c r="VQR1" s="696"/>
      <c r="VQS1" s="696"/>
      <c r="VQT1" s="696"/>
      <c r="VQU1" s="696"/>
      <c r="VQV1" s="696"/>
      <c r="VQW1" s="696"/>
      <c r="VQX1" s="696"/>
      <c r="VQY1" s="696"/>
      <c r="VQZ1" s="696"/>
      <c r="VRA1" s="696"/>
      <c r="VRB1" s="696"/>
      <c r="VRC1" s="696"/>
      <c r="VRD1" s="696"/>
      <c r="VRE1" s="696"/>
      <c r="VRF1" s="696"/>
      <c r="VRG1" s="696"/>
      <c r="VRH1" s="696"/>
      <c r="VRI1" s="696"/>
      <c r="VRJ1" s="696"/>
      <c r="VRK1" s="696"/>
      <c r="VRL1" s="696"/>
      <c r="VRM1" s="696"/>
      <c r="VRN1" s="696"/>
      <c r="VRO1" s="696"/>
      <c r="VRP1" s="696"/>
      <c r="VRQ1" s="696"/>
      <c r="VRR1" s="696"/>
      <c r="VRS1" s="696"/>
      <c r="VRT1" s="696"/>
      <c r="VRU1" s="696"/>
      <c r="VRV1" s="696"/>
      <c r="VRW1" s="696"/>
      <c r="VRX1" s="696"/>
      <c r="VRY1" s="696"/>
      <c r="VRZ1" s="696"/>
      <c r="VSA1" s="696"/>
      <c r="VSB1" s="696"/>
      <c r="VSC1" s="696"/>
      <c r="VSD1" s="696"/>
      <c r="VSE1" s="696"/>
      <c r="VSF1" s="696"/>
      <c r="VSG1" s="696"/>
      <c r="VSH1" s="696"/>
      <c r="VSI1" s="696"/>
      <c r="VSJ1" s="696"/>
      <c r="VSK1" s="696"/>
      <c r="VSL1" s="696"/>
      <c r="VSM1" s="696"/>
      <c r="VSN1" s="696"/>
      <c r="VSO1" s="696"/>
      <c r="VSP1" s="696"/>
      <c r="VSQ1" s="696"/>
      <c r="VSR1" s="696"/>
      <c r="VSS1" s="696"/>
      <c r="VST1" s="696"/>
      <c r="VSU1" s="696"/>
      <c r="VSV1" s="696"/>
      <c r="VSW1" s="696"/>
      <c r="VSX1" s="696"/>
      <c r="VSY1" s="696"/>
      <c r="VSZ1" s="696"/>
      <c r="VTA1" s="696"/>
      <c r="VTB1" s="696"/>
      <c r="VTC1" s="696"/>
      <c r="VTD1" s="696"/>
      <c r="VTE1" s="696"/>
      <c r="VTF1" s="696"/>
      <c r="VTG1" s="696"/>
      <c r="VTH1" s="696"/>
      <c r="VTI1" s="696"/>
      <c r="VTJ1" s="696"/>
      <c r="VTK1" s="696"/>
      <c r="VTL1" s="696"/>
      <c r="VTM1" s="696"/>
      <c r="VTN1" s="696"/>
      <c r="VTO1" s="696"/>
      <c r="VTP1" s="696"/>
      <c r="VTQ1" s="696"/>
      <c r="VTR1" s="696"/>
      <c r="VTS1" s="696"/>
      <c r="VTT1" s="696"/>
      <c r="VTU1" s="696"/>
      <c r="VTV1" s="696"/>
      <c r="VTW1" s="696"/>
      <c r="VTX1" s="696"/>
      <c r="VTY1" s="696"/>
      <c r="VTZ1" s="696"/>
      <c r="VUA1" s="696"/>
      <c r="VUB1" s="696"/>
      <c r="VUC1" s="696"/>
      <c r="VUD1" s="696"/>
      <c r="VUE1" s="696"/>
      <c r="VUF1" s="696"/>
      <c r="VUG1" s="696"/>
      <c r="VUH1" s="696"/>
      <c r="VUI1" s="696"/>
      <c r="VUJ1" s="696"/>
      <c r="VUK1" s="696"/>
      <c r="VUL1" s="696"/>
      <c r="VUM1" s="696"/>
      <c r="VUN1" s="696"/>
      <c r="VUO1" s="696"/>
      <c r="VUP1" s="696"/>
      <c r="VUQ1" s="696"/>
      <c r="VUR1" s="696"/>
      <c r="VUS1" s="696"/>
      <c r="VUT1" s="696"/>
      <c r="VUU1" s="696"/>
      <c r="VUV1" s="696"/>
      <c r="VUW1" s="696"/>
      <c r="VUX1" s="696"/>
      <c r="VUY1" s="696"/>
      <c r="VUZ1" s="696"/>
      <c r="VVA1" s="696"/>
      <c r="VVB1" s="696"/>
      <c r="VVC1" s="696"/>
      <c r="VVD1" s="696"/>
      <c r="VVE1" s="696"/>
      <c r="VVF1" s="696"/>
      <c r="VVG1" s="696"/>
      <c r="VVH1" s="696"/>
      <c r="VVI1" s="696"/>
      <c r="VVJ1" s="696"/>
      <c r="VVK1" s="696"/>
      <c r="VVL1" s="696"/>
      <c r="VVM1" s="696"/>
      <c r="VVN1" s="696"/>
      <c r="VVO1" s="696"/>
      <c r="VVP1" s="696"/>
      <c r="VVQ1" s="696"/>
      <c r="VVR1" s="696"/>
      <c r="VVS1" s="696"/>
      <c r="VVT1" s="696"/>
      <c r="VVU1" s="696"/>
      <c r="VVV1" s="696"/>
      <c r="VVW1" s="696"/>
      <c r="VVX1" s="696"/>
      <c r="VVY1" s="696"/>
      <c r="VVZ1" s="696"/>
      <c r="VWA1" s="696"/>
      <c r="VWB1" s="696"/>
      <c r="VWC1" s="696"/>
      <c r="VWD1" s="696"/>
      <c r="VWE1" s="696"/>
      <c r="VWF1" s="696"/>
      <c r="VWG1" s="696"/>
      <c r="VWH1" s="696"/>
      <c r="VWI1" s="696"/>
      <c r="VWJ1" s="696"/>
      <c r="VWK1" s="696"/>
      <c r="VWL1" s="696"/>
      <c r="VWM1" s="696"/>
      <c r="VWN1" s="696"/>
      <c r="VWO1" s="696"/>
      <c r="VWP1" s="696"/>
      <c r="VWQ1" s="696"/>
      <c r="VWR1" s="696"/>
      <c r="VWS1" s="696"/>
      <c r="VWT1" s="696"/>
      <c r="VWU1" s="696"/>
      <c r="VWV1" s="696"/>
      <c r="VWW1" s="696"/>
      <c r="VWX1" s="696"/>
      <c r="VWY1" s="696"/>
      <c r="VWZ1" s="696"/>
      <c r="VXA1" s="696"/>
      <c r="VXB1" s="696"/>
      <c r="VXC1" s="696"/>
      <c r="VXD1" s="696"/>
      <c r="VXE1" s="696"/>
      <c r="VXF1" s="696"/>
      <c r="VXG1" s="696"/>
      <c r="VXH1" s="696"/>
      <c r="VXI1" s="696"/>
      <c r="VXJ1" s="696"/>
      <c r="VXK1" s="696"/>
      <c r="VXL1" s="696"/>
      <c r="VXM1" s="696"/>
      <c r="VXN1" s="696"/>
      <c r="VXO1" s="696"/>
      <c r="VXP1" s="696"/>
      <c r="VXQ1" s="696"/>
      <c r="VXR1" s="696"/>
      <c r="VXS1" s="696"/>
      <c r="VXT1" s="696"/>
      <c r="VXU1" s="696"/>
      <c r="VXV1" s="696"/>
      <c r="VXW1" s="696"/>
      <c r="VXX1" s="696"/>
      <c r="VXY1" s="696"/>
      <c r="VXZ1" s="696"/>
      <c r="VYA1" s="696"/>
      <c r="VYB1" s="696"/>
      <c r="VYC1" s="696"/>
      <c r="VYD1" s="696"/>
      <c r="VYE1" s="696"/>
      <c r="VYF1" s="696"/>
      <c r="VYG1" s="696"/>
      <c r="VYH1" s="696"/>
      <c r="VYI1" s="696"/>
      <c r="VYJ1" s="696"/>
      <c r="VYK1" s="696"/>
      <c r="VYL1" s="696"/>
      <c r="VYM1" s="696"/>
      <c r="VYN1" s="696"/>
      <c r="VYO1" s="696"/>
      <c r="VYP1" s="696"/>
      <c r="VYQ1" s="696"/>
      <c r="VYR1" s="696"/>
      <c r="VYS1" s="696"/>
      <c r="VYT1" s="696"/>
      <c r="VYU1" s="696"/>
      <c r="VYV1" s="696"/>
      <c r="VYW1" s="696"/>
      <c r="VYX1" s="696"/>
      <c r="VYY1" s="696"/>
      <c r="VYZ1" s="696"/>
      <c r="VZA1" s="696"/>
      <c r="VZB1" s="696"/>
      <c r="VZC1" s="696"/>
      <c r="VZD1" s="696"/>
      <c r="VZE1" s="696"/>
      <c r="VZF1" s="696"/>
      <c r="VZG1" s="696"/>
      <c r="VZH1" s="696"/>
      <c r="VZI1" s="696"/>
      <c r="VZJ1" s="696"/>
      <c r="VZK1" s="696"/>
      <c r="VZL1" s="696"/>
      <c r="VZM1" s="696"/>
      <c r="VZN1" s="696"/>
      <c r="VZO1" s="696"/>
      <c r="VZP1" s="696"/>
      <c r="VZQ1" s="696"/>
      <c r="VZR1" s="696"/>
      <c r="VZS1" s="696"/>
      <c r="VZT1" s="696"/>
      <c r="VZU1" s="696"/>
      <c r="VZV1" s="696"/>
      <c r="VZW1" s="696"/>
      <c r="VZX1" s="696"/>
      <c r="VZY1" s="696"/>
      <c r="VZZ1" s="696"/>
      <c r="WAA1" s="696"/>
      <c r="WAB1" s="696"/>
      <c r="WAC1" s="696"/>
      <c r="WAD1" s="696"/>
      <c r="WAE1" s="696"/>
      <c r="WAF1" s="696"/>
      <c r="WAG1" s="696"/>
      <c r="WAH1" s="696"/>
      <c r="WAI1" s="696"/>
      <c r="WAJ1" s="696"/>
      <c r="WAK1" s="696"/>
      <c r="WAL1" s="696"/>
      <c r="WAM1" s="696"/>
      <c r="WAN1" s="696"/>
      <c r="WAO1" s="696"/>
      <c r="WAP1" s="696"/>
      <c r="WAQ1" s="696"/>
      <c r="WAR1" s="696"/>
      <c r="WAS1" s="696"/>
      <c r="WAT1" s="696"/>
      <c r="WAU1" s="696"/>
      <c r="WAV1" s="696"/>
      <c r="WAW1" s="696"/>
      <c r="WAX1" s="696"/>
      <c r="WAY1" s="696"/>
      <c r="WAZ1" s="696"/>
      <c r="WBA1" s="696"/>
      <c r="WBB1" s="696"/>
      <c r="WBC1" s="696"/>
      <c r="WBD1" s="696"/>
      <c r="WBE1" s="696"/>
      <c r="WBF1" s="696"/>
      <c r="WBG1" s="696"/>
      <c r="WBH1" s="696"/>
      <c r="WBI1" s="696"/>
      <c r="WBJ1" s="696"/>
      <c r="WBK1" s="696"/>
      <c r="WBL1" s="696"/>
      <c r="WBM1" s="696"/>
      <c r="WBN1" s="696"/>
      <c r="WBO1" s="696"/>
      <c r="WBP1" s="696"/>
      <c r="WBQ1" s="696"/>
      <c r="WBR1" s="696"/>
      <c r="WBS1" s="696"/>
      <c r="WBT1" s="696"/>
      <c r="WBU1" s="696"/>
      <c r="WBV1" s="696"/>
      <c r="WBW1" s="696"/>
      <c r="WBX1" s="696"/>
      <c r="WBY1" s="696"/>
      <c r="WBZ1" s="696"/>
      <c r="WCA1" s="696"/>
      <c r="WCB1" s="696"/>
      <c r="WCC1" s="696"/>
      <c r="WCD1" s="696"/>
      <c r="WCE1" s="696"/>
      <c r="WCF1" s="696"/>
      <c r="WCG1" s="696"/>
      <c r="WCH1" s="696"/>
      <c r="WCI1" s="696"/>
      <c r="WCJ1" s="696"/>
      <c r="WCK1" s="696"/>
      <c r="WCL1" s="696"/>
      <c r="WCM1" s="696"/>
      <c r="WCN1" s="696"/>
      <c r="WCO1" s="696"/>
      <c r="WCP1" s="696"/>
      <c r="WCQ1" s="696"/>
      <c r="WCR1" s="696"/>
      <c r="WCS1" s="696"/>
      <c r="WCT1" s="696"/>
      <c r="WCU1" s="696"/>
      <c r="WCV1" s="696"/>
      <c r="WCW1" s="696"/>
      <c r="WCX1" s="696"/>
      <c r="WCY1" s="696"/>
      <c r="WCZ1" s="696"/>
      <c r="WDA1" s="696"/>
      <c r="WDB1" s="696"/>
      <c r="WDC1" s="696"/>
      <c r="WDD1" s="696"/>
      <c r="WDE1" s="696"/>
      <c r="WDF1" s="696"/>
      <c r="WDG1" s="696"/>
      <c r="WDH1" s="696"/>
      <c r="WDI1" s="696"/>
      <c r="WDJ1" s="696"/>
      <c r="WDK1" s="696"/>
      <c r="WDL1" s="696"/>
      <c r="WDM1" s="696"/>
      <c r="WDN1" s="696"/>
      <c r="WDO1" s="696"/>
      <c r="WDP1" s="696"/>
      <c r="WDQ1" s="696"/>
      <c r="WDR1" s="696"/>
      <c r="WDS1" s="696"/>
      <c r="WDT1" s="696"/>
      <c r="WDU1" s="696"/>
      <c r="WDV1" s="696"/>
      <c r="WDW1" s="696"/>
      <c r="WDX1" s="696"/>
      <c r="WDY1" s="696"/>
      <c r="WDZ1" s="696"/>
      <c r="WEA1" s="696"/>
      <c r="WEB1" s="696"/>
      <c r="WEC1" s="696"/>
      <c r="WED1" s="696"/>
      <c r="WEE1" s="696"/>
      <c r="WEF1" s="696"/>
      <c r="WEG1" s="696"/>
      <c r="WEH1" s="696"/>
      <c r="WEI1" s="696"/>
      <c r="WEJ1" s="696"/>
      <c r="WEK1" s="696"/>
      <c r="WEL1" s="696"/>
      <c r="WEM1" s="696"/>
      <c r="WEN1" s="696"/>
      <c r="WEO1" s="696"/>
      <c r="WEP1" s="696"/>
      <c r="WEQ1" s="696"/>
      <c r="WER1" s="696"/>
      <c r="WES1" s="696"/>
      <c r="WET1" s="696"/>
      <c r="WEU1" s="696"/>
      <c r="WEV1" s="696"/>
      <c r="WEW1" s="696"/>
      <c r="WEX1" s="696"/>
      <c r="WEY1" s="696"/>
      <c r="WEZ1" s="696"/>
      <c r="WFA1" s="696"/>
      <c r="WFB1" s="696"/>
      <c r="WFC1" s="696"/>
      <c r="WFD1" s="696"/>
      <c r="WFE1" s="696"/>
      <c r="WFF1" s="696"/>
      <c r="WFG1" s="696"/>
      <c r="WFH1" s="696"/>
      <c r="WFI1" s="696"/>
      <c r="WFJ1" s="696"/>
      <c r="WFK1" s="696"/>
      <c r="WFL1" s="696"/>
      <c r="WFM1" s="696"/>
      <c r="WFN1" s="696"/>
      <c r="WFO1" s="696"/>
      <c r="WFP1" s="696"/>
      <c r="WFQ1" s="696"/>
      <c r="WFR1" s="696"/>
      <c r="WFS1" s="696"/>
      <c r="WFT1" s="696"/>
      <c r="WFU1" s="696"/>
      <c r="WFV1" s="696"/>
      <c r="WFW1" s="696"/>
      <c r="WFX1" s="696"/>
      <c r="WFY1" s="696"/>
      <c r="WFZ1" s="696"/>
      <c r="WGA1" s="696"/>
      <c r="WGB1" s="696"/>
      <c r="WGC1" s="696"/>
      <c r="WGD1" s="696"/>
      <c r="WGE1" s="696"/>
      <c r="WGF1" s="696"/>
      <c r="WGG1" s="696"/>
      <c r="WGH1" s="696"/>
      <c r="WGI1" s="696"/>
      <c r="WGJ1" s="696"/>
      <c r="WGK1" s="696"/>
      <c r="WGL1" s="696"/>
      <c r="WGM1" s="696"/>
      <c r="WGN1" s="696"/>
      <c r="WGO1" s="696"/>
      <c r="WGP1" s="696"/>
      <c r="WGQ1" s="696"/>
      <c r="WGR1" s="696"/>
      <c r="WGS1" s="696"/>
      <c r="WGT1" s="696"/>
      <c r="WGU1" s="696"/>
      <c r="WGV1" s="696"/>
      <c r="WGW1" s="696"/>
      <c r="WGX1" s="696"/>
      <c r="WGY1" s="696"/>
      <c r="WGZ1" s="696"/>
      <c r="WHA1" s="696"/>
      <c r="WHB1" s="696"/>
      <c r="WHC1" s="696"/>
      <c r="WHD1" s="696"/>
      <c r="WHE1" s="696"/>
      <c r="WHF1" s="696"/>
      <c r="WHG1" s="696"/>
      <c r="WHH1" s="696"/>
      <c r="WHI1" s="696"/>
      <c r="WHJ1" s="696"/>
      <c r="WHK1" s="696"/>
      <c r="WHL1" s="696"/>
      <c r="WHM1" s="696"/>
      <c r="WHN1" s="696"/>
      <c r="WHO1" s="696"/>
      <c r="WHP1" s="696"/>
      <c r="WHQ1" s="696"/>
      <c r="WHR1" s="696"/>
      <c r="WHS1" s="696"/>
      <c r="WHT1" s="696"/>
      <c r="WHU1" s="696"/>
      <c r="WHV1" s="696"/>
      <c r="WHW1" s="696"/>
      <c r="WHX1" s="696"/>
      <c r="WHY1" s="696"/>
      <c r="WHZ1" s="696"/>
      <c r="WIA1" s="696"/>
      <c r="WIB1" s="696"/>
      <c r="WIC1" s="696"/>
      <c r="WID1" s="696"/>
      <c r="WIE1" s="696"/>
      <c r="WIF1" s="696"/>
      <c r="WIG1" s="696"/>
      <c r="WIH1" s="696"/>
      <c r="WII1" s="696"/>
      <c r="WIJ1" s="696"/>
      <c r="WIK1" s="696"/>
      <c r="WIL1" s="696"/>
      <c r="WIM1" s="696"/>
      <c r="WIN1" s="696"/>
      <c r="WIO1" s="696"/>
      <c r="WIP1" s="696"/>
      <c r="WIQ1" s="696"/>
      <c r="WIR1" s="696"/>
      <c r="WIS1" s="696"/>
      <c r="WIT1" s="696"/>
      <c r="WIU1" s="696"/>
      <c r="WIV1" s="696"/>
      <c r="WIW1" s="696"/>
      <c r="WIX1" s="696"/>
      <c r="WIY1" s="696"/>
      <c r="WIZ1" s="696"/>
      <c r="WJA1" s="696"/>
      <c r="WJB1" s="696"/>
      <c r="WJC1" s="696"/>
      <c r="WJD1" s="696"/>
      <c r="WJE1" s="696"/>
      <c r="WJF1" s="696"/>
      <c r="WJG1" s="696"/>
      <c r="WJH1" s="696"/>
      <c r="WJI1" s="696"/>
      <c r="WJJ1" s="696"/>
      <c r="WJK1" s="696"/>
      <c r="WJL1" s="696"/>
      <c r="WJM1" s="696"/>
      <c r="WJN1" s="696"/>
      <c r="WJO1" s="696"/>
      <c r="WJP1" s="696"/>
      <c r="WJQ1" s="696"/>
      <c r="WJR1" s="696"/>
      <c r="WJS1" s="696"/>
      <c r="WJT1" s="696"/>
      <c r="WJU1" s="696"/>
      <c r="WJV1" s="696"/>
      <c r="WJW1" s="696"/>
      <c r="WJX1" s="696"/>
      <c r="WJY1" s="696"/>
      <c r="WJZ1" s="696"/>
      <c r="WKA1" s="696"/>
      <c r="WKB1" s="696"/>
      <c r="WKC1" s="696"/>
      <c r="WKD1" s="696"/>
      <c r="WKE1" s="696"/>
      <c r="WKF1" s="696"/>
      <c r="WKG1" s="696"/>
      <c r="WKH1" s="696"/>
      <c r="WKI1" s="696"/>
      <c r="WKJ1" s="696"/>
      <c r="WKK1" s="696"/>
      <c r="WKL1" s="696"/>
      <c r="WKM1" s="696"/>
      <c r="WKN1" s="696"/>
      <c r="WKO1" s="696"/>
      <c r="WKP1" s="696"/>
      <c r="WKQ1" s="696"/>
      <c r="WKR1" s="696"/>
      <c r="WKS1" s="696"/>
      <c r="WKT1" s="696"/>
      <c r="WKU1" s="696"/>
      <c r="WKV1" s="696"/>
      <c r="WKW1" s="696"/>
      <c r="WKX1" s="696"/>
      <c r="WKY1" s="696"/>
      <c r="WKZ1" s="696"/>
      <c r="WLA1" s="696"/>
      <c r="WLB1" s="696"/>
      <c r="WLC1" s="696"/>
      <c r="WLD1" s="696"/>
      <c r="WLE1" s="696"/>
      <c r="WLF1" s="696"/>
      <c r="WLG1" s="696"/>
      <c r="WLH1" s="696"/>
      <c r="WLI1" s="696"/>
      <c r="WLJ1" s="696"/>
      <c r="WLK1" s="696"/>
      <c r="WLL1" s="696"/>
      <c r="WLM1" s="696"/>
      <c r="WLN1" s="696"/>
      <c r="WLO1" s="696"/>
      <c r="WLP1" s="696"/>
      <c r="WLQ1" s="696"/>
      <c r="WLR1" s="696"/>
      <c r="WLS1" s="696"/>
      <c r="WLT1" s="696"/>
      <c r="WLU1" s="696"/>
      <c r="WLV1" s="696"/>
      <c r="WLW1" s="696"/>
      <c r="WLX1" s="696"/>
      <c r="WLY1" s="696"/>
      <c r="WLZ1" s="696"/>
      <c r="WMA1" s="696"/>
      <c r="WMB1" s="696"/>
      <c r="WMC1" s="696"/>
      <c r="WMD1" s="696"/>
      <c r="WME1" s="696"/>
      <c r="WMF1" s="696"/>
      <c r="WMG1" s="696"/>
      <c r="WMH1" s="696"/>
      <c r="WMI1" s="696"/>
      <c r="WMJ1" s="696"/>
      <c r="WMK1" s="696"/>
      <c r="WML1" s="696"/>
      <c r="WMM1" s="696"/>
      <c r="WMN1" s="696"/>
      <c r="WMO1" s="696"/>
      <c r="WMP1" s="696"/>
      <c r="WMQ1" s="696"/>
      <c r="WMR1" s="696"/>
      <c r="WMS1" s="696"/>
      <c r="WMT1" s="696"/>
      <c r="WMU1" s="696"/>
      <c r="WMV1" s="696"/>
      <c r="WMW1" s="696"/>
      <c r="WMX1" s="696"/>
      <c r="WMY1" s="696"/>
      <c r="WMZ1" s="696"/>
      <c r="WNA1" s="696"/>
      <c r="WNB1" s="696"/>
      <c r="WNC1" s="696"/>
      <c r="WND1" s="696"/>
      <c r="WNE1" s="696"/>
      <c r="WNF1" s="696"/>
      <c r="WNG1" s="696"/>
      <c r="WNH1" s="696"/>
      <c r="WNI1" s="696"/>
      <c r="WNJ1" s="696"/>
      <c r="WNK1" s="696"/>
      <c r="WNL1" s="696"/>
      <c r="WNM1" s="696"/>
      <c r="WNN1" s="696"/>
      <c r="WNO1" s="696"/>
      <c r="WNP1" s="696"/>
      <c r="WNQ1" s="696"/>
      <c r="WNR1" s="696"/>
      <c r="WNS1" s="696"/>
      <c r="WNT1" s="696"/>
      <c r="WNU1" s="696"/>
      <c r="WNV1" s="696"/>
      <c r="WNW1" s="696"/>
      <c r="WNX1" s="696"/>
      <c r="WNY1" s="696"/>
      <c r="WNZ1" s="696"/>
      <c r="WOA1" s="696"/>
      <c r="WOB1" s="696"/>
      <c r="WOC1" s="696"/>
      <c r="WOD1" s="696"/>
      <c r="WOE1" s="696"/>
      <c r="WOF1" s="696"/>
      <c r="WOG1" s="696"/>
      <c r="WOH1" s="696"/>
      <c r="WOI1" s="696"/>
      <c r="WOJ1" s="696"/>
      <c r="WOK1" s="696"/>
      <c r="WOL1" s="696"/>
      <c r="WOM1" s="696"/>
      <c r="WON1" s="696"/>
      <c r="WOO1" s="696"/>
      <c r="WOP1" s="696"/>
      <c r="WOQ1" s="696"/>
      <c r="WOR1" s="696"/>
      <c r="WOS1" s="696"/>
      <c r="WOT1" s="696"/>
      <c r="WOU1" s="696"/>
      <c r="WOV1" s="696"/>
      <c r="WOW1" s="696"/>
      <c r="WOX1" s="696"/>
      <c r="WOY1" s="696"/>
      <c r="WOZ1" s="696"/>
      <c r="WPA1" s="696"/>
      <c r="WPB1" s="696"/>
      <c r="WPC1" s="696"/>
      <c r="WPD1" s="696"/>
      <c r="WPE1" s="696"/>
      <c r="WPF1" s="696"/>
      <c r="WPG1" s="696"/>
      <c r="WPH1" s="696"/>
      <c r="WPI1" s="696"/>
      <c r="WPJ1" s="696"/>
      <c r="WPK1" s="696"/>
      <c r="WPL1" s="696"/>
      <c r="WPM1" s="696"/>
      <c r="WPN1" s="696"/>
      <c r="WPO1" s="696"/>
      <c r="WPP1" s="696"/>
      <c r="WPQ1" s="696"/>
      <c r="WPR1" s="696"/>
      <c r="WPS1" s="696"/>
      <c r="WPT1" s="696"/>
      <c r="WPU1" s="696"/>
      <c r="WPV1" s="696"/>
      <c r="WPW1" s="696"/>
      <c r="WPX1" s="696"/>
      <c r="WPY1" s="696"/>
      <c r="WPZ1" s="696"/>
      <c r="WQA1" s="696"/>
      <c r="WQB1" s="696"/>
      <c r="WQC1" s="696"/>
      <c r="WQD1" s="696"/>
      <c r="WQE1" s="696"/>
      <c r="WQF1" s="696"/>
      <c r="WQG1" s="696"/>
      <c r="WQH1" s="696"/>
      <c r="WQI1" s="696"/>
      <c r="WQJ1" s="696"/>
      <c r="WQK1" s="696"/>
      <c r="WQL1" s="696"/>
      <c r="WQM1" s="696"/>
      <c r="WQN1" s="696"/>
      <c r="WQO1" s="696"/>
      <c r="WQP1" s="696"/>
      <c r="WQQ1" s="696"/>
      <c r="WQR1" s="696"/>
      <c r="WQS1" s="696"/>
      <c r="WQT1" s="696"/>
      <c r="WQU1" s="696"/>
      <c r="WQV1" s="696"/>
      <c r="WQW1" s="696"/>
      <c r="WQX1" s="696"/>
      <c r="WQY1" s="696"/>
      <c r="WQZ1" s="696"/>
      <c r="WRA1" s="696"/>
      <c r="WRB1" s="696"/>
      <c r="WRC1" s="696"/>
      <c r="WRD1" s="696"/>
      <c r="WRE1" s="696"/>
      <c r="WRF1" s="696"/>
      <c r="WRG1" s="696"/>
      <c r="WRH1" s="696"/>
      <c r="WRI1" s="696"/>
      <c r="WRJ1" s="696"/>
      <c r="WRK1" s="696"/>
      <c r="WRL1" s="696"/>
      <c r="WRM1" s="696"/>
      <c r="WRN1" s="696"/>
      <c r="WRO1" s="696"/>
      <c r="WRP1" s="696"/>
      <c r="WRQ1" s="696"/>
      <c r="WRR1" s="696"/>
      <c r="WRS1" s="696"/>
      <c r="WRT1" s="696"/>
      <c r="WRU1" s="696"/>
      <c r="WRV1" s="696"/>
      <c r="WRW1" s="696"/>
      <c r="WRX1" s="696"/>
      <c r="WRY1" s="696"/>
      <c r="WRZ1" s="696"/>
      <c r="WSA1" s="696"/>
      <c r="WSB1" s="696"/>
      <c r="WSC1" s="696"/>
      <c r="WSD1" s="696"/>
      <c r="WSE1" s="696"/>
      <c r="WSF1" s="696"/>
      <c r="WSG1" s="696"/>
      <c r="WSH1" s="696"/>
      <c r="WSI1" s="696"/>
      <c r="WSJ1" s="696"/>
      <c r="WSK1" s="696"/>
      <c r="WSL1" s="696"/>
      <c r="WSM1" s="696"/>
      <c r="WSN1" s="696"/>
      <c r="WSO1" s="696"/>
      <c r="WSP1" s="696"/>
      <c r="WSQ1" s="696"/>
      <c r="WSR1" s="696"/>
      <c r="WSS1" s="696"/>
      <c r="WST1" s="696"/>
      <c r="WSU1" s="696"/>
      <c r="WSV1" s="696"/>
      <c r="WSW1" s="696"/>
      <c r="WSX1" s="696"/>
      <c r="WSY1" s="696"/>
      <c r="WSZ1" s="696"/>
      <c r="WTA1" s="696"/>
      <c r="WTB1" s="696"/>
      <c r="WTC1" s="696"/>
      <c r="WTD1" s="696"/>
      <c r="WTE1" s="696"/>
      <c r="WTF1" s="696"/>
      <c r="WTG1" s="696"/>
      <c r="WTH1" s="696"/>
      <c r="WTI1" s="696"/>
      <c r="WTJ1" s="696"/>
      <c r="WTK1" s="696"/>
      <c r="WTL1" s="696"/>
      <c r="WTM1" s="696"/>
      <c r="WTN1" s="696"/>
      <c r="WTO1" s="696"/>
      <c r="WTP1" s="696"/>
      <c r="WTQ1" s="696"/>
      <c r="WTR1" s="696"/>
      <c r="WTS1" s="696"/>
      <c r="WTT1" s="696"/>
      <c r="WTU1" s="696"/>
      <c r="WTV1" s="696"/>
      <c r="WTW1" s="696"/>
      <c r="WTX1" s="696"/>
      <c r="WTY1" s="696"/>
      <c r="WTZ1" s="696"/>
      <c r="WUA1" s="696"/>
      <c r="WUB1" s="696"/>
      <c r="WUC1" s="696"/>
      <c r="WUD1" s="696"/>
      <c r="WUE1" s="696"/>
      <c r="WUF1" s="696"/>
      <c r="WUG1" s="696"/>
      <c r="WUH1" s="696"/>
      <c r="WUI1" s="696"/>
      <c r="WUJ1" s="696"/>
      <c r="WUK1" s="696"/>
      <c r="WUL1" s="696"/>
      <c r="WUM1" s="696"/>
      <c r="WUN1" s="696"/>
      <c r="WUO1" s="696"/>
      <c r="WUP1" s="696"/>
      <c r="WUQ1" s="696"/>
      <c r="WUR1" s="696"/>
      <c r="WUS1" s="696"/>
      <c r="WUT1" s="696"/>
      <c r="WUU1" s="696"/>
      <c r="WUV1" s="696"/>
      <c r="WUW1" s="696"/>
      <c r="WUX1" s="696"/>
      <c r="WUY1" s="696"/>
      <c r="WUZ1" s="696"/>
      <c r="WVA1" s="696"/>
      <c r="WVB1" s="696"/>
      <c r="WVC1" s="696"/>
      <c r="WVD1" s="696"/>
      <c r="WVE1" s="696"/>
      <c r="WVF1" s="696"/>
      <c r="WVG1" s="696"/>
      <c r="WVH1" s="696"/>
      <c r="WVI1" s="696"/>
      <c r="WVJ1" s="696"/>
      <c r="WVK1" s="696"/>
      <c r="WVL1" s="696"/>
      <c r="WVM1" s="696"/>
      <c r="WVN1" s="696"/>
      <c r="WVO1" s="696"/>
      <c r="WVP1" s="696"/>
      <c r="WVQ1" s="696"/>
      <c r="WVR1" s="696"/>
      <c r="WVS1" s="696"/>
      <c r="WVT1" s="696"/>
      <c r="WVU1" s="696"/>
      <c r="WVV1" s="696"/>
      <c r="WVW1" s="696"/>
      <c r="WVX1" s="696"/>
      <c r="WVY1" s="696"/>
      <c r="WVZ1" s="696"/>
      <c r="WWA1" s="696"/>
      <c r="WWB1" s="696"/>
      <c r="WWC1" s="696"/>
      <c r="WWD1" s="696"/>
      <c r="WWE1" s="696"/>
      <c r="WWF1" s="696"/>
      <c r="WWG1" s="696"/>
      <c r="WWH1" s="696"/>
      <c r="WWI1" s="696"/>
      <c r="WWJ1" s="696"/>
      <c r="WWK1" s="696"/>
      <c r="WWL1" s="696"/>
      <c r="WWM1" s="696"/>
      <c r="WWN1" s="696"/>
      <c r="WWO1" s="696"/>
      <c r="WWP1" s="696"/>
      <c r="WWQ1" s="696"/>
      <c r="WWR1" s="696"/>
      <c r="WWS1" s="696"/>
      <c r="WWT1" s="696"/>
      <c r="WWU1" s="696"/>
      <c r="WWV1" s="696"/>
      <c r="WWW1" s="696"/>
      <c r="WWX1" s="696"/>
      <c r="WWY1" s="696"/>
      <c r="WWZ1" s="696"/>
      <c r="WXA1" s="696"/>
      <c r="WXB1" s="696"/>
      <c r="WXC1" s="696"/>
      <c r="WXD1" s="696"/>
      <c r="WXE1" s="696"/>
      <c r="WXF1" s="696"/>
      <c r="WXG1" s="696"/>
      <c r="WXH1" s="696"/>
      <c r="WXI1" s="696"/>
      <c r="WXJ1" s="696"/>
      <c r="WXK1" s="696"/>
      <c r="WXL1" s="696"/>
      <c r="WXM1" s="696"/>
      <c r="WXN1" s="696"/>
      <c r="WXO1" s="696"/>
      <c r="WXP1" s="696"/>
      <c r="WXQ1" s="696"/>
      <c r="WXR1" s="696"/>
      <c r="WXS1" s="696"/>
      <c r="WXT1" s="696"/>
      <c r="WXU1" s="696"/>
      <c r="WXV1" s="696"/>
      <c r="WXW1" s="696"/>
      <c r="WXX1" s="696"/>
      <c r="WXY1" s="696"/>
      <c r="WXZ1" s="696"/>
      <c r="WYA1" s="696"/>
      <c r="WYB1" s="696"/>
      <c r="WYC1" s="696"/>
      <c r="WYD1" s="696"/>
      <c r="WYE1" s="696"/>
      <c r="WYF1" s="696"/>
      <c r="WYG1" s="696"/>
      <c r="WYH1" s="696"/>
      <c r="WYI1" s="696"/>
      <c r="WYJ1" s="696"/>
      <c r="WYK1" s="696"/>
      <c r="WYL1" s="696"/>
      <c r="WYM1" s="696"/>
      <c r="WYN1" s="696"/>
      <c r="WYO1" s="696"/>
      <c r="WYP1" s="696"/>
      <c r="WYQ1" s="696"/>
      <c r="WYR1" s="696"/>
      <c r="WYS1" s="696"/>
      <c r="WYT1" s="696"/>
      <c r="WYU1" s="696"/>
      <c r="WYV1" s="696"/>
      <c r="WYW1" s="696"/>
      <c r="WYX1" s="696"/>
      <c r="WYY1" s="696"/>
      <c r="WYZ1" s="696"/>
      <c r="WZA1" s="696"/>
      <c r="WZB1" s="696"/>
      <c r="WZC1" s="696"/>
      <c r="WZD1" s="696"/>
      <c r="WZE1" s="696"/>
      <c r="WZF1" s="696"/>
      <c r="WZG1" s="696"/>
      <c r="WZH1" s="696"/>
      <c r="WZI1" s="696"/>
      <c r="WZJ1" s="696"/>
      <c r="WZK1" s="696"/>
      <c r="WZL1" s="696"/>
      <c r="WZM1" s="696"/>
      <c r="WZN1" s="696"/>
      <c r="WZO1" s="696"/>
      <c r="WZP1" s="696"/>
      <c r="WZQ1" s="696"/>
      <c r="WZR1" s="696"/>
      <c r="WZS1" s="696"/>
      <c r="WZT1" s="696"/>
      <c r="WZU1" s="696"/>
      <c r="WZV1" s="696"/>
      <c r="WZW1" s="696"/>
      <c r="WZX1" s="696"/>
      <c r="WZY1" s="696"/>
      <c r="WZZ1" s="696"/>
      <c r="XAA1" s="696"/>
      <c r="XAB1" s="696"/>
      <c r="XAC1" s="696"/>
      <c r="XAD1" s="696"/>
      <c r="XAE1" s="696"/>
      <c r="XAF1" s="696"/>
      <c r="XAG1" s="696"/>
      <c r="XAH1" s="696"/>
      <c r="XAI1" s="696"/>
      <c r="XAJ1" s="696"/>
      <c r="XAK1" s="696"/>
      <c r="XAL1" s="696"/>
      <c r="XAM1" s="696"/>
      <c r="XAN1" s="696"/>
      <c r="XAO1" s="696"/>
      <c r="XAP1" s="696"/>
      <c r="XAQ1" s="696"/>
      <c r="XAR1" s="696"/>
      <c r="XAS1" s="696"/>
      <c r="XAT1" s="696"/>
      <c r="XAU1" s="696"/>
      <c r="XAV1" s="696"/>
      <c r="XAW1" s="696"/>
      <c r="XAX1" s="696"/>
      <c r="XAY1" s="696"/>
      <c r="XAZ1" s="696"/>
      <c r="XBA1" s="696"/>
      <c r="XBB1" s="696"/>
      <c r="XBC1" s="696"/>
      <c r="XBD1" s="696"/>
      <c r="XBE1" s="696"/>
      <c r="XBF1" s="696"/>
      <c r="XBG1" s="696"/>
      <c r="XBH1" s="696"/>
      <c r="XBI1" s="696"/>
      <c r="XBJ1" s="696"/>
      <c r="XBK1" s="696"/>
      <c r="XBL1" s="696"/>
      <c r="XBM1" s="696"/>
      <c r="XBN1" s="696"/>
      <c r="XBO1" s="696"/>
      <c r="XBP1" s="696"/>
      <c r="XBQ1" s="696"/>
      <c r="XBR1" s="696"/>
      <c r="XBS1" s="696"/>
      <c r="XBT1" s="696"/>
      <c r="XBU1" s="696"/>
      <c r="XBV1" s="696"/>
      <c r="XBW1" s="696"/>
      <c r="XBX1" s="696"/>
      <c r="XBY1" s="696"/>
      <c r="XBZ1" s="696"/>
      <c r="XCA1" s="696"/>
      <c r="XCB1" s="696"/>
      <c r="XCC1" s="696"/>
      <c r="XCD1" s="696"/>
      <c r="XCE1" s="696"/>
      <c r="XCF1" s="696"/>
      <c r="XCG1" s="696"/>
      <c r="XCH1" s="696"/>
      <c r="XCI1" s="696"/>
      <c r="XCJ1" s="696"/>
      <c r="XCK1" s="696"/>
      <c r="XCL1" s="696"/>
      <c r="XCM1" s="696"/>
      <c r="XCN1" s="696"/>
      <c r="XCO1" s="696"/>
      <c r="XCP1" s="696"/>
      <c r="XCQ1" s="696"/>
      <c r="XCR1" s="696"/>
      <c r="XCS1" s="696"/>
      <c r="XCT1" s="696"/>
      <c r="XCU1" s="696"/>
      <c r="XCV1" s="696"/>
      <c r="XCW1" s="696"/>
      <c r="XCX1" s="696"/>
      <c r="XCY1" s="696"/>
      <c r="XCZ1" s="696"/>
      <c r="XDA1" s="696"/>
      <c r="XDB1" s="696"/>
      <c r="XDC1" s="696"/>
      <c r="XDD1" s="696"/>
      <c r="XDE1" s="696"/>
      <c r="XDF1" s="696"/>
      <c r="XDG1" s="696"/>
      <c r="XDH1" s="696"/>
      <c r="XDI1" s="696"/>
      <c r="XDJ1" s="696"/>
      <c r="XDK1" s="696"/>
      <c r="XDL1" s="696"/>
      <c r="XDM1" s="696"/>
      <c r="XDN1" s="696"/>
      <c r="XDO1" s="696"/>
      <c r="XDP1" s="696"/>
      <c r="XDQ1" s="696"/>
      <c r="XDR1" s="696"/>
      <c r="XDS1" s="696"/>
      <c r="XDT1" s="696"/>
      <c r="XDU1" s="696"/>
      <c r="XDV1" s="696"/>
      <c r="XDW1" s="696"/>
      <c r="XDX1" s="696"/>
      <c r="XDY1" s="696"/>
      <c r="XDZ1" s="696"/>
      <c r="XEA1" s="696"/>
      <c r="XEB1" s="696"/>
      <c r="XEC1" s="696"/>
      <c r="XED1" s="696"/>
      <c r="XEE1" s="696"/>
      <c r="XEF1" s="696"/>
      <c r="XEG1" s="696"/>
      <c r="XEH1" s="696"/>
      <c r="XEI1" s="696"/>
      <c r="XEJ1" s="696"/>
      <c r="XEK1" s="696"/>
      <c r="XEL1" s="696"/>
      <c r="XEM1" s="696"/>
      <c r="XEN1" s="696"/>
      <c r="XEO1" s="696"/>
      <c r="XEP1" s="696"/>
      <c r="XEQ1" s="696"/>
      <c r="XER1" s="696"/>
      <c r="XES1" s="696"/>
      <c r="XET1" s="696"/>
      <c r="XEU1" s="696"/>
      <c r="XEV1" s="696"/>
      <c r="XEW1" s="696"/>
      <c r="XEX1" s="696"/>
      <c r="XEY1" s="696"/>
      <c r="XEZ1" s="696"/>
      <c r="XFA1" s="696"/>
      <c r="XFB1" s="696"/>
      <c r="XFC1" s="696"/>
      <c r="XFD1" s="696"/>
    </row>
    <row r="2" spans="1:16384" s="557" customFormat="1" ht="30" customHeight="1">
      <c r="A2" s="542"/>
      <c r="B2" s="701"/>
      <c r="C2" s="544" t="s">
        <v>83</v>
      </c>
      <c r="D2" s="704" t="s">
        <v>208</v>
      </c>
      <c r="E2" s="704"/>
      <c r="F2" s="704"/>
      <c r="G2" s="704"/>
      <c r="H2" s="704"/>
      <c r="I2" s="704"/>
      <c r="J2" s="704"/>
      <c r="K2" s="704"/>
      <c r="L2" s="704"/>
      <c r="M2" s="704"/>
      <c r="N2" s="704"/>
      <c r="O2" s="704"/>
      <c r="P2" s="704"/>
      <c r="Q2" s="704"/>
      <c r="R2" s="547"/>
      <c r="S2" s="546"/>
    </row>
    <row r="3" spans="1:16384" s="557" customFormat="1" ht="30" customHeight="1">
      <c r="B3" s="701"/>
      <c r="C3" s="544" t="s">
        <v>81</v>
      </c>
      <c r="D3" s="702" t="s">
        <v>26</v>
      </c>
      <c r="E3" s="703"/>
      <c r="F3" s="703"/>
      <c r="G3" s="703"/>
      <c r="H3" s="703"/>
      <c r="I3" s="703"/>
      <c r="J3" s="703"/>
      <c r="K3" s="703"/>
      <c r="L3" s="703"/>
      <c r="M3" s="703"/>
      <c r="N3" s="703"/>
      <c r="O3" s="703"/>
      <c r="P3" s="703"/>
      <c r="Q3" s="703"/>
      <c r="R3" s="327"/>
      <c r="S3" s="545"/>
    </row>
    <row r="4" spans="1:16384" s="556" customFormat="1" ht="14.25" customHeight="1">
      <c r="A4" s="325"/>
      <c r="B4" s="698"/>
      <c r="C4" s="699"/>
      <c r="D4" s="699"/>
      <c r="E4" s="699"/>
      <c r="F4" s="699"/>
      <c r="G4" s="699"/>
      <c r="H4" s="699"/>
      <c r="I4" s="699"/>
      <c r="J4" s="699"/>
      <c r="K4" s="699"/>
      <c r="L4" s="699"/>
      <c r="M4" s="699"/>
      <c r="N4" s="699"/>
      <c r="O4" s="699"/>
      <c r="P4" s="699"/>
      <c r="Q4" s="699"/>
      <c r="R4" s="700"/>
      <c r="S4" s="543"/>
    </row>
    <row r="5" spans="1:16384">
      <c r="B5" s="534"/>
      <c r="C5" s="535"/>
      <c r="D5" s="536" t="s">
        <v>27</v>
      </c>
      <c r="E5" s="537"/>
      <c r="F5" s="538"/>
      <c r="G5" s="538"/>
      <c r="H5" s="538"/>
      <c r="I5" s="538"/>
      <c r="J5" s="538"/>
      <c r="K5" s="538"/>
      <c r="L5" s="538"/>
      <c r="M5" s="538"/>
      <c r="N5" s="539"/>
      <c r="O5" s="539"/>
      <c r="P5" s="539"/>
      <c r="Q5" s="540"/>
      <c r="R5" s="541"/>
    </row>
    <row r="6" spans="1:16384">
      <c r="B6" s="329"/>
      <c r="C6" s="329"/>
      <c r="D6" s="329"/>
      <c r="E6" s="329"/>
      <c r="F6" s="328"/>
      <c r="G6" s="328"/>
      <c r="H6" s="327"/>
      <c r="I6" s="328"/>
      <c r="J6" s="328"/>
      <c r="K6" s="328"/>
      <c r="L6" s="328"/>
      <c r="M6" s="328"/>
      <c r="N6" s="328"/>
      <c r="O6" s="329"/>
      <c r="P6" s="329"/>
      <c r="Q6" s="329"/>
      <c r="R6" s="326"/>
    </row>
    <row r="7" spans="1:16384">
      <c r="B7" s="328"/>
      <c r="C7" s="330" t="s">
        <v>28</v>
      </c>
      <c r="D7" s="671" t="s">
        <v>29</v>
      </c>
      <c r="E7" s="672"/>
      <c r="F7" s="673"/>
      <c r="G7" s="328"/>
      <c r="H7" s="646" t="s">
        <v>209</v>
      </c>
      <c r="I7" s="647"/>
      <c r="J7" s="647"/>
      <c r="K7" s="647"/>
      <c r="L7" s="647"/>
      <c r="M7" s="647"/>
      <c r="N7" s="647"/>
      <c r="O7" s="647"/>
      <c r="P7" s="647"/>
      <c r="Q7" s="648"/>
      <c r="R7" s="326"/>
    </row>
    <row r="8" spans="1:16384">
      <c r="B8" s="328"/>
      <c r="C8" s="330"/>
      <c r="D8" s="331"/>
      <c r="E8" s="332"/>
      <c r="F8" s="333"/>
      <c r="G8" s="328"/>
      <c r="H8" s="333"/>
      <c r="I8" s="333"/>
      <c r="J8" s="333"/>
      <c r="K8" s="333"/>
      <c r="L8" s="333"/>
      <c r="M8" s="333"/>
      <c r="N8" s="333"/>
      <c r="O8" s="334"/>
      <c r="P8" s="334"/>
      <c r="Q8" s="334"/>
      <c r="R8" s="326"/>
    </row>
    <row r="9" spans="1:16384">
      <c r="B9" s="328"/>
      <c r="C9" s="330" t="s">
        <v>30</v>
      </c>
      <c r="D9" s="671" t="s">
        <v>31</v>
      </c>
      <c r="E9" s="672"/>
      <c r="F9" s="673"/>
      <c r="G9" s="328"/>
      <c r="H9" s="646" t="s">
        <v>210</v>
      </c>
      <c r="I9" s="647"/>
      <c r="J9" s="647"/>
      <c r="K9" s="647"/>
      <c r="L9" s="647"/>
      <c r="M9" s="647"/>
      <c r="N9" s="647"/>
      <c r="O9" s="647"/>
      <c r="P9" s="647"/>
      <c r="Q9" s="648"/>
      <c r="R9" s="326"/>
    </row>
    <row r="10" spans="1:16384">
      <c r="B10" s="328"/>
      <c r="C10" s="330"/>
      <c r="D10" s="331"/>
      <c r="E10" s="332"/>
      <c r="F10" s="333"/>
      <c r="G10" s="328"/>
      <c r="H10" s="333"/>
      <c r="I10" s="333"/>
      <c r="J10" s="333"/>
      <c r="K10" s="333"/>
      <c r="L10" s="333"/>
      <c r="M10" s="333"/>
      <c r="N10" s="333"/>
      <c r="O10" s="333"/>
      <c r="P10" s="333"/>
      <c r="Q10" s="333"/>
      <c r="R10" s="326"/>
    </row>
    <row r="11" spans="1:16384">
      <c r="B11" s="328"/>
      <c r="C11" s="330" t="s">
        <v>32</v>
      </c>
      <c r="D11" s="671" t="s">
        <v>85</v>
      </c>
      <c r="E11" s="672"/>
      <c r="F11" s="673"/>
      <c r="G11" s="328"/>
      <c r="H11" s="646"/>
      <c r="I11" s="647"/>
      <c r="J11" s="647"/>
      <c r="K11" s="647"/>
      <c r="L11" s="647"/>
      <c r="M11" s="647"/>
      <c r="N11" s="647"/>
      <c r="O11" s="647"/>
      <c r="P11" s="647"/>
      <c r="Q11" s="648"/>
      <c r="R11" s="326"/>
    </row>
    <row r="12" spans="1:16384">
      <c r="B12" s="328"/>
      <c r="C12" s="330"/>
      <c r="D12" s="331"/>
      <c r="E12" s="332"/>
      <c r="F12" s="333"/>
      <c r="G12" s="328"/>
      <c r="H12" s="333"/>
      <c r="I12" s="333"/>
      <c r="J12" s="333"/>
      <c r="K12" s="333"/>
      <c r="L12" s="333"/>
      <c r="M12" s="333"/>
      <c r="N12" s="333"/>
      <c r="O12" s="333"/>
      <c r="P12" s="333"/>
      <c r="Q12" s="333"/>
      <c r="R12" s="326"/>
    </row>
    <row r="13" spans="1:16384">
      <c r="B13" s="328"/>
      <c r="C13" s="330" t="s">
        <v>34</v>
      </c>
      <c r="D13" s="671" t="s">
        <v>35</v>
      </c>
      <c r="E13" s="672"/>
      <c r="F13" s="673"/>
      <c r="G13" s="328"/>
      <c r="H13" s="646"/>
      <c r="I13" s="647"/>
      <c r="J13" s="647"/>
      <c r="K13" s="647"/>
      <c r="L13" s="647"/>
      <c r="M13" s="647"/>
      <c r="N13" s="647"/>
      <c r="O13" s="647"/>
      <c r="P13" s="647"/>
      <c r="Q13" s="648"/>
      <c r="R13" s="326"/>
    </row>
    <row r="14" spans="1:16384">
      <c r="B14" s="328"/>
      <c r="C14" s="330"/>
      <c r="D14" s="331"/>
      <c r="E14" s="332"/>
      <c r="F14" s="333"/>
      <c r="G14" s="328"/>
      <c r="H14" s="333"/>
      <c r="I14" s="333"/>
      <c r="J14" s="333"/>
      <c r="K14" s="333"/>
      <c r="L14" s="333"/>
      <c r="M14" s="333"/>
      <c r="N14" s="333"/>
      <c r="O14" s="333"/>
      <c r="P14" s="333"/>
      <c r="Q14" s="333"/>
      <c r="R14" s="326"/>
    </row>
    <row r="15" spans="1:16384">
      <c r="B15" s="328"/>
      <c r="C15" s="330" t="s">
        <v>36</v>
      </c>
      <c r="D15" s="671" t="s">
        <v>37</v>
      </c>
      <c r="E15" s="672"/>
      <c r="F15" s="673"/>
      <c r="G15" s="328"/>
      <c r="H15" s="646"/>
      <c r="I15" s="647"/>
      <c r="J15" s="647"/>
      <c r="K15" s="647"/>
      <c r="L15" s="647"/>
      <c r="M15" s="647"/>
      <c r="N15" s="647"/>
      <c r="O15" s="647"/>
      <c r="P15" s="647"/>
      <c r="Q15" s="648"/>
      <c r="R15" s="326"/>
    </row>
    <row r="16" spans="1:16384">
      <c r="B16" s="328"/>
      <c r="C16" s="330"/>
      <c r="D16" s="331"/>
      <c r="E16" s="332"/>
      <c r="F16" s="333"/>
      <c r="G16" s="328"/>
      <c r="H16" s="333"/>
      <c r="I16" s="333"/>
      <c r="J16" s="333"/>
      <c r="K16" s="333"/>
      <c r="L16" s="333"/>
      <c r="M16" s="333"/>
      <c r="N16" s="333"/>
      <c r="O16" s="333"/>
      <c r="P16" s="333"/>
      <c r="Q16" s="333"/>
      <c r="R16" s="326"/>
    </row>
    <row r="17" spans="2:18">
      <c r="B17" s="328"/>
      <c r="C17" s="330" t="s">
        <v>38</v>
      </c>
      <c r="D17" s="671" t="s">
        <v>39</v>
      </c>
      <c r="E17" s="672"/>
      <c r="F17" s="673"/>
      <c r="G17" s="328"/>
      <c r="H17" s="674" t="s">
        <v>211</v>
      </c>
      <c r="I17" s="647"/>
      <c r="J17" s="647"/>
      <c r="K17" s="647"/>
      <c r="L17" s="647"/>
      <c r="M17" s="647"/>
      <c r="N17" s="647"/>
      <c r="O17" s="647"/>
      <c r="P17" s="647"/>
      <c r="Q17" s="648"/>
      <c r="R17" s="326"/>
    </row>
    <row r="18" spans="2:18">
      <c r="B18" s="328"/>
      <c r="C18" s="328"/>
      <c r="D18" s="333"/>
      <c r="E18" s="333"/>
      <c r="F18" s="333"/>
      <c r="G18" s="328"/>
      <c r="H18" s="333"/>
      <c r="I18" s="333"/>
      <c r="J18" s="333"/>
      <c r="K18" s="333"/>
      <c r="L18" s="333"/>
      <c r="M18" s="333"/>
      <c r="N18" s="333"/>
      <c r="O18" s="333"/>
      <c r="P18" s="333"/>
      <c r="Q18" s="333"/>
      <c r="R18" s="327"/>
    </row>
    <row r="19" spans="2:18">
      <c r="B19" s="330"/>
      <c r="C19" s="330" t="s">
        <v>40</v>
      </c>
      <c r="D19" s="671" t="s">
        <v>41</v>
      </c>
      <c r="E19" s="672"/>
      <c r="F19" s="673"/>
      <c r="G19" s="335" t="s">
        <v>42</v>
      </c>
      <c r="H19" s="675">
        <v>44104</v>
      </c>
      <c r="I19" s="676"/>
      <c r="J19" s="676"/>
      <c r="K19" s="676"/>
      <c r="L19" s="676"/>
      <c r="M19" s="676"/>
      <c r="N19" s="676"/>
      <c r="O19" s="676"/>
      <c r="P19" s="676"/>
      <c r="Q19" s="677"/>
      <c r="R19" s="326"/>
    </row>
    <row r="20" spans="2:18">
      <c r="B20" s="328"/>
      <c r="C20" s="328"/>
      <c r="D20" s="333"/>
      <c r="E20" s="333"/>
      <c r="F20" s="333"/>
      <c r="G20" s="328"/>
      <c r="H20" s="333"/>
      <c r="I20" s="333"/>
      <c r="J20" s="333"/>
      <c r="K20" s="333"/>
      <c r="L20" s="333"/>
      <c r="M20" s="333"/>
      <c r="N20" s="333"/>
      <c r="O20" s="333"/>
      <c r="P20" s="333"/>
      <c r="Q20" s="333"/>
      <c r="R20" s="327"/>
    </row>
    <row r="21" spans="2:18">
      <c r="B21" s="336"/>
      <c r="C21" s="330" t="s">
        <v>86</v>
      </c>
      <c r="D21" s="671" t="s">
        <v>87</v>
      </c>
      <c r="E21" s="672"/>
      <c r="F21" s="673"/>
      <c r="G21" s="337" t="s">
        <v>42</v>
      </c>
      <c r="H21" s="649" t="s">
        <v>212</v>
      </c>
      <c r="I21" s="650"/>
      <c r="J21" s="650"/>
      <c r="K21" s="650"/>
      <c r="L21" s="650"/>
      <c r="M21" s="650"/>
      <c r="N21" s="650"/>
      <c r="O21" s="650"/>
      <c r="P21" s="650"/>
      <c r="Q21" s="651"/>
      <c r="R21" s="326"/>
    </row>
    <row r="22" spans="2:18">
      <c r="B22" s="328"/>
      <c r="C22" s="330"/>
      <c r="D22" s="331"/>
      <c r="E22" s="332"/>
      <c r="F22" s="333"/>
      <c r="G22" s="328"/>
      <c r="H22" s="338"/>
      <c r="I22" s="333"/>
      <c r="J22" s="333"/>
      <c r="K22" s="333"/>
      <c r="L22" s="333"/>
      <c r="M22" s="333"/>
      <c r="N22" s="333"/>
      <c r="O22" s="333"/>
      <c r="P22" s="333"/>
      <c r="Q22" s="333"/>
      <c r="R22" s="327"/>
    </row>
    <row r="23" spans="2:18" hidden="1">
      <c r="B23" s="328"/>
      <c r="C23" s="330" t="s">
        <v>88</v>
      </c>
      <c r="D23" s="671" t="s">
        <v>89</v>
      </c>
      <c r="E23" s="672"/>
      <c r="F23" s="673"/>
      <c r="G23" s="328"/>
      <c r="H23" s="646"/>
      <c r="I23" s="647"/>
      <c r="J23" s="647"/>
      <c r="K23" s="647"/>
      <c r="L23" s="647"/>
      <c r="M23" s="647"/>
      <c r="N23" s="647"/>
      <c r="O23" s="647"/>
      <c r="P23" s="647"/>
      <c r="Q23" s="648"/>
      <c r="R23" s="327"/>
    </row>
    <row r="24" spans="2:18" hidden="1">
      <c r="B24" s="328"/>
      <c r="C24" s="330"/>
      <c r="D24" s="331"/>
      <c r="E24" s="332"/>
      <c r="F24" s="333"/>
      <c r="G24" s="328"/>
      <c r="H24" s="333"/>
      <c r="I24" s="333"/>
      <c r="J24" s="333"/>
      <c r="K24" s="333"/>
      <c r="L24" s="333"/>
      <c r="M24" s="333"/>
      <c r="N24" s="333"/>
      <c r="O24" s="333"/>
      <c r="P24" s="333"/>
      <c r="Q24" s="333"/>
      <c r="R24" s="327"/>
    </row>
    <row r="25" spans="2:18" hidden="1">
      <c r="B25" s="328"/>
      <c r="C25" s="330" t="s">
        <v>90</v>
      </c>
      <c r="D25" s="671" t="s">
        <v>91</v>
      </c>
      <c r="E25" s="672"/>
      <c r="F25" s="673"/>
      <c r="G25" s="328"/>
      <c r="H25" s="646"/>
      <c r="I25" s="647"/>
      <c r="J25" s="647"/>
      <c r="K25" s="647"/>
      <c r="L25" s="647"/>
      <c r="M25" s="647"/>
      <c r="N25" s="647"/>
      <c r="O25" s="647"/>
      <c r="P25" s="647"/>
      <c r="Q25" s="648"/>
      <c r="R25" s="327"/>
    </row>
    <row r="26" spans="2:18" hidden="1">
      <c r="B26" s="339"/>
      <c r="C26" s="339"/>
      <c r="D26" s="340"/>
      <c r="E26" s="340"/>
      <c r="F26" s="340"/>
      <c r="G26" s="339"/>
      <c r="H26" s="340"/>
      <c r="I26" s="340"/>
      <c r="J26" s="340"/>
      <c r="K26" s="340"/>
      <c r="L26" s="340"/>
      <c r="M26" s="340"/>
      <c r="N26" s="340"/>
      <c r="O26" s="340"/>
      <c r="P26" s="340"/>
      <c r="Q26" s="340"/>
      <c r="R26" s="339"/>
    </row>
    <row r="27" spans="2:18" hidden="1">
      <c r="B27" s="328"/>
      <c r="C27" s="330" t="s">
        <v>92</v>
      </c>
      <c r="D27" s="671" t="s">
        <v>93</v>
      </c>
      <c r="E27" s="672"/>
      <c r="F27" s="673"/>
      <c r="G27" s="328"/>
      <c r="H27" s="646"/>
      <c r="I27" s="647"/>
      <c r="J27" s="647"/>
      <c r="K27" s="647"/>
      <c r="L27" s="647"/>
      <c r="M27" s="647"/>
      <c r="N27" s="647"/>
      <c r="O27" s="647"/>
      <c r="P27" s="647"/>
      <c r="Q27" s="648"/>
      <c r="R27" s="327"/>
    </row>
    <row r="28" spans="2:18" hidden="1">
      <c r="B28" s="328"/>
      <c r="C28" s="328"/>
      <c r="D28" s="333"/>
      <c r="E28" s="333"/>
      <c r="F28" s="333"/>
      <c r="G28" s="328"/>
      <c r="H28" s="333"/>
      <c r="I28" s="333"/>
      <c r="J28" s="333"/>
      <c r="K28" s="333"/>
      <c r="L28" s="333"/>
      <c r="M28" s="333"/>
      <c r="N28" s="333"/>
      <c r="O28" s="333"/>
      <c r="P28" s="333"/>
      <c r="Q28" s="333"/>
      <c r="R28" s="327"/>
    </row>
    <row r="29" spans="2:18" hidden="1">
      <c r="B29" s="328"/>
      <c r="C29" s="330" t="s">
        <v>94</v>
      </c>
      <c r="D29" s="678" t="s">
        <v>95</v>
      </c>
      <c r="E29" s="679"/>
      <c r="F29" s="680"/>
      <c r="G29" s="328"/>
      <c r="H29" s="646"/>
      <c r="I29" s="647"/>
      <c r="J29" s="647"/>
      <c r="K29" s="647"/>
      <c r="L29" s="647"/>
      <c r="M29" s="647"/>
      <c r="N29" s="647"/>
      <c r="O29" s="647"/>
      <c r="P29" s="647"/>
      <c r="Q29" s="648"/>
      <c r="R29" s="327"/>
    </row>
    <row r="30" spans="2:18" hidden="1">
      <c r="B30" s="328"/>
      <c r="C30" s="328"/>
      <c r="D30" s="333"/>
      <c r="E30" s="333"/>
      <c r="F30" s="333"/>
      <c r="G30" s="328"/>
      <c r="H30" s="333"/>
      <c r="I30" s="333"/>
      <c r="J30" s="333"/>
      <c r="K30" s="333"/>
      <c r="L30" s="333"/>
      <c r="M30" s="333"/>
      <c r="N30" s="333"/>
      <c r="O30" s="333"/>
      <c r="P30" s="333"/>
      <c r="Q30" s="333"/>
      <c r="R30" s="327"/>
    </row>
    <row r="31" spans="2:18" hidden="1">
      <c r="B31" s="328"/>
      <c r="C31" s="330" t="s">
        <v>96</v>
      </c>
      <c r="D31" s="678" t="s">
        <v>97</v>
      </c>
      <c r="E31" s="679"/>
      <c r="F31" s="680"/>
      <c r="G31" s="328"/>
      <c r="H31" s="646"/>
      <c r="I31" s="647"/>
      <c r="J31" s="647"/>
      <c r="K31" s="647"/>
      <c r="L31" s="647"/>
      <c r="M31" s="647"/>
      <c r="N31" s="647"/>
      <c r="O31" s="647"/>
      <c r="P31" s="647"/>
      <c r="Q31" s="648"/>
      <c r="R31" s="327"/>
    </row>
    <row r="32" spans="2:18" hidden="1">
      <c r="B32" s="328"/>
      <c r="C32" s="330"/>
      <c r="D32" s="331"/>
      <c r="E32" s="333"/>
      <c r="F32" s="333"/>
      <c r="G32" s="328"/>
      <c r="H32" s="333"/>
      <c r="I32" s="333"/>
      <c r="J32" s="333"/>
      <c r="K32" s="333"/>
      <c r="L32" s="333"/>
      <c r="M32" s="333"/>
      <c r="N32" s="341"/>
      <c r="O32" s="333"/>
      <c r="P32" s="333"/>
      <c r="Q32" s="333"/>
      <c r="R32" s="327"/>
    </row>
    <row r="33" spans="1:20" hidden="1">
      <c r="B33" s="328"/>
      <c r="C33" s="330" t="s">
        <v>98</v>
      </c>
      <c r="D33" s="678" t="s">
        <v>99</v>
      </c>
      <c r="E33" s="679"/>
      <c r="F33" s="680"/>
      <c r="G33" s="328"/>
      <c r="H33" s="646"/>
      <c r="I33" s="647"/>
      <c r="J33" s="647"/>
      <c r="K33" s="647"/>
      <c r="L33" s="647"/>
      <c r="M33" s="647"/>
      <c r="N33" s="647"/>
      <c r="O33" s="647"/>
      <c r="P33" s="647"/>
      <c r="Q33" s="648"/>
      <c r="R33" s="327"/>
    </row>
    <row r="34" spans="1:20" hidden="1">
      <c r="B34" s="328"/>
      <c r="C34" s="328"/>
      <c r="D34" s="328"/>
      <c r="E34" s="328"/>
      <c r="F34" s="328"/>
      <c r="G34" s="328"/>
      <c r="H34" s="333"/>
      <c r="I34" s="333"/>
      <c r="J34" s="333"/>
      <c r="K34" s="333"/>
      <c r="L34" s="333"/>
      <c r="M34" s="333"/>
      <c r="N34" s="333"/>
      <c r="O34" s="333"/>
      <c r="P34" s="333"/>
      <c r="Q34" s="333"/>
      <c r="R34" s="327"/>
    </row>
    <row r="35" spans="1:20">
      <c r="A35" s="342"/>
      <c r="B35" s="342"/>
      <c r="C35" s="342"/>
      <c r="D35" s="456" t="s">
        <v>43</v>
      </c>
      <c r="E35" s="344"/>
      <c r="F35" s="343"/>
      <c r="G35" s="343"/>
      <c r="H35" s="342"/>
      <c r="I35" s="342"/>
      <c r="J35" s="342"/>
      <c r="K35" s="342"/>
      <c r="L35" s="342"/>
      <c r="M35" s="342"/>
      <c r="N35" s="342"/>
      <c r="O35" s="342"/>
      <c r="P35" s="342"/>
      <c r="Q35" s="342"/>
      <c r="R35" s="342" t="s">
        <v>213</v>
      </c>
    </row>
    <row r="36" spans="1:20">
      <c r="B36" s="328"/>
      <c r="C36" s="328"/>
      <c r="D36" s="328"/>
      <c r="E36" s="328"/>
      <c r="F36" s="328"/>
      <c r="G36" s="328"/>
      <c r="H36" s="333"/>
      <c r="I36" s="333"/>
      <c r="J36" s="333"/>
      <c r="K36" s="333"/>
      <c r="L36" s="333"/>
      <c r="M36" s="333"/>
      <c r="N36" s="333"/>
      <c r="O36" s="333"/>
      <c r="P36" s="333"/>
      <c r="Q36" s="333"/>
      <c r="R36" s="327"/>
    </row>
    <row r="37" spans="1:20">
      <c r="B37" s="336"/>
      <c r="C37" s="330" t="s">
        <v>44</v>
      </c>
      <c r="D37" s="681" t="s">
        <v>45</v>
      </c>
      <c r="E37" s="682"/>
      <c r="F37" s="683"/>
      <c r="G37" s="337" t="s">
        <v>42</v>
      </c>
      <c r="H37" s="646" t="s">
        <v>214</v>
      </c>
      <c r="I37" s="647"/>
      <c r="J37" s="647"/>
      <c r="K37" s="647"/>
      <c r="L37" s="647"/>
      <c r="M37" s="647"/>
      <c r="N37" s="647"/>
      <c r="O37" s="647"/>
      <c r="P37" s="647"/>
      <c r="Q37" s="648"/>
      <c r="R37" s="330"/>
    </row>
    <row r="38" spans="1:20">
      <c r="B38" s="328"/>
      <c r="C38" s="336"/>
      <c r="D38" s="333"/>
      <c r="E38" s="333"/>
      <c r="F38" s="333"/>
      <c r="G38" s="328"/>
      <c r="H38" s="333"/>
      <c r="I38" s="333"/>
      <c r="J38" s="333"/>
      <c r="K38" s="333"/>
      <c r="L38" s="333"/>
      <c r="M38" s="333"/>
      <c r="N38" s="333"/>
      <c r="O38" s="333"/>
      <c r="P38" s="333"/>
      <c r="Q38" s="333"/>
      <c r="R38" s="327"/>
    </row>
    <row r="39" spans="1:20" ht="33.75">
      <c r="B39" s="328"/>
      <c r="C39" s="336" t="s">
        <v>46</v>
      </c>
      <c r="D39" s="684" t="s">
        <v>47</v>
      </c>
      <c r="E39" s="685"/>
      <c r="F39" s="686"/>
      <c r="G39" s="328"/>
      <c r="H39" s="674" t="s">
        <v>215</v>
      </c>
      <c r="I39" s="647"/>
      <c r="J39" s="647"/>
      <c r="K39" s="647"/>
      <c r="L39" s="647"/>
      <c r="M39" s="647"/>
      <c r="N39" s="647"/>
      <c r="O39" s="647"/>
      <c r="P39" s="647"/>
      <c r="Q39" s="648"/>
      <c r="R39" s="327"/>
      <c r="T39" s="442" t="s">
        <v>48</v>
      </c>
    </row>
    <row r="40" spans="1:20">
      <c r="B40" s="328"/>
      <c r="C40" s="330"/>
      <c r="D40" s="333"/>
      <c r="E40" s="333"/>
      <c r="F40" s="333"/>
      <c r="G40" s="328"/>
      <c r="H40" s="333"/>
      <c r="I40" s="333"/>
      <c r="J40" s="333"/>
      <c r="K40" s="333"/>
      <c r="L40" s="333"/>
      <c r="M40" s="333"/>
      <c r="N40" s="333"/>
      <c r="O40" s="333"/>
      <c r="P40" s="333"/>
      <c r="Q40" s="333"/>
      <c r="R40" s="327"/>
    </row>
    <row r="41" spans="1:20" ht="51">
      <c r="B41" s="336"/>
      <c r="C41" s="336" t="s">
        <v>49</v>
      </c>
      <c r="D41" s="684" t="s">
        <v>100</v>
      </c>
      <c r="E41" s="685"/>
      <c r="F41" s="686"/>
      <c r="G41" s="345" t="s">
        <v>42</v>
      </c>
      <c r="H41" s="646" t="s">
        <v>216</v>
      </c>
      <c r="I41" s="647"/>
      <c r="J41" s="647"/>
      <c r="K41" s="647"/>
      <c r="L41" s="647"/>
      <c r="M41" s="647"/>
      <c r="N41" s="647"/>
      <c r="O41" s="647"/>
      <c r="P41" s="647"/>
      <c r="Q41" s="648"/>
      <c r="R41" s="330"/>
      <c r="T41" s="446" t="s">
        <v>48</v>
      </c>
    </row>
    <row r="42" spans="1:20">
      <c r="B42" s="328"/>
      <c r="C42" s="336"/>
      <c r="D42" s="333"/>
      <c r="E42" s="333"/>
      <c r="F42" s="333"/>
      <c r="G42" s="328"/>
      <c r="H42" s="333"/>
      <c r="I42" s="333"/>
      <c r="J42" s="333"/>
      <c r="K42" s="333"/>
      <c r="L42" s="333"/>
      <c r="M42" s="333"/>
      <c r="N42" s="333"/>
      <c r="O42" s="333"/>
      <c r="P42" s="333"/>
      <c r="Q42" s="333"/>
      <c r="R42" s="327"/>
    </row>
    <row r="43" spans="1:20" ht="58.5" customHeight="1">
      <c r="B43" s="328"/>
      <c r="C43" s="330" t="s">
        <v>51</v>
      </c>
      <c r="D43" s="684" t="s">
        <v>52</v>
      </c>
      <c r="E43" s="685"/>
      <c r="F43" s="686"/>
      <c r="G43" s="328"/>
      <c r="H43" s="646"/>
      <c r="I43" s="647"/>
      <c r="J43" s="647"/>
      <c r="K43" s="647"/>
      <c r="L43" s="647"/>
      <c r="M43" s="647"/>
      <c r="N43" s="647"/>
      <c r="O43" s="647"/>
      <c r="P43" s="647"/>
      <c r="Q43" s="648"/>
      <c r="R43" s="327"/>
      <c r="T43" s="446" t="s">
        <v>48</v>
      </c>
    </row>
    <row r="44" spans="1:20">
      <c r="B44" s="336"/>
      <c r="C44" s="336"/>
      <c r="D44" s="336"/>
      <c r="E44" s="336"/>
      <c r="F44" s="336"/>
      <c r="G44" s="336"/>
      <c r="H44" s="336"/>
      <c r="I44" s="336"/>
      <c r="J44" s="336"/>
      <c r="K44" s="336"/>
      <c r="L44" s="336"/>
      <c r="M44" s="336"/>
      <c r="N44" s="336"/>
      <c r="O44" s="336"/>
      <c r="P44" s="336"/>
      <c r="Q44" s="336"/>
      <c r="R44" s="336"/>
    </row>
    <row r="45" spans="1:20" ht="57">
      <c r="B45" s="328"/>
      <c r="C45" s="336" t="s">
        <v>53</v>
      </c>
      <c r="D45" s="684" t="s">
        <v>54</v>
      </c>
      <c r="E45" s="685"/>
      <c r="F45" s="686"/>
      <c r="G45" s="328"/>
      <c r="H45" s="646"/>
      <c r="I45" s="647"/>
      <c r="J45" s="647"/>
      <c r="K45" s="647"/>
      <c r="L45" s="647"/>
      <c r="M45" s="647"/>
      <c r="N45" s="647"/>
      <c r="O45" s="647"/>
      <c r="P45" s="647"/>
      <c r="Q45" s="648"/>
      <c r="R45" s="327"/>
      <c r="T45" s="444" t="s">
        <v>48</v>
      </c>
    </row>
    <row r="46" spans="1:20">
      <c r="B46" s="336"/>
      <c r="C46" s="336"/>
      <c r="D46" s="336"/>
      <c r="E46" s="336"/>
      <c r="F46" s="336"/>
      <c r="G46" s="336"/>
      <c r="H46" s="336"/>
      <c r="I46" s="336"/>
      <c r="J46" s="336"/>
      <c r="K46" s="336"/>
      <c r="L46" s="336"/>
      <c r="M46" s="336"/>
      <c r="N46" s="336"/>
      <c r="O46" s="336"/>
      <c r="P46" s="336"/>
      <c r="Q46" s="336"/>
      <c r="R46" s="336"/>
    </row>
    <row r="47" spans="1:20" ht="81" customHeight="1">
      <c r="B47" s="328"/>
      <c r="C47" s="336" t="s">
        <v>55</v>
      </c>
      <c r="D47" s="684" t="s">
        <v>56</v>
      </c>
      <c r="E47" s="685"/>
      <c r="F47" s="686"/>
      <c r="G47" s="328"/>
      <c r="H47" s="646"/>
      <c r="I47" s="647"/>
      <c r="J47" s="647"/>
      <c r="K47" s="647"/>
      <c r="L47" s="647"/>
      <c r="M47" s="647"/>
      <c r="N47" s="647"/>
      <c r="O47" s="647"/>
      <c r="P47" s="647"/>
      <c r="Q47" s="648"/>
      <c r="R47" s="327"/>
      <c r="T47" s="445" t="s">
        <v>48</v>
      </c>
    </row>
    <row r="48" spans="1:20">
      <c r="B48" s="336"/>
      <c r="C48" s="336"/>
      <c r="D48" s="336"/>
      <c r="E48" s="336"/>
      <c r="F48" s="336"/>
      <c r="G48" s="336"/>
      <c r="H48" s="336"/>
      <c r="I48" s="336"/>
      <c r="J48" s="336"/>
      <c r="K48" s="336"/>
      <c r="L48" s="336"/>
      <c r="M48" s="336"/>
      <c r="N48" s="336"/>
      <c r="O48" s="336"/>
      <c r="P48" s="336"/>
      <c r="Q48" s="336"/>
      <c r="R48" s="336"/>
    </row>
    <row r="49" spans="2:20" ht="140.25" hidden="1">
      <c r="B49" s="328"/>
      <c r="C49" s="330" t="s">
        <v>57</v>
      </c>
      <c r="D49" s="684" t="s">
        <v>58</v>
      </c>
      <c r="E49" s="685"/>
      <c r="F49" s="686"/>
      <c r="G49" s="328"/>
      <c r="H49" s="646"/>
      <c r="I49" s="647"/>
      <c r="J49" s="647"/>
      <c r="K49" s="647"/>
      <c r="L49" s="647"/>
      <c r="M49" s="647"/>
      <c r="N49" s="647"/>
      <c r="O49" s="647"/>
      <c r="P49" s="647"/>
      <c r="Q49" s="648"/>
      <c r="R49" s="327"/>
      <c r="T49" s="447" t="s">
        <v>48</v>
      </c>
    </row>
    <row r="50" spans="2:20" hidden="1">
      <c r="B50" s="328"/>
      <c r="C50" s="328"/>
      <c r="D50" s="328"/>
      <c r="E50" s="328"/>
      <c r="F50" s="328"/>
      <c r="G50" s="328"/>
      <c r="H50" s="336"/>
      <c r="I50" s="336"/>
      <c r="J50" s="336"/>
      <c r="K50" s="336"/>
      <c r="L50" s="336"/>
      <c r="M50" s="336"/>
      <c r="N50" s="336"/>
      <c r="O50" s="336"/>
      <c r="P50" s="336"/>
      <c r="Q50" s="336"/>
      <c r="R50" s="327"/>
    </row>
    <row r="51" spans="2:20" ht="61.5" hidden="1">
      <c r="B51" s="328"/>
      <c r="C51" s="336" t="s">
        <v>59</v>
      </c>
      <c r="D51" s="684" t="s">
        <v>60</v>
      </c>
      <c r="E51" s="685"/>
      <c r="F51" s="686"/>
      <c r="G51" s="328"/>
      <c r="H51" s="646"/>
      <c r="I51" s="647"/>
      <c r="J51" s="647"/>
      <c r="K51" s="647"/>
      <c r="L51" s="647"/>
      <c r="M51" s="647"/>
      <c r="N51" s="647"/>
      <c r="O51" s="647"/>
      <c r="P51" s="647"/>
      <c r="Q51" s="648"/>
      <c r="R51" s="327"/>
      <c r="T51" s="443" t="s">
        <v>48</v>
      </c>
    </row>
    <row r="52" spans="2:20" hidden="1">
      <c r="B52" s="328"/>
      <c r="C52" s="330"/>
      <c r="D52" s="328"/>
      <c r="E52" s="328"/>
      <c r="F52" s="328"/>
      <c r="G52" s="328"/>
      <c r="H52" s="336"/>
      <c r="I52" s="336"/>
      <c r="J52" s="336"/>
      <c r="K52" s="336"/>
      <c r="L52" s="336"/>
      <c r="M52" s="336"/>
      <c r="N52" s="336"/>
      <c r="O52" s="336"/>
      <c r="P52" s="336"/>
      <c r="Q52" s="336"/>
      <c r="R52" s="327"/>
    </row>
    <row r="53" spans="2:20" ht="84.75" hidden="1">
      <c r="B53" s="328"/>
      <c r="C53" s="336" t="s">
        <v>61</v>
      </c>
      <c r="D53" s="684" t="s">
        <v>62</v>
      </c>
      <c r="E53" s="685"/>
      <c r="F53" s="686"/>
      <c r="G53" s="328"/>
      <c r="H53" s="646"/>
      <c r="I53" s="647"/>
      <c r="J53" s="647"/>
      <c r="K53" s="647"/>
      <c r="L53" s="647"/>
      <c r="M53" s="647"/>
      <c r="N53" s="647"/>
      <c r="O53" s="647"/>
      <c r="P53" s="647"/>
      <c r="Q53" s="648"/>
      <c r="R53" s="327"/>
      <c r="T53" s="448" t="s">
        <v>48</v>
      </c>
    </row>
    <row r="54" spans="2:20" hidden="1">
      <c r="B54" s="328"/>
      <c r="C54" s="336"/>
      <c r="D54" s="328"/>
      <c r="E54" s="328"/>
      <c r="F54" s="328"/>
      <c r="G54" s="328"/>
      <c r="H54" s="336"/>
      <c r="I54" s="336"/>
      <c r="J54" s="336"/>
      <c r="K54" s="336"/>
      <c r="L54" s="336"/>
      <c r="M54" s="336"/>
      <c r="N54" s="336"/>
      <c r="O54" s="336"/>
      <c r="P54" s="336"/>
      <c r="Q54" s="336"/>
      <c r="R54" s="327"/>
    </row>
    <row r="55" spans="2:20" ht="153" hidden="1">
      <c r="B55" s="328"/>
      <c r="C55" s="336" t="s">
        <v>63</v>
      </c>
      <c r="D55" s="684" t="s">
        <v>101</v>
      </c>
      <c r="E55" s="685"/>
      <c r="F55" s="686"/>
      <c r="G55" s="328"/>
      <c r="H55" s="646"/>
      <c r="I55" s="647"/>
      <c r="J55" s="647"/>
      <c r="K55" s="647"/>
      <c r="L55" s="647"/>
      <c r="M55" s="647"/>
      <c r="N55" s="647"/>
      <c r="O55" s="647"/>
      <c r="P55" s="647"/>
      <c r="Q55" s="648"/>
      <c r="R55" s="327"/>
      <c r="T55" s="449" t="s">
        <v>48</v>
      </c>
    </row>
    <row r="56" spans="2:20" hidden="1">
      <c r="B56" s="328"/>
      <c r="C56" s="328"/>
      <c r="D56" s="328"/>
      <c r="E56" s="328"/>
      <c r="F56" s="328"/>
      <c r="G56" s="328"/>
      <c r="H56" s="336"/>
      <c r="I56" s="336"/>
      <c r="J56" s="336"/>
      <c r="K56" s="336"/>
      <c r="L56" s="336"/>
      <c r="M56" s="336"/>
      <c r="N56" s="336"/>
      <c r="O56" s="336"/>
      <c r="P56" s="336"/>
      <c r="Q56" s="336"/>
      <c r="R56" s="327"/>
    </row>
    <row r="57" spans="2:20" hidden="1">
      <c r="B57" s="328"/>
      <c r="C57" s="336" t="s">
        <v>102</v>
      </c>
      <c r="D57" s="681" t="s">
        <v>103</v>
      </c>
      <c r="E57" s="682"/>
      <c r="F57" s="683"/>
      <c r="G57" s="328"/>
      <c r="H57" s="646"/>
      <c r="I57" s="647"/>
      <c r="J57" s="647"/>
      <c r="K57" s="647"/>
      <c r="L57" s="647"/>
      <c r="M57" s="647"/>
      <c r="N57" s="647"/>
      <c r="O57" s="647"/>
      <c r="P57" s="647"/>
      <c r="Q57" s="648"/>
      <c r="R57" s="327"/>
    </row>
    <row r="58" spans="2:20" hidden="1">
      <c r="B58" s="328"/>
      <c r="C58" s="328"/>
      <c r="D58" s="328"/>
      <c r="E58" s="328"/>
      <c r="F58" s="328"/>
      <c r="G58" s="328"/>
      <c r="H58" s="336"/>
      <c r="I58" s="336"/>
      <c r="J58" s="336"/>
      <c r="K58" s="336"/>
      <c r="L58" s="336"/>
      <c r="M58" s="336"/>
      <c r="N58" s="336"/>
      <c r="O58" s="336"/>
      <c r="P58" s="336"/>
      <c r="Q58" s="336"/>
      <c r="R58" s="327"/>
    </row>
    <row r="59" spans="2:20" hidden="1">
      <c r="B59" s="328"/>
      <c r="C59" s="336" t="s">
        <v>104</v>
      </c>
      <c r="D59" s="681" t="s">
        <v>105</v>
      </c>
      <c r="E59" s="682"/>
      <c r="F59" s="683"/>
      <c r="G59" s="328"/>
      <c r="H59" s="646"/>
      <c r="I59" s="647"/>
      <c r="J59" s="647"/>
      <c r="K59" s="647"/>
      <c r="L59" s="647"/>
      <c r="M59" s="647"/>
      <c r="N59" s="647"/>
      <c r="O59" s="647"/>
      <c r="P59" s="647"/>
      <c r="Q59" s="648"/>
      <c r="R59" s="327"/>
    </row>
    <row r="60" spans="2:20" hidden="1">
      <c r="B60" s="328"/>
      <c r="C60" s="328"/>
      <c r="D60" s="328"/>
      <c r="E60" s="328"/>
      <c r="F60" s="328"/>
      <c r="G60" s="328"/>
      <c r="H60" s="336"/>
      <c r="I60" s="336"/>
      <c r="J60" s="336"/>
      <c r="K60" s="336"/>
      <c r="L60" s="336"/>
      <c r="M60" s="336"/>
      <c r="N60" s="336"/>
      <c r="O60" s="336"/>
      <c r="P60" s="336"/>
      <c r="Q60" s="336"/>
      <c r="R60" s="327"/>
    </row>
    <row r="61" spans="2:20" hidden="1">
      <c r="B61" s="328"/>
      <c r="C61" s="336" t="s">
        <v>106</v>
      </c>
      <c r="D61" s="681" t="s">
        <v>107</v>
      </c>
      <c r="E61" s="682"/>
      <c r="F61" s="683"/>
      <c r="G61" s="328"/>
      <c r="H61" s="646"/>
      <c r="I61" s="647"/>
      <c r="J61" s="647"/>
      <c r="K61" s="647"/>
      <c r="L61" s="647"/>
      <c r="M61" s="647"/>
      <c r="N61" s="647"/>
      <c r="O61" s="647"/>
      <c r="P61" s="647"/>
      <c r="Q61" s="648"/>
      <c r="R61" s="327"/>
    </row>
    <row r="62" spans="2:20" hidden="1">
      <c r="B62" s="328"/>
      <c r="C62" s="328"/>
      <c r="D62" s="328"/>
      <c r="E62" s="328"/>
      <c r="F62" s="328"/>
      <c r="G62" s="328"/>
      <c r="H62" s="336"/>
      <c r="I62" s="336"/>
      <c r="J62" s="336"/>
      <c r="K62" s="336"/>
      <c r="L62" s="336"/>
      <c r="M62" s="336"/>
      <c r="N62" s="336"/>
      <c r="O62" s="336"/>
      <c r="P62" s="336"/>
      <c r="Q62" s="336"/>
      <c r="R62" s="327"/>
    </row>
    <row r="63" spans="2:20" hidden="1">
      <c r="B63" s="328"/>
      <c r="C63" s="336" t="s">
        <v>108</v>
      </c>
      <c r="D63" s="681" t="s">
        <v>109</v>
      </c>
      <c r="E63" s="682"/>
      <c r="F63" s="683"/>
      <c r="G63" s="328"/>
      <c r="H63" s="646"/>
      <c r="I63" s="647"/>
      <c r="J63" s="647"/>
      <c r="K63" s="647"/>
      <c r="L63" s="647"/>
      <c r="M63" s="647"/>
      <c r="N63" s="647"/>
      <c r="O63" s="647"/>
      <c r="P63" s="647"/>
      <c r="Q63" s="648"/>
      <c r="R63" s="327"/>
    </row>
    <row r="64" spans="2:20" hidden="1">
      <c r="B64" s="328"/>
      <c r="C64" s="328"/>
      <c r="D64" s="328"/>
      <c r="E64" s="328"/>
      <c r="F64" s="328"/>
      <c r="G64" s="328"/>
      <c r="H64" s="336"/>
      <c r="I64" s="336"/>
      <c r="J64" s="336"/>
      <c r="K64" s="336"/>
      <c r="L64" s="336"/>
      <c r="M64" s="336"/>
      <c r="N64" s="336"/>
      <c r="O64" s="336"/>
      <c r="P64" s="336"/>
      <c r="Q64" s="336"/>
      <c r="R64" s="327"/>
    </row>
    <row r="65" spans="2:18" hidden="1">
      <c r="B65" s="328"/>
      <c r="C65" s="336" t="s">
        <v>110</v>
      </c>
      <c r="D65" s="681" t="s">
        <v>217</v>
      </c>
      <c r="E65" s="682"/>
      <c r="F65" s="683"/>
      <c r="G65" s="328"/>
      <c r="H65" s="646"/>
      <c r="I65" s="647"/>
      <c r="J65" s="647"/>
      <c r="K65" s="647"/>
      <c r="L65" s="647"/>
      <c r="M65" s="647"/>
      <c r="N65" s="647"/>
      <c r="O65" s="647"/>
      <c r="P65" s="647"/>
      <c r="Q65" s="648"/>
      <c r="R65" s="327"/>
    </row>
    <row r="66" spans="2:18" hidden="1">
      <c r="B66" s="328"/>
      <c r="C66" s="328"/>
      <c r="D66" s="328"/>
      <c r="E66" s="328"/>
      <c r="F66" s="328"/>
      <c r="G66" s="328"/>
      <c r="H66" s="336"/>
      <c r="I66" s="336"/>
      <c r="J66" s="336"/>
      <c r="K66" s="336"/>
      <c r="L66" s="336"/>
      <c r="M66" s="336"/>
      <c r="N66" s="336"/>
      <c r="O66" s="336"/>
      <c r="P66" s="336"/>
      <c r="Q66" s="336"/>
      <c r="R66" s="327"/>
    </row>
    <row r="67" spans="2:18" hidden="1">
      <c r="B67" s="328"/>
      <c r="C67" s="336" t="s">
        <v>112</v>
      </c>
      <c r="D67" s="681" t="s">
        <v>113</v>
      </c>
      <c r="E67" s="682"/>
      <c r="F67" s="683"/>
      <c r="G67" s="328"/>
      <c r="H67" s="646"/>
      <c r="I67" s="647"/>
      <c r="J67" s="647"/>
      <c r="K67" s="647"/>
      <c r="L67" s="647"/>
      <c r="M67" s="647"/>
      <c r="N67" s="647"/>
      <c r="O67" s="647"/>
      <c r="P67" s="647"/>
      <c r="Q67" s="648"/>
      <c r="R67" s="327"/>
    </row>
    <row r="68" spans="2:18" hidden="1">
      <c r="B68" s="328"/>
      <c r="C68" s="328"/>
      <c r="D68" s="328"/>
      <c r="E68" s="328"/>
      <c r="F68" s="328"/>
      <c r="G68" s="328"/>
      <c r="H68" s="336"/>
      <c r="I68" s="336"/>
      <c r="J68" s="336"/>
      <c r="K68" s="336"/>
      <c r="L68" s="336"/>
      <c r="M68" s="336"/>
      <c r="N68" s="336"/>
      <c r="O68" s="336"/>
      <c r="P68" s="336"/>
      <c r="Q68" s="336"/>
      <c r="R68" s="327"/>
    </row>
    <row r="69" spans="2:18" hidden="1">
      <c r="B69" s="328"/>
      <c r="C69" s="336" t="s">
        <v>114</v>
      </c>
      <c r="D69" s="681" t="s">
        <v>115</v>
      </c>
      <c r="E69" s="682"/>
      <c r="F69" s="683"/>
      <c r="G69" s="328"/>
      <c r="H69" s="646"/>
      <c r="I69" s="647"/>
      <c r="J69" s="647"/>
      <c r="K69" s="647"/>
      <c r="L69" s="647"/>
      <c r="M69" s="647"/>
      <c r="N69" s="647"/>
      <c r="O69" s="647"/>
      <c r="P69" s="647"/>
      <c r="Q69" s="648"/>
      <c r="R69" s="327"/>
    </row>
    <row r="70" spans="2:18" hidden="1">
      <c r="B70" s="328"/>
      <c r="C70" s="328"/>
      <c r="D70" s="328"/>
      <c r="E70" s="328"/>
      <c r="F70" s="328"/>
      <c r="G70" s="328"/>
      <c r="H70" s="336"/>
      <c r="I70" s="336"/>
      <c r="J70" s="336"/>
      <c r="K70" s="336"/>
      <c r="L70" s="336"/>
      <c r="M70" s="336"/>
      <c r="N70" s="336"/>
      <c r="O70" s="336"/>
      <c r="P70" s="336"/>
      <c r="Q70" s="336"/>
      <c r="R70" s="327"/>
    </row>
    <row r="71" spans="2:18" hidden="1">
      <c r="B71" s="328"/>
      <c r="C71" s="336" t="s">
        <v>116</v>
      </c>
      <c r="D71" s="681" t="s">
        <v>117</v>
      </c>
      <c r="E71" s="682"/>
      <c r="F71" s="683"/>
      <c r="G71" s="328"/>
      <c r="H71" s="646"/>
      <c r="I71" s="647"/>
      <c r="J71" s="647"/>
      <c r="K71" s="647"/>
      <c r="L71" s="647"/>
      <c r="M71" s="647"/>
      <c r="N71" s="647"/>
      <c r="O71" s="647"/>
      <c r="P71" s="647"/>
      <c r="Q71" s="648"/>
      <c r="R71" s="327"/>
    </row>
    <row r="72" spans="2:18" hidden="1">
      <c r="B72" s="328"/>
      <c r="C72" s="328"/>
      <c r="D72" s="328"/>
      <c r="E72" s="328"/>
      <c r="F72" s="328"/>
      <c r="G72" s="328"/>
      <c r="H72" s="336"/>
      <c r="I72" s="336"/>
      <c r="J72" s="336"/>
      <c r="K72" s="336"/>
      <c r="L72" s="336"/>
      <c r="M72" s="336"/>
      <c r="N72" s="336"/>
      <c r="O72" s="336"/>
      <c r="P72" s="336"/>
      <c r="Q72" s="336"/>
      <c r="R72" s="327"/>
    </row>
    <row r="73" spans="2:18" hidden="1">
      <c r="B73" s="328"/>
      <c r="C73" s="336" t="s">
        <v>118</v>
      </c>
      <c r="D73" s="681" t="s">
        <v>119</v>
      </c>
      <c r="E73" s="682"/>
      <c r="F73" s="683"/>
      <c r="G73" s="328"/>
      <c r="H73" s="646"/>
      <c r="I73" s="647"/>
      <c r="J73" s="647"/>
      <c r="K73" s="647"/>
      <c r="L73" s="647"/>
      <c r="M73" s="647"/>
      <c r="N73" s="647"/>
      <c r="O73" s="647"/>
      <c r="P73" s="647"/>
      <c r="Q73" s="648"/>
      <c r="R73" s="327"/>
    </row>
    <row r="74" spans="2:18" hidden="1">
      <c r="B74" s="328"/>
      <c r="C74" s="328"/>
      <c r="D74" s="328"/>
      <c r="E74" s="328"/>
      <c r="F74" s="328"/>
      <c r="G74" s="328"/>
      <c r="H74" s="336"/>
      <c r="I74" s="336"/>
      <c r="J74" s="336"/>
      <c r="K74" s="336"/>
      <c r="L74" s="336"/>
      <c r="M74" s="336"/>
      <c r="N74" s="336"/>
      <c r="O74" s="336"/>
      <c r="P74" s="336"/>
      <c r="Q74" s="336"/>
      <c r="R74" s="327"/>
    </row>
    <row r="75" spans="2:18" hidden="1">
      <c r="B75" s="328"/>
      <c r="C75" s="336" t="s">
        <v>120</v>
      </c>
      <c r="D75" s="681" t="s">
        <v>121</v>
      </c>
      <c r="E75" s="682"/>
      <c r="F75" s="683"/>
      <c r="G75" s="328"/>
      <c r="H75" s="646"/>
      <c r="I75" s="647"/>
      <c r="J75" s="647"/>
      <c r="K75" s="647"/>
      <c r="L75" s="647"/>
      <c r="M75" s="647"/>
      <c r="N75" s="647"/>
      <c r="O75" s="647"/>
      <c r="P75" s="647"/>
      <c r="Q75" s="648"/>
      <c r="R75" s="327"/>
    </row>
    <row r="76" spans="2:18" hidden="1">
      <c r="B76" s="328"/>
      <c r="C76" s="328"/>
      <c r="D76" s="328"/>
      <c r="E76" s="328"/>
      <c r="F76" s="328"/>
      <c r="G76" s="328"/>
      <c r="H76" s="336"/>
      <c r="I76" s="336"/>
      <c r="J76" s="336"/>
      <c r="K76" s="336"/>
      <c r="L76" s="336"/>
      <c r="M76" s="336"/>
      <c r="N76" s="336"/>
      <c r="O76" s="336"/>
      <c r="P76" s="336"/>
      <c r="Q76" s="336"/>
      <c r="R76" s="327"/>
    </row>
    <row r="77" spans="2:18" hidden="1">
      <c r="B77" s="328"/>
      <c r="C77" s="336" t="s">
        <v>122</v>
      </c>
      <c r="D77" s="681" t="s">
        <v>123</v>
      </c>
      <c r="E77" s="682"/>
      <c r="F77" s="683"/>
      <c r="G77" s="328"/>
      <c r="H77" s="646"/>
      <c r="I77" s="647"/>
      <c r="J77" s="647"/>
      <c r="K77" s="647"/>
      <c r="L77" s="647"/>
      <c r="M77" s="647"/>
      <c r="N77" s="647"/>
      <c r="O77" s="647"/>
      <c r="P77" s="647"/>
      <c r="Q77" s="648"/>
      <c r="R77" s="327"/>
    </row>
    <row r="78" spans="2:18" hidden="1">
      <c r="B78" s="328"/>
      <c r="C78" s="328"/>
      <c r="D78" s="328"/>
      <c r="E78" s="328"/>
      <c r="F78" s="328"/>
      <c r="G78" s="328"/>
      <c r="H78" s="336"/>
      <c r="I78" s="336"/>
      <c r="J78" s="336"/>
      <c r="K78" s="336"/>
      <c r="L78" s="336"/>
      <c r="M78" s="336"/>
      <c r="N78" s="336"/>
      <c r="O78" s="336"/>
      <c r="P78" s="336"/>
      <c r="Q78" s="336"/>
      <c r="R78" s="327"/>
    </row>
    <row r="79" spans="2:18" hidden="1">
      <c r="B79" s="328"/>
      <c r="C79" s="336" t="s">
        <v>124</v>
      </c>
      <c r="D79" s="681" t="s">
        <v>125</v>
      </c>
      <c r="E79" s="682"/>
      <c r="F79" s="683"/>
      <c r="G79" s="328"/>
      <c r="H79" s="646"/>
      <c r="I79" s="647"/>
      <c r="J79" s="647"/>
      <c r="K79" s="647"/>
      <c r="L79" s="647"/>
      <c r="M79" s="647"/>
      <c r="N79" s="647"/>
      <c r="O79" s="647"/>
      <c r="P79" s="647"/>
      <c r="Q79" s="648"/>
      <c r="R79" s="327"/>
    </row>
    <row r="80" spans="2:18" hidden="1">
      <c r="B80" s="328"/>
      <c r="C80" s="328"/>
      <c r="D80" s="328"/>
      <c r="E80" s="328"/>
      <c r="F80" s="328"/>
      <c r="G80" s="328"/>
      <c r="H80" s="336"/>
      <c r="I80" s="336"/>
      <c r="J80" s="336"/>
      <c r="K80" s="336"/>
      <c r="L80" s="336"/>
      <c r="M80" s="336"/>
      <c r="N80" s="336"/>
      <c r="O80" s="336"/>
      <c r="P80" s="336"/>
      <c r="Q80" s="336"/>
      <c r="R80" s="327"/>
    </row>
    <row r="81" spans="1:18" hidden="1">
      <c r="B81" s="328"/>
      <c r="C81" s="336" t="s">
        <v>126</v>
      </c>
      <c r="D81" s="681" t="s">
        <v>127</v>
      </c>
      <c r="E81" s="682"/>
      <c r="F81" s="683"/>
      <c r="G81" s="328"/>
      <c r="H81" s="646"/>
      <c r="I81" s="647"/>
      <c r="J81" s="647"/>
      <c r="K81" s="647"/>
      <c r="L81" s="647"/>
      <c r="M81" s="647"/>
      <c r="N81" s="647"/>
      <c r="O81" s="647"/>
      <c r="P81" s="647"/>
      <c r="Q81" s="648"/>
      <c r="R81" s="327"/>
    </row>
    <row r="82" spans="1:18" hidden="1">
      <c r="B82" s="328"/>
      <c r="C82" s="328"/>
      <c r="D82" s="328"/>
      <c r="E82" s="328"/>
      <c r="F82" s="328"/>
      <c r="G82" s="328"/>
      <c r="H82" s="336"/>
      <c r="I82" s="336"/>
      <c r="J82" s="336"/>
      <c r="K82" s="336"/>
      <c r="L82" s="336"/>
      <c r="M82" s="336"/>
      <c r="N82" s="336"/>
      <c r="O82" s="336"/>
      <c r="P82" s="336"/>
      <c r="Q82" s="336"/>
      <c r="R82" s="327"/>
    </row>
    <row r="83" spans="1:18" hidden="1">
      <c r="B83" s="328"/>
      <c r="C83" s="336" t="s">
        <v>128</v>
      </c>
      <c r="D83" s="681" t="s">
        <v>129</v>
      </c>
      <c r="E83" s="682"/>
      <c r="F83" s="683"/>
      <c r="G83" s="328"/>
      <c r="H83" s="646"/>
      <c r="I83" s="647"/>
      <c r="J83" s="647"/>
      <c r="K83" s="647"/>
      <c r="L83" s="647"/>
      <c r="M83" s="647"/>
      <c r="N83" s="647"/>
      <c r="O83" s="647"/>
      <c r="P83" s="647"/>
      <c r="Q83" s="648"/>
      <c r="R83" s="327"/>
    </row>
    <row r="84" spans="1:18" hidden="1">
      <c r="B84" s="328"/>
      <c r="C84" s="328"/>
      <c r="D84" s="328"/>
      <c r="E84" s="328"/>
      <c r="F84" s="328"/>
      <c r="G84" s="328"/>
      <c r="H84" s="336"/>
      <c r="I84" s="336"/>
      <c r="J84" s="336"/>
      <c r="K84" s="336"/>
      <c r="L84" s="336"/>
      <c r="M84" s="336"/>
      <c r="N84" s="336"/>
      <c r="O84" s="336"/>
      <c r="P84" s="336"/>
      <c r="Q84" s="336"/>
      <c r="R84" s="327"/>
    </row>
    <row r="85" spans="1:18" hidden="1">
      <c r="B85" s="328"/>
      <c r="C85" s="336" t="s">
        <v>130</v>
      </c>
      <c r="D85" s="681" t="s">
        <v>131</v>
      </c>
      <c r="E85" s="682"/>
      <c r="F85" s="683"/>
      <c r="G85" s="328"/>
      <c r="H85" s="646"/>
      <c r="I85" s="647"/>
      <c r="J85" s="647"/>
      <c r="K85" s="647"/>
      <c r="L85" s="647"/>
      <c r="M85" s="647"/>
      <c r="N85" s="647"/>
      <c r="O85" s="647"/>
      <c r="P85" s="647"/>
      <c r="Q85" s="648"/>
      <c r="R85" s="327"/>
    </row>
    <row r="86" spans="1:18" hidden="1">
      <c r="B86" s="328"/>
      <c r="C86" s="328"/>
      <c r="D86" s="328"/>
      <c r="E86" s="328"/>
      <c r="F86" s="328"/>
      <c r="G86" s="328"/>
      <c r="H86" s="336"/>
      <c r="I86" s="336"/>
      <c r="J86" s="336"/>
      <c r="K86" s="336"/>
      <c r="L86" s="336"/>
      <c r="M86" s="336"/>
      <c r="N86" s="336"/>
      <c r="O86" s="336"/>
      <c r="P86" s="336"/>
      <c r="Q86" s="336"/>
      <c r="R86" s="327"/>
    </row>
    <row r="87" spans="1:18" hidden="1">
      <c r="B87" s="328"/>
      <c r="C87" s="336" t="s">
        <v>132</v>
      </c>
      <c r="D87" s="681" t="s">
        <v>133</v>
      </c>
      <c r="E87" s="682"/>
      <c r="F87" s="683"/>
      <c r="G87" s="328"/>
      <c r="H87" s="646"/>
      <c r="I87" s="647"/>
      <c r="J87" s="647"/>
      <c r="K87" s="647"/>
      <c r="L87" s="647"/>
      <c r="M87" s="647"/>
      <c r="N87" s="647"/>
      <c r="O87" s="647"/>
      <c r="P87" s="647"/>
      <c r="Q87" s="648"/>
      <c r="R87" s="327"/>
    </row>
    <row r="88" spans="1:18" hidden="1">
      <c r="B88" s="328"/>
      <c r="C88" s="328"/>
      <c r="D88" s="328"/>
      <c r="E88" s="328"/>
      <c r="F88" s="328"/>
      <c r="G88" s="328"/>
      <c r="H88" s="336"/>
      <c r="I88" s="336"/>
      <c r="J88" s="336"/>
      <c r="K88" s="336"/>
      <c r="L88" s="336"/>
      <c r="M88" s="336"/>
      <c r="N88" s="336"/>
      <c r="O88" s="336"/>
      <c r="P88" s="336"/>
      <c r="Q88" s="336"/>
      <c r="R88" s="327"/>
    </row>
    <row r="89" spans="1:18" hidden="1">
      <c r="B89" s="328"/>
      <c r="C89" s="336" t="s">
        <v>134</v>
      </c>
      <c r="D89" s="681" t="s">
        <v>135</v>
      </c>
      <c r="E89" s="682"/>
      <c r="F89" s="683"/>
      <c r="G89" s="328"/>
      <c r="H89" s="646"/>
      <c r="I89" s="647"/>
      <c r="J89" s="647"/>
      <c r="K89" s="647"/>
      <c r="L89" s="647"/>
      <c r="M89" s="647"/>
      <c r="N89" s="647"/>
      <c r="O89" s="647"/>
      <c r="P89" s="647"/>
      <c r="Q89" s="648"/>
      <c r="R89" s="327"/>
    </row>
    <row r="90" spans="1:18">
      <c r="B90" s="328"/>
      <c r="C90" s="328"/>
      <c r="D90" s="328"/>
      <c r="E90" s="328"/>
      <c r="F90" s="328"/>
      <c r="G90" s="328"/>
      <c r="H90" s="336"/>
      <c r="I90" s="336"/>
      <c r="J90" s="336"/>
      <c r="K90" s="336"/>
      <c r="L90" s="336"/>
      <c r="M90" s="336"/>
      <c r="N90" s="336"/>
      <c r="O90" s="336"/>
      <c r="P90" s="336"/>
      <c r="Q90" s="336"/>
      <c r="R90" s="327"/>
    </row>
    <row r="91" spans="1:18">
      <c r="A91" s="346"/>
      <c r="B91" s="346"/>
      <c r="C91" s="346"/>
      <c r="D91" s="455" t="s">
        <v>65</v>
      </c>
      <c r="E91" s="346"/>
      <c r="F91" s="346"/>
      <c r="G91" s="347"/>
      <c r="H91" s="346"/>
      <c r="I91" s="346"/>
      <c r="J91" s="346"/>
      <c r="K91" s="346"/>
      <c r="L91" s="346"/>
      <c r="M91" s="346"/>
      <c r="N91" s="346"/>
      <c r="O91" s="346"/>
      <c r="P91" s="346"/>
      <c r="Q91" s="346"/>
      <c r="R91" s="346"/>
    </row>
    <row r="92" spans="1:18" hidden="1">
      <c r="B92" s="328"/>
      <c r="C92" s="336" t="s">
        <v>109</v>
      </c>
      <c r="D92" s="336" t="s">
        <v>137</v>
      </c>
      <c r="E92" s="336"/>
      <c r="F92" s="336"/>
      <c r="G92" s="336"/>
      <c r="H92" s="336"/>
      <c r="I92" s="336"/>
      <c r="J92" s="336"/>
      <c r="K92" s="328"/>
      <c r="L92" s="334" t="s">
        <v>138</v>
      </c>
      <c r="M92" s="328"/>
      <c r="N92" s="334" t="s">
        <v>139</v>
      </c>
      <c r="O92" s="334"/>
      <c r="P92" s="334"/>
      <c r="Q92" s="329" t="s">
        <v>139</v>
      </c>
      <c r="R92" s="327"/>
    </row>
    <row r="93" spans="1:18" hidden="1">
      <c r="B93" s="348"/>
      <c r="C93" s="349"/>
      <c r="D93" s="350" t="s">
        <v>66</v>
      </c>
      <c r="E93" s="351"/>
      <c r="F93" s="351"/>
      <c r="G93" s="351"/>
      <c r="H93" s="351"/>
      <c r="I93" s="351"/>
      <c r="J93" s="351"/>
      <c r="K93" s="351"/>
      <c r="L93" s="351"/>
      <c r="M93" s="351"/>
      <c r="N93" s="351"/>
      <c r="O93" s="351"/>
      <c r="P93" s="351"/>
      <c r="Q93" s="351"/>
      <c r="R93" s="329"/>
    </row>
    <row r="94" spans="1:18">
      <c r="B94" s="328"/>
      <c r="C94" s="329"/>
      <c r="D94" s="329"/>
      <c r="E94" s="328"/>
      <c r="F94" s="328"/>
      <c r="G94" s="328"/>
      <c r="H94" s="329"/>
      <c r="I94" s="328"/>
      <c r="J94" s="328"/>
      <c r="K94" s="328"/>
      <c r="L94" s="329"/>
      <c r="M94" s="328"/>
      <c r="N94" s="329"/>
      <c r="O94" s="328"/>
      <c r="P94" s="328"/>
      <c r="Q94" s="328"/>
      <c r="R94" s="327"/>
    </row>
    <row r="95" spans="1:18">
      <c r="B95" s="328"/>
      <c r="C95" s="330" t="s">
        <v>67</v>
      </c>
      <c r="D95" s="687" t="s">
        <v>68</v>
      </c>
      <c r="E95" s="688"/>
      <c r="F95" s="688"/>
      <c r="G95" s="688"/>
      <c r="H95" s="688"/>
      <c r="I95" s="688"/>
      <c r="J95" s="689"/>
      <c r="K95" s="328"/>
      <c r="L95" s="21"/>
      <c r="M95" s="328"/>
      <c r="N95" s="352"/>
      <c r="O95" s="352"/>
      <c r="P95" s="352"/>
      <c r="Q95" s="475"/>
      <c r="R95" s="328"/>
    </row>
    <row r="96" spans="1:18">
      <c r="B96" s="328"/>
      <c r="C96" s="353"/>
      <c r="D96" s="328"/>
      <c r="E96" s="328"/>
      <c r="F96" s="333"/>
      <c r="G96" s="328"/>
      <c r="H96" s="333"/>
      <c r="I96" s="328"/>
      <c r="J96" s="328"/>
      <c r="K96" s="328"/>
      <c r="L96" s="328"/>
      <c r="M96" s="328"/>
      <c r="N96" s="328"/>
      <c r="O96" s="328"/>
      <c r="P96" s="327"/>
      <c r="Q96" s="328"/>
      <c r="R96" s="328"/>
    </row>
    <row r="97" spans="2:20">
      <c r="B97" s="328"/>
      <c r="C97" s="336" t="s">
        <v>69</v>
      </c>
      <c r="D97" s="687" t="s">
        <v>70</v>
      </c>
      <c r="E97" s="688"/>
      <c r="F97" s="688"/>
      <c r="G97" s="688"/>
      <c r="H97" s="688"/>
      <c r="I97" s="688"/>
      <c r="J97" s="689"/>
      <c r="K97" s="328"/>
      <c r="L97" s="21"/>
      <c r="M97" s="328"/>
      <c r="N97" s="352"/>
      <c r="O97" s="352"/>
      <c r="P97" s="352"/>
      <c r="Q97" s="475"/>
      <c r="R97" s="328"/>
    </row>
    <row r="98" spans="2:20">
      <c r="B98" s="328"/>
      <c r="C98" s="354"/>
      <c r="D98" s="355"/>
      <c r="E98" s="328"/>
      <c r="F98" s="328"/>
      <c r="G98" s="328"/>
      <c r="H98" s="333"/>
      <c r="I98" s="333"/>
      <c r="J98" s="333"/>
      <c r="K98" s="328"/>
      <c r="L98" s="328"/>
      <c r="M98" s="328"/>
      <c r="N98" s="328"/>
      <c r="O98" s="328"/>
      <c r="P98" s="328"/>
      <c r="Q98" s="328"/>
      <c r="R98" s="327"/>
    </row>
    <row r="99" spans="2:20" ht="33.75">
      <c r="B99" s="328"/>
      <c r="C99" s="336" t="s">
        <v>72</v>
      </c>
      <c r="D99" s="687" t="s">
        <v>218</v>
      </c>
      <c r="E99" s="688"/>
      <c r="F99" s="688"/>
      <c r="G99" s="688"/>
      <c r="H99" s="688"/>
      <c r="I99" s="688"/>
      <c r="J99" s="689"/>
      <c r="K99" s="328"/>
      <c r="L99" s="21"/>
      <c r="M99" s="328"/>
      <c r="N99" s="352"/>
      <c r="O99" s="352"/>
      <c r="P99" s="352"/>
      <c r="Q99" s="475"/>
      <c r="R99" s="328"/>
      <c r="T99" s="442" t="s">
        <v>48</v>
      </c>
    </row>
    <row r="100" spans="2:20">
      <c r="B100" s="328"/>
      <c r="C100" s="354"/>
      <c r="D100" s="355"/>
      <c r="E100" s="328"/>
      <c r="F100" s="328"/>
      <c r="G100" s="328"/>
      <c r="H100" s="333"/>
      <c r="I100" s="333"/>
      <c r="J100" s="333"/>
      <c r="K100" s="328"/>
      <c r="L100" s="328"/>
      <c r="M100" s="328"/>
      <c r="N100" s="328"/>
      <c r="O100" s="328"/>
      <c r="P100" s="328"/>
      <c r="Q100" s="328"/>
      <c r="R100" s="327"/>
    </row>
    <row r="101" spans="2:20" hidden="1">
      <c r="B101" s="328"/>
      <c r="C101" s="328"/>
      <c r="D101" s="328"/>
      <c r="E101" s="328"/>
      <c r="F101" s="328"/>
      <c r="G101" s="328"/>
      <c r="H101" s="328"/>
      <c r="I101" s="328"/>
      <c r="J101" s="328"/>
      <c r="K101" s="328"/>
      <c r="L101" s="328"/>
      <c r="M101" s="328"/>
      <c r="N101" s="328"/>
      <c r="O101" s="328"/>
      <c r="P101" s="328"/>
      <c r="Q101" s="328"/>
      <c r="R101" s="327"/>
    </row>
    <row r="102" spans="2:20" ht="20.25" customHeight="1">
      <c r="B102" s="690" t="s">
        <v>219</v>
      </c>
      <c r="C102" s="691"/>
      <c r="D102" s="691"/>
      <c r="E102" s="691"/>
      <c r="F102" s="691"/>
      <c r="G102" s="691"/>
      <c r="H102" s="691"/>
      <c r="I102" s="691"/>
      <c r="J102" s="691"/>
      <c r="K102" s="691"/>
      <c r="L102" s="691"/>
      <c r="M102" s="691"/>
      <c r="N102" s="691"/>
      <c r="O102" s="691"/>
      <c r="P102" s="691"/>
      <c r="Q102" s="691"/>
      <c r="R102" s="692"/>
    </row>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xr:uid="{00000000-0002-0000-0500-000000000000}"/>
    <dataValidation type="list" allowBlank="1" showInputMessage="1" showErrorMessage="1" sqref="H41:Q41" xr:uid="{00000000-0002-0000-0500-000001000000}">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xr:uid="{00000000-0002-0000-0500-000002000000}">
      <formula1>"Yes,No"</formula1>
    </dataValidation>
    <dataValidation type="list" allowBlank="1" showInputMessage="1" showErrorMessage="1" sqref="C2:C3" xr:uid="{00000000-0002-0000-0500-000003000000}">
      <formula1>"✓, X"</formula1>
    </dataValidation>
  </dataValidations>
  <hyperlinks>
    <hyperlink ref="D2:Q2" r:id="rId1" display="* I have read and agreed to the following CAMSS Privacy Statement: LINK." xr:uid="{00000000-0004-0000-0500-000000000000}"/>
    <hyperlink ref="H17" r:id="rId2" xr:uid="{00000000-0004-0000-0500-000001000000}"/>
    <hyperlink ref="H39" r:id="rId3"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sheetViews>
  <sheetFormatPr defaultColWidth="8.7109375" defaultRowHeight="15"/>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
  <sheetViews>
    <sheetView topLeftCell="A5" workbookViewId="0">
      <selection activeCell="G40" sqref="A40:G41"/>
    </sheetView>
  </sheetViews>
  <sheetFormatPr defaultColWidth="8.7109375" defaultRowHeight="15"/>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L230"/>
  <sheetViews>
    <sheetView showGridLines="0" showRowColHeaders="0" workbookViewId="0">
      <selection activeCell="I18" sqref="I18"/>
    </sheetView>
  </sheetViews>
  <sheetFormatPr defaultColWidth="0" defaultRowHeight="15" zeroHeight="1"/>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c r="A1" s="357"/>
      <c r="B1" s="357"/>
      <c r="C1" s="358"/>
      <c r="D1" s="359"/>
      <c r="E1" s="359"/>
      <c r="F1" s="359"/>
      <c r="G1" s="357"/>
      <c r="H1" s="357"/>
      <c r="I1" s="360"/>
      <c r="J1" s="361"/>
    </row>
    <row r="2" spans="1:10">
      <c r="A2" s="362"/>
      <c r="B2" s="362"/>
      <c r="C2" s="418" t="s">
        <v>144</v>
      </c>
      <c r="D2" s="363"/>
      <c r="E2" s="717">
        <v>44104</v>
      </c>
      <c r="F2" s="718"/>
      <c r="G2" s="718"/>
      <c r="H2" s="719"/>
      <c r="I2" s="364"/>
      <c r="J2" s="365"/>
    </row>
    <row r="3" spans="1:10" ht="5.25" customHeight="1">
      <c r="A3" s="362"/>
      <c r="B3" s="362"/>
      <c r="C3" s="377"/>
      <c r="D3" s="363"/>
      <c r="E3" s="368"/>
      <c r="F3" s="368"/>
      <c r="G3" s="368"/>
      <c r="H3" s="368"/>
      <c r="I3" s="364"/>
      <c r="J3" s="365"/>
    </row>
    <row r="4" spans="1:10">
      <c r="A4" s="362"/>
      <c r="B4" s="362"/>
      <c r="C4" s="418" t="s">
        <v>146</v>
      </c>
      <c r="D4" s="363"/>
      <c r="E4" s="720"/>
      <c r="F4" s="721"/>
      <c r="G4" s="721"/>
      <c r="H4" s="722"/>
      <c r="I4" s="364"/>
      <c r="J4" s="365"/>
    </row>
    <row r="5" spans="1:10" ht="5.25" customHeight="1">
      <c r="A5" s="362"/>
      <c r="B5" s="362"/>
      <c r="C5" s="377"/>
      <c r="D5" s="363"/>
      <c r="E5" s="368"/>
      <c r="F5" s="368"/>
      <c r="G5" s="368"/>
      <c r="H5" s="368"/>
      <c r="I5" s="364"/>
      <c r="J5" s="365"/>
    </row>
    <row r="6" spans="1:10" hidden="1">
      <c r="A6" s="362"/>
      <c r="B6" s="362"/>
      <c r="C6" s="377"/>
      <c r="D6" s="363"/>
      <c r="E6" s="723"/>
      <c r="F6" s="724"/>
      <c r="G6" s="724"/>
      <c r="H6" s="725"/>
      <c r="I6" s="364"/>
      <c r="J6" s="365"/>
    </row>
    <row r="7" spans="1:10" ht="5.25" hidden="1" customHeight="1">
      <c r="A7" s="362"/>
      <c r="B7" s="362"/>
      <c r="C7" s="377"/>
      <c r="D7" s="363"/>
      <c r="E7" s="368"/>
      <c r="F7" s="368"/>
      <c r="G7" s="368"/>
      <c r="H7" s="368"/>
      <c r="I7" s="364"/>
      <c r="J7" s="365"/>
    </row>
    <row r="8" spans="1:10" ht="32.25" customHeight="1">
      <c r="A8" s="362"/>
      <c r="B8" s="362"/>
      <c r="C8" s="418" t="s">
        <v>220</v>
      </c>
      <c r="D8" s="363"/>
      <c r="E8" s="726" t="s">
        <v>214</v>
      </c>
      <c r="F8" s="727"/>
      <c r="G8" s="727"/>
      <c r="H8" s="728"/>
      <c r="I8" s="364"/>
      <c r="J8" s="365"/>
    </row>
    <row r="9" spans="1:10" ht="5.25" customHeight="1">
      <c r="A9" s="362"/>
      <c r="B9" s="362"/>
      <c r="C9" s="377"/>
      <c r="D9" s="363"/>
      <c r="E9" s="368"/>
      <c r="F9" s="368"/>
      <c r="G9" s="368"/>
      <c r="H9" s="368"/>
      <c r="I9" s="364"/>
      <c r="J9" s="365"/>
    </row>
    <row r="10" spans="1:10">
      <c r="A10" s="362"/>
      <c r="B10" s="369"/>
      <c r="C10" s="418" t="s">
        <v>221</v>
      </c>
      <c r="D10" s="363"/>
      <c r="E10" s="729" t="s">
        <v>222</v>
      </c>
      <c r="F10" s="730"/>
      <c r="G10" s="730"/>
      <c r="H10" s="731"/>
      <c r="I10" s="364"/>
      <c r="J10" s="365"/>
    </row>
    <row r="11" spans="1:10">
      <c r="A11" s="370"/>
      <c r="B11" s="370"/>
      <c r="C11" s="370"/>
      <c r="D11" s="371"/>
      <c r="E11" s="371"/>
      <c r="F11" s="371"/>
      <c r="G11" s="372"/>
      <c r="H11" s="370"/>
      <c r="I11" s="373"/>
      <c r="J11" s="374"/>
    </row>
    <row r="12" spans="1:10" ht="15.75">
      <c r="A12" s="375"/>
      <c r="B12" s="376" t="s">
        <v>109</v>
      </c>
      <c r="C12" s="377" t="s">
        <v>137</v>
      </c>
      <c r="D12" s="378"/>
      <c r="E12" s="378"/>
      <c r="F12" s="378"/>
      <c r="G12" s="377" t="s">
        <v>138</v>
      </c>
      <c r="H12" s="378"/>
      <c r="I12" s="379" t="s">
        <v>139</v>
      </c>
      <c r="J12" s="380"/>
    </row>
    <row r="13" spans="1:10" ht="15.75" hidden="1">
      <c r="A13" s="375"/>
      <c r="B13" s="376"/>
      <c r="C13" s="377"/>
      <c r="D13" s="378"/>
      <c r="E13" s="378"/>
      <c r="F13" s="378"/>
      <c r="G13" s="377"/>
      <c r="H13" s="378"/>
      <c r="I13" s="379"/>
      <c r="J13" s="381"/>
    </row>
    <row r="14" spans="1:10" ht="15" customHeight="1">
      <c r="A14" s="453"/>
      <c r="B14" s="453"/>
      <c r="C14" s="732" t="s">
        <v>223</v>
      </c>
      <c r="D14" s="732"/>
      <c r="E14" s="732"/>
      <c r="F14" s="453"/>
      <c r="G14" s="453"/>
      <c r="H14" s="453"/>
      <c r="I14" s="453"/>
      <c r="J14" s="453"/>
    </row>
    <row r="15" spans="1:10" ht="15.75">
      <c r="A15" s="375"/>
      <c r="B15" s="376"/>
      <c r="C15" s="377"/>
      <c r="D15" s="378"/>
      <c r="E15" s="378"/>
      <c r="F15" s="378"/>
      <c r="G15" s="377"/>
      <c r="H15" s="378"/>
      <c r="I15" s="379"/>
      <c r="J15" s="381"/>
    </row>
    <row r="16" spans="1:10" ht="15.75">
      <c r="A16" s="375"/>
      <c r="B16" s="453"/>
      <c r="C16" s="454" t="s">
        <v>224</v>
      </c>
      <c r="D16" s="453"/>
      <c r="E16" s="453"/>
      <c r="F16" s="453"/>
      <c r="G16" s="453"/>
      <c r="H16" s="453"/>
      <c r="I16" s="453"/>
      <c r="J16" s="375"/>
    </row>
    <row r="17" spans="1:12" ht="15.75">
      <c r="A17" s="375"/>
      <c r="B17" s="376"/>
      <c r="C17" s="377"/>
      <c r="D17" s="378"/>
      <c r="E17" s="378"/>
      <c r="F17" s="378"/>
      <c r="G17" s="377"/>
      <c r="H17" s="378"/>
      <c r="I17" s="379"/>
      <c r="J17" s="381"/>
    </row>
    <row r="18" spans="1:12" ht="135">
      <c r="A18" s="375"/>
      <c r="B18" s="384" t="s">
        <v>149</v>
      </c>
      <c r="C18" s="705" t="s">
        <v>225</v>
      </c>
      <c r="D18" s="706"/>
      <c r="E18" s="707"/>
      <c r="F18" s="367"/>
      <c r="G18" s="559" t="s">
        <v>83</v>
      </c>
      <c r="H18" s="367"/>
      <c r="I18" s="560" t="s">
        <v>226</v>
      </c>
      <c r="J18" s="381"/>
      <c r="L18" s="385" t="s">
        <v>48</v>
      </c>
    </row>
    <row r="19" spans="1:12">
      <c r="A19" s="377"/>
      <c r="B19" s="377"/>
      <c r="C19" s="377"/>
      <c r="D19" s="377"/>
      <c r="E19" s="377"/>
      <c r="F19" s="377"/>
      <c r="G19" s="377"/>
      <c r="H19" s="377"/>
      <c r="I19" s="377"/>
      <c r="J19" s="377"/>
    </row>
    <row r="20" spans="1:12" ht="15" customHeight="1">
      <c r="A20" s="382"/>
      <c r="B20" s="452"/>
      <c r="C20" s="382" t="s">
        <v>227</v>
      </c>
      <c r="D20" s="382"/>
      <c r="E20" s="382"/>
      <c r="F20" s="382"/>
      <c r="G20" s="382"/>
      <c r="H20" s="382"/>
      <c r="I20" s="382"/>
      <c r="J20" s="382"/>
    </row>
    <row r="21" spans="1:12" ht="15" customHeight="1">
      <c r="A21" s="386"/>
      <c r="B21" s="387"/>
      <c r="C21" s="386"/>
      <c r="D21" s="386"/>
      <c r="E21" s="386"/>
      <c r="F21" s="386"/>
      <c r="G21" s="388"/>
      <c r="H21" s="386"/>
      <c r="I21" s="389"/>
      <c r="J21" s="390"/>
    </row>
    <row r="22" spans="1:12" ht="15" customHeight="1">
      <c r="A22" s="367"/>
      <c r="B22" s="382"/>
      <c r="C22" s="383" t="s">
        <v>228</v>
      </c>
      <c r="D22" s="382"/>
      <c r="E22" s="382"/>
      <c r="F22" s="382"/>
      <c r="G22" s="382"/>
      <c r="H22" s="382"/>
      <c r="I22" s="382"/>
      <c r="J22" s="391"/>
    </row>
    <row r="23" spans="1:12" ht="15" customHeight="1">
      <c r="A23" s="367"/>
      <c r="B23" s="384"/>
      <c r="C23" s="386"/>
      <c r="D23" s="386"/>
      <c r="E23" s="386"/>
      <c r="F23" s="367"/>
      <c r="G23" s="368"/>
      <c r="H23" s="367"/>
      <c r="I23" s="389"/>
      <c r="J23" s="391"/>
    </row>
    <row r="24" spans="1:12" ht="270">
      <c r="A24" s="367"/>
      <c r="B24" s="384" t="s">
        <v>151</v>
      </c>
      <c r="C24" s="705" t="s">
        <v>229</v>
      </c>
      <c r="D24" s="706"/>
      <c r="E24" s="707"/>
      <c r="F24" s="367"/>
      <c r="G24" s="559" t="s">
        <v>81</v>
      </c>
      <c r="H24" s="367"/>
      <c r="I24" s="560" t="s">
        <v>230</v>
      </c>
      <c r="J24" s="391"/>
    </row>
    <row r="25" spans="1:12" ht="15" customHeight="1">
      <c r="A25" s="367"/>
      <c r="B25" s="384"/>
      <c r="C25" s="386"/>
      <c r="D25" s="386"/>
      <c r="E25" s="386"/>
      <c r="F25" s="367"/>
      <c r="G25" s="368"/>
      <c r="H25" s="367"/>
      <c r="I25" s="389"/>
      <c r="J25" s="391"/>
    </row>
    <row r="26" spans="1:12" ht="120">
      <c r="A26" s="367"/>
      <c r="B26" s="384" t="s">
        <v>153</v>
      </c>
      <c r="C26" s="705" t="s">
        <v>231</v>
      </c>
      <c r="D26" s="706"/>
      <c r="E26" s="707"/>
      <c r="F26" s="367"/>
      <c r="G26" s="559" t="s">
        <v>81</v>
      </c>
      <c r="H26" s="367"/>
      <c r="I26" s="560" t="s">
        <v>232</v>
      </c>
      <c r="J26" s="391"/>
      <c r="L26" s="385" t="s">
        <v>48</v>
      </c>
    </row>
    <row r="27" spans="1:12" ht="15" customHeight="1">
      <c r="A27" s="367"/>
      <c r="B27" s="384"/>
      <c r="C27" s="392"/>
      <c r="D27" s="366"/>
      <c r="E27" s="366"/>
      <c r="F27" s="367"/>
      <c r="G27" s="368"/>
      <c r="H27" s="367"/>
      <c r="I27" s="389"/>
      <c r="J27" s="391"/>
    </row>
    <row r="28" spans="1:12" ht="255">
      <c r="A28" s="367"/>
      <c r="B28" s="384" t="s">
        <v>156</v>
      </c>
      <c r="C28" s="705" t="s">
        <v>233</v>
      </c>
      <c r="D28" s="706"/>
      <c r="E28" s="707"/>
      <c r="F28" s="367"/>
      <c r="G28" s="559" t="s">
        <v>81</v>
      </c>
      <c r="H28" s="367"/>
      <c r="I28" s="560" t="s">
        <v>234</v>
      </c>
      <c r="J28" s="391"/>
    </row>
    <row r="29" spans="1:12" ht="15" customHeight="1">
      <c r="A29" s="367"/>
      <c r="B29" s="384"/>
      <c r="C29" s="392"/>
      <c r="D29" s="366"/>
      <c r="E29" s="366"/>
      <c r="F29" s="367"/>
      <c r="G29" s="368"/>
      <c r="H29" s="367"/>
      <c r="I29" s="389"/>
      <c r="J29" s="391"/>
    </row>
    <row r="30" spans="1:12" ht="105">
      <c r="A30" s="367"/>
      <c r="B30" s="384" t="s">
        <v>158</v>
      </c>
      <c r="C30" s="705" t="s">
        <v>235</v>
      </c>
      <c r="D30" s="706"/>
      <c r="E30" s="707"/>
      <c r="F30" s="367"/>
      <c r="G30" s="559" t="s">
        <v>81</v>
      </c>
      <c r="H30" s="367"/>
      <c r="I30" s="560" t="s">
        <v>236</v>
      </c>
      <c r="J30" s="391"/>
    </row>
    <row r="31" spans="1:12" ht="15" customHeight="1">
      <c r="A31" s="367"/>
      <c r="B31" s="384"/>
      <c r="C31" s="392"/>
      <c r="D31" s="366"/>
      <c r="E31" s="366"/>
      <c r="F31" s="367"/>
      <c r="G31" s="368"/>
      <c r="H31" s="367"/>
      <c r="I31" s="389"/>
      <c r="J31" s="391"/>
    </row>
    <row r="32" spans="1:12" ht="90">
      <c r="A32" s="367"/>
      <c r="B32" s="384" t="s">
        <v>166</v>
      </c>
      <c r="C32" s="705" t="s">
        <v>237</v>
      </c>
      <c r="D32" s="706"/>
      <c r="E32" s="707"/>
      <c r="F32" s="367"/>
      <c r="G32" s="559" t="s">
        <v>81</v>
      </c>
      <c r="H32" s="367"/>
      <c r="I32" s="560" t="s">
        <v>238</v>
      </c>
      <c r="J32" s="391"/>
    </row>
    <row r="33" spans="1:12" ht="15" customHeight="1">
      <c r="A33" s="367"/>
      <c r="B33" s="393"/>
      <c r="C33" s="392"/>
      <c r="D33" s="366"/>
      <c r="E33" s="366"/>
      <c r="F33" s="367"/>
      <c r="G33" s="368"/>
      <c r="H33" s="367"/>
      <c r="I33" s="389"/>
      <c r="J33" s="391"/>
    </row>
    <row r="34" spans="1:12" ht="90">
      <c r="A34" s="367"/>
      <c r="B34" s="384" t="s">
        <v>169</v>
      </c>
      <c r="C34" s="705" t="s">
        <v>239</v>
      </c>
      <c r="D34" s="706"/>
      <c r="E34" s="707"/>
      <c r="F34" s="367"/>
      <c r="G34" s="559" t="s">
        <v>81</v>
      </c>
      <c r="H34" s="367"/>
      <c r="I34" s="560" t="s">
        <v>238</v>
      </c>
      <c r="J34" s="391"/>
    </row>
    <row r="35" spans="1:12" ht="15" customHeight="1">
      <c r="A35" s="367"/>
      <c r="B35" s="367"/>
      <c r="C35" s="392"/>
      <c r="D35" s="366"/>
      <c r="E35" s="366"/>
      <c r="F35" s="367"/>
      <c r="G35" s="368"/>
      <c r="H35" s="367"/>
      <c r="I35" s="389"/>
      <c r="J35" s="391"/>
    </row>
    <row r="36" spans="1:12" ht="150">
      <c r="A36" s="367"/>
      <c r="B36" s="368" t="s">
        <v>173</v>
      </c>
      <c r="C36" s="705" t="s">
        <v>240</v>
      </c>
      <c r="D36" s="706"/>
      <c r="E36" s="707"/>
      <c r="F36" s="367"/>
      <c r="G36" s="559" t="s">
        <v>81</v>
      </c>
      <c r="H36" s="367"/>
      <c r="I36" s="560" t="s">
        <v>241</v>
      </c>
      <c r="J36" s="391"/>
      <c r="L36" s="385" t="s">
        <v>48</v>
      </c>
    </row>
    <row r="37" spans="1:12" ht="15" customHeight="1">
      <c r="A37" s="367"/>
      <c r="B37" s="368"/>
      <c r="C37" s="399"/>
      <c r="D37" s="399"/>
      <c r="E37" s="399"/>
      <c r="F37" s="367"/>
      <c r="G37" s="400"/>
      <c r="H37" s="367"/>
      <c r="I37" s="389"/>
      <c r="J37" s="391"/>
      <c r="L37" s="385"/>
    </row>
    <row r="38" spans="1:12" ht="255">
      <c r="A38" s="367"/>
      <c r="B38" s="368" t="s">
        <v>177</v>
      </c>
      <c r="C38" s="705" t="s">
        <v>242</v>
      </c>
      <c r="D38" s="706"/>
      <c r="E38" s="707"/>
      <c r="F38" s="367"/>
      <c r="G38" s="559" t="s">
        <v>81</v>
      </c>
      <c r="H38" s="367"/>
      <c r="I38" s="560" t="s">
        <v>243</v>
      </c>
      <c r="J38" s="391"/>
      <c r="L38" s="385"/>
    </row>
    <row r="39" spans="1:12" ht="15" customHeight="1">
      <c r="A39" s="367"/>
      <c r="B39" s="368"/>
      <c r="C39" s="392"/>
      <c r="D39" s="366"/>
      <c r="E39" s="366"/>
      <c r="F39" s="367"/>
      <c r="G39" s="368"/>
      <c r="H39" s="367"/>
      <c r="I39" s="389"/>
      <c r="J39" s="391"/>
    </row>
    <row r="40" spans="1:12" ht="105">
      <c r="A40" s="367"/>
      <c r="B40" s="368" t="s">
        <v>179</v>
      </c>
      <c r="C40" s="705" t="s">
        <v>244</v>
      </c>
      <c r="D40" s="706"/>
      <c r="E40" s="707"/>
      <c r="F40" s="367"/>
      <c r="G40" s="559" t="s">
        <v>81</v>
      </c>
      <c r="H40" s="367"/>
      <c r="I40" s="560" t="s">
        <v>245</v>
      </c>
      <c r="J40" s="391"/>
    </row>
    <row r="41" spans="1:12" ht="15" customHeight="1">
      <c r="A41" s="367"/>
      <c r="B41" s="368"/>
      <c r="C41" s="392"/>
      <c r="D41" s="366"/>
      <c r="E41" s="366"/>
      <c r="F41" s="367"/>
      <c r="G41" s="368"/>
      <c r="H41" s="367"/>
      <c r="I41" s="389"/>
      <c r="J41" s="391"/>
    </row>
    <row r="42" spans="1:12" ht="105">
      <c r="A42" s="367"/>
      <c r="B42" s="368" t="s">
        <v>181</v>
      </c>
      <c r="C42" s="705" t="s">
        <v>246</v>
      </c>
      <c r="D42" s="706"/>
      <c r="E42" s="707"/>
      <c r="F42" s="367"/>
      <c r="G42" s="559" t="s">
        <v>81</v>
      </c>
      <c r="H42" s="367"/>
      <c r="I42" s="560" t="s">
        <v>247</v>
      </c>
      <c r="J42" s="391"/>
    </row>
    <row r="43" spans="1:12" ht="15" customHeight="1">
      <c r="A43" s="367"/>
      <c r="B43" s="368"/>
      <c r="C43" s="386"/>
      <c r="D43" s="386"/>
      <c r="E43" s="386"/>
      <c r="F43" s="367"/>
      <c r="G43" s="368"/>
      <c r="H43" s="367"/>
      <c r="I43" s="389"/>
      <c r="J43" s="391"/>
    </row>
    <row r="44" spans="1:12">
      <c r="A44" s="367"/>
      <c r="B44" s="394"/>
      <c r="C44" s="395" t="s">
        <v>248</v>
      </c>
      <c r="D44" s="394"/>
      <c r="E44" s="394"/>
      <c r="F44" s="394"/>
      <c r="G44" s="394"/>
      <c r="H44" s="394"/>
      <c r="I44" s="394"/>
      <c r="J44" s="391"/>
    </row>
    <row r="45" spans="1:12">
      <c r="A45" s="367"/>
      <c r="B45" s="368"/>
      <c r="C45" s="386"/>
      <c r="D45" s="386"/>
      <c r="E45" s="386"/>
      <c r="F45" s="367"/>
      <c r="G45" s="368"/>
      <c r="H45" s="367"/>
      <c r="I45" s="389"/>
      <c r="J45" s="391"/>
    </row>
    <row r="46" spans="1:12" ht="120">
      <c r="A46" s="367"/>
      <c r="B46" s="368" t="s">
        <v>186</v>
      </c>
      <c r="C46" s="705" t="s">
        <v>249</v>
      </c>
      <c r="D46" s="706"/>
      <c r="E46" s="707"/>
      <c r="F46" s="367"/>
      <c r="G46" s="559" t="s">
        <v>81</v>
      </c>
      <c r="H46" s="367"/>
      <c r="I46" s="560" t="s">
        <v>250</v>
      </c>
      <c r="J46" s="391"/>
      <c r="L46" s="385" t="s">
        <v>48</v>
      </c>
    </row>
    <row r="47" spans="1:12" ht="14.45" customHeight="1">
      <c r="A47" s="367"/>
      <c r="B47" s="368"/>
      <c r="C47" s="399"/>
      <c r="D47" s="399"/>
      <c r="E47" s="399"/>
      <c r="F47" s="367"/>
      <c r="G47" s="400"/>
      <c r="H47" s="367"/>
      <c r="I47" s="389"/>
      <c r="J47" s="391"/>
      <c r="L47" s="385"/>
    </row>
    <row r="48" spans="1:12" ht="120">
      <c r="A48" s="367"/>
      <c r="B48" s="368" t="s">
        <v>189</v>
      </c>
      <c r="C48" s="705" t="s">
        <v>251</v>
      </c>
      <c r="D48" s="706"/>
      <c r="E48" s="707"/>
      <c r="F48" s="367"/>
      <c r="G48" s="559" t="s">
        <v>81</v>
      </c>
      <c r="H48" s="367"/>
      <c r="I48" s="560" t="s">
        <v>250</v>
      </c>
      <c r="J48" s="391"/>
      <c r="L48" s="385"/>
    </row>
    <row r="49" spans="1:12">
      <c r="A49" s="367"/>
      <c r="B49" s="396"/>
      <c r="C49" s="397"/>
      <c r="D49" s="397"/>
      <c r="E49" s="397"/>
      <c r="F49" s="398"/>
      <c r="G49" s="368"/>
      <c r="H49" s="398"/>
      <c r="I49" s="389"/>
      <c r="J49" s="391"/>
    </row>
    <row r="50" spans="1:12" ht="105">
      <c r="A50" s="367"/>
      <c r="B50" s="368" t="s">
        <v>192</v>
      </c>
      <c r="C50" s="705" t="s">
        <v>252</v>
      </c>
      <c r="D50" s="706"/>
      <c r="E50" s="707"/>
      <c r="F50" s="367"/>
      <c r="G50" s="559" t="s">
        <v>253</v>
      </c>
      <c r="H50" s="367"/>
      <c r="I50" s="560" t="s">
        <v>254</v>
      </c>
      <c r="J50" s="391"/>
      <c r="L50" s="385" t="s">
        <v>48</v>
      </c>
    </row>
    <row r="51" spans="1:12">
      <c r="A51" s="367"/>
      <c r="B51" s="368"/>
      <c r="C51" s="399"/>
      <c r="D51" s="399"/>
      <c r="E51" s="399"/>
      <c r="F51" s="398"/>
      <c r="G51" s="400"/>
      <c r="H51" s="367"/>
      <c r="I51" s="389"/>
      <c r="J51" s="391"/>
    </row>
    <row r="52" spans="1:12">
      <c r="A52" s="367"/>
      <c r="B52" s="394"/>
      <c r="C52" s="395" t="s">
        <v>255</v>
      </c>
      <c r="D52" s="394"/>
      <c r="E52" s="394"/>
      <c r="F52" s="394"/>
      <c r="G52" s="394"/>
      <c r="H52" s="394"/>
      <c r="I52" s="394"/>
      <c r="J52" s="391"/>
    </row>
    <row r="53" spans="1:12">
      <c r="A53" s="367"/>
      <c r="B53" s="367"/>
      <c r="C53" s="386"/>
      <c r="D53" s="386"/>
      <c r="E53" s="386"/>
      <c r="F53" s="398"/>
      <c r="G53" s="368"/>
      <c r="H53" s="367"/>
      <c r="I53" s="389"/>
      <c r="J53" s="391"/>
    </row>
    <row r="54" spans="1:12" ht="91.5" customHeight="1">
      <c r="A54" s="367"/>
      <c r="B54" s="368" t="s">
        <v>196</v>
      </c>
      <c r="C54" s="705" t="s">
        <v>256</v>
      </c>
      <c r="D54" s="706"/>
      <c r="E54" s="707"/>
      <c r="F54" s="367"/>
      <c r="G54" s="559" t="s">
        <v>81</v>
      </c>
      <c r="H54" s="367"/>
      <c r="I54" s="560" t="s">
        <v>257</v>
      </c>
      <c r="J54" s="391"/>
      <c r="L54" s="385" t="s">
        <v>48</v>
      </c>
    </row>
    <row r="55" spans="1:12">
      <c r="A55" s="367"/>
      <c r="B55" s="367"/>
      <c r="C55" s="386"/>
      <c r="D55" s="386"/>
      <c r="E55" s="386"/>
      <c r="F55" s="367"/>
      <c r="G55" s="368"/>
      <c r="H55" s="367"/>
      <c r="I55" s="389"/>
      <c r="J55" s="391"/>
    </row>
    <row r="56" spans="1:12" ht="120">
      <c r="A56" s="367"/>
      <c r="B56" s="368" t="s">
        <v>200</v>
      </c>
      <c r="C56" s="705" t="s">
        <v>258</v>
      </c>
      <c r="D56" s="706"/>
      <c r="E56" s="707"/>
      <c r="F56" s="367"/>
      <c r="G56" s="559" t="s">
        <v>81</v>
      </c>
      <c r="H56" s="367"/>
      <c r="I56" s="560" t="s">
        <v>259</v>
      </c>
      <c r="J56" s="391"/>
      <c r="L56" s="385" t="s">
        <v>48</v>
      </c>
    </row>
    <row r="57" spans="1:12" ht="14.45" customHeight="1">
      <c r="A57" s="367"/>
      <c r="B57" s="368"/>
      <c r="C57" s="399"/>
      <c r="D57" s="399"/>
      <c r="E57" s="399"/>
      <c r="F57" s="367"/>
      <c r="G57" s="400"/>
      <c r="H57" s="367"/>
      <c r="I57" s="389"/>
      <c r="J57" s="391"/>
      <c r="L57" s="385"/>
    </row>
    <row r="58" spans="1:12" ht="90">
      <c r="A58" s="367"/>
      <c r="B58" s="368" t="s">
        <v>204</v>
      </c>
      <c r="C58" s="705" t="s">
        <v>260</v>
      </c>
      <c r="D58" s="706"/>
      <c r="E58" s="707"/>
      <c r="F58" s="367"/>
      <c r="G58" s="559" t="s">
        <v>81</v>
      </c>
      <c r="H58" s="367"/>
      <c r="I58" s="560" t="s">
        <v>261</v>
      </c>
      <c r="J58" s="391"/>
      <c r="L58" s="385"/>
    </row>
    <row r="59" spans="1:12">
      <c r="A59" s="367"/>
      <c r="B59" s="368"/>
      <c r="C59" s="397"/>
      <c r="D59" s="386"/>
      <c r="E59" s="386"/>
      <c r="F59" s="367"/>
      <c r="G59" s="368"/>
      <c r="H59" s="367"/>
      <c r="I59" s="389"/>
      <c r="J59" s="391"/>
    </row>
    <row r="60" spans="1:12">
      <c r="A60" s="367"/>
      <c r="B60" s="394"/>
      <c r="C60" s="713" t="s">
        <v>262</v>
      </c>
      <c r="D60" s="713"/>
      <c r="E60" s="713"/>
      <c r="F60" s="394"/>
      <c r="G60" s="394"/>
      <c r="H60" s="394"/>
      <c r="I60" s="394"/>
      <c r="J60" s="391"/>
    </row>
    <row r="61" spans="1:12">
      <c r="A61" s="367"/>
      <c r="B61" s="367"/>
      <c r="C61" s="386"/>
      <c r="D61" s="386"/>
      <c r="E61" s="386"/>
      <c r="F61" s="367"/>
      <c r="G61" s="368"/>
      <c r="H61" s="367"/>
      <c r="I61" s="389"/>
      <c r="J61" s="391"/>
    </row>
    <row r="62" spans="1:12" ht="106.5" customHeight="1">
      <c r="A62" s="367"/>
      <c r="B62" s="368" t="s">
        <v>263</v>
      </c>
      <c r="C62" s="705" t="s">
        <v>264</v>
      </c>
      <c r="D62" s="706"/>
      <c r="E62" s="707"/>
      <c r="F62" s="367"/>
      <c r="G62" s="559" t="s">
        <v>81</v>
      </c>
      <c r="H62" s="367"/>
      <c r="I62" s="560" t="s">
        <v>265</v>
      </c>
      <c r="J62" s="391"/>
    </row>
    <row r="63" spans="1:12">
      <c r="A63" s="367"/>
      <c r="B63" s="368"/>
      <c r="C63" s="386"/>
      <c r="D63" s="386"/>
      <c r="E63" s="386"/>
      <c r="F63" s="367"/>
      <c r="G63" s="368"/>
      <c r="H63" s="367"/>
      <c r="I63" s="389"/>
      <c r="J63" s="391"/>
    </row>
    <row r="64" spans="1:12" ht="90">
      <c r="A64" s="367"/>
      <c r="B64" s="368" t="s">
        <v>266</v>
      </c>
      <c r="C64" s="705" t="s">
        <v>267</v>
      </c>
      <c r="D64" s="706"/>
      <c r="E64" s="707"/>
      <c r="F64" s="367"/>
      <c r="G64" s="559" t="s">
        <v>81</v>
      </c>
      <c r="H64" s="367"/>
      <c r="I64" s="560" t="s">
        <v>268</v>
      </c>
      <c r="J64" s="391"/>
      <c r="L64" s="385" t="s">
        <v>48</v>
      </c>
    </row>
    <row r="65" spans="1:12">
      <c r="A65" s="367"/>
      <c r="B65" s="368"/>
      <c r="C65" s="366"/>
      <c r="D65" s="366"/>
      <c r="E65" s="366"/>
      <c r="F65" s="367"/>
      <c r="H65" s="367"/>
      <c r="I65" s="389"/>
      <c r="J65" s="391"/>
    </row>
    <row r="66" spans="1:12" ht="120">
      <c r="A66" s="367"/>
      <c r="B66" s="368" t="s">
        <v>269</v>
      </c>
      <c r="C66" s="705" t="s">
        <v>270</v>
      </c>
      <c r="D66" s="706"/>
      <c r="E66" s="707"/>
      <c r="F66" s="367"/>
      <c r="G66" s="559" t="s">
        <v>81</v>
      </c>
      <c r="H66" s="367"/>
      <c r="I66" s="560" t="s">
        <v>271</v>
      </c>
      <c r="J66" s="391"/>
      <c r="L66" s="385" t="s">
        <v>48</v>
      </c>
    </row>
    <row r="67" spans="1:12">
      <c r="A67" s="367"/>
      <c r="B67" s="368"/>
      <c r="C67" s="366"/>
      <c r="D67" s="366"/>
      <c r="E67" s="366"/>
      <c r="F67" s="367"/>
      <c r="H67" s="367"/>
      <c r="I67" s="389"/>
      <c r="J67" s="391"/>
    </row>
    <row r="68" spans="1:12">
      <c r="A68" s="401"/>
      <c r="B68" s="401"/>
      <c r="C68" s="402" t="s">
        <v>272</v>
      </c>
      <c r="D68" s="403"/>
      <c r="E68" s="403"/>
      <c r="F68" s="403"/>
      <c r="G68" s="403"/>
      <c r="H68" s="403"/>
      <c r="I68" s="403"/>
      <c r="J68" s="404"/>
    </row>
    <row r="69" spans="1:12">
      <c r="A69" s="367"/>
      <c r="B69" s="368"/>
      <c r="C69" s="366"/>
      <c r="D69" s="366"/>
      <c r="E69" s="366"/>
      <c r="F69" s="367"/>
      <c r="G69" s="389"/>
      <c r="H69" s="367"/>
      <c r="I69" s="389"/>
      <c r="J69" s="391"/>
    </row>
    <row r="70" spans="1:12">
      <c r="A70" s="367"/>
      <c r="B70" s="405"/>
      <c r="C70" s="406" t="s">
        <v>273</v>
      </c>
      <c r="D70" s="405"/>
      <c r="E70" s="405"/>
      <c r="F70" s="405"/>
      <c r="G70" s="405"/>
      <c r="H70" s="405"/>
      <c r="I70" s="405"/>
      <c r="J70" s="391"/>
    </row>
    <row r="71" spans="1:12">
      <c r="A71" s="367"/>
      <c r="B71" s="368"/>
      <c r="C71" s="366"/>
      <c r="D71" s="366"/>
      <c r="E71" s="366"/>
      <c r="F71" s="367"/>
      <c r="H71" s="367"/>
      <c r="I71" s="389"/>
      <c r="J71" s="391"/>
    </row>
    <row r="72" spans="1:12" ht="120.75" customHeight="1">
      <c r="A72" s="367"/>
      <c r="B72" s="368" t="s">
        <v>274</v>
      </c>
      <c r="C72" s="705" t="s">
        <v>275</v>
      </c>
      <c r="D72" s="706"/>
      <c r="E72" s="707"/>
      <c r="F72" s="367"/>
      <c r="G72" s="559" t="s">
        <v>81</v>
      </c>
      <c r="H72" s="367"/>
      <c r="I72" s="560" t="s">
        <v>276</v>
      </c>
      <c r="J72" s="391"/>
    </row>
    <row r="73" spans="1:12">
      <c r="A73" s="367"/>
      <c r="B73" s="368"/>
      <c r="C73" s="366"/>
      <c r="D73" s="366"/>
      <c r="E73" s="366"/>
      <c r="F73" s="367"/>
      <c r="H73" s="367"/>
      <c r="I73" s="389"/>
      <c r="J73" s="391"/>
    </row>
    <row r="74" spans="1:12">
      <c r="A74" s="367"/>
      <c r="B74" s="405"/>
      <c r="C74" s="406" t="s">
        <v>277</v>
      </c>
      <c r="D74" s="405"/>
      <c r="E74" s="405"/>
      <c r="F74" s="405"/>
      <c r="G74" s="405"/>
      <c r="H74" s="405"/>
      <c r="I74" s="405"/>
      <c r="J74" s="391"/>
    </row>
    <row r="75" spans="1:12">
      <c r="A75" s="367"/>
      <c r="B75" s="368"/>
      <c r="C75" s="366"/>
      <c r="D75" s="366"/>
      <c r="E75" s="366"/>
      <c r="F75" s="367"/>
      <c r="H75" s="367"/>
      <c r="I75" s="389"/>
      <c r="J75" s="391"/>
    </row>
    <row r="76" spans="1:12" ht="91.5" customHeight="1">
      <c r="A76" s="367"/>
      <c r="B76" s="368" t="s">
        <v>278</v>
      </c>
      <c r="C76" s="705" t="s">
        <v>279</v>
      </c>
      <c r="D76" s="706"/>
      <c r="E76" s="707"/>
      <c r="F76" s="367"/>
      <c r="G76" s="559" t="s">
        <v>253</v>
      </c>
      <c r="H76" s="367"/>
      <c r="I76" s="560" t="s">
        <v>280</v>
      </c>
      <c r="J76" s="391"/>
    </row>
    <row r="77" spans="1:12">
      <c r="A77" s="367"/>
      <c r="B77" s="368"/>
      <c r="C77" s="366"/>
      <c r="D77" s="366"/>
      <c r="E77" s="366"/>
      <c r="F77" s="367"/>
      <c r="G77" s="400"/>
      <c r="H77" s="367"/>
      <c r="I77" s="389"/>
      <c r="J77" s="391"/>
    </row>
    <row r="78" spans="1:12">
      <c r="A78" s="367"/>
      <c r="B78" s="405"/>
      <c r="C78" s="406" t="s">
        <v>281</v>
      </c>
      <c r="D78" s="405"/>
      <c r="E78" s="405"/>
      <c r="F78" s="405"/>
      <c r="G78" s="405"/>
      <c r="H78" s="405"/>
      <c r="I78" s="405"/>
      <c r="J78" s="391"/>
    </row>
    <row r="79" spans="1:12">
      <c r="A79" s="367"/>
      <c r="B79" s="368"/>
      <c r="C79" s="366"/>
      <c r="D79" s="366"/>
      <c r="E79" s="366"/>
      <c r="F79" s="367"/>
      <c r="G79" s="400"/>
      <c r="H79" s="367"/>
      <c r="I79" s="389"/>
      <c r="J79" s="391"/>
    </row>
    <row r="80" spans="1:12" ht="105">
      <c r="A80" s="367"/>
      <c r="B80" s="368" t="s">
        <v>282</v>
      </c>
      <c r="C80" s="705" t="s">
        <v>283</v>
      </c>
      <c r="D80" s="706"/>
      <c r="E80" s="707"/>
      <c r="F80" s="367"/>
      <c r="G80" s="559" t="s">
        <v>253</v>
      </c>
      <c r="H80" s="367"/>
      <c r="I80" s="560" t="s">
        <v>284</v>
      </c>
      <c r="J80" s="391"/>
      <c r="L80" s="385" t="s">
        <v>48</v>
      </c>
    </row>
    <row r="81" spans="1:12">
      <c r="A81" s="367"/>
      <c r="B81" s="368"/>
      <c r="C81" s="366"/>
      <c r="D81" s="366"/>
      <c r="E81" s="366"/>
      <c r="F81" s="367"/>
      <c r="G81" s="400"/>
      <c r="H81" s="367"/>
      <c r="I81" s="389"/>
      <c r="J81" s="391"/>
    </row>
    <row r="82" spans="1:12">
      <c r="A82" s="367"/>
      <c r="B82" s="405"/>
      <c r="C82" s="406" t="s">
        <v>285</v>
      </c>
      <c r="D82" s="405"/>
      <c r="E82" s="405"/>
      <c r="F82" s="405"/>
      <c r="G82" s="405"/>
      <c r="H82" s="405"/>
      <c r="I82" s="405"/>
      <c r="J82" s="391"/>
    </row>
    <row r="83" spans="1:12">
      <c r="A83" s="367"/>
      <c r="B83" s="368"/>
      <c r="C83" s="366"/>
      <c r="D83" s="366"/>
      <c r="E83" s="366"/>
      <c r="F83" s="367"/>
      <c r="G83" s="400"/>
      <c r="H83" s="367"/>
      <c r="I83" s="389"/>
      <c r="J83" s="391"/>
    </row>
    <row r="84" spans="1:12" ht="137.25" customHeight="1">
      <c r="A84" s="367"/>
      <c r="B84" s="368" t="s">
        <v>286</v>
      </c>
      <c r="C84" s="705" t="s">
        <v>287</v>
      </c>
      <c r="D84" s="706"/>
      <c r="E84" s="707"/>
      <c r="F84" s="367"/>
      <c r="G84" s="559" t="s">
        <v>81</v>
      </c>
      <c r="H84" s="367"/>
      <c r="I84" s="560" t="s">
        <v>288</v>
      </c>
      <c r="J84" s="391"/>
    </row>
    <row r="85" spans="1:12">
      <c r="A85" s="367"/>
      <c r="B85" s="368"/>
      <c r="C85" s="366"/>
      <c r="D85" s="366"/>
      <c r="E85" s="366"/>
      <c r="F85" s="367"/>
      <c r="G85" s="400"/>
      <c r="H85" s="367"/>
      <c r="I85" s="389"/>
      <c r="J85" s="391"/>
    </row>
    <row r="86" spans="1:12">
      <c r="A86" s="407"/>
      <c r="B86" s="715" t="s">
        <v>289</v>
      </c>
      <c r="C86" s="715"/>
      <c r="D86" s="715"/>
      <c r="E86" s="715"/>
      <c r="F86" s="715"/>
      <c r="G86" s="715"/>
      <c r="H86" s="715"/>
      <c r="I86" s="715"/>
      <c r="J86" s="716"/>
    </row>
    <row r="87" spans="1:12">
      <c r="A87" s="367"/>
      <c r="B87" s="368"/>
      <c r="C87" s="366"/>
      <c r="D87" s="366"/>
      <c r="E87" s="366"/>
      <c r="F87" s="367"/>
      <c r="G87" s="386"/>
      <c r="H87" s="367"/>
      <c r="I87" s="389"/>
      <c r="J87" s="391"/>
    </row>
    <row r="88" spans="1:12">
      <c r="A88" s="367"/>
      <c r="B88" s="408"/>
      <c r="C88" s="409" t="s">
        <v>290</v>
      </c>
      <c r="D88" s="409"/>
      <c r="E88" s="409"/>
      <c r="F88" s="409"/>
      <c r="G88" s="409"/>
      <c r="H88" s="409"/>
      <c r="I88" s="409"/>
      <c r="J88" s="391"/>
    </row>
    <row r="89" spans="1:12">
      <c r="A89" s="367"/>
      <c r="B89" s="368"/>
      <c r="C89" s="366"/>
      <c r="D89" s="366"/>
      <c r="E89" s="366"/>
      <c r="F89" s="367"/>
      <c r="G89" s="400"/>
      <c r="H89" s="367"/>
      <c r="I89" s="389"/>
      <c r="J89" s="391"/>
    </row>
    <row r="90" spans="1:12" ht="105" customHeight="1">
      <c r="A90" s="367"/>
      <c r="B90" s="368" t="s">
        <v>291</v>
      </c>
      <c r="C90" s="705" t="s">
        <v>292</v>
      </c>
      <c r="D90" s="706"/>
      <c r="E90" s="707"/>
      <c r="F90" s="367"/>
      <c r="G90" s="559" t="s">
        <v>81</v>
      </c>
      <c r="H90" s="367"/>
      <c r="I90" s="560" t="s">
        <v>293</v>
      </c>
      <c r="J90" s="391"/>
      <c r="L90" s="385" t="s">
        <v>48</v>
      </c>
    </row>
    <row r="91" spans="1:12">
      <c r="A91" s="367"/>
      <c r="B91" s="368"/>
      <c r="C91" s="399"/>
      <c r="D91" s="399"/>
      <c r="E91" s="399"/>
      <c r="F91" s="367"/>
      <c r="G91" s="400"/>
      <c r="H91" s="367"/>
      <c r="I91" s="389"/>
      <c r="J91" s="391"/>
    </row>
    <row r="92" spans="1:12">
      <c r="A92" s="367"/>
      <c r="B92" s="408"/>
      <c r="C92" s="409" t="s">
        <v>294</v>
      </c>
      <c r="D92" s="408"/>
      <c r="E92" s="408"/>
      <c r="F92" s="408"/>
      <c r="G92" s="408"/>
      <c r="H92" s="408"/>
      <c r="I92" s="408"/>
      <c r="J92" s="391"/>
    </row>
    <row r="93" spans="1:12">
      <c r="A93" s="367"/>
      <c r="B93" s="368"/>
      <c r="C93" s="366"/>
      <c r="D93" s="366"/>
      <c r="E93" s="366"/>
      <c r="F93" s="367"/>
      <c r="G93" s="400"/>
      <c r="H93" s="367"/>
      <c r="I93" s="389"/>
      <c r="J93" s="391"/>
    </row>
    <row r="94" spans="1:12" ht="105">
      <c r="A94" s="367"/>
      <c r="B94" s="368" t="s">
        <v>295</v>
      </c>
      <c r="C94" s="705" t="s">
        <v>296</v>
      </c>
      <c r="D94" s="706"/>
      <c r="E94" s="707"/>
      <c r="F94" s="367"/>
      <c r="G94" s="559" t="s">
        <v>253</v>
      </c>
      <c r="H94" s="367"/>
      <c r="I94" s="560" t="s">
        <v>297</v>
      </c>
      <c r="J94" s="391"/>
      <c r="L94" s="385" t="s">
        <v>48</v>
      </c>
    </row>
    <row r="95" spans="1:12">
      <c r="A95" s="367"/>
      <c r="B95" s="368"/>
      <c r="C95" s="399"/>
      <c r="D95" s="399"/>
      <c r="E95" s="399"/>
      <c r="F95" s="367"/>
      <c r="G95" s="400"/>
      <c r="H95" s="367"/>
      <c r="I95" s="389"/>
      <c r="J95" s="391"/>
    </row>
    <row r="96" spans="1:12">
      <c r="A96" s="367"/>
      <c r="B96" s="408"/>
      <c r="C96" s="714" t="s">
        <v>298</v>
      </c>
      <c r="D96" s="714"/>
      <c r="E96" s="714"/>
      <c r="F96" s="408"/>
      <c r="G96" s="408"/>
      <c r="H96" s="408"/>
      <c r="I96" s="408"/>
      <c r="J96" s="391"/>
    </row>
    <row r="97" spans="1:12">
      <c r="A97" s="367"/>
      <c r="B97" s="368"/>
      <c r="C97" s="399"/>
      <c r="D97" s="399"/>
      <c r="E97" s="399"/>
      <c r="F97" s="367"/>
      <c r="G97" s="400"/>
      <c r="H97" s="367"/>
      <c r="I97" s="389"/>
      <c r="J97" s="391"/>
    </row>
    <row r="98" spans="1:12" ht="210">
      <c r="A98" s="367"/>
      <c r="B98" s="368" t="s">
        <v>299</v>
      </c>
      <c r="C98" s="705" t="s">
        <v>300</v>
      </c>
      <c r="D98" s="706"/>
      <c r="E98" s="707"/>
      <c r="F98" s="367"/>
      <c r="G98" s="559" t="s">
        <v>83</v>
      </c>
      <c r="H98" s="367"/>
      <c r="I98" s="560" t="s">
        <v>301</v>
      </c>
      <c r="J98" s="391"/>
      <c r="L98" s="385" t="s">
        <v>48</v>
      </c>
    </row>
    <row r="99" spans="1:12">
      <c r="A99" s="367"/>
      <c r="B99" s="368"/>
      <c r="C99" s="366"/>
      <c r="D99" s="366"/>
      <c r="E99" s="366"/>
      <c r="F99" s="367"/>
      <c r="G99" s="400"/>
      <c r="H99" s="367"/>
      <c r="I99" s="389"/>
      <c r="J99" s="391"/>
    </row>
    <row r="100" spans="1:12" ht="15" customHeight="1">
      <c r="A100" s="410"/>
      <c r="B100" s="451"/>
      <c r="C100" s="451" t="s">
        <v>302</v>
      </c>
      <c r="D100" s="410"/>
      <c r="E100" s="410"/>
      <c r="F100" s="410"/>
      <c r="G100" s="410"/>
      <c r="H100" s="410"/>
      <c r="I100" s="410"/>
      <c r="J100" s="410"/>
    </row>
    <row r="101" spans="1:12">
      <c r="A101" s="367"/>
      <c r="B101" s="411"/>
      <c r="C101" s="386"/>
      <c r="D101" s="411"/>
      <c r="E101" s="411"/>
      <c r="F101" s="411"/>
      <c r="G101" s="412"/>
      <c r="H101" s="411"/>
      <c r="I101" s="413"/>
      <c r="J101" s="391"/>
    </row>
    <row r="102" spans="1:12">
      <c r="A102" s="386"/>
      <c r="B102" s="410"/>
      <c r="C102" s="414" t="s">
        <v>303</v>
      </c>
      <c r="D102" s="410"/>
      <c r="E102" s="410"/>
      <c r="F102" s="410"/>
      <c r="G102" s="410"/>
      <c r="H102" s="410"/>
      <c r="I102" s="410"/>
      <c r="J102" s="386"/>
    </row>
    <row r="103" spans="1:12">
      <c r="A103" s="386"/>
      <c r="B103" s="386"/>
      <c r="C103" s="386"/>
      <c r="D103" s="386"/>
      <c r="E103" s="386"/>
      <c r="F103" s="386"/>
      <c r="G103" s="386"/>
      <c r="H103" s="386"/>
      <c r="I103" s="386"/>
      <c r="J103" s="386"/>
    </row>
    <row r="104" spans="1:12" ht="106.5" customHeight="1">
      <c r="A104" s="386"/>
      <c r="B104" s="368" t="s">
        <v>304</v>
      </c>
      <c r="C104" s="705" t="s">
        <v>305</v>
      </c>
      <c r="D104" s="706"/>
      <c r="E104" s="707"/>
      <c r="F104" s="367"/>
      <c r="G104" s="559" t="s">
        <v>81</v>
      </c>
      <c r="H104" s="367"/>
      <c r="I104" s="560" t="s">
        <v>306</v>
      </c>
      <c r="J104" s="386"/>
    </row>
    <row r="105" spans="1:12">
      <c r="A105" s="386"/>
      <c r="B105" s="386"/>
      <c r="C105" s="386"/>
      <c r="D105" s="386"/>
      <c r="E105" s="386"/>
      <c r="F105" s="386"/>
      <c r="G105" s="386"/>
      <c r="H105" s="386"/>
      <c r="I105" s="386"/>
      <c r="J105" s="386"/>
    </row>
    <row r="106" spans="1:12" ht="180">
      <c r="A106" s="386"/>
      <c r="B106" s="368" t="s">
        <v>307</v>
      </c>
      <c r="C106" s="705" t="s">
        <v>308</v>
      </c>
      <c r="D106" s="706"/>
      <c r="E106" s="707"/>
      <c r="F106" s="367"/>
      <c r="G106" s="559" t="s">
        <v>81</v>
      </c>
      <c r="H106" s="367"/>
      <c r="I106" s="560" t="s">
        <v>309</v>
      </c>
      <c r="J106" s="386"/>
      <c r="L106" s="385" t="s">
        <v>48</v>
      </c>
    </row>
    <row r="107" spans="1:12">
      <c r="A107" s="386"/>
      <c r="B107" s="386"/>
      <c r="C107" s="386"/>
      <c r="D107" s="386"/>
      <c r="E107" s="386"/>
      <c r="F107" s="386"/>
      <c r="G107" s="386"/>
      <c r="H107" s="386"/>
      <c r="I107" s="386"/>
      <c r="J107" s="386"/>
    </row>
    <row r="108" spans="1:12" ht="60">
      <c r="A108" s="386"/>
      <c r="B108" s="368" t="s">
        <v>310</v>
      </c>
      <c r="C108" s="705" t="s">
        <v>311</v>
      </c>
      <c r="D108" s="706"/>
      <c r="E108" s="707"/>
      <c r="F108" s="367"/>
      <c r="G108" s="559" t="s">
        <v>81</v>
      </c>
      <c r="H108" s="367"/>
      <c r="I108" s="560" t="s">
        <v>312</v>
      </c>
      <c r="J108" s="386"/>
    </row>
    <row r="109" spans="1:12">
      <c r="A109" s="386"/>
      <c r="B109" s="386"/>
      <c r="C109" s="386"/>
      <c r="D109" s="386"/>
      <c r="E109" s="386"/>
      <c r="F109" s="386"/>
      <c r="G109" s="386"/>
      <c r="H109" s="386"/>
      <c r="I109" s="386"/>
      <c r="J109" s="386"/>
    </row>
    <row r="110" spans="1:12" ht="225">
      <c r="A110" s="386"/>
      <c r="B110" s="368" t="s">
        <v>313</v>
      </c>
      <c r="C110" s="705" t="s">
        <v>314</v>
      </c>
      <c r="D110" s="706"/>
      <c r="E110" s="707"/>
      <c r="F110" s="367"/>
      <c r="G110" s="559" t="s">
        <v>81</v>
      </c>
      <c r="H110" s="367"/>
      <c r="I110" s="560" t="s">
        <v>315</v>
      </c>
      <c r="J110" s="386"/>
      <c r="L110" s="385" t="s">
        <v>48</v>
      </c>
    </row>
    <row r="111" spans="1:12">
      <c r="A111" s="386"/>
      <c r="B111" s="386"/>
      <c r="C111" s="386"/>
      <c r="D111" s="386"/>
      <c r="E111" s="386"/>
      <c r="F111" s="386"/>
      <c r="G111" s="386"/>
      <c r="H111" s="386"/>
      <c r="I111" s="386"/>
      <c r="J111" s="386"/>
    </row>
    <row r="112" spans="1:12" ht="90">
      <c r="A112" s="386"/>
      <c r="B112" s="368" t="s">
        <v>316</v>
      </c>
      <c r="C112" s="705" t="s">
        <v>317</v>
      </c>
      <c r="D112" s="706"/>
      <c r="E112" s="707"/>
      <c r="F112" s="367"/>
      <c r="G112" s="559" t="s">
        <v>81</v>
      </c>
      <c r="H112" s="367"/>
      <c r="I112" s="560" t="s">
        <v>318</v>
      </c>
      <c r="J112" s="386"/>
    </row>
    <row r="113" spans="1:12">
      <c r="A113" s="386"/>
      <c r="B113" s="386"/>
      <c r="C113" s="386"/>
      <c r="D113" s="386"/>
      <c r="E113" s="386"/>
      <c r="F113" s="386"/>
      <c r="G113" s="386"/>
      <c r="H113" s="386"/>
      <c r="I113" s="386"/>
      <c r="J113" s="386"/>
    </row>
    <row r="114" spans="1:12" ht="195">
      <c r="A114" s="386"/>
      <c r="B114" s="368" t="s">
        <v>319</v>
      </c>
      <c r="C114" s="705" t="s">
        <v>320</v>
      </c>
      <c r="D114" s="706"/>
      <c r="E114" s="707"/>
      <c r="F114" s="367"/>
      <c r="G114" s="559" t="s">
        <v>83</v>
      </c>
      <c r="H114" s="367"/>
      <c r="I114" s="560" t="s">
        <v>321</v>
      </c>
      <c r="J114" s="386"/>
    </row>
    <row r="115" spans="1:12" ht="15" customHeight="1">
      <c r="A115" s="386"/>
      <c r="B115" s="368"/>
      <c r="C115" s="399"/>
      <c r="D115" s="399"/>
      <c r="E115" s="399"/>
      <c r="F115" s="367"/>
      <c r="G115" s="386"/>
      <c r="H115" s="367"/>
      <c r="I115" s="389"/>
      <c r="J115" s="386"/>
    </row>
    <row r="116" spans="1:12">
      <c r="A116" s="386"/>
      <c r="B116" s="410"/>
      <c r="C116" s="414" t="s">
        <v>322</v>
      </c>
      <c r="D116" s="410"/>
      <c r="E116" s="410"/>
      <c r="F116" s="410"/>
      <c r="G116" s="410"/>
      <c r="H116" s="410"/>
      <c r="I116" s="410"/>
      <c r="J116" s="386"/>
    </row>
    <row r="117" spans="1:12" ht="15" customHeight="1">
      <c r="A117" s="386"/>
      <c r="B117" s="368"/>
      <c r="C117" s="399"/>
      <c r="D117" s="399"/>
      <c r="E117" s="399"/>
      <c r="F117" s="367"/>
      <c r="G117" s="386"/>
      <c r="H117" s="367"/>
      <c r="I117" s="389"/>
      <c r="J117" s="386"/>
    </row>
    <row r="118" spans="1:12" ht="255">
      <c r="A118" s="386"/>
      <c r="B118" s="368" t="s">
        <v>323</v>
      </c>
      <c r="C118" s="705" t="s">
        <v>324</v>
      </c>
      <c r="D118" s="706"/>
      <c r="E118" s="707"/>
      <c r="F118" s="367"/>
      <c r="G118" s="559" t="s">
        <v>81</v>
      </c>
      <c r="H118" s="367"/>
      <c r="I118" s="560" t="s">
        <v>325</v>
      </c>
      <c r="J118" s="386"/>
      <c r="L118" s="483" t="s">
        <v>48</v>
      </c>
    </row>
    <row r="119" spans="1:12" ht="15" customHeight="1">
      <c r="A119" s="386"/>
      <c r="B119" s="368"/>
      <c r="C119" s="399"/>
      <c r="D119" s="399"/>
      <c r="E119" s="399"/>
      <c r="F119" s="367"/>
      <c r="G119" s="386"/>
      <c r="H119" s="367"/>
      <c r="I119" s="389"/>
      <c r="J119" s="386"/>
    </row>
    <row r="120" spans="1:12">
      <c r="A120" s="386"/>
      <c r="B120" s="410"/>
      <c r="C120" s="414" t="s">
        <v>326</v>
      </c>
      <c r="D120" s="410"/>
      <c r="E120" s="410"/>
      <c r="F120" s="410"/>
      <c r="G120" s="410"/>
      <c r="H120" s="410"/>
      <c r="I120" s="410"/>
      <c r="J120" s="386"/>
    </row>
    <row r="121" spans="1:12" ht="13.5" customHeight="1">
      <c r="A121" s="386"/>
      <c r="B121" s="386"/>
      <c r="C121" s="386"/>
      <c r="D121" s="386"/>
      <c r="E121" s="386"/>
      <c r="F121" s="386"/>
      <c r="G121" s="386"/>
      <c r="H121" s="386"/>
      <c r="I121" s="386"/>
      <c r="J121" s="386"/>
    </row>
    <row r="122" spans="1:12" ht="120">
      <c r="A122" s="386"/>
      <c r="B122" s="368" t="s">
        <v>327</v>
      </c>
      <c r="C122" s="705" t="s">
        <v>328</v>
      </c>
      <c r="D122" s="706"/>
      <c r="E122" s="707"/>
      <c r="F122" s="367"/>
      <c r="G122" s="559" t="s">
        <v>83</v>
      </c>
      <c r="H122" s="367"/>
      <c r="I122" s="560" t="s">
        <v>329</v>
      </c>
      <c r="J122" s="386"/>
      <c r="L122" s="385" t="s">
        <v>48</v>
      </c>
    </row>
    <row r="123" spans="1:12" ht="12.75" customHeight="1">
      <c r="A123" s="386"/>
      <c r="B123" s="368"/>
      <c r="C123" s="399"/>
      <c r="D123" s="399"/>
      <c r="E123" s="399"/>
      <c r="F123" s="367"/>
      <c r="G123" s="386"/>
      <c r="H123" s="367"/>
      <c r="I123" s="389"/>
      <c r="J123" s="386"/>
      <c r="L123" s="385"/>
    </row>
    <row r="124" spans="1:12">
      <c r="A124" s="386"/>
      <c r="B124" s="410"/>
      <c r="C124" s="414" t="s">
        <v>330</v>
      </c>
      <c r="D124" s="410"/>
      <c r="E124" s="410"/>
      <c r="F124" s="410"/>
      <c r="G124" s="410"/>
      <c r="H124" s="410"/>
      <c r="I124" s="410"/>
      <c r="J124" s="386"/>
    </row>
    <row r="125" spans="1:12">
      <c r="A125" s="386"/>
      <c r="B125" s="386"/>
      <c r="C125" s="386"/>
      <c r="D125" s="386"/>
      <c r="E125" s="386"/>
      <c r="F125" s="386"/>
      <c r="G125" s="386"/>
      <c r="H125" s="386"/>
      <c r="I125" s="386"/>
      <c r="J125" s="386"/>
    </row>
    <row r="126" spans="1:12" hidden="1">
      <c r="A126" s="386"/>
      <c r="C126" s="415" t="s">
        <v>81</v>
      </c>
      <c r="D126" s="415"/>
      <c r="E126" s="415"/>
      <c r="G126" s="416"/>
      <c r="J126" s="386"/>
    </row>
    <row r="127" spans="1:12" hidden="1">
      <c r="A127" s="386"/>
      <c r="C127" s="415" t="s">
        <v>83</v>
      </c>
      <c r="D127" s="415"/>
      <c r="E127" s="415"/>
      <c r="G127" s="416"/>
      <c r="J127" s="386"/>
    </row>
    <row r="128" spans="1:12" hidden="1">
      <c r="A128" s="386"/>
      <c r="C128" s="415" t="s">
        <v>253</v>
      </c>
      <c r="D128" s="415"/>
      <c r="E128" s="415"/>
      <c r="G128" s="416"/>
      <c r="J128" s="386"/>
    </row>
    <row r="129" spans="1:12" ht="105">
      <c r="A129" s="386"/>
      <c r="B129" s="368" t="s">
        <v>331</v>
      </c>
      <c r="C129" s="705" t="s">
        <v>332</v>
      </c>
      <c r="D129" s="706"/>
      <c r="E129" s="707"/>
      <c r="F129" s="367"/>
      <c r="G129" s="559" t="s">
        <v>253</v>
      </c>
      <c r="H129" s="367"/>
      <c r="I129" s="560" t="s">
        <v>333</v>
      </c>
      <c r="J129" s="386"/>
      <c r="L129" s="385" t="s">
        <v>48</v>
      </c>
    </row>
    <row r="130" spans="1:12">
      <c r="A130" s="386"/>
      <c r="B130" s="386"/>
      <c r="C130" s="386"/>
      <c r="D130" s="386"/>
      <c r="E130" s="386"/>
      <c r="F130" s="386"/>
      <c r="G130" s="386"/>
      <c r="H130" s="386"/>
      <c r="I130" s="386"/>
      <c r="J130" s="386"/>
    </row>
    <row r="131" spans="1:12" ht="105">
      <c r="A131" s="386"/>
      <c r="B131" s="368" t="s">
        <v>334</v>
      </c>
      <c r="C131" s="705" t="s">
        <v>335</v>
      </c>
      <c r="D131" s="706"/>
      <c r="E131" s="707"/>
      <c r="F131" s="367"/>
      <c r="G131" s="559" t="s">
        <v>253</v>
      </c>
      <c r="H131" s="367"/>
      <c r="I131" s="560" t="s">
        <v>336</v>
      </c>
      <c r="J131" s="386"/>
      <c r="L131" s="385" t="s">
        <v>48</v>
      </c>
    </row>
    <row r="132" spans="1:12">
      <c r="A132" s="386"/>
      <c r="B132" s="368"/>
      <c r="C132" s="399"/>
      <c r="D132" s="399"/>
      <c r="E132" s="399"/>
      <c r="F132" s="367"/>
      <c r="G132" s="386"/>
      <c r="H132" s="367"/>
      <c r="I132" s="389"/>
      <c r="J132" s="386"/>
    </row>
    <row r="133" spans="1:12">
      <c r="A133" s="386"/>
      <c r="B133" s="410"/>
      <c r="C133" s="414" t="s">
        <v>337</v>
      </c>
      <c r="D133" s="410"/>
      <c r="E133" s="410"/>
      <c r="F133" s="410"/>
      <c r="G133" s="410"/>
      <c r="H133" s="410"/>
      <c r="I133" s="410"/>
      <c r="J133" s="386"/>
    </row>
    <row r="134" spans="1:12">
      <c r="A134" s="386"/>
      <c r="B134" s="368"/>
      <c r="C134" s="399"/>
      <c r="D134" s="399"/>
      <c r="E134" s="399"/>
      <c r="F134" s="367"/>
      <c r="G134" s="386"/>
      <c r="H134" s="367"/>
      <c r="I134" s="389"/>
      <c r="J134" s="386"/>
    </row>
    <row r="135" spans="1:12" ht="105">
      <c r="A135" s="386"/>
      <c r="B135" s="368" t="s">
        <v>338</v>
      </c>
      <c r="C135" s="705" t="s">
        <v>339</v>
      </c>
      <c r="D135" s="706"/>
      <c r="E135" s="707"/>
      <c r="F135" s="367"/>
      <c r="G135" s="559" t="s">
        <v>81</v>
      </c>
      <c r="H135" s="367"/>
      <c r="I135" s="560" t="s">
        <v>340</v>
      </c>
      <c r="J135" s="386"/>
    </row>
    <row r="136" spans="1:12">
      <c r="A136" s="386"/>
      <c r="B136" s="368"/>
      <c r="C136" s="399"/>
      <c r="D136" s="399"/>
      <c r="E136" s="399"/>
      <c r="F136" s="367"/>
      <c r="G136" s="386"/>
      <c r="H136" s="367"/>
      <c r="I136" s="389"/>
      <c r="J136" s="386"/>
    </row>
    <row r="137" spans="1:12" ht="255">
      <c r="A137" s="386"/>
      <c r="B137" s="368" t="s">
        <v>341</v>
      </c>
      <c r="C137" s="705" t="s">
        <v>342</v>
      </c>
      <c r="D137" s="706"/>
      <c r="E137" s="707"/>
      <c r="F137" s="367"/>
      <c r="G137" s="559" t="s">
        <v>81</v>
      </c>
      <c r="H137" s="367"/>
      <c r="I137" s="560" t="s">
        <v>343</v>
      </c>
      <c r="J137" s="386"/>
    </row>
    <row r="138" spans="1:12">
      <c r="A138" s="386"/>
      <c r="B138" s="368"/>
      <c r="C138" s="399"/>
      <c r="D138" s="399"/>
      <c r="E138" s="399"/>
      <c r="F138" s="367"/>
      <c r="G138" s="386"/>
      <c r="H138" s="367"/>
      <c r="I138" s="389"/>
      <c r="J138" s="386"/>
    </row>
    <row r="139" spans="1:12">
      <c r="A139" s="386"/>
      <c r="B139" s="410"/>
      <c r="C139" s="414" t="s">
        <v>344</v>
      </c>
      <c r="D139" s="410"/>
      <c r="E139" s="410"/>
      <c r="F139" s="410"/>
      <c r="G139" s="410"/>
      <c r="H139" s="410"/>
      <c r="I139" s="410"/>
      <c r="J139" s="386"/>
    </row>
    <row r="140" spans="1:12">
      <c r="A140" s="386"/>
      <c r="B140" s="386"/>
      <c r="C140" s="386"/>
      <c r="D140" s="386"/>
      <c r="E140" s="386"/>
      <c r="F140" s="386"/>
      <c r="G140" s="386"/>
      <c r="H140" s="386"/>
      <c r="I140" s="386"/>
      <c r="J140" s="386"/>
    </row>
    <row r="141" spans="1:12" ht="15" customHeight="1">
      <c r="A141" s="386"/>
      <c r="B141" s="710" t="s">
        <v>345</v>
      </c>
      <c r="C141" s="711"/>
      <c r="D141" s="711"/>
      <c r="E141" s="711"/>
      <c r="F141" s="711"/>
      <c r="G141" s="711"/>
      <c r="H141" s="711"/>
      <c r="I141" s="712"/>
      <c r="J141" s="386"/>
    </row>
    <row r="142" spans="1:12">
      <c r="A142" s="386"/>
      <c r="B142" s="368"/>
      <c r="C142" s="399"/>
      <c r="D142" s="399"/>
      <c r="E142" s="399"/>
      <c r="F142" s="367"/>
      <c r="G142" s="386"/>
      <c r="H142" s="367"/>
      <c r="I142" s="389"/>
      <c r="J142" s="386"/>
    </row>
    <row r="143" spans="1:12" ht="20.25" customHeight="1">
      <c r="A143" s="708" t="s">
        <v>206</v>
      </c>
      <c r="B143" s="709"/>
      <c r="C143" s="709"/>
      <c r="D143" s="709"/>
      <c r="E143" s="709"/>
      <c r="F143" s="709"/>
      <c r="G143" s="709"/>
      <c r="H143" s="709"/>
      <c r="I143" s="709"/>
      <c r="J143" s="709"/>
      <c r="K143" s="417"/>
    </row>
    <row r="144" spans="1:12" hidden="1">
      <c r="G144" s="416"/>
    </row>
    <row r="145" spans="7:7" hidden="1">
      <c r="G145" s="416"/>
    </row>
    <row r="146" spans="7:7" hidden="1">
      <c r="G146" s="416"/>
    </row>
    <row r="147" spans="7:7" hidden="1">
      <c r="G147" s="416"/>
    </row>
    <row r="148" spans="7:7" hidden="1">
      <c r="G148" s="416"/>
    </row>
    <row r="149" spans="7:7" hidden="1">
      <c r="G149" s="416"/>
    </row>
    <row r="150" spans="7:7" hidden="1">
      <c r="G150" s="416"/>
    </row>
    <row r="151" spans="7:7" hidden="1">
      <c r="G151" s="416"/>
    </row>
    <row r="152" spans="7:7" hidden="1">
      <c r="G152" s="416"/>
    </row>
    <row r="153" spans="7:7" hidden="1">
      <c r="G153" s="416"/>
    </row>
    <row r="154" spans="7:7" hidden="1">
      <c r="G154" s="416"/>
    </row>
    <row r="155" spans="7:7" hidden="1">
      <c r="G155" s="416"/>
    </row>
    <row r="156" spans="7:7" hidden="1">
      <c r="G156" s="416"/>
    </row>
    <row r="157" spans="7:7" hidden="1">
      <c r="G157" s="416"/>
    </row>
    <row r="158" spans="7:7" hidden="1">
      <c r="G158" s="416"/>
    </row>
    <row r="159" spans="7:7" hidden="1">
      <c r="G159" s="416"/>
    </row>
    <row r="160" spans="7:7" hidden="1">
      <c r="G160" s="416"/>
    </row>
    <row r="161" spans="7:7" hidden="1">
      <c r="G161" s="416"/>
    </row>
    <row r="162" spans="7:7" hidden="1">
      <c r="G162" s="416"/>
    </row>
    <row r="163" spans="7:7" hidden="1">
      <c r="G163" s="416"/>
    </row>
    <row r="164" spans="7:7" hidden="1">
      <c r="G164" s="416"/>
    </row>
    <row r="165" spans="7:7" hidden="1">
      <c r="G165" s="416"/>
    </row>
    <row r="166" spans="7:7" hidden="1">
      <c r="G166" s="416"/>
    </row>
    <row r="167" spans="7:7" hidden="1">
      <c r="G167" s="416"/>
    </row>
    <row r="168" spans="7:7" hidden="1">
      <c r="G168" s="416"/>
    </row>
    <row r="169" spans="7:7" hidden="1">
      <c r="G169" s="416"/>
    </row>
    <row r="170" spans="7:7" hidden="1">
      <c r="G170" s="416"/>
    </row>
    <row r="171" spans="7:7" hidden="1">
      <c r="G171" s="416" t="s">
        <v>81</v>
      </c>
    </row>
    <row r="172" spans="7:7" hidden="1">
      <c r="G172" s="416" t="s">
        <v>83</v>
      </c>
    </row>
    <row r="173" spans="7:7" hidden="1">
      <c r="G173" s="416" t="s">
        <v>253</v>
      </c>
    </row>
    <row r="174" spans="7:7" hidden="1">
      <c r="G174" s="416"/>
    </row>
    <row r="175" spans="7:7" hidden="1">
      <c r="G175" s="416"/>
    </row>
    <row r="176" spans="7:7" hidden="1">
      <c r="G176" s="416"/>
    </row>
    <row r="177" spans="7:7" hidden="1">
      <c r="G177" s="416"/>
    </row>
    <row r="178" spans="7:7" hidden="1">
      <c r="G178" s="416"/>
    </row>
    <row r="179" spans="7:7" hidden="1">
      <c r="G179" s="416"/>
    </row>
    <row r="180" spans="7:7" hidden="1">
      <c r="G180" s="416"/>
    </row>
    <row r="181" spans="7:7" hidden="1">
      <c r="G181" s="416"/>
    </row>
    <row r="182" spans="7:7" hidden="1">
      <c r="G182" s="416"/>
    </row>
    <row r="183" spans="7:7" hidden="1">
      <c r="G183" s="416"/>
    </row>
    <row r="184" spans="7:7" hidden="1">
      <c r="G184" s="416"/>
    </row>
    <row r="185" spans="7:7" hidden="1">
      <c r="G185" s="416"/>
    </row>
    <row r="186" spans="7:7" hidden="1">
      <c r="G186" s="416"/>
    </row>
    <row r="187" spans="7:7" hidden="1">
      <c r="G187" s="416"/>
    </row>
    <row r="188" spans="7:7" hidden="1">
      <c r="G188" s="416"/>
    </row>
    <row r="189" spans="7:7" hidden="1">
      <c r="G189" s="416"/>
    </row>
    <row r="190" spans="7:7" hidden="1">
      <c r="G190" s="416"/>
    </row>
    <row r="191" spans="7:7" hidden="1">
      <c r="G191" s="416"/>
    </row>
    <row r="192" spans="7:7" hidden="1">
      <c r="G192" s="416"/>
    </row>
    <row r="193" spans="7:7" hidden="1">
      <c r="G193" s="416"/>
    </row>
    <row r="194" spans="7:7" hidden="1">
      <c r="G194" s="416"/>
    </row>
    <row r="195" spans="7:7" hidden="1">
      <c r="G195" s="416"/>
    </row>
    <row r="196" spans="7:7" hidden="1">
      <c r="G196" s="416"/>
    </row>
    <row r="197" spans="7:7" hidden="1">
      <c r="G197" s="416"/>
    </row>
    <row r="198" spans="7:7" hidden="1">
      <c r="G198" s="416"/>
    </row>
    <row r="199" spans="7:7" hidden="1">
      <c r="G199" s="416"/>
    </row>
    <row r="200" spans="7:7" hidden="1">
      <c r="G200" s="416"/>
    </row>
    <row r="201" spans="7:7" hidden="1">
      <c r="G201" s="416"/>
    </row>
    <row r="202" spans="7:7" hidden="1">
      <c r="G202" s="416"/>
    </row>
    <row r="203" spans="7:7" hidden="1">
      <c r="G203" s="416"/>
    </row>
    <row r="204" spans="7:7" hidden="1">
      <c r="G204" s="416"/>
    </row>
    <row r="205" spans="7:7" hidden="1">
      <c r="G205" s="416"/>
    </row>
    <row r="206" spans="7:7" hidden="1">
      <c r="G206" s="416"/>
    </row>
    <row r="207" spans="7:7" hidden="1">
      <c r="G207" s="416"/>
    </row>
    <row r="208" spans="7:7" hidden="1">
      <c r="G208" s="416"/>
    </row>
    <row r="209" spans="7:7" hidden="1">
      <c r="G209" s="416"/>
    </row>
    <row r="210" spans="7:7" hidden="1">
      <c r="G210" s="416"/>
    </row>
    <row r="211" spans="7:7" hidden="1">
      <c r="G211" s="416"/>
    </row>
    <row r="212" spans="7:7" hidden="1">
      <c r="G212" s="416"/>
    </row>
    <row r="213" spans="7:7" hidden="1">
      <c r="G213" s="416"/>
    </row>
    <row r="214" spans="7:7" hidden="1">
      <c r="G214" s="416"/>
    </row>
    <row r="215" spans="7:7" hidden="1">
      <c r="G215" s="416"/>
    </row>
    <row r="216" spans="7:7" hidden="1">
      <c r="G216" s="416"/>
    </row>
    <row r="217" spans="7:7" hidden="1">
      <c r="G217" s="416"/>
    </row>
    <row r="218" spans="7:7" hidden="1">
      <c r="G218" s="416"/>
    </row>
    <row r="219" spans="7:7" hidden="1">
      <c r="G219" s="416"/>
    </row>
    <row r="220" spans="7:7" hidden="1">
      <c r="G220" s="416"/>
    </row>
    <row r="221" spans="7:7" hidden="1">
      <c r="G221" s="416"/>
    </row>
    <row r="222" spans="7:7" hidden="1">
      <c r="G222" s="416"/>
    </row>
    <row r="223" spans="7:7" hidden="1">
      <c r="G223" s="416"/>
    </row>
    <row r="224" spans="7:7" hidden="1">
      <c r="G224" s="416"/>
    </row>
    <row r="225" spans="7:7" hidden="1">
      <c r="G225" s="416"/>
    </row>
    <row r="226" spans="7:7" hidden="1">
      <c r="G226" s="416"/>
    </row>
    <row r="227" spans="7:7" hidden="1">
      <c r="G227" s="416"/>
    </row>
    <row r="228" spans="7:7" hidden="1">
      <c r="G228" s="416"/>
    </row>
    <row r="229" spans="7:7" hidden="1">
      <c r="G229" s="416"/>
    </row>
    <row r="230" spans="7:7" hidden="1">
      <c r="G230" s="416"/>
    </row>
  </sheetData>
  <sheetProtection algorithmName="SHA-512" hashValue="mrMFfgXbS0Xn+JYL0xs0QiNOTg41tshKUOTS2tvMuYXuOSgDjms2aDACR7NN+Gd9onqKFkSM2t5vBMBpWpZKjA==" saltValue="SlR1d98LLDC//44kRTcepw==" spinCount="100000" sheet="1" objects="1" scenarios="1"/>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xr:uid="{00000000-0002-0000-0800-000000000000}">
      <formula1>"✓,X,N/A"</formula1>
    </dataValidation>
    <dataValidation type="list" allowBlank="1" showInputMessage="1" showErrorMessage="1" sqref="E10:H10" xr:uid="{00000000-0002-0000-0800-00000100000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O159"/>
  <sheetViews>
    <sheetView topLeftCell="B1" workbookViewId="0">
      <selection activeCell="D95" sqref="D95:F95"/>
    </sheetView>
  </sheetViews>
  <sheetFormatPr defaultColWidth="0" defaultRowHeight="15" zeroHeight="1"/>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c r="A1" s="39"/>
      <c r="B1" s="40"/>
      <c r="C1" s="40"/>
      <c r="D1" s="41"/>
      <c r="E1" s="42"/>
      <c r="F1" s="42"/>
      <c r="G1" s="42"/>
      <c r="H1" s="40"/>
      <c r="I1" s="40"/>
      <c r="J1" s="43"/>
      <c r="K1" s="44"/>
    </row>
    <row r="2" spans="1:14">
      <c r="A2" s="45"/>
      <c r="B2" s="69"/>
      <c r="C2" s="69"/>
      <c r="D2" s="441" t="s">
        <v>144</v>
      </c>
      <c r="E2" s="24"/>
      <c r="F2" s="734" t="s">
        <v>346</v>
      </c>
      <c r="G2" s="735"/>
      <c r="H2" s="735"/>
      <c r="I2" s="736"/>
      <c r="J2" s="33"/>
      <c r="K2" s="46"/>
    </row>
    <row r="3" spans="1:14" ht="8.25" customHeight="1">
      <c r="A3" s="45"/>
      <c r="B3" s="69"/>
      <c r="C3" s="69"/>
      <c r="D3" s="135"/>
      <c r="E3" s="24"/>
      <c r="F3" s="69"/>
      <c r="G3" s="69"/>
      <c r="H3" s="69"/>
      <c r="I3" s="69"/>
      <c r="J3" s="33"/>
      <c r="K3" s="46"/>
    </row>
    <row r="4" spans="1:14">
      <c r="A4" s="45"/>
      <c r="B4" s="69"/>
      <c r="C4" s="69"/>
      <c r="D4" s="441" t="s">
        <v>146</v>
      </c>
      <c r="E4" s="24"/>
      <c r="F4" s="737"/>
      <c r="G4" s="738"/>
      <c r="H4" s="738"/>
      <c r="I4" s="739"/>
      <c r="J4" s="33"/>
      <c r="K4" s="46"/>
    </row>
    <row r="5" spans="1:14" ht="8.25" customHeight="1">
      <c r="A5" s="45"/>
      <c r="B5" s="69"/>
      <c r="C5" s="69"/>
      <c r="D5" s="135"/>
      <c r="E5" s="24"/>
      <c r="F5" s="69"/>
      <c r="G5" s="69"/>
      <c r="H5" s="69"/>
      <c r="I5" s="69"/>
      <c r="J5" s="33"/>
      <c r="K5" s="46"/>
    </row>
    <row r="6" spans="1:14" hidden="1">
      <c r="A6" s="45"/>
      <c r="B6" s="69"/>
      <c r="C6" s="69"/>
      <c r="D6" s="135"/>
      <c r="E6" s="24"/>
      <c r="F6" s="740"/>
      <c r="G6" s="741"/>
      <c r="H6" s="741"/>
      <c r="I6" s="742"/>
      <c r="J6" s="33"/>
      <c r="K6" s="46"/>
    </row>
    <row r="7" spans="1:14" ht="15" hidden="1" customHeight="1">
      <c r="A7" s="45"/>
      <c r="B7" s="69"/>
      <c r="C7" s="69"/>
      <c r="D7" s="135"/>
      <c r="E7" s="24"/>
      <c r="F7" s="69"/>
      <c r="G7" s="69"/>
      <c r="H7" s="69"/>
      <c r="I7" s="69"/>
      <c r="J7" s="33"/>
      <c r="K7" s="46"/>
    </row>
    <row r="8" spans="1:14">
      <c r="A8" s="45"/>
      <c r="B8" s="69"/>
      <c r="C8" s="69"/>
      <c r="D8" s="441" t="s">
        <v>45</v>
      </c>
      <c r="E8" s="24"/>
      <c r="F8" s="734" t="s">
        <v>347</v>
      </c>
      <c r="G8" s="735"/>
      <c r="H8" s="735"/>
      <c r="I8" s="736"/>
      <c r="J8" s="33"/>
      <c r="K8" s="46"/>
    </row>
    <row r="9" spans="1:14" ht="8.25" customHeight="1">
      <c r="A9" s="45"/>
      <c r="B9" s="69"/>
      <c r="C9" s="69"/>
      <c r="D9" s="135"/>
      <c r="E9" s="24"/>
      <c r="F9" s="69"/>
      <c r="G9" s="69"/>
      <c r="H9" s="69"/>
      <c r="I9" s="69"/>
      <c r="J9" s="33"/>
      <c r="K9" s="46"/>
    </row>
    <row r="10" spans="1:14">
      <c r="A10" s="45"/>
      <c r="B10" s="69"/>
      <c r="C10" s="28"/>
      <c r="D10" s="441" t="s">
        <v>348</v>
      </c>
      <c r="E10" s="24"/>
      <c r="F10" s="734"/>
      <c r="G10" s="735"/>
      <c r="H10" s="735"/>
      <c r="I10" s="736"/>
      <c r="J10" s="33"/>
      <c r="K10" s="46"/>
    </row>
    <row r="11" spans="1:14">
      <c r="A11" s="47"/>
      <c r="B11" s="48"/>
      <c r="C11" s="48"/>
      <c r="D11" s="48"/>
      <c r="E11" s="49"/>
      <c r="F11" s="49"/>
      <c r="G11" s="49"/>
      <c r="H11" s="50"/>
      <c r="I11" s="48"/>
      <c r="J11" s="51"/>
      <c r="K11" s="52"/>
    </row>
    <row r="12" spans="1:14" ht="15.75">
      <c r="A12" s="53"/>
      <c r="B12" s="38"/>
      <c r="C12" s="76" t="s">
        <v>109</v>
      </c>
      <c r="D12" s="135" t="s">
        <v>137</v>
      </c>
      <c r="E12" s="136"/>
      <c r="F12" s="136"/>
      <c r="G12" s="136"/>
      <c r="H12" s="135" t="s">
        <v>138</v>
      </c>
      <c r="I12" s="136"/>
      <c r="J12" s="137" t="s">
        <v>139</v>
      </c>
      <c r="K12" s="54"/>
    </row>
    <row r="13" spans="1:14" s="154" customFormat="1">
      <c r="A13" s="55"/>
      <c r="B13" s="155"/>
      <c r="C13" s="155"/>
      <c r="D13" s="458" t="s">
        <v>148</v>
      </c>
      <c r="E13" s="155"/>
      <c r="F13" s="155"/>
      <c r="G13" s="155"/>
      <c r="H13" s="160"/>
      <c r="I13" s="155"/>
      <c r="J13" s="155"/>
      <c r="K13" s="155"/>
    </row>
    <row r="14" spans="1:14">
      <c r="A14" s="56"/>
      <c r="B14" s="69"/>
      <c r="C14" s="69"/>
      <c r="D14" s="57"/>
      <c r="E14" s="68"/>
      <c r="F14" s="68"/>
      <c r="G14" s="68"/>
      <c r="H14" s="83"/>
      <c r="I14" s="68"/>
      <c r="J14" s="58"/>
      <c r="K14" s="46"/>
    </row>
    <row r="15" spans="1:14" ht="33.75">
      <c r="A15" s="56"/>
      <c r="B15" s="68"/>
      <c r="C15" s="97" t="s">
        <v>149</v>
      </c>
      <c r="D15" s="733" t="s">
        <v>349</v>
      </c>
      <c r="E15" s="733"/>
      <c r="F15" s="733"/>
      <c r="G15" s="68"/>
      <c r="H15" s="167"/>
      <c r="I15" s="68"/>
      <c r="J15" s="34"/>
      <c r="K15" s="46"/>
      <c r="N15" s="422" t="s">
        <v>48</v>
      </c>
    </row>
    <row r="16" spans="1:14">
      <c r="A16" s="56"/>
      <c r="B16" s="94"/>
      <c r="C16" s="29"/>
      <c r="D16" s="94"/>
      <c r="E16" s="94"/>
      <c r="F16" s="94"/>
      <c r="G16" s="94"/>
      <c r="H16" s="99"/>
      <c r="I16" s="94"/>
      <c r="J16" s="35"/>
      <c r="K16" s="59"/>
    </row>
    <row r="17" spans="1:15" ht="33.75">
      <c r="A17" s="56"/>
      <c r="B17" s="68"/>
      <c r="C17" s="27" t="s">
        <v>151</v>
      </c>
      <c r="D17" s="667" t="s">
        <v>350</v>
      </c>
      <c r="E17" s="667"/>
      <c r="F17" s="667"/>
      <c r="G17" s="68"/>
      <c r="H17" s="126"/>
      <c r="I17" s="68"/>
      <c r="J17" s="34"/>
      <c r="K17" s="46"/>
      <c r="N17" s="422" t="s">
        <v>48</v>
      </c>
    </row>
    <row r="18" spans="1:15">
      <c r="A18" s="56"/>
      <c r="B18" s="68"/>
      <c r="C18" s="27"/>
      <c r="D18" s="94"/>
      <c r="E18" s="94"/>
      <c r="F18" s="94"/>
      <c r="G18" s="68"/>
      <c r="H18" s="83"/>
      <c r="I18" s="68"/>
      <c r="J18" s="35"/>
      <c r="K18" s="60"/>
    </row>
    <row r="19" spans="1:15" ht="33.75">
      <c r="A19" s="56"/>
      <c r="B19" s="68"/>
      <c r="C19" s="27" t="s">
        <v>153</v>
      </c>
      <c r="D19" s="743" t="s">
        <v>351</v>
      </c>
      <c r="E19" s="743"/>
      <c r="F19" s="743"/>
      <c r="G19" s="68"/>
      <c r="H19" s="126"/>
      <c r="I19" s="68"/>
      <c r="J19" s="34"/>
      <c r="K19" s="60"/>
      <c r="N19" s="422" t="s">
        <v>48</v>
      </c>
    </row>
    <row r="20" spans="1:15">
      <c r="A20" s="56"/>
      <c r="B20" s="68"/>
      <c r="C20" s="27"/>
      <c r="D20" s="94"/>
      <c r="E20" s="94"/>
      <c r="F20" s="94"/>
      <c r="G20" s="68"/>
      <c r="H20" s="83"/>
      <c r="I20" s="68"/>
      <c r="J20" s="35"/>
      <c r="K20" s="60"/>
    </row>
    <row r="21" spans="1:15" ht="33.75">
      <c r="A21" s="56"/>
      <c r="B21" s="68"/>
      <c r="C21" s="27" t="s">
        <v>156</v>
      </c>
      <c r="D21" s="667" t="s">
        <v>352</v>
      </c>
      <c r="E21" s="667"/>
      <c r="F21" s="667"/>
      <c r="G21" s="68"/>
      <c r="H21" s="126"/>
      <c r="I21" s="68"/>
      <c r="J21" s="34"/>
      <c r="K21" s="60"/>
      <c r="N21" s="422" t="s">
        <v>48</v>
      </c>
    </row>
    <row r="22" spans="1:15">
      <c r="A22" s="56"/>
      <c r="B22" s="68"/>
      <c r="C22" s="27"/>
      <c r="D22" s="94"/>
      <c r="E22" s="94"/>
      <c r="F22" s="94"/>
      <c r="G22" s="68"/>
      <c r="H22" s="83"/>
      <c r="I22" s="68"/>
      <c r="J22" s="35"/>
      <c r="K22" s="60"/>
    </row>
    <row r="23" spans="1:15" ht="33.75">
      <c r="A23" s="56"/>
      <c r="B23" s="68"/>
      <c r="C23" s="27" t="s">
        <v>158</v>
      </c>
      <c r="D23" s="667" t="s">
        <v>353</v>
      </c>
      <c r="E23" s="667"/>
      <c r="F23" s="667"/>
      <c r="G23" s="68"/>
      <c r="H23" s="126"/>
      <c r="I23" s="68"/>
      <c r="J23" s="34"/>
      <c r="K23" s="60"/>
      <c r="N23" s="422" t="s">
        <v>48</v>
      </c>
    </row>
    <row r="24" spans="1:15">
      <c r="A24" s="56"/>
      <c r="B24" s="68"/>
      <c r="C24" s="27"/>
      <c r="D24" s="94"/>
      <c r="E24" s="94"/>
      <c r="F24" s="94"/>
      <c r="G24" s="68"/>
      <c r="H24" s="83"/>
      <c r="I24" s="68"/>
      <c r="J24" s="35"/>
      <c r="K24" s="60"/>
    </row>
    <row r="25" spans="1:15" ht="33.75">
      <c r="A25" s="56"/>
      <c r="B25" s="68"/>
      <c r="C25" s="27" t="s">
        <v>166</v>
      </c>
      <c r="D25" s="667" t="s">
        <v>354</v>
      </c>
      <c r="E25" s="667"/>
      <c r="F25" s="667"/>
      <c r="G25" s="68"/>
      <c r="H25" s="126"/>
      <c r="I25" s="68"/>
      <c r="J25" s="34"/>
      <c r="K25" s="60"/>
      <c r="N25" s="422" t="s">
        <v>48</v>
      </c>
    </row>
    <row r="26" spans="1:15">
      <c r="A26" s="56"/>
      <c r="B26" s="68"/>
      <c r="C26" s="61"/>
      <c r="D26" s="94"/>
      <c r="E26" s="94"/>
      <c r="F26" s="94"/>
      <c r="G26" s="68"/>
      <c r="H26" s="83"/>
      <c r="I26" s="68"/>
      <c r="J26" s="35"/>
      <c r="K26" s="60"/>
    </row>
    <row r="27" spans="1:15">
      <c r="A27" s="56"/>
      <c r="B27" s="68"/>
      <c r="C27" s="27" t="s">
        <v>169</v>
      </c>
      <c r="D27" s="667" t="s">
        <v>355</v>
      </c>
      <c r="E27" s="667"/>
      <c r="F27" s="667"/>
      <c r="G27" s="68"/>
      <c r="H27" s="126"/>
      <c r="I27" s="68"/>
      <c r="J27" s="34"/>
      <c r="K27" s="60"/>
    </row>
    <row r="28" spans="1:15">
      <c r="A28" s="56"/>
      <c r="B28" s="68"/>
      <c r="C28" s="68"/>
      <c r="D28" s="94"/>
      <c r="E28" s="94"/>
      <c r="F28" s="94"/>
      <c r="G28" s="68"/>
      <c r="H28" s="83"/>
      <c r="I28" s="68"/>
      <c r="J28" s="35"/>
      <c r="K28" s="60"/>
    </row>
    <row r="29" spans="1:15">
      <c r="A29" s="56"/>
      <c r="B29" s="81"/>
      <c r="C29" s="81"/>
      <c r="D29" s="459" t="s">
        <v>155</v>
      </c>
      <c r="E29" s="115"/>
      <c r="F29" s="115"/>
      <c r="G29" s="81"/>
      <c r="H29" s="161"/>
      <c r="I29" s="81"/>
      <c r="J29" s="81"/>
      <c r="K29" s="81"/>
      <c r="L29" s="81"/>
      <c r="M29" s="81"/>
      <c r="N29" s="81"/>
      <c r="O29" s="81"/>
    </row>
    <row r="30" spans="1:15">
      <c r="A30" s="56"/>
      <c r="B30" s="68"/>
      <c r="C30" s="68"/>
      <c r="D30" s="94"/>
      <c r="E30" s="94"/>
      <c r="F30" s="94"/>
      <c r="G30" s="68"/>
      <c r="H30" s="83"/>
      <c r="I30" s="68"/>
      <c r="J30" s="35"/>
      <c r="K30" s="60"/>
    </row>
    <row r="31" spans="1:15" ht="81.75">
      <c r="A31" s="56"/>
      <c r="B31" s="68"/>
      <c r="C31" s="83" t="s">
        <v>173</v>
      </c>
      <c r="D31" s="744" t="s">
        <v>356</v>
      </c>
      <c r="E31" s="745"/>
      <c r="F31" s="746"/>
      <c r="G31" s="68"/>
      <c r="H31" s="126"/>
      <c r="I31" s="68"/>
      <c r="J31" s="34"/>
      <c r="K31" s="60"/>
      <c r="M31" s="440" t="s">
        <v>48</v>
      </c>
    </row>
    <row r="32" spans="1:15">
      <c r="A32" s="56"/>
      <c r="B32" s="68"/>
      <c r="C32" s="83"/>
      <c r="D32" s="558"/>
      <c r="E32" s="94"/>
      <c r="F32" s="94"/>
      <c r="G32" s="68"/>
      <c r="H32" s="83"/>
      <c r="I32" s="68"/>
      <c r="J32" s="35"/>
      <c r="K32" s="60"/>
    </row>
    <row r="33" spans="1:15" ht="33.75">
      <c r="A33" s="56"/>
      <c r="B33" s="68"/>
      <c r="C33" s="83" t="s">
        <v>357</v>
      </c>
      <c r="D33" s="667" t="s">
        <v>358</v>
      </c>
      <c r="E33" s="667"/>
      <c r="F33" s="667"/>
      <c r="G33" s="68"/>
      <c r="H33" s="126"/>
      <c r="I33" s="68"/>
      <c r="J33" s="34"/>
      <c r="K33" s="60"/>
      <c r="M33" s="422" t="s">
        <v>48</v>
      </c>
    </row>
    <row r="34" spans="1:15">
      <c r="A34" s="56"/>
      <c r="B34" s="68"/>
      <c r="C34" s="83"/>
      <c r="D34" s="94"/>
      <c r="E34" s="94"/>
      <c r="F34" s="94"/>
      <c r="G34" s="68"/>
      <c r="H34" s="83"/>
      <c r="I34" s="68"/>
      <c r="J34" s="35"/>
      <c r="K34" s="60"/>
    </row>
    <row r="35" spans="1:15" ht="33.75">
      <c r="A35" s="56"/>
      <c r="B35" s="68"/>
      <c r="C35" s="83" t="s">
        <v>359</v>
      </c>
      <c r="D35" s="667" t="s">
        <v>360</v>
      </c>
      <c r="E35" s="667"/>
      <c r="F35" s="667"/>
      <c r="G35" s="68"/>
      <c r="H35" s="126"/>
      <c r="I35" s="68"/>
      <c r="J35" s="34"/>
      <c r="K35" s="60"/>
      <c r="M35" s="422" t="s">
        <v>48</v>
      </c>
    </row>
    <row r="36" spans="1:15" hidden="1">
      <c r="A36" s="56"/>
      <c r="B36" s="68"/>
      <c r="C36" s="83"/>
      <c r="D36" s="94"/>
      <c r="E36" s="94"/>
      <c r="F36" s="94"/>
      <c r="G36" s="68"/>
      <c r="H36" s="83"/>
      <c r="I36" s="68"/>
      <c r="J36" s="35"/>
      <c r="K36" s="60"/>
    </row>
    <row r="37" spans="1:15" hidden="1">
      <c r="A37" s="56"/>
      <c r="B37" s="68"/>
      <c r="C37" s="83"/>
      <c r="D37" s="667" t="s">
        <v>361</v>
      </c>
      <c r="E37" s="667"/>
      <c r="F37" s="667"/>
      <c r="G37" s="68"/>
      <c r="H37" s="126"/>
      <c r="I37" s="68"/>
      <c r="J37" s="34"/>
      <c r="K37" s="60"/>
    </row>
    <row r="38" spans="1:15">
      <c r="A38" s="56"/>
      <c r="B38" s="68"/>
      <c r="C38" s="83"/>
      <c r="D38" s="151"/>
      <c r="E38" s="94"/>
      <c r="F38" s="94"/>
      <c r="G38" s="68"/>
      <c r="H38" s="83"/>
      <c r="I38" s="68"/>
      <c r="J38" s="35"/>
      <c r="K38" s="60"/>
    </row>
    <row r="39" spans="1:15">
      <c r="A39" s="56"/>
      <c r="B39" s="68"/>
      <c r="C39" s="83" t="s">
        <v>179</v>
      </c>
      <c r="D39" s="667" t="s">
        <v>362</v>
      </c>
      <c r="E39" s="667"/>
      <c r="F39" s="667"/>
      <c r="G39" s="68"/>
      <c r="H39" s="126"/>
      <c r="I39" s="68"/>
      <c r="J39" s="34"/>
      <c r="K39" s="60"/>
    </row>
    <row r="40" spans="1:15">
      <c r="A40" s="56"/>
      <c r="B40" s="30"/>
      <c r="C40" s="30"/>
      <c r="D40" s="747"/>
      <c r="E40" s="747"/>
      <c r="F40" s="747"/>
      <c r="G40" s="603"/>
      <c r="H40" s="83"/>
      <c r="I40" s="62"/>
      <c r="J40" s="35"/>
      <c r="K40" s="60"/>
    </row>
    <row r="41" spans="1:15" ht="33.75">
      <c r="A41" s="56"/>
      <c r="B41" s="68"/>
      <c r="C41" s="83" t="s">
        <v>181</v>
      </c>
      <c r="D41" s="667" t="s">
        <v>363</v>
      </c>
      <c r="E41" s="667"/>
      <c r="F41" s="667"/>
      <c r="G41" s="603"/>
      <c r="H41" s="126"/>
      <c r="I41" s="68"/>
      <c r="J41" s="34"/>
      <c r="K41" s="60"/>
      <c r="M41" s="422" t="s">
        <v>48</v>
      </c>
    </row>
    <row r="42" spans="1:15">
      <c r="A42" s="56"/>
      <c r="B42" s="68"/>
      <c r="C42" s="68"/>
      <c r="D42" s="94"/>
      <c r="E42" s="94"/>
      <c r="F42" s="94"/>
      <c r="G42" s="603"/>
      <c r="H42" s="83"/>
      <c r="I42" s="68"/>
      <c r="J42" s="35"/>
      <c r="K42" s="60"/>
    </row>
    <row r="43" spans="1:15" ht="33.75">
      <c r="A43" s="56"/>
      <c r="B43" s="68"/>
      <c r="C43" s="83" t="s">
        <v>186</v>
      </c>
      <c r="D43" s="667" t="s">
        <v>364</v>
      </c>
      <c r="E43" s="667"/>
      <c r="F43" s="667"/>
      <c r="G43" s="68"/>
      <c r="H43" s="126"/>
      <c r="I43" s="68"/>
      <c r="J43" s="34"/>
      <c r="K43" s="60"/>
      <c r="M43" s="422" t="s">
        <v>48</v>
      </c>
    </row>
    <row r="44" spans="1:15">
      <c r="A44" s="56"/>
      <c r="B44" s="68"/>
      <c r="C44" s="68"/>
      <c r="D44" s="94"/>
      <c r="E44" s="94"/>
      <c r="F44" s="94"/>
      <c r="G44" s="68"/>
      <c r="H44" s="83"/>
      <c r="I44" s="68"/>
      <c r="J44" s="35"/>
      <c r="K44" s="60"/>
    </row>
    <row r="45" spans="1:15">
      <c r="A45" s="56"/>
      <c r="B45" s="117"/>
      <c r="C45" s="117"/>
      <c r="D45" s="460" t="s">
        <v>365</v>
      </c>
      <c r="E45" s="117"/>
      <c r="F45" s="117"/>
      <c r="G45" s="117"/>
      <c r="H45" s="162"/>
      <c r="I45" s="117"/>
      <c r="J45" s="117"/>
      <c r="K45" s="117"/>
      <c r="L45" s="117"/>
      <c r="M45" s="117"/>
      <c r="N45" s="117"/>
      <c r="O45" s="117"/>
    </row>
    <row r="46" spans="1:15">
      <c r="A46" s="56"/>
      <c r="B46" s="68"/>
      <c r="C46" s="68"/>
      <c r="D46" s="94"/>
      <c r="E46" s="94"/>
      <c r="F46" s="94"/>
      <c r="G46" s="68"/>
      <c r="H46" s="83"/>
      <c r="I46" s="68"/>
      <c r="J46" s="35"/>
      <c r="K46" s="60"/>
    </row>
    <row r="47" spans="1:15">
      <c r="A47" s="56"/>
      <c r="B47" s="68"/>
      <c r="C47" s="83" t="s">
        <v>189</v>
      </c>
      <c r="D47" s="667" t="s">
        <v>366</v>
      </c>
      <c r="E47" s="667"/>
      <c r="F47" s="667"/>
      <c r="G47" s="68"/>
      <c r="H47" s="126"/>
      <c r="I47" s="68"/>
      <c r="J47" s="34"/>
      <c r="K47" s="60"/>
    </row>
    <row r="48" spans="1:15">
      <c r="A48" s="56"/>
      <c r="B48" s="68"/>
      <c r="C48" s="83"/>
      <c r="D48" s="94"/>
      <c r="E48" s="94"/>
      <c r="F48" s="94"/>
      <c r="G48" s="68"/>
      <c r="H48" s="83"/>
      <c r="I48" s="68"/>
      <c r="J48" s="35"/>
      <c r="K48" s="60"/>
    </row>
    <row r="49" spans="1:13" ht="33.75">
      <c r="A49" s="56"/>
      <c r="B49" s="68"/>
      <c r="C49" s="83" t="s">
        <v>192</v>
      </c>
      <c r="D49" s="667" t="s">
        <v>367</v>
      </c>
      <c r="E49" s="667"/>
      <c r="F49" s="667"/>
      <c r="G49" s="68"/>
      <c r="H49" s="126"/>
      <c r="I49" s="68"/>
      <c r="J49" s="34"/>
      <c r="K49" s="60"/>
      <c r="M49" s="422" t="s">
        <v>48</v>
      </c>
    </row>
    <row r="50" spans="1:13">
      <c r="A50" s="56"/>
      <c r="B50" s="68"/>
      <c r="C50" s="68"/>
      <c r="D50" s="94"/>
      <c r="E50" s="94"/>
      <c r="F50" s="94"/>
      <c r="G50" s="68"/>
      <c r="H50" s="83"/>
      <c r="I50" s="68"/>
      <c r="J50" s="35"/>
      <c r="K50" s="60"/>
    </row>
    <row r="51" spans="1:13">
      <c r="A51" s="56"/>
      <c r="B51" s="30"/>
      <c r="C51" s="36"/>
      <c r="D51" s="461" t="s">
        <v>228</v>
      </c>
      <c r="E51" s="118"/>
      <c r="F51" s="118"/>
      <c r="G51" s="90"/>
      <c r="H51" s="163"/>
      <c r="I51" s="90"/>
      <c r="J51" s="36"/>
      <c r="K51" s="46"/>
    </row>
    <row r="52" spans="1:13">
      <c r="A52" s="56"/>
      <c r="B52" s="68"/>
      <c r="C52" s="68"/>
      <c r="D52" s="94"/>
      <c r="E52" s="94"/>
      <c r="F52" s="94"/>
      <c r="G52" s="68"/>
      <c r="H52" s="83"/>
      <c r="I52" s="68"/>
      <c r="J52" s="35"/>
      <c r="K52" s="60"/>
    </row>
    <row r="53" spans="1:13">
      <c r="A53" s="56"/>
      <c r="B53" s="68"/>
      <c r="C53" s="83" t="s">
        <v>196</v>
      </c>
      <c r="D53" s="667" t="s">
        <v>368</v>
      </c>
      <c r="E53" s="667"/>
      <c r="F53" s="667"/>
      <c r="G53" s="68"/>
      <c r="H53" s="126"/>
      <c r="I53" s="68"/>
      <c r="J53" s="34"/>
      <c r="K53" s="60"/>
    </row>
    <row r="54" spans="1:13">
      <c r="A54" s="56"/>
      <c r="B54" s="68"/>
      <c r="C54" s="68"/>
      <c r="D54" s="94"/>
      <c r="E54" s="94"/>
      <c r="F54" s="94"/>
      <c r="G54" s="68"/>
      <c r="H54" s="83"/>
      <c r="I54" s="68"/>
      <c r="J54" s="35"/>
      <c r="K54" s="60"/>
    </row>
    <row r="55" spans="1:13" ht="33.75">
      <c r="A55" s="56"/>
      <c r="B55" s="68"/>
      <c r="C55" s="83" t="s">
        <v>200</v>
      </c>
      <c r="D55" s="667" t="s">
        <v>369</v>
      </c>
      <c r="E55" s="667"/>
      <c r="F55" s="667"/>
      <c r="G55" s="68"/>
      <c r="H55" s="126"/>
      <c r="I55" s="68"/>
      <c r="J55" s="34"/>
      <c r="K55" s="60"/>
      <c r="M55" s="422" t="s">
        <v>48</v>
      </c>
    </row>
    <row r="56" spans="1:13">
      <c r="A56" s="56"/>
      <c r="B56" s="68"/>
      <c r="C56" s="68"/>
      <c r="D56" s="94"/>
      <c r="E56" s="94"/>
      <c r="F56" s="94"/>
      <c r="G56" s="68"/>
      <c r="H56" s="83"/>
      <c r="I56" s="68"/>
      <c r="J56" s="35"/>
      <c r="K56" s="60"/>
    </row>
    <row r="57" spans="1:13">
      <c r="A57" s="56"/>
      <c r="B57" s="30"/>
      <c r="C57" s="36"/>
      <c r="D57" s="461" t="s">
        <v>370</v>
      </c>
      <c r="E57" s="118"/>
      <c r="F57" s="118"/>
      <c r="G57" s="90"/>
      <c r="H57" s="163"/>
      <c r="I57" s="90"/>
      <c r="J57" s="36"/>
      <c r="K57" s="46"/>
    </row>
    <row r="58" spans="1:13">
      <c r="A58" s="56"/>
      <c r="B58" s="68"/>
      <c r="C58" s="68"/>
      <c r="D58" s="94"/>
      <c r="E58" s="94"/>
      <c r="F58" s="94"/>
      <c r="G58" s="68"/>
      <c r="H58" s="83"/>
      <c r="I58" s="68"/>
      <c r="J58" s="35"/>
      <c r="K58" s="60"/>
    </row>
    <row r="59" spans="1:13">
      <c r="A59" s="56"/>
      <c r="B59" s="68"/>
      <c r="C59" s="83" t="s">
        <v>204</v>
      </c>
      <c r="D59" s="667" t="s">
        <v>371</v>
      </c>
      <c r="E59" s="667"/>
      <c r="F59" s="667"/>
      <c r="G59" s="68"/>
      <c r="H59" s="126"/>
      <c r="I59" s="68"/>
      <c r="J59" s="34"/>
      <c r="K59" s="60"/>
    </row>
    <row r="60" spans="1:13">
      <c r="A60" s="56"/>
      <c r="B60" s="68"/>
      <c r="C60" s="68"/>
      <c r="D60" s="94"/>
      <c r="E60" s="94"/>
      <c r="F60" s="94"/>
      <c r="G60" s="68"/>
      <c r="H60" s="83"/>
      <c r="I60" s="68"/>
      <c r="J60" s="35"/>
      <c r="K60" s="60"/>
    </row>
    <row r="61" spans="1:13">
      <c r="A61" s="56"/>
      <c r="B61" s="30"/>
      <c r="C61" s="36"/>
      <c r="D61" s="461" t="s">
        <v>248</v>
      </c>
      <c r="E61" s="118"/>
      <c r="F61" s="118"/>
      <c r="G61" s="90"/>
      <c r="H61" s="163"/>
      <c r="I61" s="90"/>
      <c r="J61" s="36"/>
      <c r="K61" s="46"/>
    </row>
    <row r="62" spans="1:13">
      <c r="A62" s="56"/>
      <c r="B62" s="68"/>
      <c r="C62" s="68"/>
      <c r="D62" s="94"/>
      <c r="E62" s="94"/>
      <c r="F62" s="94"/>
      <c r="G62" s="68"/>
      <c r="H62" s="83"/>
      <c r="I62" s="68"/>
      <c r="J62" s="35"/>
      <c r="K62" s="60"/>
    </row>
    <row r="63" spans="1:13" ht="33.75">
      <c r="A63" s="56"/>
      <c r="B63" s="68"/>
      <c r="C63" s="83" t="s">
        <v>263</v>
      </c>
      <c r="D63" s="667" t="s">
        <v>372</v>
      </c>
      <c r="E63" s="667"/>
      <c r="F63" s="667"/>
      <c r="G63" s="68"/>
      <c r="H63" s="126"/>
      <c r="I63" s="68"/>
      <c r="J63" s="34"/>
      <c r="K63" s="60"/>
      <c r="M63" s="422" t="s">
        <v>48</v>
      </c>
    </row>
    <row r="64" spans="1:13">
      <c r="A64" s="56"/>
      <c r="B64" s="68"/>
      <c r="C64" s="68"/>
      <c r="D64" s="94"/>
      <c r="E64" s="94"/>
      <c r="F64" s="94"/>
      <c r="G64" s="68"/>
      <c r="H64" s="83"/>
      <c r="I64" s="68"/>
      <c r="J64" s="35"/>
      <c r="K64" s="60"/>
    </row>
    <row r="65" spans="1:13" ht="33.75">
      <c r="A65" s="56"/>
      <c r="B65" s="68"/>
      <c r="C65" s="83" t="s">
        <v>266</v>
      </c>
      <c r="D65" s="667" t="s">
        <v>373</v>
      </c>
      <c r="E65" s="667"/>
      <c r="F65" s="667"/>
      <c r="G65" s="68"/>
      <c r="H65" s="126"/>
      <c r="I65" s="68"/>
      <c r="J65" s="34"/>
      <c r="K65" s="60"/>
      <c r="M65" s="422" t="s">
        <v>48</v>
      </c>
    </row>
    <row r="66" spans="1:13">
      <c r="A66" s="56"/>
      <c r="B66" s="68"/>
      <c r="C66" s="68"/>
      <c r="D66" s="94"/>
      <c r="E66" s="94"/>
      <c r="F66" s="94"/>
      <c r="G66" s="68"/>
      <c r="H66" s="83"/>
      <c r="I66" s="68"/>
      <c r="J66" s="35"/>
      <c r="K66" s="60"/>
    </row>
    <row r="67" spans="1:13">
      <c r="A67" s="56"/>
      <c r="B67" s="68"/>
      <c r="C67" s="83" t="s">
        <v>269</v>
      </c>
      <c r="D67" s="667" t="s">
        <v>374</v>
      </c>
      <c r="E67" s="667"/>
      <c r="F67" s="667"/>
      <c r="G67" s="68"/>
      <c r="H67" s="126"/>
      <c r="I67" s="68"/>
      <c r="J67" s="34"/>
      <c r="K67" s="60"/>
    </row>
    <row r="68" spans="1:13">
      <c r="A68" s="56"/>
      <c r="B68" s="68"/>
      <c r="C68" s="68"/>
      <c r="D68" s="94"/>
      <c r="E68" s="94"/>
      <c r="F68" s="94"/>
      <c r="G68" s="68"/>
      <c r="H68" s="83"/>
      <c r="I68" s="68"/>
      <c r="J68" s="35"/>
      <c r="K68" s="60"/>
    </row>
    <row r="69" spans="1:13">
      <c r="A69" s="56"/>
      <c r="B69" s="68"/>
      <c r="C69" s="83" t="s">
        <v>274</v>
      </c>
      <c r="D69" s="667" t="s">
        <v>375</v>
      </c>
      <c r="E69" s="667"/>
      <c r="F69" s="667"/>
      <c r="G69" s="68"/>
      <c r="H69" s="126"/>
      <c r="I69" s="68"/>
      <c r="J69" s="34"/>
      <c r="K69" s="60"/>
    </row>
    <row r="70" spans="1:13">
      <c r="A70" s="56"/>
      <c r="B70" s="68"/>
      <c r="C70" s="68"/>
      <c r="D70" s="94"/>
      <c r="E70" s="94"/>
      <c r="F70" s="94"/>
      <c r="G70" s="68"/>
      <c r="H70" s="83"/>
      <c r="I70" s="68"/>
      <c r="J70" s="35"/>
      <c r="K70" s="60"/>
    </row>
    <row r="71" spans="1:13">
      <c r="A71" s="56"/>
      <c r="B71" s="68"/>
      <c r="C71" s="83" t="s">
        <v>278</v>
      </c>
      <c r="D71" s="667" t="s">
        <v>376</v>
      </c>
      <c r="E71" s="667"/>
      <c r="F71" s="667"/>
      <c r="G71" s="68"/>
      <c r="H71" s="126"/>
      <c r="I71" s="68"/>
      <c r="J71" s="34"/>
      <c r="K71" s="60"/>
    </row>
    <row r="72" spans="1:13">
      <c r="A72" s="56"/>
      <c r="B72" s="68"/>
      <c r="C72" s="68"/>
      <c r="D72" s="94"/>
      <c r="E72" s="94"/>
      <c r="F72" s="94"/>
      <c r="G72" s="68"/>
      <c r="H72" s="83"/>
      <c r="I72" s="68"/>
      <c r="J72" s="35"/>
      <c r="K72" s="60"/>
    </row>
    <row r="73" spans="1:13">
      <c r="A73" s="56"/>
      <c r="B73" s="68"/>
      <c r="C73" s="83" t="s">
        <v>282</v>
      </c>
      <c r="D73" s="667" t="s">
        <v>377</v>
      </c>
      <c r="E73" s="667"/>
      <c r="F73" s="667"/>
      <c r="G73" s="68"/>
      <c r="H73" s="126"/>
      <c r="I73" s="68"/>
      <c r="J73" s="34"/>
      <c r="K73" s="60"/>
    </row>
    <row r="74" spans="1:13">
      <c r="A74" s="56"/>
      <c r="B74" s="68"/>
      <c r="C74" s="68"/>
      <c r="D74" s="94"/>
      <c r="E74" s="94"/>
      <c r="F74" s="94"/>
      <c r="G74" s="68"/>
      <c r="H74" s="83"/>
      <c r="I74" s="68"/>
      <c r="J74" s="35"/>
      <c r="K74" s="60"/>
    </row>
    <row r="75" spans="1:13">
      <c r="A75" s="123"/>
      <c r="B75" s="123"/>
      <c r="C75" s="123"/>
      <c r="D75" s="462" t="s">
        <v>378</v>
      </c>
      <c r="E75" s="124"/>
      <c r="F75" s="124"/>
      <c r="G75" s="31"/>
      <c r="H75" s="164"/>
      <c r="I75" s="31"/>
      <c r="J75" s="37"/>
      <c r="K75" s="46"/>
    </row>
    <row r="76" spans="1:13">
      <c r="A76" s="56"/>
      <c r="B76" s="68"/>
      <c r="C76" s="68"/>
      <c r="D76" s="94"/>
      <c r="E76" s="94"/>
      <c r="F76" s="94"/>
      <c r="G76" s="68"/>
      <c r="H76" s="83"/>
      <c r="I76" s="68"/>
      <c r="J76" s="35"/>
      <c r="K76" s="60"/>
    </row>
    <row r="77" spans="1:13">
      <c r="A77" s="56"/>
      <c r="B77" s="68"/>
      <c r="C77" s="37"/>
      <c r="D77" s="153" t="s">
        <v>379</v>
      </c>
      <c r="E77" s="124"/>
      <c r="F77" s="124"/>
      <c r="G77" s="32"/>
      <c r="H77" s="164"/>
      <c r="I77" s="32"/>
      <c r="J77" s="37"/>
      <c r="K77" s="60"/>
    </row>
    <row r="78" spans="1:13">
      <c r="A78" s="56"/>
      <c r="B78" s="68"/>
      <c r="C78" s="68"/>
      <c r="D78" s="94"/>
      <c r="E78" s="94"/>
      <c r="F78" s="94"/>
      <c r="G78" s="68"/>
      <c r="H78" s="83"/>
      <c r="I78" s="68"/>
      <c r="J78" s="35"/>
      <c r="K78" s="60"/>
    </row>
    <row r="79" spans="1:13">
      <c r="A79" s="56"/>
      <c r="B79" s="68"/>
      <c r="C79" s="83" t="s">
        <v>286</v>
      </c>
      <c r="D79" s="667" t="s">
        <v>380</v>
      </c>
      <c r="E79" s="667"/>
      <c r="F79" s="667"/>
      <c r="G79" s="68"/>
      <c r="H79" s="126"/>
      <c r="I79" s="68"/>
      <c r="J79" s="34"/>
      <c r="K79" s="60"/>
    </row>
    <row r="80" spans="1:13">
      <c r="A80" s="56"/>
      <c r="B80" s="68"/>
      <c r="C80" s="68"/>
      <c r="D80" s="94"/>
      <c r="E80" s="94"/>
      <c r="F80" s="94"/>
      <c r="G80" s="68"/>
      <c r="H80" s="83"/>
      <c r="I80" s="68"/>
      <c r="J80" s="35"/>
      <c r="K80" s="60"/>
    </row>
    <row r="81" spans="1:13">
      <c r="A81" s="56"/>
      <c r="B81" s="68"/>
      <c r="C81" s="83" t="s">
        <v>291</v>
      </c>
      <c r="D81" s="667" t="s">
        <v>381</v>
      </c>
      <c r="E81" s="667"/>
      <c r="F81" s="667"/>
      <c r="G81" s="68"/>
      <c r="H81" s="126"/>
      <c r="I81" s="68"/>
      <c r="J81" s="34"/>
      <c r="K81" s="60"/>
    </row>
    <row r="82" spans="1:13">
      <c r="A82" s="56"/>
      <c r="B82" s="68"/>
      <c r="C82" s="68"/>
      <c r="D82" s="94"/>
      <c r="E82" s="94"/>
      <c r="F82" s="94"/>
      <c r="G82" s="68"/>
      <c r="H82" s="83"/>
      <c r="I82" s="68"/>
      <c r="J82" s="35"/>
      <c r="K82" s="60"/>
    </row>
    <row r="83" spans="1:13" ht="33.75">
      <c r="A83" s="56"/>
      <c r="B83" s="68"/>
      <c r="C83" s="83" t="s">
        <v>295</v>
      </c>
      <c r="D83" s="667" t="s">
        <v>382</v>
      </c>
      <c r="E83" s="667"/>
      <c r="F83" s="667"/>
      <c r="G83" s="68"/>
      <c r="H83" s="126"/>
      <c r="I83" s="68"/>
      <c r="J83" s="34"/>
      <c r="K83" s="60"/>
      <c r="M83" s="422" t="s">
        <v>48</v>
      </c>
    </row>
    <row r="84" spans="1:13">
      <c r="A84" s="56"/>
      <c r="B84" s="68"/>
      <c r="C84" s="68"/>
      <c r="D84" s="94"/>
      <c r="E84" s="94"/>
      <c r="F84" s="94"/>
      <c r="G84" s="68"/>
      <c r="H84" s="83"/>
      <c r="I84" s="68"/>
      <c r="J84" s="35"/>
      <c r="K84" s="60"/>
    </row>
    <row r="85" spans="1:13">
      <c r="A85" s="56"/>
      <c r="B85" s="68"/>
      <c r="C85" s="83" t="s">
        <v>299</v>
      </c>
      <c r="D85" s="667" t="s">
        <v>383</v>
      </c>
      <c r="E85" s="667"/>
      <c r="F85" s="667"/>
      <c r="G85" s="68"/>
      <c r="H85" s="126"/>
      <c r="I85" s="68"/>
      <c r="J85" s="34"/>
      <c r="K85" s="60"/>
    </row>
    <row r="86" spans="1:13">
      <c r="A86" s="56"/>
      <c r="B86" s="68"/>
      <c r="C86" s="68"/>
      <c r="D86" s="94"/>
      <c r="E86" s="94"/>
      <c r="F86" s="94"/>
      <c r="G86" s="68"/>
      <c r="H86" s="83"/>
      <c r="I86" s="68"/>
      <c r="J86" s="35"/>
      <c r="K86" s="60"/>
    </row>
    <row r="87" spans="1:13">
      <c r="A87" s="56"/>
      <c r="B87" s="68"/>
      <c r="C87" s="37"/>
      <c r="D87" s="463" t="s">
        <v>384</v>
      </c>
      <c r="E87" s="124"/>
      <c r="F87" s="124"/>
      <c r="G87" s="32"/>
      <c r="H87" s="164"/>
      <c r="I87" s="32"/>
      <c r="J87" s="37"/>
      <c r="K87" s="60"/>
    </row>
    <row r="88" spans="1:13">
      <c r="A88" s="56"/>
      <c r="B88" s="68"/>
      <c r="C88" s="68"/>
      <c r="D88" s="94"/>
      <c r="E88" s="94"/>
      <c r="F88" s="94"/>
      <c r="G88" s="68"/>
      <c r="H88" s="83"/>
      <c r="I88" s="68"/>
      <c r="J88" s="35"/>
      <c r="K88" s="60"/>
    </row>
    <row r="89" spans="1:13">
      <c r="A89" s="56"/>
      <c r="B89" s="68"/>
      <c r="C89" s="83" t="s">
        <v>304</v>
      </c>
      <c r="D89" s="667" t="s">
        <v>385</v>
      </c>
      <c r="E89" s="667"/>
      <c r="F89" s="667"/>
      <c r="G89" s="68"/>
      <c r="H89" s="126"/>
      <c r="I89" s="68"/>
      <c r="J89" s="34"/>
      <c r="K89" s="60"/>
    </row>
    <row r="90" spans="1:13">
      <c r="A90" s="56"/>
      <c r="B90" s="68"/>
      <c r="C90" s="68"/>
      <c r="D90" s="94"/>
      <c r="E90" s="94"/>
      <c r="F90" s="94"/>
      <c r="G90" s="68"/>
      <c r="H90" s="83"/>
      <c r="I90" s="68"/>
      <c r="J90" s="35"/>
      <c r="K90" s="60"/>
    </row>
    <row r="91" spans="1:13">
      <c r="A91" s="56"/>
      <c r="B91" s="68"/>
      <c r="C91" s="37"/>
      <c r="D91" s="463" t="s">
        <v>386</v>
      </c>
      <c r="E91" s="124"/>
      <c r="F91" s="124"/>
      <c r="G91" s="32"/>
      <c r="H91" s="164"/>
      <c r="I91" s="32"/>
      <c r="J91" s="37"/>
      <c r="K91" s="60"/>
    </row>
    <row r="92" spans="1:13">
      <c r="A92" s="56"/>
      <c r="B92" s="68"/>
      <c r="C92" s="83"/>
      <c r="D92" s="94"/>
      <c r="E92" s="94"/>
      <c r="F92" s="94"/>
      <c r="G92" s="68"/>
      <c r="H92" s="83"/>
      <c r="I92" s="68"/>
      <c r="J92" s="35"/>
      <c r="K92" s="60"/>
    </row>
    <row r="93" spans="1:13" ht="33.75">
      <c r="A93" s="56"/>
      <c r="B93" s="68"/>
      <c r="C93" s="83" t="s">
        <v>387</v>
      </c>
      <c r="D93" s="667" t="s">
        <v>388</v>
      </c>
      <c r="E93" s="667"/>
      <c r="F93" s="667"/>
      <c r="G93" s="68"/>
      <c r="H93" s="126"/>
      <c r="I93" s="68"/>
      <c r="J93" s="34"/>
      <c r="K93" s="60"/>
      <c r="M93" s="422" t="s">
        <v>48</v>
      </c>
    </row>
    <row r="94" spans="1:13">
      <c r="A94" s="56"/>
      <c r="B94" s="68"/>
      <c r="C94" s="83"/>
      <c r="D94" s="94"/>
      <c r="E94" s="94"/>
      <c r="F94" s="94"/>
      <c r="G94" s="68"/>
      <c r="H94" s="83"/>
      <c r="I94" s="68"/>
      <c r="J94" s="35"/>
      <c r="K94" s="60"/>
    </row>
    <row r="95" spans="1:13">
      <c r="A95" s="56"/>
      <c r="B95" s="68"/>
      <c r="C95" s="83" t="s">
        <v>389</v>
      </c>
      <c r="D95" s="667" t="s">
        <v>390</v>
      </c>
      <c r="E95" s="667"/>
      <c r="F95" s="667"/>
      <c r="G95" s="68"/>
      <c r="H95" s="126"/>
      <c r="I95" s="68"/>
      <c r="J95" s="34"/>
      <c r="K95" s="60"/>
    </row>
    <row r="96" spans="1:13">
      <c r="A96" s="56"/>
      <c r="B96" s="68"/>
      <c r="C96" s="68"/>
      <c r="D96" s="94"/>
      <c r="E96" s="94"/>
      <c r="F96" s="94"/>
      <c r="G96" s="68"/>
      <c r="H96" s="83"/>
      <c r="I96" s="68"/>
      <c r="J96" s="35"/>
      <c r="K96" s="60"/>
    </row>
    <row r="97" spans="1:13" ht="33.75">
      <c r="A97" s="56"/>
      <c r="B97" s="68"/>
      <c r="C97" s="83" t="s">
        <v>310</v>
      </c>
      <c r="D97" s="667" t="s">
        <v>391</v>
      </c>
      <c r="E97" s="667"/>
      <c r="F97" s="667"/>
      <c r="G97" s="68"/>
      <c r="H97" s="126"/>
      <c r="I97" s="68"/>
      <c r="J97" s="34"/>
      <c r="K97" s="60"/>
      <c r="M97" s="422" t="s">
        <v>48</v>
      </c>
    </row>
    <row r="98" spans="1:13">
      <c r="A98" s="56"/>
      <c r="B98" s="68"/>
      <c r="C98" s="68"/>
      <c r="D98" s="94"/>
      <c r="E98" s="94"/>
      <c r="F98" s="94"/>
      <c r="G98" s="68"/>
      <c r="H98" s="83"/>
      <c r="I98" s="68"/>
      <c r="J98" s="35"/>
      <c r="K98" s="60"/>
    </row>
    <row r="99" spans="1:13">
      <c r="A99" s="56"/>
      <c r="B99" s="68"/>
      <c r="C99" s="37"/>
      <c r="D99" s="153" t="s">
        <v>392</v>
      </c>
      <c r="E99" s="124"/>
      <c r="F99" s="124"/>
      <c r="G99" s="32"/>
      <c r="H99" s="164"/>
      <c r="I99" s="32"/>
      <c r="J99" s="37"/>
      <c r="K99" s="60"/>
    </row>
    <row r="100" spans="1:13">
      <c r="A100" s="56"/>
      <c r="B100" s="68"/>
      <c r="C100" s="83"/>
      <c r="D100" s="94"/>
      <c r="E100" s="94"/>
      <c r="F100" s="94"/>
      <c r="G100" s="68"/>
      <c r="H100" s="83"/>
      <c r="I100" s="68"/>
      <c r="J100" s="35"/>
      <c r="K100" s="60"/>
    </row>
    <row r="101" spans="1:13" ht="33.75">
      <c r="A101" s="56"/>
      <c r="B101" s="68"/>
      <c r="C101" s="83" t="s">
        <v>393</v>
      </c>
      <c r="D101" s="667" t="s">
        <v>394</v>
      </c>
      <c r="E101" s="667"/>
      <c r="F101" s="667"/>
      <c r="G101" s="68"/>
      <c r="H101" s="126"/>
      <c r="I101" s="68"/>
      <c r="J101" s="34"/>
      <c r="K101" s="60"/>
      <c r="M101" s="422" t="s">
        <v>48</v>
      </c>
    </row>
    <row r="102" spans="1:13">
      <c r="A102" s="56"/>
      <c r="B102" s="68"/>
      <c r="C102" s="83"/>
      <c r="D102" s="94"/>
      <c r="E102" s="94"/>
      <c r="F102" s="94"/>
      <c r="G102" s="68"/>
      <c r="H102" s="83"/>
      <c r="I102" s="68"/>
      <c r="J102" s="35"/>
      <c r="K102" s="60"/>
    </row>
    <row r="103" spans="1:13" ht="51">
      <c r="A103" s="56"/>
      <c r="B103" s="68"/>
      <c r="C103" s="83" t="s">
        <v>395</v>
      </c>
      <c r="D103" s="667" t="s">
        <v>396</v>
      </c>
      <c r="E103" s="667"/>
      <c r="F103" s="667"/>
      <c r="G103" s="68"/>
      <c r="H103" s="126"/>
      <c r="I103" s="68"/>
      <c r="J103" s="34"/>
      <c r="K103" s="60"/>
      <c r="M103" s="424" t="s">
        <v>48</v>
      </c>
    </row>
    <row r="104" spans="1:13">
      <c r="A104" s="56"/>
      <c r="B104" s="68"/>
      <c r="C104" s="68"/>
      <c r="D104" s="94"/>
      <c r="E104" s="94"/>
      <c r="F104" s="94"/>
      <c r="G104" s="68"/>
      <c r="H104" s="83"/>
      <c r="I104" s="68"/>
      <c r="J104" s="35"/>
      <c r="K104" s="60"/>
    </row>
    <row r="105" spans="1:13">
      <c r="A105" s="56"/>
      <c r="B105" s="68"/>
      <c r="C105" s="83" t="s">
        <v>316</v>
      </c>
      <c r="D105" s="667" t="s">
        <v>397</v>
      </c>
      <c r="E105" s="667"/>
      <c r="F105" s="667"/>
      <c r="G105" s="68"/>
      <c r="H105" s="126"/>
      <c r="I105" s="68"/>
      <c r="J105" s="34"/>
      <c r="K105" s="60"/>
    </row>
    <row r="106" spans="1:13">
      <c r="A106" s="56"/>
      <c r="B106" s="68"/>
      <c r="C106" s="68"/>
      <c r="D106" s="94"/>
      <c r="E106" s="94"/>
      <c r="F106" s="94"/>
      <c r="G106" s="68"/>
      <c r="H106" s="83"/>
      <c r="I106" s="68"/>
      <c r="J106" s="35"/>
      <c r="K106" s="60"/>
    </row>
    <row r="107" spans="1:13" ht="33.75">
      <c r="A107" s="56"/>
      <c r="B107" s="68"/>
      <c r="C107" s="83" t="s">
        <v>319</v>
      </c>
      <c r="D107" s="667" t="s">
        <v>398</v>
      </c>
      <c r="E107" s="667"/>
      <c r="F107" s="667"/>
      <c r="G107" s="68"/>
      <c r="H107" s="126"/>
      <c r="I107" s="68"/>
      <c r="J107" s="34"/>
      <c r="K107" s="60"/>
      <c r="M107" s="422" t="s">
        <v>48</v>
      </c>
    </row>
    <row r="108" spans="1:13">
      <c r="A108" s="56"/>
      <c r="B108" s="68"/>
      <c r="C108" s="68"/>
      <c r="D108" s="94"/>
      <c r="E108" s="94"/>
      <c r="F108" s="94"/>
      <c r="G108" s="68"/>
      <c r="H108" s="83"/>
      <c r="I108" s="68"/>
      <c r="J108" s="35"/>
      <c r="K108" s="60"/>
    </row>
    <row r="109" spans="1:13" ht="33.75">
      <c r="A109" s="56"/>
      <c r="B109" s="68"/>
      <c r="C109" s="83" t="s">
        <v>323</v>
      </c>
      <c r="D109" s="667" t="s">
        <v>399</v>
      </c>
      <c r="E109" s="667"/>
      <c r="F109" s="667"/>
      <c r="G109" s="68"/>
      <c r="H109" s="126"/>
      <c r="I109" s="68"/>
      <c r="J109" s="34"/>
      <c r="K109" s="60"/>
      <c r="M109" s="422" t="s">
        <v>48</v>
      </c>
    </row>
    <row r="110" spans="1:13">
      <c r="A110" s="56"/>
      <c r="B110" s="68"/>
      <c r="C110" s="68"/>
      <c r="D110" s="94"/>
      <c r="E110" s="94"/>
      <c r="F110" s="94"/>
      <c r="G110" s="68"/>
      <c r="H110" s="83"/>
      <c r="I110" s="68"/>
      <c r="J110" s="35"/>
      <c r="K110" s="60"/>
    </row>
    <row r="111" spans="1:13" ht="33.75">
      <c r="A111" s="56"/>
      <c r="B111" s="68"/>
      <c r="C111" s="83" t="s">
        <v>327</v>
      </c>
      <c r="D111" s="667" t="s">
        <v>400</v>
      </c>
      <c r="E111" s="667"/>
      <c r="F111" s="667"/>
      <c r="G111" s="68"/>
      <c r="H111" s="126"/>
      <c r="I111" s="68"/>
      <c r="J111" s="34"/>
      <c r="K111" s="60"/>
      <c r="M111" s="422" t="s">
        <v>48</v>
      </c>
    </row>
    <row r="112" spans="1:13">
      <c r="A112" s="56"/>
      <c r="B112" s="68"/>
      <c r="C112" s="68"/>
      <c r="D112" s="94"/>
      <c r="E112" s="94"/>
      <c r="F112" s="94"/>
      <c r="G112" s="68"/>
      <c r="H112" s="83"/>
      <c r="I112" s="68"/>
      <c r="J112" s="35"/>
      <c r="K112" s="60"/>
    </row>
    <row r="113" spans="1:13" ht="33.75">
      <c r="A113" s="56"/>
      <c r="B113" s="68"/>
      <c r="C113" s="83" t="s">
        <v>331</v>
      </c>
      <c r="D113" s="667" t="s">
        <v>401</v>
      </c>
      <c r="E113" s="667"/>
      <c r="F113" s="667"/>
      <c r="G113" s="68"/>
      <c r="H113" s="126"/>
      <c r="I113" s="68"/>
      <c r="J113" s="34"/>
      <c r="K113" s="60"/>
      <c r="M113" s="422" t="s">
        <v>48</v>
      </c>
    </row>
    <row r="114" spans="1:13">
      <c r="A114" s="56"/>
      <c r="B114" s="68"/>
      <c r="C114" s="68"/>
      <c r="D114" s="94"/>
      <c r="E114" s="94"/>
      <c r="F114" s="94"/>
      <c r="G114" s="68"/>
      <c r="H114" s="83"/>
      <c r="I114" s="68"/>
      <c r="J114" s="35"/>
      <c r="K114" s="60"/>
    </row>
    <row r="115" spans="1:13" ht="33.75">
      <c r="A115" s="56"/>
      <c r="B115" s="68"/>
      <c r="C115" s="83" t="s">
        <v>334</v>
      </c>
      <c r="D115" s="667" t="s">
        <v>402</v>
      </c>
      <c r="E115" s="667"/>
      <c r="F115" s="667"/>
      <c r="G115" s="68"/>
      <c r="H115" s="126"/>
      <c r="I115" s="68"/>
      <c r="J115" s="34"/>
      <c r="K115" s="60"/>
      <c r="M115" s="422" t="s">
        <v>48</v>
      </c>
    </row>
    <row r="116" spans="1:13">
      <c r="A116" s="56"/>
      <c r="B116" s="68"/>
      <c r="C116" s="68"/>
      <c r="D116" s="94"/>
      <c r="E116" s="94"/>
      <c r="F116" s="94"/>
      <c r="G116" s="68"/>
      <c r="H116" s="83"/>
      <c r="I116" s="68"/>
      <c r="J116" s="35"/>
      <c r="K116" s="60"/>
    </row>
    <row r="117" spans="1:13" ht="33.75">
      <c r="A117" s="56"/>
      <c r="B117" s="68"/>
      <c r="C117" s="83" t="s">
        <v>338</v>
      </c>
      <c r="D117" s="667" t="s">
        <v>403</v>
      </c>
      <c r="E117" s="667"/>
      <c r="F117" s="667"/>
      <c r="G117" s="68"/>
      <c r="H117" s="126"/>
      <c r="I117" s="68"/>
      <c r="J117" s="34"/>
      <c r="K117" s="60"/>
      <c r="M117" s="422" t="s">
        <v>48</v>
      </c>
    </row>
    <row r="118" spans="1:13">
      <c r="A118" s="56"/>
      <c r="B118" s="68"/>
      <c r="C118" s="68"/>
      <c r="D118" s="94"/>
      <c r="E118" s="94"/>
      <c r="F118" s="94"/>
      <c r="G118" s="68"/>
      <c r="H118" s="83"/>
      <c r="I118" s="68"/>
      <c r="J118" s="35"/>
      <c r="K118" s="60"/>
    </row>
    <row r="119" spans="1:13" ht="64.5">
      <c r="A119" s="56"/>
      <c r="B119" s="68"/>
      <c r="C119" s="83" t="s">
        <v>341</v>
      </c>
      <c r="D119" s="667" t="s">
        <v>404</v>
      </c>
      <c r="E119" s="667"/>
      <c r="F119" s="667"/>
      <c r="G119" s="68"/>
      <c r="H119" s="126"/>
      <c r="I119" s="68"/>
      <c r="J119" s="34"/>
      <c r="K119" s="60"/>
      <c r="M119" s="439" t="s">
        <v>48</v>
      </c>
    </row>
    <row r="120" spans="1:13">
      <c r="A120" s="56"/>
      <c r="B120" s="68"/>
      <c r="C120" s="68"/>
      <c r="D120" s="94"/>
      <c r="E120" s="94"/>
      <c r="F120" s="94"/>
      <c r="G120" s="68"/>
      <c r="H120" s="83"/>
      <c r="I120" s="68"/>
      <c r="J120" s="35"/>
      <c r="K120" s="60"/>
    </row>
    <row r="121" spans="1:13">
      <c r="A121" s="56"/>
      <c r="B121" s="68"/>
      <c r="C121" s="83" t="s">
        <v>405</v>
      </c>
      <c r="D121" s="667" t="s">
        <v>406</v>
      </c>
      <c r="E121" s="667"/>
      <c r="F121" s="667"/>
      <c r="G121" s="68"/>
      <c r="H121" s="126"/>
      <c r="I121" s="68"/>
      <c r="J121" s="34"/>
      <c r="K121" s="60"/>
    </row>
    <row r="122" spans="1:13">
      <c r="A122" s="56"/>
      <c r="B122" s="68"/>
      <c r="C122" s="68"/>
      <c r="D122" s="94"/>
      <c r="E122" s="94"/>
      <c r="F122" s="94"/>
      <c r="G122" s="68"/>
      <c r="H122" s="83"/>
      <c r="I122" s="68"/>
      <c r="J122" s="35"/>
      <c r="K122" s="60"/>
    </row>
    <row r="123" spans="1:13">
      <c r="A123" s="56"/>
      <c r="B123" s="68"/>
      <c r="C123" s="83" t="s">
        <v>407</v>
      </c>
      <c r="D123" s="667" t="s">
        <v>408</v>
      </c>
      <c r="E123" s="667"/>
      <c r="F123" s="667"/>
      <c r="G123" s="68"/>
      <c r="H123" s="126"/>
      <c r="I123" s="68"/>
      <c r="J123" s="34"/>
      <c r="K123" s="60"/>
    </row>
    <row r="124" spans="1:13">
      <c r="A124" s="56"/>
      <c r="B124" s="68"/>
      <c r="C124" s="68"/>
      <c r="D124" s="94"/>
      <c r="E124" s="94"/>
      <c r="F124" s="94"/>
      <c r="G124" s="68"/>
      <c r="H124" s="83"/>
      <c r="I124" s="68"/>
      <c r="J124" s="35"/>
      <c r="K124" s="60"/>
    </row>
    <row r="125" spans="1:13">
      <c r="A125" s="56"/>
      <c r="B125" s="68"/>
      <c r="C125" s="37"/>
      <c r="D125" s="463" t="s">
        <v>409</v>
      </c>
      <c r="E125" s="124"/>
      <c r="F125" s="124"/>
      <c r="G125" s="32"/>
      <c r="H125" s="164"/>
      <c r="I125" s="32"/>
      <c r="J125" s="37"/>
      <c r="K125" s="60"/>
    </row>
    <row r="126" spans="1:13">
      <c r="A126" s="56"/>
      <c r="B126" s="68"/>
      <c r="C126" s="83"/>
      <c r="D126" s="94"/>
      <c r="E126" s="94"/>
      <c r="F126" s="94"/>
      <c r="G126" s="68"/>
      <c r="H126" s="83"/>
      <c r="I126" s="68"/>
      <c r="J126" s="35"/>
      <c r="K126" s="60"/>
    </row>
    <row r="127" spans="1:13">
      <c r="A127" s="56"/>
      <c r="B127" s="68"/>
      <c r="C127" s="83" t="s">
        <v>410</v>
      </c>
      <c r="D127" s="667" t="s">
        <v>411</v>
      </c>
      <c r="E127" s="667"/>
      <c r="F127" s="667"/>
      <c r="G127" s="68"/>
      <c r="H127" s="126"/>
      <c r="I127" s="68"/>
      <c r="J127" s="34"/>
      <c r="K127" s="60"/>
    </row>
    <row r="128" spans="1:13">
      <c r="A128" s="56"/>
      <c r="B128" s="68"/>
      <c r="C128" s="83"/>
      <c r="D128" s="94"/>
      <c r="E128" s="94"/>
      <c r="F128" s="94"/>
      <c r="G128" s="68"/>
      <c r="H128" s="83"/>
      <c r="I128" s="68"/>
      <c r="J128" s="35"/>
      <c r="K128" s="60"/>
    </row>
    <row r="129" spans="1:13">
      <c r="A129" s="56"/>
      <c r="B129" s="68"/>
      <c r="C129" s="83" t="s">
        <v>395</v>
      </c>
      <c r="D129" s="667" t="s">
        <v>412</v>
      </c>
      <c r="E129" s="667"/>
      <c r="F129" s="667"/>
      <c r="G129" s="68"/>
      <c r="H129" s="126"/>
      <c r="I129" s="68"/>
      <c r="J129" s="34"/>
      <c r="K129" s="60"/>
    </row>
    <row r="130" spans="1:13">
      <c r="A130" s="56"/>
      <c r="B130" s="68"/>
      <c r="C130" s="68"/>
      <c r="D130" s="94"/>
      <c r="E130" s="94"/>
      <c r="F130" s="94"/>
      <c r="G130" s="68"/>
      <c r="H130" s="83"/>
      <c r="I130" s="68"/>
      <c r="J130" s="35"/>
      <c r="K130" s="60"/>
    </row>
    <row r="131" spans="1:13">
      <c r="A131" s="56"/>
      <c r="B131" s="68"/>
      <c r="C131" s="37"/>
      <c r="D131" s="463" t="s">
        <v>413</v>
      </c>
      <c r="E131" s="124"/>
      <c r="F131" s="124"/>
      <c r="G131" s="32"/>
      <c r="H131" s="164"/>
      <c r="I131" s="32"/>
      <c r="J131" s="37"/>
      <c r="K131" s="60"/>
    </row>
    <row r="132" spans="1:13">
      <c r="A132" s="56"/>
      <c r="B132" s="68"/>
      <c r="C132" s="68"/>
      <c r="D132" s="94"/>
      <c r="E132" s="94"/>
      <c r="F132" s="94"/>
      <c r="G132" s="68"/>
      <c r="H132" s="83"/>
      <c r="I132" s="68"/>
      <c r="J132" s="35"/>
      <c r="K132" s="60"/>
    </row>
    <row r="133" spans="1:13" ht="33.75">
      <c r="A133" s="56"/>
      <c r="B133" s="68"/>
      <c r="C133" s="83" t="s">
        <v>414</v>
      </c>
      <c r="D133" s="667" t="s">
        <v>415</v>
      </c>
      <c r="E133" s="667"/>
      <c r="F133" s="667"/>
      <c r="G133" s="68"/>
      <c r="H133" s="126"/>
      <c r="I133" s="68"/>
      <c r="J133" s="34"/>
      <c r="K133" s="60"/>
      <c r="M133" s="422" t="s">
        <v>48</v>
      </c>
    </row>
    <row r="134" spans="1:13">
      <c r="A134" s="56"/>
      <c r="B134" s="68"/>
      <c r="C134" s="68"/>
      <c r="D134" s="94"/>
      <c r="E134" s="94"/>
      <c r="F134" s="94"/>
      <c r="G134" s="68"/>
      <c r="H134" s="83"/>
      <c r="I134" s="68"/>
      <c r="J134" s="35"/>
      <c r="K134" s="60"/>
    </row>
    <row r="135" spans="1:13" ht="33.75">
      <c r="A135" s="56"/>
      <c r="B135" s="68"/>
      <c r="C135" s="83" t="s">
        <v>416</v>
      </c>
      <c r="D135" s="751" t="s">
        <v>417</v>
      </c>
      <c r="E135" s="751"/>
      <c r="F135" s="751"/>
      <c r="G135" s="68"/>
      <c r="H135" s="126"/>
      <c r="I135" s="68"/>
      <c r="J135" s="34"/>
      <c r="K135" s="60"/>
      <c r="M135" s="422" t="s">
        <v>48</v>
      </c>
    </row>
    <row r="136" spans="1:13">
      <c r="A136" s="56"/>
      <c r="B136" s="68"/>
      <c r="C136" s="68"/>
      <c r="D136" s="94"/>
      <c r="E136" s="94"/>
      <c r="F136" s="94"/>
      <c r="G136" s="68"/>
      <c r="H136" s="83"/>
      <c r="I136" s="68"/>
      <c r="J136" s="35"/>
      <c r="K136" s="60"/>
    </row>
    <row r="137" spans="1:13" ht="33.75">
      <c r="A137" s="56"/>
      <c r="B137" s="68"/>
      <c r="C137" s="83" t="s">
        <v>418</v>
      </c>
      <c r="D137" s="667" t="s">
        <v>419</v>
      </c>
      <c r="E137" s="667"/>
      <c r="F137" s="667"/>
      <c r="G137" s="68"/>
      <c r="H137" s="126"/>
      <c r="I137" s="68"/>
      <c r="J137" s="34"/>
      <c r="K137" s="60"/>
      <c r="M137" s="422" t="s">
        <v>48</v>
      </c>
    </row>
    <row r="138" spans="1:13">
      <c r="A138" s="56"/>
      <c r="B138" s="68"/>
      <c r="C138" s="68"/>
      <c r="D138" s="94"/>
      <c r="E138" s="94"/>
      <c r="F138" s="94"/>
      <c r="G138" s="68"/>
      <c r="H138" s="83"/>
      <c r="I138" s="68"/>
      <c r="J138" s="35"/>
      <c r="K138" s="60"/>
    </row>
    <row r="139" spans="1:13" ht="33.75">
      <c r="A139" s="56"/>
      <c r="B139" s="68"/>
      <c r="C139" s="83" t="s">
        <v>420</v>
      </c>
      <c r="D139" s="667" t="s">
        <v>421</v>
      </c>
      <c r="E139" s="667"/>
      <c r="F139" s="667"/>
      <c r="G139" s="68"/>
      <c r="H139" s="126"/>
      <c r="I139" s="68"/>
      <c r="J139" s="34"/>
      <c r="K139" s="60"/>
      <c r="M139" s="422" t="s">
        <v>48</v>
      </c>
    </row>
    <row r="140" spans="1:13">
      <c r="A140" s="56"/>
      <c r="B140" s="63"/>
      <c r="C140" s="63"/>
      <c r="D140" s="152"/>
      <c r="E140" s="152"/>
      <c r="F140" s="152"/>
      <c r="G140" s="63"/>
      <c r="H140" s="83"/>
      <c r="I140" s="63"/>
      <c r="J140" s="64"/>
      <c r="K140" s="65"/>
    </row>
    <row r="141" spans="1:13">
      <c r="A141" s="56"/>
      <c r="B141" s="68"/>
      <c r="C141" s="83" t="s">
        <v>422</v>
      </c>
      <c r="D141" s="667" t="s">
        <v>423</v>
      </c>
      <c r="E141" s="667"/>
      <c r="F141" s="667"/>
      <c r="G141" s="68"/>
      <c r="H141" s="126"/>
      <c r="I141" s="68"/>
      <c r="J141" s="34"/>
      <c r="K141" s="60"/>
    </row>
    <row r="142" spans="1:13">
      <c r="A142" s="56"/>
      <c r="B142" s="68"/>
      <c r="C142" s="68"/>
      <c r="D142" s="94"/>
      <c r="E142" s="94"/>
      <c r="F142" s="94"/>
      <c r="G142" s="68"/>
      <c r="H142" s="83"/>
      <c r="I142" s="68"/>
      <c r="J142" s="35"/>
      <c r="K142" s="60"/>
    </row>
    <row r="143" spans="1:13">
      <c r="A143" s="56"/>
      <c r="B143" s="68"/>
      <c r="C143" s="83" t="s">
        <v>424</v>
      </c>
      <c r="D143" s="667" t="s">
        <v>425</v>
      </c>
      <c r="E143" s="667"/>
      <c r="F143" s="667"/>
      <c r="G143" s="68"/>
      <c r="H143" s="126"/>
      <c r="I143" s="68"/>
      <c r="J143" s="34"/>
      <c r="K143" s="60"/>
    </row>
    <row r="144" spans="1:13">
      <c r="A144" s="56"/>
      <c r="B144" s="68"/>
      <c r="C144" s="68"/>
      <c r="D144" s="94"/>
      <c r="E144" s="94"/>
      <c r="F144" s="94"/>
      <c r="G144" s="68"/>
      <c r="H144" s="83"/>
      <c r="I144" s="68"/>
      <c r="J144" s="35"/>
      <c r="K144" s="60"/>
    </row>
    <row r="145" spans="1:13" ht="33.75">
      <c r="A145" s="66"/>
      <c r="B145" s="68"/>
      <c r="C145" s="83" t="s">
        <v>426</v>
      </c>
      <c r="D145" s="667" t="s">
        <v>427</v>
      </c>
      <c r="E145" s="667"/>
      <c r="F145" s="667"/>
      <c r="G145" s="68"/>
      <c r="H145" s="126"/>
      <c r="I145" s="68"/>
      <c r="J145" s="34"/>
      <c r="K145" s="60"/>
      <c r="M145" s="422" t="s">
        <v>48</v>
      </c>
    </row>
    <row r="146" spans="1:13">
      <c r="A146" s="66"/>
      <c r="B146" s="25"/>
      <c r="C146" s="25"/>
      <c r="D146" s="26"/>
      <c r="E146" s="25"/>
      <c r="F146" s="25"/>
      <c r="G146" s="25"/>
      <c r="H146" s="165"/>
      <c r="I146" s="25"/>
      <c r="J146" s="67"/>
      <c r="K146" s="60"/>
    </row>
    <row r="147" spans="1:13" ht="20.25" customHeight="1">
      <c r="A147" s="748" t="s">
        <v>206</v>
      </c>
      <c r="B147" s="749"/>
      <c r="C147" s="749"/>
      <c r="D147" s="749"/>
      <c r="E147" s="749"/>
      <c r="F147" s="749"/>
      <c r="G147" s="749"/>
      <c r="H147" s="749"/>
      <c r="I147" s="749"/>
      <c r="J147" s="749"/>
      <c r="K147" s="750"/>
    </row>
    <row r="157" spans="1:13" hidden="1">
      <c r="D157" t="s">
        <v>81</v>
      </c>
    </row>
    <row r="158" spans="1:13" hidden="1">
      <c r="D158" t="s">
        <v>83</v>
      </c>
    </row>
    <row r="159" spans="1:13" hidden="1">
      <c r="D159" t="s">
        <v>253</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xr:uid="{00000000-0002-0000-0900-000000000000}">
      <formula1>"✓,X,N/A"</formula1>
    </dataValidation>
    <dataValidation type="list" allowBlank="1" showInputMessage="1" showErrorMessage="1" sqref="F10:I10" xr:uid="{00000000-0002-0000-0900-00000100000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MI47"/>
  <sheetViews>
    <sheetView topLeftCell="A14" zoomScaleNormal="100" workbookViewId="0">
      <selection activeCell="E14" sqref="E14"/>
    </sheetView>
  </sheetViews>
  <sheetFormatPr defaultColWidth="0" defaultRowHeight="15" zeroHeight="1"/>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4" customFormat="1">
      <c r="A1" s="752" t="s">
        <v>428</v>
      </c>
      <c r="B1" s="753"/>
      <c r="C1" s="753"/>
      <c r="D1" s="753"/>
      <c r="E1" s="753"/>
      <c r="F1" s="753"/>
      <c r="G1" s="753"/>
      <c r="H1" s="753"/>
      <c r="I1" s="753"/>
      <c r="J1" s="753"/>
      <c r="K1" s="753"/>
      <c r="L1" s="753"/>
      <c r="M1" s="753"/>
      <c r="N1" s="753"/>
      <c r="O1" s="753"/>
      <c r="P1" s="753"/>
      <c r="Q1" s="753"/>
      <c r="R1" s="753"/>
      <c r="S1" s="753"/>
      <c r="T1" s="753"/>
      <c r="U1" s="753"/>
      <c r="V1" s="753"/>
      <c r="W1" s="753"/>
      <c r="X1" s="753"/>
      <c r="Y1" s="753"/>
      <c r="Z1" s="753"/>
      <c r="AA1" s="753"/>
      <c r="AB1" s="753"/>
      <c r="AC1" s="753"/>
      <c r="AD1" s="753"/>
      <c r="AE1" s="753"/>
      <c r="AF1" s="753"/>
      <c r="AG1" s="753"/>
      <c r="AH1" s="753"/>
      <c r="AI1" s="753"/>
      <c r="AJ1" s="753"/>
      <c r="AK1" s="753"/>
      <c r="AL1" s="753"/>
      <c r="AM1" s="753"/>
      <c r="AN1" s="753"/>
      <c r="AO1" s="753"/>
      <c r="AP1" s="753"/>
      <c r="AQ1" s="753"/>
      <c r="AR1" s="753"/>
      <c r="AS1" s="753"/>
      <c r="AT1" s="753"/>
      <c r="AU1" s="753"/>
      <c r="AV1" s="753"/>
      <c r="AW1" s="753"/>
      <c r="AX1" s="753"/>
      <c r="AY1" s="753"/>
      <c r="AZ1" s="753"/>
      <c r="BA1" s="753"/>
      <c r="BB1" s="753"/>
      <c r="BC1" s="753"/>
      <c r="BD1" s="753"/>
      <c r="BE1" s="753"/>
      <c r="BF1" s="753"/>
      <c r="BG1" s="753"/>
      <c r="BH1" s="753"/>
      <c r="BI1" s="753"/>
      <c r="BJ1" s="753"/>
      <c r="BK1" s="753"/>
      <c r="BL1" s="753"/>
      <c r="BM1" s="753"/>
      <c r="BN1" s="753"/>
      <c r="BO1" s="753"/>
      <c r="BP1" s="753"/>
      <c r="BQ1" s="753"/>
      <c r="BR1" s="753"/>
      <c r="BS1" s="753"/>
      <c r="BT1" s="753"/>
      <c r="BU1" s="753"/>
      <c r="BV1" s="753"/>
      <c r="BW1" s="753"/>
      <c r="BX1" s="753"/>
      <c r="BY1" s="753"/>
      <c r="BZ1" s="753"/>
      <c r="CA1" s="753"/>
      <c r="CB1" s="753"/>
      <c r="CC1" s="753"/>
      <c r="CD1" s="753"/>
      <c r="CE1" s="753"/>
      <c r="CF1" s="753"/>
      <c r="CG1" s="753"/>
      <c r="CH1" s="753"/>
      <c r="CI1" s="753"/>
      <c r="CJ1" s="753"/>
      <c r="CK1" s="753"/>
      <c r="CL1" s="753"/>
      <c r="CM1" s="753"/>
      <c r="CN1" s="753"/>
      <c r="CO1" s="753"/>
      <c r="CP1" s="753"/>
      <c r="CQ1" s="753"/>
      <c r="CR1" s="753"/>
      <c r="CS1" s="753"/>
      <c r="CT1" s="753"/>
      <c r="CU1" s="753"/>
      <c r="CV1" s="753"/>
      <c r="CW1" s="753"/>
      <c r="CX1" s="753"/>
      <c r="CY1" s="753"/>
      <c r="CZ1" s="753"/>
      <c r="DA1" s="753"/>
      <c r="DB1" s="753"/>
      <c r="DC1" s="753"/>
      <c r="DD1" s="753"/>
      <c r="DE1" s="753"/>
      <c r="DF1" s="753"/>
      <c r="DG1" s="753"/>
      <c r="DH1" s="753"/>
      <c r="DI1" s="753"/>
      <c r="DJ1" s="753"/>
      <c r="DK1" s="753"/>
      <c r="DL1" s="753"/>
      <c r="DM1" s="753"/>
      <c r="DN1" s="753"/>
      <c r="DO1" s="753"/>
      <c r="DP1" s="753"/>
      <c r="DQ1" s="753"/>
      <c r="DR1" s="753"/>
      <c r="DS1" s="753"/>
      <c r="DT1" s="753"/>
      <c r="DU1" s="753"/>
      <c r="DV1" s="753"/>
      <c r="DW1" s="753"/>
      <c r="DX1" s="753"/>
      <c r="DY1" s="753"/>
      <c r="DZ1" s="753"/>
      <c r="EA1" s="753"/>
      <c r="EB1" s="753"/>
      <c r="EC1" s="753"/>
      <c r="ED1" s="753"/>
      <c r="EE1" s="753"/>
      <c r="EF1" s="753"/>
      <c r="EG1" s="753"/>
      <c r="EH1" s="753"/>
      <c r="EI1" s="753"/>
      <c r="EJ1" s="753"/>
      <c r="EK1" s="753"/>
      <c r="EL1" s="753"/>
      <c r="EM1" s="753"/>
      <c r="EN1" s="753"/>
      <c r="EO1" s="753"/>
      <c r="EP1" s="753"/>
      <c r="EQ1" s="753"/>
      <c r="ER1" s="753"/>
      <c r="ES1" s="753"/>
      <c r="ET1" s="753"/>
      <c r="EU1" s="753"/>
      <c r="EV1" s="753"/>
      <c r="EW1" s="753"/>
      <c r="EX1" s="753"/>
      <c r="EY1" s="753"/>
      <c r="EZ1" s="753"/>
      <c r="FA1" s="753"/>
      <c r="FB1" s="753"/>
      <c r="FC1" s="753"/>
      <c r="FD1" s="753"/>
      <c r="FE1" s="753"/>
      <c r="FF1" s="753"/>
      <c r="FG1" s="753"/>
      <c r="FH1" s="753"/>
      <c r="FI1" s="753"/>
      <c r="FJ1" s="753"/>
      <c r="FK1" s="753"/>
      <c r="FL1" s="753"/>
      <c r="FM1" s="753"/>
      <c r="FN1" s="753"/>
      <c r="FO1" s="753"/>
      <c r="FP1" s="753"/>
      <c r="FQ1" s="753"/>
      <c r="FR1" s="753"/>
      <c r="FS1" s="753"/>
      <c r="FT1" s="753"/>
      <c r="FU1" s="753"/>
      <c r="FV1" s="753"/>
      <c r="FW1" s="753"/>
      <c r="FX1" s="753"/>
      <c r="FY1" s="753"/>
      <c r="FZ1" s="753"/>
      <c r="GA1" s="753"/>
      <c r="GB1" s="753"/>
      <c r="GC1" s="753"/>
      <c r="GD1" s="753"/>
      <c r="GE1" s="753"/>
      <c r="GF1" s="753"/>
      <c r="GG1" s="753"/>
      <c r="GH1" s="753"/>
      <c r="GI1" s="753"/>
      <c r="GJ1" s="753"/>
      <c r="GK1" s="753"/>
      <c r="GL1" s="753"/>
      <c r="GM1" s="753"/>
      <c r="GN1" s="753"/>
      <c r="GO1" s="753"/>
      <c r="GP1" s="753"/>
      <c r="GQ1" s="753"/>
      <c r="GR1" s="753"/>
      <c r="GS1" s="753"/>
      <c r="GT1" s="753"/>
      <c r="GU1" s="753"/>
      <c r="GV1" s="753"/>
      <c r="GW1" s="753"/>
      <c r="GX1" s="753"/>
      <c r="GY1" s="753"/>
      <c r="GZ1" s="753"/>
      <c r="HA1" s="753"/>
      <c r="HB1" s="753"/>
      <c r="HC1" s="753"/>
      <c r="HD1" s="753"/>
      <c r="HE1" s="753"/>
      <c r="HF1" s="753"/>
      <c r="HG1" s="753"/>
      <c r="HH1" s="753"/>
      <c r="HI1" s="753"/>
      <c r="HJ1" s="753"/>
      <c r="HK1" s="753"/>
      <c r="HL1" s="753"/>
      <c r="HM1" s="753"/>
      <c r="HN1" s="753"/>
      <c r="HO1" s="753"/>
      <c r="HP1" s="753"/>
      <c r="HQ1" s="753"/>
      <c r="HR1" s="753"/>
      <c r="HS1" s="753"/>
      <c r="HT1" s="753"/>
      <c r="HU1" s="753"/>
      <c r="HV1" s="753"/>
      <c r="HW1" s="753"/>
      <c r="HX1" s="753"/>
      <c r="HY1" s="753"/>
      <c r="HZ1" s="753"/>
      <c r="IA1" s="753"/>
      <c r="IB1" s="753"/>
      <c r="IC1" s="753"/>
      <c r="ID1" s="753"/>
      <c r="IE1" s="753"/>
      <c r="IF1" s="753"/>
      <c r="IG1" s="753"/>
      <c r="IH1" s="753"/>
      <c r="II1" s="753"/>
      <c r="IJ1" s="753"/>
      <c r="IK1" s="753"/>
      <c r="IL1" s="753"/>
      <c r="IM1" s="753"/>
      <c r="IN1" s="753"/>
      <c r="IO1" s="753"/>
      <c r="IP1" s="753"/>
      <c r="IQ1" s="753"/>
      <c r="IR1" s="753"/>
      <c r="IS1" s="753"/>
      <c r="IT1" s="753"/>
      <c r="IU1" s="753"/>
      <c r="IV1" s="753"/>
      <c r="IW1" s="753"/>
      <c r="IX1" s="753"/>
      <c r="IY1" s="753"/>
      <c r="IZ1" s="753"/>
      <c r="JA1" s="753"/>
      <c r="JB1" s="753"/>
      <c r="JC1" s="753"/>
      <c r="JD1" s="753"/>
      <c r="JE1" s="753"/>
      <c r="JF1" s="753"/>
      <c r="JG1" s="753"/>
      <c r="JH1" s="753"/>
      <c r="JI1" s="753"/>
      <c r="JJ1" s="753"/>
      <c r="JK1" s="753"/>
      <c r="JL1" s="753"/>
      <c r="JM1" s="753"/>
      <c r="JN1" s="753"/>
      <c r="JO1" s="753"/>
      <c r="JP1" s="753"/>
      <c r="JQ1" s="753"/>
      <c r="JR1" s="753"/>
      <c r="JS1" s="753"/>
      <c r="JT1" s="753"/>
      <c r="JU1" s="753"/>
      <c r="JV1" s="753"/>
      <c r="JW1" s="753"/>
      <c r="JX1" s="753"/>
      <c r="JY1" s="753"/>
      <c r="JZ1" s="753"/>
      <c r="KA1" s="753"/>
      <c r="KB1" s="753"/>
      <c r="KC1" s="753"/>
      <c r="KD1" s="753"/>
      <c r="KE1" s="753"/>
      <c r="KF1" s="753"/>
      <c r="KG1" s="753"/>
      <c r="KH1" s="753"/>
      <c r="KI1" s="753"/>
      <c r="KJ1" s="753"/>
      <c r="KK1" s="753"/>
      <c r="KL1" s="753"/>
      <c r="KM1" s="753"/>
      <c r="KN1" s="753"/>
      <c r="KO1" s="753"/>
      <c r="KP1" s="753"/>
      <c r="KQ1" s="753"/>
      <c r="KR1" s="753"/>
      <c r="KS1" s="753"/>
      <c r="KT1" s="753"/>
      <c r="KU1" s="753"/>
      <c r="KV1" s="753"/>
      <c r="KW1" s="753"/>
      <c r="KX1" s="753"/>
      <c r="KY1" s="753"/>
      <c r="KZ1" s="753"/>
      <c r="LA1" s="753"/>
      <c r="LB1" s="753"/>
      <c r="LC1" s="753"/>
      <c r="LD1" s="753"/>
      <c r="LE1" s="753"/>
      <c r="LF1" s="753"/>
      <c r="LG1" s="753"/>
      <c r="LH1" s="753"/>
      <c r="LI1" s="753"/>
      <c r="LJ1" s="753"/>
      <c r="LK1" s="753"/>
      <c r="LL1" s="753"/>
      <c r="LM1" s="753"/>
      <c r="LN1" s="753"/>
      <c r="LO1" s="753"/>
      <c r="LP1" s="753"/>
      <c r="LQ1" s="753"/>
      <c r="LR1" s="753"/>
      <c r="LS1" s="753"/>
      <c r="LT1" s="753"/>
      <c r="LU1" s="753"/>
      <c r="LV1" s="753"/>
      <c r="LW1" s="753"/>
      <c r="LX1" s="753"/>
      <c r="LY1" s="753"/>
      <c r="LZ1" s="753"/>
      <c r="MA1" s="753"/>
      <c r="MB1" s="753"/>
      <c r="MC1" s="753"/>
      <c r="MD1" s="753"/>
      <c r="ME1" s="753"/>
      <c r="MF1" s="753"/>
      <c r="MG1" s="753"/>
      <c r="MH1" s="753"/>
      <c r="MI1" s="753"/>
      <c r="MJ1" s="753"/>
      <c r="MK1" s="753"/>
      <c r="ML1" s="753"/>
      <c r="MM1" s="753"/>
      <c r="MN1" s="753"/>
      <c r="MO1" s="753"/>
      <c r="MP1" s="753"/>
      <c r="MQ1" s="753"/>
      <c r="MR1" s="753"/>
      <c r="MS1" s="753"/>
      <c r="MT1" s="753"/>
      <c r="MU1" s="753"/>
      <c r="MV1" s="753"/>
      <c r="MW1" s="753"/>
      <c r="MX1" s="753"/>
      <c r="MY1" s="753"/>
      <c r="MZ1" s="753"/>
      <c r="NA1" s="753"/>
      <c r="NB1" s="753"/>
      <c r="NC1" s="753"/>
      <c r="ND1" s="753"/>
      <c r="NE1" s="753"/>
      <c r="NF1" s="753"/>
      <c r="NG1" s="753"/>
      <c r="NH1" s="753"/>
      <c r="NI1" s="753"/>
      <c r="NJ1" s="753"/>
      <c r="NK1" s="753"/>
      <c r="NL1" s="753"/>
      <c r="NM1" s="753"/>
      <c r="NN1" s="753"/>
      <c r="NO1" s="753"/>
      <c r="NP1" s="753"/>
      <c r="NQ1" s="753"/>
      <c r="NR1" s="753"/>
      <c r="NS1" s="753"/>
      <c r="NT1" s="753"/>
      <c r="NU1" s="753"/>
      <c r="NV1" s="753"/>
      <c r="NW1" s="753"/>
      <c r="NX1" s="753"/>
      <c r="NY1" s="753"/>
      <c r="NZ1" s="753"/>
      <c r="OA1" s="753"/>
      <c r="OB1" s="753"/>
      <c r="OC1" s="753"/>
      <c r="OD1" s="753"/>
      <c r="OE1" s="753"/>
      <c r="OF1" s="753"/>
      <c r="OG1" s="753"/>
      <c r="OH1" s="753"/>
      <c r="OI1" s="753"/>
      <c r="OJ1" s="753"/>
      <c r="OK1" s="753"/>
      <c r="OL1" s="753"/>
      <c r="OM1" s="753"/>
      <c r="ON1" s="753"/>
      <c r="OO1" s="753"/>
      <c r="OP1" s="753"/>
      <c r="OQ1" s="753"/>
      <c r="OR1" s="753"/>
      <c r="OS1" s="753"/>
      <c r="OT1" s="753"/>
      <c r="OU1" s="753"/>
      <c r="OV1" s="753"/>
      <c r="OW1" s="753"/>
      <c r="OX1" s="753"/>
      <c r="OY1" s="753"/>
      <c r="OZ1" s="753"/>
      <c r="PA1" s="753"/>
      <c r="PB1" s="753"/>
      <c r="PC1" s="753"/>
      <c r="PD1" s="753"/>
      <c r="PE1" s="753"/>
      <c r="PF1" s="753"/>
      <c r="PG1" s="753"/>
      <c r="PH1" s="753"/>
      <c r="PI1" s="753"/>
      <c r="PJ1" s="753"/>
      <c r="PK1" s="753"/>
      <c r="PL1" s="753"/>
      <c r="PM1" s="753"/>
      <c r="PN1" s="753"/>
      <c r="PO1" s="753"/>
      <c r="PP1" s="753"/>
      <c r="PQ1" s="753"/>
      <c r="PR1" s="753"/>
      <c r="PS1" s="753"/>
      <c r="PT1" s="753"/>
      <c r="PU1" s="753"/>
      <c r="PV1" s="753"/>
      <c r="PW1" s="753"/>
      <c r="PX1" s="753"/>
      <c r="PY1" s="753"/>
      <c r="PZ1" s="753"/>
      <c r="QA1" s="753"/>
      <c r="QB1" s="753"/>
      <c r="QC1" s="753"/>
      <c r="QD1" s="753"/>
      <c r="QE1" s="753"/>
      <c r="QF1" s="753"/>
      <c r="QG1" s="753"/>
      <c r="QH1" s="753"/>
      <c r="QI1" s="753"/>
      <c r="QJ1" s="753"/>
      <c r="QK1" s="753"/>
      <c r="QL1" s="753"/>
      <c r="QM1" s="753"/>
      <c r="QN1" s="753"/>
      <c r="QO1" s="753"/>
      <c r="QP1" s="753"/>
      <c r="QQ1" s="753"/>
      <c r="QR1" s="753"/>
      <c r="QS1" s="753"/>
      <c r="QT1" s="753"/>
      <c r="QU1" s="753"/>
      <c r="QV1" s="753"/>
      <c r="QW1" s="753"/>
      <c r="QX1" s="753"/>
      <c r="QY1" s="753"/>
      <c r="QZ1" s="753"/>
      <c r="RA1" s="753"/>
      <c r="RB1" s="753"/>
      <c r="RC1" s="753"/>
      <c r="RD1" s="753"/>
      <c r="RE1" s="753"/>
      <c r="RF1" s="753"/>
      <c r="RG1" s="753"/>
      <c r="RH1" s="753"/>
      <c r="RI1" s="753"/>
      <c r="RJ1" s="753"/>
      <c r="RK1" s="753"/>
      <c r="RL1" s="753"/>
      <c r="RM1" s="753"/>
      <c r="RN1" s="753"/>
      <c r="RO1" s="753"/>
      <c r="RP1" s="753"/>
      <c r="RQ1" s="753"/>
      <c r="RR1" s="753"/>
      <c r="RS1" s="753"/>
      <c r="RT1" s="753"/>
      <c r="RU1" s="753"/>
      <c r="RV1" s="753"/>
      <c r="RW1" s="753"/>
      <c r="RX1" s="753"/>
      <c r="RY1" s="753"/>
      <c r="RZ1" s="753"/>
      <c r="SA1" s="753"/>
      <c r="SB1" s="753"/>
      <c r="SC1" s="753"/>
      <c r="SD1" s="753"/>
      <c r="SE1" s="753"/>
      <c r="SF1" s="753"/>
      <c r="SG1" s="753"/>
      <c r="SH1" s="753"/>
      <c r="SI1" s="753"/>
      <c r="SJ1" s="753"/>
      <c r="SK1" s="753"/>
      <c r="SL1" s="753"/>
      <c r="SM1" s="753"/>
      <c r="SN1" s="753"/>
      <c r="SO1" s="753"/>
      <c r="SP1" s="753"/>
      <c r="SQ1" s="753"/>
      <c r="SR1" s="753"/>
      <c r="SS1" s="753"/>
      <c r="ST1" s="753"/>
      <c r="SU1" s="753"/>
      <c r="SV1" s="753"/>
      <c r="SW1" s="753"/>
      <c r="SX1" s="753"/>
      <c r="SY1" s="753"/>
      <c r="SZ1" s="753"/>
      <c r="TA1" s="753"/>
      <c r="TB1" s="753"/>
      <c r="TC1" s="753"/>
      <c r="TD1" s="753"/>
      <c r="TE1" s="753"/>
      <c r="TF1" s="753"/>
      <c r="TG1" s="753"/>
      <c r="TH1" s="753"/>
      <c r="TI1" s="753"/>
      <c r="TJ1" s="753"/>
      <c r="TK1" s="753"/>
      <c r="TL1" s="753"/>
      <c r="TM1" s="753"/>
      <c r="TN1" s="753"/>
      <c r="TO1" s="753"/>
      <c r="TP1" s="753"/>
      <c r="TQ1" s="753"/>
      <c r="TR1" s="753"/>
      <c r="TS1" s="753"/>
      <c r="TT1" s="753"/>
      <c r="TU1" s="753"/>
      <c r="TV1" s="753"/>
      <c r="TW1" s="753"/>
      <c r="TX1" s="753"/>
      <c r="TY1" s="753"/>
      <c r="TZ1" s="753"/>
      <c r="UA1" s="753"/>
      <c r="UB1" s="753"/>
      <c r="UC1" s="753"/>
      <c r="UD1" s="753"/>
      <c r="UE1" s="753"/>
      <c r="UF1" s="753"/>
      <c r="UG1" s="753"/>
      <c r="UH1" s="753"/>
      <c r="UI1" s="753"/>
      <c r="UJ1" s="753"/>
      <c r="UK1" s="753"/>
      <c r="UL1" s="753"/>
      <c r="UM1" s="753"/>
      <c r="UN1" s="753"/>
      <c r="UO1" s="753"/>
      <c r="UP1" s="753"/>
      <c r="UQ1" s="753"/>
      <c r="UR1" s="753"/>
      <c r="US1" s="753"/>
      <c r="UT1" s="753"/>
      <c r="UU1" s="753"/>
      <c r="UV1" s="753"/>
      <c r="UW1" s="753"/>
      <c r="UX1" s="753"/>
      <c r="UY1" s="753"/>
      <c r="UZ1" s="753"/>
      <c r="VA1" s="753"/>
      <c r="VB1" s="753"/>
      <c r="VC1" s="753"/>
      <c r="VD1" s="753"/>
      <c r="VE1" s="753"/>
      <c r="VF1" s="753"/>
      <c r="VG1" s="753"/>
      <c r="VH1" s="753"/>
      <c r="VI1" s="753"/>
      <c r="VJ1" s="753"/>
      <c r="VK1" s="753"/>
      <c r="VL1" s="753"/>
      <c r="VM1" s="753"/>
      <c r="VN1" s="753"/>
      <c r="VO1" s="753"/>
      <c r="VP1" s="753"/>
      <c r="VQ1" s="753"/>
      <c r="VR1" s="753"/>
      <c r="VS1" s="753"/>
      <c r="VT1" s="753"/>
      <c r="VU1" s="753"/>
      <c r="VV1" s="753"/>
      <c r="VW1" s="753"/>
      <c r="VX1" s="753"/>
      <c r="VY1" s="753"/>
      <c r="VZ1" s="753"/>
      <c r="WA1" s="753"/>
      <c r="WB1" s="753"/>
      <c r="WC1" s="753"/>
      <c r="WD1" s="753"/>
      <c r="WE1" s="753"/>
      <c r="WF1" s="753"/>
      <c r="WG1" s="753"/>
      <c r="WH1" s="753"/>
      <c r="WI1" s="753"/>
      <c r="WJ1" s="753"/>
      <c r="WK1" s="753"/>
      <c r="WL1" s="753"/>
      <c r="WM1" s="753"/>
      <c r="WN1" s="753"/>
      <c r="WO1" s="753"/>
      <c r="WP1" s="753"/>
      <c r="WQ1" s="753"/>
      <c r="WR1" s="753"/>
      <c r="WS1" s="753"/>
      <c r="WT1" s="753"/>
      <c r="WU1" s="753"/>
      <c r="WV1" s="753"/>
      <c r="WW1" s="753"/>
      <c r="WX1" s="753"/>
      <c r="WY1" s="753"/>
      <c r="WZ1" s="753"/>
      <c r="XA1" s="753"/>
      <c r="XB1" s="753"/>
      <c r="XC1" s="753"/>
      <c r="XD1" s="753"/>
      <c r="XE1" s="753"/>
      <c r="XF1" s="753"/>
      <c r="XG1" s="753"/>
      <c r="XH1" s="753"/>
      <c r="XI1" s="753"/>
      <c r="XJ1" s="753"/>
      <c r="XK1" s="753"/>
      <c r="XL1" s="753"/>
      <c r="XM1" s="753"/>
      <c r="XN1" s="753"/>
      <c r="XO1" s="753"/>
      <c r="XP1" s="753"/>
      <c r="XQ1" s="753"/>
      <c r="XR1" s="753"/>
      <c r="XS1" s="753"/>
      <c r="XT1" s="753"/>
      <c r="XU1" s="753"/>
      <c r="XV1" s="753"/>
      <c r="XW1" s="753"/>
      <c r="XX1" s="753"/>
      <c r="XY1" s="753"/>
      <c r="XZ1" s="753"/>
      <c r="YA1" s="753"/>
      <c r="YB1" s="753"/>
      <c r="YC1" s="753"/>
      <c r="YD1" s="753"/>
      <c r="YE1" s="753"/>
      <c r="YF1" s="753"/>
      <c r="YG1" s="753"/>
      <c r="YH1" s="753"/>
      <c r="YI1" s="753"/>
      <c r="YJ1" s="753"/>
      <c r="YK1" s="753"/>
      <c r="YL1" s="753"/>
      <c r="YM1" s="753"/>
      <c r="YN1" s="753"/>
      <c r="YO1" s="753"/>
      <c r="YP1" s="753"/>
      <c r="YQ1" s="753"/>
      <c r="YR1" s="753"/>
      <c r="YS1" s="753"/>
      <c r="YT1" s="753"/>
      <c r="YU1" s="753"/>
      <c r="YV1" s="753"/>
      <c r="YW1" s="753"/>
      <c r="YX1" s="753"/>
      <c r="YY1" s="753"/>
      <c r="YZ1" s="753"/>
      <c r="ZA1" s="753"/>
      <c r="ZB1" s="753"/>
      <c r="ZC1" s="753"/>
      <c r="ZD1" s="753"/>
      <c r="ZE1" s="753"/>
      <c r="ZF1" s="753"/>
      <c r="ZG1" s="753"/>
      <c r="ZH1" s="753"/>
      <c r="ZI1" s="753"/>
      <c r="ZJ1" s="753"/>
      <c r="ZK1" s="753"/>
      <c r="ZL1" s="753"/>
      <c r="ZM1" s="753"/>
      <c r="ZN1" s="753"/>
      <c r="ZO1" s="753"/>
      <c r="ZP1" s="753"/>
      <c r="ZQ1" s="753"/>
      <c r="ZR1" s="753"/>
      <c r="ZS1" s="753"/>
      <c r="ZT1" s="753"/>
      <c r="ZU1" s="753"/>
      <c r="ZV1" s="753"/>
      <c r="ZW1" s="753"/>
      <c r="ZX1" s="753"/>
      <c r="ZY1" s="753"/>
      <c r="ZZ1" s="753"/>
      <c r="AAA1" s="753"/>
      <c r="AAB1" s="753"/>
      <c r="AAC1" s="753"/>
      <c r="AAD1" s="753"/>
      <c r="AAE1" s="753"/>
      <c r="AAF1" s="753"/>
      <c r="AAG1" s="753"/>
      <c r="AAH1" s="753"/>
      <c r="AAI1" s="753"/>
      <c r="AAJ1" s="753"/>
      <c r="AAK1" s="753"/>
      <c r="AAL1" s="753"/>
      <c r="AAM1" s="753"/>
      <c r="AAN1" s="753"/>
      <c r="AAO1" s="753"/>
      <c r="AAP1" s="753"/>
      <c r="AAQ1" s="753"/>
      <c r="AAR1" s="753"/>
      <c r="AAS1" s="753"/>
      <c r="AAT1" s="753"/>
      <c r="AAU1" s="753"/>
      <c r="AAV1" s="753"/>
      <c r="AAW1" s="753"/>
      <c r="AAX1" s="753"/>
      <c r="AAY1" s="753"/>
      <c r="AAZ1" s="753"/>
      <c r="ABA1" s="753"/>
      <c r="ABB1" s="753"/>
      <c r="ABC1" s="753"/>
      <c r="ABD1" s="753"/>
      <c r="ABE1" s="753"/>
      <c r="ABF1" s="753"/>
      <c r="ABG1" s="753"/>
      <c r="ABH1" s="753"/>
      <c r="ABI1" s="753"/>
      <c r="ABJ1" s="753"/>
      <c r="ABK1" s="753"/>
      <c r="ABL1" s="753"/>
      <c r="ABM1" s="753"/>
      <c r="ABN1" s="753"/>
      <c r="ABO1" s="753"/>
      <c r="ABP1" s="753"/>
      <c r="ABQ1" s="753"/>
      <c r="ABR1" s="753"/>
      <c r="ABS1" s="753"/>
      <c r="ABT1" s="753"/>
      <c r="ABU1" s="753"/>
      <c r="ABV1" s="753"/>
      <c r="ABW1" s="753"/>
      <c r="ABX1" s="753"/>
      <c r="ABY1" s="753"/>
      <c r="ABZ1" s="753"/>
      <c r="ACA1" s="753"/>
      <c r="ACB1" s="753"/>
      <c r="ACC1" s="753"/>
      <c r="ACD1" s="753"/>
      <c r="ACE1" s="753"/>
      <c r="ACF1" s="753"/>
      <c r="ACG1" s="753"/>
      <c r="ACH1" s="753"/>
      <c r="ACI1" s="753"/>
      <c r="ACJ1" s="753"/>
      <c r="ACK1" s="753"/>
      <c r="ACL1" s="753"/>
      <c r="ACM1" s="753"/>
      <c r="ACN1" s="753"/>
      <c r="ACO1" s="753"/>
      <c r="ACP1" s="753"/>
      <c r="ACQ1" s="753"/>
      <c r="ACR1" s="753"/>
      <c r="ACS1" s="753"/>
      <c r="ACT1" s="753"/>
      <c r="ACU1" s="753"/>
      <c r="ACV1" s="753"/>
      <c r="ACW1" s="753"/>
      <c r="ACX1" s="753"/>
      <c r="ACY1" s="753"/>
      <c r="ACZ1" s="753"/>
      <c r="ADA1" s="753"/>
      <c r="ADB1" s="753"/>
      <c r="ADC1" s="753"/>
      <c r="ADD1" s="753"/>
      <c r="ADE1" s="753"/>
      <c r="ADF1" s="753"/>
      <c r="ADG1" s="753"/>
      <c r="ADH1" s="753"/>
      <c r="ADI1" s="753"/>
      <c r="ADJ1" s="753"/>
      <c r="ADK1" s="753"/>
      <c r="ADL1" s="753"/>
      <c r="ADM1" s="753"/>
      <c r="ADN1" s="753"/>
      <c r="ADO1" s="753"/>
      <c r="ADP1" s="753"/>
      <c r="ADQ1" s="753"/>
      <c r="ADR1" s="753"/>
      <c r="ADS1" s="753"/>
      <c r="ADT1" s="753"/>
      <c r="ADU1" s="753"/>
      <c r="ADV1" s="753"/>
      <c r="ADW1" s="753"/>
      <c r="ADX1" s="753"/>
      <c r="ADY1" s="753"/>
      <c r="ADZ1" s="753"/>
      <c r="AEA1" s="753"/>
      <c r="AEB1" s="753"/>
      <c r="AEC1" s="753"/>
      <c r="AED1" s="753"/>
      <c r="AEE1" s="753"/>
      <c r="AEF1" s="753"/>
      <c r="AEG1" s="753"/>
      <c r="AEH1" s="753"/>
      <c r="AEI1" s="753"/>
      <c r="AEJ1" s="753"/>
      <c r="AEK1" s="753"/>
      <c r="AEL1" s="753"/>
      <c r="AEM1" s="753"/>
      <c r="AEN1" s="753"/>
      <c r="AEO1" s="753"/>
      <c r="AEP1" s="753"/>
      <c r="AEQ1" s="753"/>
      <c r="AER1" s="753"/>
      <c r="AES1" s="753"/>
      <c r="AET1" s="753"/>
      <c r="AEU1" s="753"/>
      <c r="AEV1" s="753"/>
      <c r="AEW1" s="753"/>
      <c r="AEX1" s="753"/>
      <c r="AEY1" s="753"/>
      <c r="AEZ1" s="753"/>
      <c r="AFA1" s="753"/>
      <c r="AFB1" s="753"/>
      <c r="AFC1" s="753"/>
      <c r="AFD1" s="753"/>
      <c r="AFE1" s="753"/>
      <c r="AFF1" s="753"/>
      <c r="AFG1" s="753"/>
      <c r="AFH1" s="753"/>
      <c r="AFI1" s="753"/>
      <c r="AFJ1" s="753"/>
      <c r="AFK1" s="753"/>
      <c r="AFL1" s="753"/>
      <c r="AFM1" s="753"/>
      <c r="AFN1" s="753"/>
      <c r="AFO1" s="753"/>
      <c r="AFP1" s="753"/>
      <c r="AFQ1" s="753"/>
      <c r="AFR1" s="753"/>
      <c r="AFS1" s="753"/>
      <c r="AFT1" s="753"/>
      <c r="AFU1" s="753"/>
      <c r="AFV1" s="753"/>
      <c r="AFW1" s="753"/>
      <c r="AFX1" s="753"/>
      <c r="AFY1" s="753"/>
      <c r="AFZ1" s="753"/>
      <c r="AGA1" s="753"/>
      <c r="AGB1" s="753"/>
      <c r="AGC1" s="753"/>
      <c r="AGD1" s="753"/>
      <c r="AGE1" s="753"/>
      <c r="AGF1" s="753"/>
      <c r="AGG1" s="753"/>
      <c r="AGH1" s="753"/>
      <c r="AGI1" s="753"/>
      <c r="AGJ1" s="753"/>
      <c r="AGK1" s="753"/>
      <c r="AGL1" s="753"/>
      <c r="AGM1" s="753"/>
      <c r="AGN1" s="753"/>
      <c r="AGO1" s="753"/>
      <c r="AGP1" s="753"/>
      <c r="AGQ1" s="753"/>
      <c r="AGR1" s="753"/>
      <c r="AGS1" s="753"/>
      <c r="AGT1" s="753"/>
      <c r="AGU1" s="753"/>
      <c r="AGV1" s="753"/>
      <c r="AGW1" s="753"/>
      <c r="AGX1" s="753"/>
      <c r="AGY1" s="753"/>
      <c r="AGZ1" s="753"/>
      <c r="AHA1" s="753"/>
      <c r="AHB1" s="753"/>
      <c r="AHC1" s="753"/>
      <c r="AHD1" s="753"/>
      <c r="AHE1" s="753"/>
      <c r="AHF1" s="753"/>
      <c r="AHG1" s="753"/>
      <c r="AHH1" s="753"/>
      <c r="AHI1" s="753"/>
      <c r="AHJ1" s="753"/>
      <c r="AHK1" s="753"/>
      <c r="AHL1" s="753"/>
      <c r="AHM1" s="753"/>
      <c r="AHN1" s="753"/>
      <c r="AHO1" s="753"/>
      <c r="AHP1" s="753"/>
      <c r="AHQ1" s="753"/>
      <c r="AHR1" s="753"/>
      <c r="AHS1" s="753"/>
      <c r="AHT1" s="753"/>
      <c r="AHU1" s="753"/>
      <c r="AHV1" s="753"/>
      <c r="AHW1" s="753"/>
      <c r="AHX1" s="753"/>
      <c r="AHY1" s="753"/>
      <c r="AHZ1" s="753"/>
      <c r="AIA1" s="753"/>
      <c r="AIB1" s="753"/>
      <c r="AIC1" s="753"/>
      <c r="AID1" s="753"/>
      <c r="AIE1" s="753"/>
      <c r="AIF1" s="753"/>
      <c r="AIG1" s="753"/>
      <c r="AIH1" s="753"/>
      <c r="AII1" s="753"/>
      <c r="AIJ1" s="753"/>
      <c r="AIK1" s="753"/>
      <c r="AIL1" s="753"/>
      <c r="AIM1" s="753"/>
      <c r="AIN1" s="753"/>
      <c r="AIO1" s="753"/>
      <c r="AIP1" s="753"/>
      <c r="AIQ1" s="753"/>
      <c r="AIR1" s="753"/>
      <c r="AIS1" s="753"/>
      <c r="AIT1" s="753"/>
      <c r="AIU1" s="753"/>
      <c r="AIV1" s="753"/>
      <c r="AIW1" s="753"/>
      <c r="AIX1" s="753"/>
      <c r="AIY1" s="753"/>
      <c r="AIZ1" s="753"/>
      <c r="AJA1" s="753"/>
      <c r="AJB1" s="753"/>
      <c r="AJC1" s="753"/>
      <c r="AJD1" s="753"/>
      <c r="AJE1" s="753"/>
      <c r="AJF1" s="753"/>
      <c r="AJG1" s="753"/>
      <c r="AJH1" s="753"/>
      <c r="AJI1" s="753"/>
      <c r="AJJ1" s="753"/>
      <c r="AJK1" s="753"/>
      <c r="AJL1" s="753"/>
      <c r="AJM1" s="753"/>
      <c r="AJN1" s="753"/>
      <c r="AJO1" s="753"/>
      <c r="AJP1" s="753"/>
      <c r="AJQ1" s="753"/>
      <c r="AJR1" s="753"/>
      <c r="AJS1" s="753"/>
      <c r="AJT1" s="753"/>
      <c r="AJU1" s="753"/>
      <c r="AJV1" s="753"/>
      <c r="AJW1" s="753"/>
      <c r="AJX1" s="753"/>
      <c r="AJY1" s="753"/>
      <c r="AJZ1" s="753"/>
      <c r="AKA1" s="753"/>
      <c r="AKB1" s="753"/>
      <c r="AKC1" s="753"/>
      <c r="AKD1" s="753"/>
      <c r="AKE1" s="753"/>
      <c r="AKF1" s="753"/>
      <c r="AKG1" s="753"/>
      <c r="AKH1" s="753"/>
      <c r="AKI1" s="753"/>
      <c r="AKJ1" s="753"/>
      <c r="AKK1" s="753"/>
      <c r="AKL1" s="753"/>
      <c r="AKM1" s="753"/>
      <c r="AKN1" s="753"/>
      <c r="AKO1" s="753"/>
      <c r="AKP1" s="753"/>
      <c r="AKQ1" s="753"/>
      <c r="AKR1" s="753"/>
      <c r="AKS1" s="753"/>
      <c r="AKT1" s="753"/>
      <c r="AKU1" s="753"/>
      <c r="AKV1" s="753"/>
      <c r="AKW1" s="753"/>
      <c r="AKX1" s="753"/>
      <c r="AKY1" s="753"/>
      <c r="AKZ1" s="753"/>
      <c r="ALA1" s="753"/>
      <c r="ALB1" s="753"/>
      <c r="ALC1" s="753"/>
      <c r="ALD1" s="753"/>
      <c r="ALE1" s="753"/>
      <c r="ALF1" s="753"/>
      <c r="ALG1" s="753"/>
      <c r="ALH1" s="753"/>
      <c r="ALI1" s="753"/>
      <c r="ALJ1" s="753"/>
      <c r="ALK1" s="753"/>
      <c r="ALL1" s="753"/>
      <c r="ALM1" s="753"/>
      <c r="ALN1" s="753"/>
      <c r="ALO1" s="753"/>
      <c r="ALP1" s="753"/>
      <c r="ALQ1" s="753"/>
      <c r="ALR1" s="753"/>
      <c r="ALS1" s="753"/>
      <c r="ALT1" s="753"/>
      <c r="ALU1" s="753"/>
      <c r="ALV1" s="753"/>
      <c r="ALW1" s="753"/>
      <c r="ALX1" s="753"/>
      <c r="ALY1" s="753"/>
      <c r="ALZ1" s="753"/>
      <c r="AMA1" s="753"/>
      <c r="AMB1" s="753"/>
      <c r="AMC1" s="753"/>
      <c r="AMD1" s="753"/>
      <c r="AME1" s="753"/>
      <c r="AMF1" s="753"/>
      <c r="AMG1" s="753"/>
      <c r="AMH1" s="753"/>
      <c r="AMI1" s="753"/>
    </row>
    <row r="2" spans="1:1023" s="259" customFormat="1" ht="15.75" customHeight="1">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c r="A3" s="256"/>
      <c r="B3" s="256"/>
      <c r="C3" s="185" t="s">
        <v>144</v>
      </c>
      <c r="D3" s="189"/>
      <c r="E3" s="765" t="s">
        <v>145</v>
      </c>
      <c r="F3" s="766"/>
      <c r="G3" s="766"/>
      <c r="H3" s="766"/>
      <c r="I3" s="767"/>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c r="A5" s="256"/>
      <c r="B5" s="256"/>
      <c r="C5" s="185" t="s">
        <v>146</v>
      </c>
      <c r="D5" s="188"/>
      <c r="E5" s="761" t="s">
        <v>147</v>
      </c>
      <c r="F5" s="762"/>
      <c r="G5" s="762"/>
      <c r="H5" s="762"/>
      <c r="I5" s="763"/>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c r="A7" s="256"/>
      <c r="B7" s="256"/>
      <c r="C7" s="185" t="s">
        <v>45</v>
      </c>
      <c r="D7" s="188"/>
      <c r="E7" s="761" t="s">
        <v>145</v>
      </c>
      <c r="F7" s="762"/>
      <c r="G7" s="762"/>
      <c r="H7" s="762"/>
      <c r="I7" s="763"/>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c r="A9" s="256"/>
      <c r="B9" s="256"/>
      <c r="C9" s="185" t="s">
        <v>348</v>
      </c>
      <c r="D9" s="261"/>
      <c r="E9" s="761"/>
      <c r="F9" s="762"/>
      <c r="G9" s="762"/>
      <c r="H9" s="762"/>
      <c r="I9" s="763"/>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c r="A11" s="264"/>
      <c r="B11" s="265"/>
      <c r="C11" s="265"/>
      <c r="D11" s="265"/>
      <c r="E11" s="266" t="s">
        <v>429</v>
      </c>
      <c r="F11" s="267"/>
      <c r="G11" s="266" t="s">
        <v>430</v>
      </c>
      <c r="H11" s="267"/>
      <c r="I11" s="266" t="s">
        <v>431</v>
      </c>
      <c r="J11" s="267"/>
      <c r="K11" s="266" t="s">
        <v>432</v>
      </c>
      <c r="L11" s="268"/>
      <c r="M11" s="266" t="s">
        <v>433</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c r="A12" s="272"/>
      <c r="B12" s="273"/>
      <c r="C12" s="274" t="s">
        <v>434</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c r="A14" s="282"/>
      <c r="B14" s="283"/>
      <c r="C14" s="283" t="s">
        <v>435</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c r="A16" s="284"/>
      <c r="B16" s="284"/>
      <c r="C16" s="285" t="s">
        <v>365</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c r="A18" s="287"/>
      <c r="B18" s="287"/>
      <c r="C18" s="288" t="s">
        <v>378</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c r="A21" s="294"/>
      <c r="B21" s="294"/>
      <c r="C21" s="295" t="s">
        <v>436</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c r="A24" s="755" t="s">
        <v>437</v>
      </c>
      <c r="B24" s="756"/>
      <c r="C24" s="756"/>
      <c r="D24" s="756"/>
      <c r="E24" s="764"/>
      <c r="F24" s="764"/>
      <c r="G24" s="764"/>
      <c r="H24" s="764"/>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c r="A26" s="755" t="s">
        <v>438</v>
      </c>
      <c r="B26" s="756"/>
      <c r="C26" s="756"/>
      <c r="D26" s="756"/>
      <c r="E26" s="757"/>
      <c r="F26" s="757"/>
      <c r="G26" s="757"/>
      <c r="H26" s="757"/>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c r="A30" s="256"/>
      <c r="B30" s="256"/>
      <c r="C30" s="256"/>
      <c r="D30" s="303"/>
      <c r="E30" s="180" t="s">
        <v>439</v>
      </c>
      <c r="F30" s="180" t="s">
        <v>440</v>
      </c>
      <c r="G30" s="180" t="s">
        <v>441</v>
      </c>
      <c r="H30" s="304" t="s">
        <v>442</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c r="A31" s="256"/>
      <c r="B31" s="256"/>
      <c r="C31" s="256"/>
      <c r="D31" s="303"/>
      <c r="E31" s="306" t="s">
        <v>443</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c r="A32" s="256"/>
      <c r="B32" s="256"/>
      <c r="C32" s="256"/>
      <c r="D32" s="303"/>
      <c r="E32" s="306" t="s">
        <v>444</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c r="A33" s="256"/>
      <c r="B33" s="256"/>
      <c r="C33" s="256"/>
      <c r="D33" s="303"/>
      <c r="E33" s="306" t="s">
        <v>445</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c r="A34" s="256"/>
      <c r="B34" s="256"/>
      <c r="C34" s="256"/>
      <c r="D34" s="303"/>
      <c r="E34" s="306" t="s">
        <v>446</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c r="A35" s="256"/>
      <c r="B35" s="256"/>
      <c r="C35" s="256"/>
      <c r="D35" s="303"/>
      <c r="E35" s="306" t="s">
        <v>447</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c r="A45" s="758" t="s">
        <v>448</v>
      </c>
      <c r="B45" s="758"/>
      <c r="C45" s="758"/>
      <c r="D45" s="758"/>
      <c r="E45" s="758"/>
      <c r="F45" s="758"/>
      <c r="G45" s="758"/>
      <c r="H45" s="758"/>
      <c r="I45" s="758"/>
      <c r="J45" s="758"/>
      <c r="K45" s="758"/>
      <c r="L45" s="758"/>
      <c r="M45" s="758"/>
      <c r="N45" s="758"/>
      <c r="O45" s="758"/>
      <c r="P45" s="758"/>
      <c r="Q45" s="758"/>
      <c r="R45" s="758"/>
      <c r="S45" s="758"/>
      <c r="T45" s="758"/>
      <c r="U45" s="758"/>
      <c r="V45" s="758"/>
      <c r="W45" s="758"/>
      <c r="X45" s="758"/>
      <c r="Y45" s="758"/>
      <c r="Z45" s="758"/>
      <c r="AA45" s="758"/>
      <c r="AB45" s="758"/>
      <c r="AC45" s="758"/>
      <c r="AD45" s="758"/>
      <c r="AE45" s="758"/>
      <c r="AF45" s="758"/>
      <c r="AG45" s="758"/>
      <c r="AH45" s="758"/>
      <c r="AI45" s="758"/>
      <c r="AJ45" s="758"/>
      <c r="AK45" s="758"/>
      <c r="AL45" s="758"/>
      <c r="AM45" s="758"/>
      <c r="AN45" s="758"/>
      <c r="AO45" s="758"/>
      <c r="AP45" s="758"/>
      <c r="AQ45" s="758"/>
      <c r="AR45" s="758"/>
      <c r="AS45" s="758"/>
      <c r="AT45" s="758"/>
      <c r="AU45" s="758"/>
      <c r="AV45" s="758"/>
      <c r="AW45" s="758"/>
      <c r="AX45" s="758"/>
      <c r="AY45" s="758"/>
      <c r="AZ45" s="758"/>
      <c r="BA45" s="758"/>
      <c r="BB45" s="758"/>
      <c r="BC45" s="758"/>
      <c r="BD45" s="758"/>
      <c r="BE45" s="758"/>
      <c r="BF45" s="758"/>
      <c r="BG45" s="758"/>
      <c r="BH45" s="758"/>
      <c r="BI45" s="758"/>
      <c r="BJ45" s="758"/>
      <c r="BK45" s="758"/>
      <c r="BL45" s="758"/>
      <c r="BM45" s="758"/>
      <c r="BN45" s="758"/>
      <c r="BO45" s="758"/>
      <c r="BP45" s="758"/>
      <c r="BQ45" s="758"/>
      <c r="BR45" s="758"/>
      <c r="BS45" s="758"/>
      <c r="BT45" s="758"/>
      <c r="BU45" s="758"/>
      <c r="BV45" s="758"/>
      <c r="BW45" s="758"/>
      <c r="BX45" s="758"/>
      <c r="BY45" s="758"/>
      <c r="BZ45" s="758"/>
      <c r="CA45" s="758"/>
      <c r="CB45" s="758"/>
      <c r="CC45" s="758"/>
      <c r="CD45" s="758"/>
      <c r="CE45" s="758"/>
      <c r="CF45" s="758"/>
      <c r="CG45" s="758"/>
      <c r="CH45" s="758"/>
      <c r="CI45" s="758"/>
      <c r="CJ45" s="758"/>
      <c r="CK45" s="758"/>
      <c r="CL45" s="758"/>
      <c r="CM45" s="758"/>
      <c r="CN45" s="758"/>
      <c r="CO45" s="758"/>
      <c r="CP45" s="758"/>
      <c r="CQ45" s="758"/>
      <c r="CR45" s="758"/>
      <c r="CS45" s="758"/>
      <c r="CT45" s="758"/>
      <c r="CU45" s="758"/>
      <c r="CV45" s="758"/>
      <c r="CW45" s="758"/>
      <c r="CX45" s="758"/>
      <c r="CY45" s="758"/>
      <c r="CZ45" s="758"/>
      <c r="DA45" s="758"/>
      <c r="DB45" s="758"/>
      <c r="DC45" s="758"/>
      <c r="DD45" s="758"/>
      <c r="DE45" s="758"/>
      <c r="DF45" s="758"/>
      <c r="DG45" s="758"/>
      <c r="DH45" s="758"/>
      <c r="DI45" s="758"/>
      <c r="DJ45" s="758"/>
      <c r="DK45" s="758"/>
      <c r="DL45" s="758"/>
      <c r="DM45" s="758"/>
      <c r="DN45" s="758"/>
      <c r="DO45" s="758"/>
      <c r="DP45" s="758"/>
      <c r="DQ45" s="758"/>
      <c r="DR45" s="758"/>
      <c r="DS45" s="758"/>
      <c r="DT45" s="758"/>
      <c r="DU45" s="758"/>
      <c r="DV45" s="758"/>
      <c r="DW45" s="758"/>
      <c r="DX45" s="758"/>
      <c r="DY45" s="758"/>
      <c r="DZ45" s="758"/>
      <c r="EA45" s="758"/>
      <c r="EB45" s="758"/>
      <c r="EC45" s="758"/>
      <c r="ED45" s="758"/>
      <c r="EE45" s="758"/>
      <c r="EF45" s="758"/>
      <c r="EG45" s="758"/>
      <c r="EH45" s="758"/>
      <c r="EI45" s="758"/>
      <c r="EJ45" s="758"/>
      <c r="EK45" s="758"/>
      <c r="EL45" s="758"/>
      <c r="EM45" s="758"/>
      <c r="EN45" s="758"/>
      <c r="EO45" s="758"/>
      <c r="EP45" s="758"/>
      <c r="EQ45" s="758"/>
      <c r="ER45" s="758"/>
      <c r="ES45" s="758"/>
      <c r="ET45" s="758"/>
      <c r="EU45" s="758"/>
      <c r="EV45" s="758"/>
      <c r="EW45" s="758"/>
      <c r="EX45" s="758"/>
      <c r="EY45" s="758"/>
      <c r="EZ45" s="758"/>
      <c r="FA45" s="758"/>
      <c r="FB45" s="758"/>
      <c r="FC45" s="758"/>
      <c r="FD45" s="758"/>
      <c r="FE45" s="758"/>
      <c r="FF45" s="758"/>
      <c r="FG45" s="758"/>
      <c r="FH45" s="758"/>
      <c r="FI45" s="758"/>
      <c r="FJ45" s="758"/>
      <c r="FK45" s="758"/>
      <c r="FL45" s="758"/>
      <c r="FM45" s="758"/>
      <c r="FN45" s="758"/>
      <c r="FO45" s="758"/>
      <c r="FP45" s="758"/>
      <c r="FQ45" s="758"/>
      <c r="FR45" s="758"/>
      <c r="FS45" s="758"/>
      <c r="FT45" s="758"/>
      <c r="FU45" s="758"/>
      <c r="FV45" s="758"/>
      <c r="FW45" s="758"/>
      <c r="FX45" s="758"/>
      <c r="FY45" s="758"/>
      <c r="FZ45" s="758"/>
      <c r="GA45" s="758"/>
      <c r="GB45" s="758"/>
      <c r="GC45" s="758"/>
      <c r="GD45" s="758"/>
      <c r="GE45" s="758"/>
      <c r="GF45" s="758"/>
      <c r="GG45" s="758"/>
      <c r="GH45" s="758"/>
      <c r="GI45" s="758"/>
      <c r="GJ45" s="758"/>
      <c r="GK45" s="758"/>
      <c r="GL45" s="758"/>
      <c r="GM45" s="758"/>
      <c r="GN45" s="758"/>
      <c r="GO45" s="758"/>
      <c r="GP45" s="758"/>
      <c r="GQ45" s="758"/>
      <c r="GR45" s="758"/>
      <c r="GS45" s="758"/>
      <c r="GT45" s="758"/>
      <c r="GU45" s="758"/>
      <c r="GV45" s="758"/>
      <c r="GW45" s="758"/>
      <c r="GX45" s="758"/>
      <c r="GY45" s="758"/>
      <c r="GZ45" s="758"/>
      <c r="HA45" s="758"/>
      <c r="HB45" s="758"/>
      <c r="HC45" s="758"/>
      <c r="HD45" s="758"/>
      <c r="HE45" s="758"/>
      <c r="HF45" s="758"/>
      <c r="HG45" s="758"/>
      <c r="HH45" s="758"/>
      <c r="HI45" s="758"/>
      <c r="HJ45" s="758"/>
      <c r="HK45" s="758"/>
      <c r="HL45" s="758"/>
      <c r="HM45" s="758"/>
      <c r="HN45" s="758"/>
      <c r="HO45" s="758"/>
      <c r="HP45" s="758"/>
      <c r="HQ45" s="758"/>
      <c r="HR45" s="758"/>
      <c r="HS45" s="758"/>
      <c r="HT45" s="758"/>
      <c r="HU45" s="758"/>
      <c r="HV45" s="758"/>
      <c r="HW45" s="758"/>
      <c r="HX45" s="758"/>
      <c r="HY45" s="758"/>
      <c r="HZ45" s="758"/>
      <c r="IA45" s="758"/>
      <c r="IB45" s="758"/>
      <c r="IC45" s="758"/>
      <c r="ID45" s="758"/>
      <c r="IE45" s="758"/>
      <c r="IF45" s="758"/>
      <c r="IG45" s="758"/>
      <c r="IH45" s="758"/>
      <c r="II45" s="758"/>
      <c r="IJ45" s="758"/>
      <c r="IK45" s="758"/>
      <c r="IL45" s="758"/>
      <c r="IM45" s="758"/>
      <c r="IN45" s="758"/>
      <c r="IO45" s="758"/>
      <c r="IP45" s="758"/>
      <c r="IQ45" s="758"/>
      <c r="IR45" s="758"/>
      <c r="IS45" s="758"/>
      <c r="IT45" s="758"/>
      <c r="IU45" s="758"/>
      <c r="IV45" s="758"/>
      <c r="IW45" s="758"/>
      <c r="IX45" s="758"/>
      <c r="IY45" s="758"/>
      <c r="IZ45" s="758"/>
      <c r="JA45" s="758"/>
      <c r="JB45" s="758"/>
      <c r="JC45" s="758"/>
      <c r="JD45" s="758"/>
      <c r="JE45" s="758"/>
      <c r="JF45" s="758"/>
      <c r="JG45" s="758"/>
      <c r="JH45" s="758"/>
      <c r="JI45" s="758"/>
      <c r="JJ45" s="758"/>
      <c r="JK45" s="758"/>
      <c r="JL45" s="758"/>
      <c r="JM45" s="758"/>
      <c r="JN45" s="758"/>
      <c r="JO45" s="758"/>
      <c r="JP45" s="758"/>
      <c r="JQ45" s="758"/>
      <c r="JR45" s="758"/>
      <c r="JS45" s="758"/>
      <c r="JT45" s="758"/>
      <c r="JU45" s="758"/>
      <c r="JV45" s="758"/>
      <c r="JW45" s="758"/>
      <c r="JX45" s="758"/>
      <c r="JY45" s="758"/>
      <c r="JZ45" s="758"/>
      <c r="KA45" s="758"/>
      <c r="KB45" s="758"/>
      <c r="KC45" s="758"/>
      <c r="KD45" s="758"/>
      <c r="KE45" s="758"/>
      <c r="KF45" s="758"/>
      <c r="KG45" s="758"/>
      <c r="KH45" s="758"/>
      <c r="KI45" s="758"/>
      <c r="KJ45" s="758"/>
      <c r="KK45" s="758"/>
      <c r="KL45" s="758"/>
      <c r="KM45" s="758"/>
      <c r="KN45" s="758"/>
      <c r="KO45" s="758"/>
      <c r="KP45" s="758"/>
      <c r="KQ45" s="758"/>
      <c r="KR45" s="758"/>
      <c r="KS45" s="758"/>
      <c r="KT45" s="758"/>
      <c r="KU45" s="758"/>
      <c r="KV45" s="758"/>
      <c r="KW45" s="758"/>
      <c r="KX45" s="758"/>
      <c r="KY45" s="758"/>
      <c r="KZ45" s="758"/>
      <c r="LA45" s="758"/>
      <c r="LB45" s="758"/>
      <c r="LC45" s="758"/>
      <c r="LD45" s="758"/>
      <c r="LE45" s="758"/>
      <c r="LF45" s="758"/>
      <c r="LG45" s="758"/>
      <c r="LH45" s="758"/>
      <c r="LI45" s="758"/>
      <c r="LJ45" s="758"/>
      <c r="LK45" s="758"/>
      <c r="LL45" s="758"/>
      <c r="LM45" s="758"/>
      <c r="LN45" s="758"/>
      <c r="LO45" s="758"/>
      <c r="LP45" s="758"/>
      <c r="LQ45" s="758"/>
      <c r="LR45" s="758"/>
      <c r="LS45" s="758"/>
      <c r="LT45" s="758"/>
      <c r="LU45" s="758"/>
      <c r="LV45" s="758"/>
      <c r="LW45" s="758"/>
      <c r="LX45" s="758"/>
      <c r="LY45" s="758"/>
      <c r="LZ45" s="758"/>
      <c r="MA45" s="758"/>
      <c r="MB45" s="758"/>
      <c r="MC45" s="758"/>
      <c r="MD45" s="758"/>
      <c r="ME45" s="758"/>
      <c r="MF45" s="758"/>
      <c r="MG45" s="758"/>
      <c r="MH45" s="758"/>
      <c r="MI45" s="758"/>
      <c r="MJ45" s="758"/>
      <c r="MK45" s="758"/>
      <c r="ML45" s="758"/>
      <c r="MM45" s="758"/>
      <c r="MN45" s="758"/>
      <c r="MO45" s="758"/>
      <c r="MP45" s="758"/>
      <c r="MQ45" s="758"/>
      <c r="MR45" s="758"/>
      <c r="MS45" s="758"/>
      <c r="MT45" s="758"/>
      <c r="MU45" s="758"/>
      <c r="MV45" s="758"/>
      <c r="MW45" s="758"/>
      <c r="MX45" s="758"/>
      <c r="MY45" s="758"/>
      <c r="MZ45" s="758"/>
      <c r="NA45" s="758"/>
      <c r="NB45" s="758"/>
      <c r="NC45" s="758"/>
      <c r="ND45" s="758"/>
      <c r="NE45" s="758"/>
      <c r="NF45" s="758"/>
      <c r="NG45" s="758"/>
      <c r="NH45" s="758"/>
      <c r="NI45" s="758"/>
      <c r="NJ45" s="758"/>
      <c r="NK45" s="758"/>
      <c r="NL45" s="758"/>
      <c r="NM45" s="758"/>
      <c r="NN45" s="758"/>
      <c r="NO45" s="758"/>
      <c r="NP45" s="758"/>
      <c r="NQ45" s="758"/>
      <c r="NR45" s="758"/>
      <c r="NS45" s="758"/>
      <c r="NT45" s="758"/>
      <c r="NU45" s="758"/>
      <c r="NV45" s="758"/>
      <c r="NW45" s="758"/>
      <c r="NX45" s="758"/>
      <c r="NY45" s="758"/>
      <c r="NZ45" s="758"/>
      <c r="OA45" s="758"/>
      <c r="OB45" s="758"/>
      <c r="OC45" s="758"/>
      <c r="OD45" s="758"/>
      <c r="OE45" s="758"/>
      <c r="OF45" s="758"/>
      <c r="OG45" s="758"/>
      <c r="OH45" s="758"/>
      <c r="OI45" s="758"/>
      <c r="OJ45" s="758"/>
      <c r="OK45" s="758"/>
      <c r="OL45" s="758"/>
      <c r="OM45" s="758"/>
      <c r="ON45" s="758"/>
      <c r="OO45" s="758"/>
      <c r="OP45" s="758"/>
      <c r="OQ45" s="758"/>
      <c r="OR45" s="758"/>
      <c r="OS45" s="758"/>
      <c r="OT45" s="758"/>
      <c r="OU45" s="758"/>
      <c r="OV45" s="758"/>
      <c r="OW45" s="758"/>
      <c r="OX45" s="758"/>
      <c r="OY45" s="758"/>
      <c r="OZ45" s="758"/>
      <c r="PA45" s="758"/>
      <c r="PB45" s="758"/>
      <c r="PC45" s="758"/>
      <c r="PD45" s="758"/>
      <c r="PE45" s="758"/>
      <c r="PF45" s="758"/>
      <c r="PG45" s="758"/>
      <c r="PH45" s="758"/>
      <c r="PI45" s="758"/>
      <c r="PJ45" s="758"/>
      <c r="PK45" s="758"/>
      <c r="PL45" s="758"/>
      <c r="PM45" s="758"/>
      <c r="PN45" s="758"/>
      <c r="PO45" s="758"/>
      <c r="PP45" s="758"/>
      <c r="PQ45" s="758"/>
      <c r="PR45" s="758"/>
      <c r="PS45" s="758"/>
      <c r="PT45" s="758"/>
      <c r="PU45" s="758"/>
      <c r="PV45" s="758"/>
      <c r="PW45" s="758"/>
      <c r="PX45" s="758"/>
      <c r="PY45" s="758"/>
      <c r="PZ45" s="758"/>
      <c r="QA45" s="758"/>
      <c r="QB45" s="758"/>
      <c r="QC45" s="758"/>
      <c r="QD45" s="758"/>
      <c r="QE45" s="758"/>
      <c r="QF45" s="758"/>
      <c r="QG45" s="758"/>
      <c r="QH45" s="758"/>
      <c r="QI45" s="758"/>
      <c r="QJ45" s="758"/>
      <c r="QK45" s="758"/>
      <c r="QL45" s="758"/>
      <c r="QM45" s="758"/>
      <c r="QN45" s="758"/>
      <c r="QO45" s="758"/>
      <c r="QP45" s="758"/>
      <c r="QQ45" s="758"/>
      <c r="QR45" s="758"/>
      <c r="QS45" s="758"/>
      <c r="QT45" s="758"/>
      <c r="QU45" s="758"/>
      <c r="QV45" s="758"/>
      <c r="QW45" s="758"/>
      <c r="QX45" s="758"/>
      <c r="QY45" s="758"/>
      <c r="QZ45" s="758"/>
      <c r="RA45" s="758"/>
      <c r="RB45" s="758"/>
      <c r="RC45" s="758"/>
      <c r="RD45" s="758"/>
      <c r="RE45" s="758"/>
      <c r="RF45" s="758"/>
      <c r="RG45" s="758"/>
      <c r="RH45" s="758"/>
      <c r="RI45" s="758"/>
      <c r="RJ45" s="758"/>
      <c r="RK45" s="758"/>
      <c r="RL45" s="758"/>
      <c r="RM45" s="758"/>
      <c r="RN45" s="758"/>
      <c r="RO45" s="758"/>
      <c r="RP45" s="758"/>
      <c r="RQ45" s="758"/>
      <c r="RR45" s="758"/>
      <c r="RS45" s="758"/>
      <c r="RT45" s="758"/>
      <c r="RU45" s="758"/>
      <c r="RV45" s="758"/>
      <c r="RW45" s="758"/>
      <c r="RX45" s="758"/>
      <c r="RY45" s="758"/>
      <c r="RZ45" s="758"/>
      <c r="SA45" s="758"/>
      <c r="SB45" s="758"/>
      <c r="SC45" s="758"/>
      <c r="SD45" s="758"/>
      <c r="SE45" s="758"/>
      <c r="SF45" s="758"/>
      <c r="SG45" s="758"/>
      <c r="SH45" s="758"/>
      <c r="SI45" s="758"/>
      <c r="SJ45" s="758"/>
      <c r="SK45" s="758"/>
      <c r="SL45" s="758"/>
      <c r="SM45" s="758"/>
      <c r="SN45" s="758"/>
      <c r="SO45" s="758"/>
      <c r="SP45" s="758"/>
      <c r="SQ45" s="758"/>
      <c r="SR45" s="758"/>
      <c r="SS45" s="758"/>
      <c r="ST45" s="758"/>
      <c r="SU45" s="758"/>
      <c r="SV45" s="758"/>
      <c r="SW45" s="758"/>
      <c r="SX45" s="758"/>
      <c r="SY45" s="758"/>
      <c r="SZ45" s="758"/>
      <c r="TA45" s="758"/>
      <c r="TB45" s="758"/>
      <c r="TC45" s="758"/>
      <c r="TD45" s="758"/>
      <c r="TE45" s="758"/>
      <c r="TF45" s="758"/>
      <c r="TG45" s="758"/>
      <c r="TH45" s="758"/>
      <c r="TI45" s="758"/>
      <c r="TJ45" s="758"/>
      <c r="TK45" s="758"/>
      <c r="TL45" s="758"/>
      <c r="TM45" s="758"/>
      <c r="TN45" s="758"/>
      <c r="TO45" s="758"/>
      <c r="TP45" s="758"/>
      <c r="TQ45" s="758"/>
      <c r="TR45" s="758"/>
      <c r="TS45" s="758"/>
      <c r="TT45" s="758"/>
      <c r="TU45" s="758"/>
      <c r="TV45" s="758"/>
      <c r="TW45" s="758"/>
      <c r="TX45" s="758"/>
      <c r="TY45" s="758"/>
      <c r="TZ45" s="758"/>
      <c r="UA45" s="758"/>
      <c r="UB45" s="758"/>
      <c r="UC45" s="758"/>
      <c r="UD45" s="758"/>
      <c r="UE45" s="758"/>
      <c r="UF45" s="758"/>
      <c r="UG45" s="758"/>
      <c r="UH45" s="758"/>
      <c r="UI45" s="758"/>
      <c r="UJ45" s="758"/>
      <c r="UK45" s="758"/>
      <c r="UL45" s="758"/>
      <c r="UM45" s="758"/>
      <c r="UN45" s="758"/>
      <c r="UO45" s="758"/>
      <c r="UP45" s="758"/>
      <c r="UQ45" s="758"/>
      <c r="UR45" s="758"/>
      <c r="US45" s="758"/>
      <c r="UT45" s="758"/>
      <c r="UU45" s="758"/>
      <c r="UV45" s="758"/>
      <c r="UW45" s="758"/>
      <c r="UX45" s="758"/>
      <c r="UY45" s="758"/>
      <c r="UZ45" s="758"/>
      <c r="VA45" s="758"/>
      <c r="VB45" s="758"/>
      <c r="VC45" s="758"/>
      <c r="VD45" s="758"/>
      <c r="VE45" s="758"/>
      <c r="VF45" s="758"/>
      <c r="VG45" s="758"/>
      <c r="VH45" s="758"/>
      <c r="VI45" s="758"/>
      <c r="VJ45" s="758"/>
      <c r="VK45" s="758"/>
      <c r="VL45" s="758"/>
      <c r="VM45" s="758"/>
      <c r="VN45" s="758"/>
      <c r="VO45" s="758"/>
      <c r="VP45" s="758"/>
      <c r="VQ45" s="758"/>
      <c r="VR45" s="758"/>
      <c r="VS45" s="758"/>
      <c r="VT45" s="758"/>
      <c r="VU45" s="758"/>
      <c r="VV45" s="758"/>
      <c r="VW45" s="758"/>
      <c r="VX45" s="758"/>
      <c r="VY45" s="758"/>
      <c r="VZ45" s="758"/>
      <c r="WA45" s="758"/>
      <c r="WB45" s="758"/>
      <c r="WC45" s="758"/>
      <c r="WD45" s="758"/>
      <c r="WE45" s="758"/>
      <c r="WF45" s="758"/>
      <c r="WG45" s="758"/>
      <c r="WH45" s="758"/>
      <c r="WI45" s="758"/>
      <c r="WJ45" s="758"/>
      <c r="WK45" s="758"/>
      <c r="WL45" s="758"/>
      <c r="WM45" s="758"/>
      <c r="WN45" s="758"/>
      <c r="WO45" s="758"/>
      <c r="WP45" s="758"/>
      <c r="WQ45" s="758"/>
      <c r="WR45" s="758"/>
      <c r="WS45" s="758"/>
      <c r="WT45" s="758"/>
      <c r="WU45" s="758"/>
      <c r="WV45" s="758"/>
      <c r="WW45" s="758"/>
      <c r="WX45" s="758"/>
      <c r="WY45" s="758"/>
      <c r="WZ45" s="758"/>
      <c r="XA45" s="758"/>
      <c r="XB45" s="758"/>
      <c r="XC45" s="758"/>
      <c r="XD45" s="758"/>
      <c r="XE45" s="758"/>
      <c r="XF45" s="758"/>
      <c r="XG45" s="758"/>
      <c r="XH45" s="758"/>
      <c r="XI45" s="758"/>
      <c r="XJ45" s="758"/>
      <c r="XK45" s="758"/>
      <c r="XL45" s="758"/>
      <c r="XM45" s="758"/>
      <c r="XN45" s="758"/>
      <c r="XO45" s="758"/>
      <c r="XP45" s="758"/>
      <c r="XQ45" s="758"/>
      <c r="XR45" s="758"/>
      <c r="XS45" s="758"/>
      <c r="XT45" s="758"/>
      <c r="XU45" s="758"/>
      <c r="XV45" s="758"/>
      <c r="XW45" s="758"/>
      <c r="XX45" s="758"/>
      <c r="XY45" s="758"/>
      <c r="XZ45" s="758"/>
      <c r="YA45" s="758"/>
      <c r="YB45" s="758"/>
      <c r="YC45" s="758"/>
      <c r="YD45" s="758"/>
      <c r="YE45" s="758"/>
      <c r="YF45" s="758"/>
      <c r="YG45" s="758"/>
      <c r="YH45" s="758"/>
      <c r="YI45" s="758"/>
      <c r="YJ45" s="758"/>
      <c r="YK45" s="758"/>
      <c r="YL45" s="758"/>
      <c r="YM45" s="758"/>
      <c r="YN45" s="758"/>
      <c r="YO45" s="758"/>
      <c r="YP45" s="758"/>
      <c r="YQ45" s="758"/>
      <c r="YR45" s="758"/>
      <c r="YS45" s="758"/>
      <c r="YT45" s="758"/>
      <c r="YU45" s="758"/>
      <c r="YV45" s="758"/>
      <c r="YW45" s="758"/>
      <c r="YX45" s="758"/>
      <c r="YY45" s="758"/>
      <c r="YZ45" s="758"/>
      <c r="ZA45" s="758"/>
      <c r="ZB45" s="758"/>
      <c r="ZC45" s="758"/>
      <c r="ZD45" s="758"/>
      <c r="ZE45" s="758"/>
      <c r="ZF45" s="758"/>
      <c r="ZG45" s="758"/>
      <c r="ZH45" s="758"/>
      <c r="ZI45" s="758"/>
      <c r="ZJ45" s="758"/>
      <c r="ZK45" s="758"/>
      <c r="ZL45" s="758"/>
      <c r="ZM45" s="758"/>
      <c r="ZN45" s="758"/>
      <c r="ZO45" s="758"/>
      <c r="ZP45" s="758"/>
      <c r="ZQ45" s="758"/>
      <c r="ZR45" s="758"/>
      <c r="ZS45" s="758"/>
      <c r="ZT45" s="758"/>
      <c r="ZU45" s="758"/>
      <c r="ZV45" s="758"/>
      <c r="ZW45" s="758"/>
      <c r="ZX45" s="758"/>
      <c r="ZY45" s="758"/>
      <c r="ZZ45" s="758"/>
      <c r="AAA45" s="758"/>
      <c r="AAB45" s="758"/>
      <c r="AAC45" s="758"/>
      <c r="AAD45" s="758"/>
      <c r="AAE45" s="758"/>
      <c r="AAF45" s="758"/>
      <c r="AAG45" s="758"/>
      <c r="AAH45" s="758"/>
      <c r="AAI45" s="758"/>
      <c r="AAJ45" s="758"/>
      <c r="AAK45" s="758"/>
      <c r="AAL45" s="758"/>
      <c r="AAM45" s="758"/>
      <c r="AAN45" s="758"/>
      <c r="AAO45" s="758"/>
      <c r="AAP45" s="758"/>
      <c r="AAQ45" s="758"/>
      <c r="AAR45" s="758"/>
      <c r="AAS45" s="758"/>
      <c r="AAT45" s="758"/>
      <c r="AAU45" s="758"/>
      <c r="AAV45" s="758"/>
      <c r="AAW45" s="758"/>
      <c r="AAX45" s="758"/>
      <c r="AAY45" s="758"/>
      <c r="AAZ45" s="758"/>
      <c r="ABA45" s="758"/>
      <c r="ABB45" s="758"/>
      <c r="ABC45" s="758"/>
      <c r="ABD45" s="758"/>
      <c r="ABE45" s="758"/>
      <c r="ABF45" s="758"/>
      <c r="ABG45" s="758"/>
      <c r="ABH45" s="758"/>
      <c r="ABI45" s="758"/>
      <c r="ABJ45" s="758"/>
      <c r="ABK45" s="758"/>
      <c r="ABL45" s="758"/>
      <c r="ABM45" s="758"/>
      <c r="ABN45" s="758"/>
      <c r="ABO45" s="758"/>
      <c r="ABP45" s="758"/>
      <c r="ABQ45" s="758"/>
      <c r="ABR45" s="758"/>
      <c r="ABS45" s="758"/>
      <c r="ABT45" s="758"/>
      <c r="ABU45" s="758"/>
      <c r="ABV45" s="758"/>
      <c r="ABW45" s="758"/>
      <c r="ABX45" s="758"/>
      <c r="ABY45" s="758"/>
      <c r="ABZ45" s="758"/>
      <c r="ACA45" s="758"/>
      <c r="ACB45" s="758"/>
      <c r="ACC45" s="758"/>
      <c r="ACD45" s="758"/>
      <c r="ACE45" s="758"/>
      <c r="ACF45" s="758"/>
      <c r="ACG45" s="758"/>
      <c r="ACH45" s="758"/>
      <c r="ACI45" s="758"/>
      <c r="ACJ45" s="758"/>
      <c r="ACK45" s="758"/>
      <c r="ACL45" s="758"/>
      <c r="ACM45" s="758"/>
      <c r="ACN45" s="758"/>
      <c r="ACO45" s="758"/>
      <c r="ACP45" s="758"/>
      <c r="ACQ45" s="758"/>
      <c r="ACR45" s="758"/>
      <c r="ACS45" s="758"/>
      <c r="ACT45" s="758"/>
      <c r="ACU45" s="758"/>
      <c r="ACV45" s="758"/>
      <c r="ACW45" s="758"/>
      <c r="ACX45" s="758"/>
      <c r="ACY45" s="758"/>
      <c r="ACZ45" s="758"/>
      <c r="ADA45" s="758"/>
      <c r="ADB45" s="758"/>
      <c r="ADC45" s="758"/>
      <c r="ADD45" s="758"/>
      <c r="ADE45" s="758"/>
      <c r="ADF45" s="758"/>
      <c r="ADG45" s="758"/>
      <c r="ADH45" s="758"/>
      <c r="ADI45" s="758"/>
      <c r="ADJ45" s="758"/>
      <c r="ADK45" s="758"/>
      <c r="ADL45" s="758"/>
      <c r="ADM45" s="758"/>
      <c r="ADN45" s="758"/>
      <c r="ADO45" s="758"/>
      <c r="ADP45" s="758"/>
      <c r="ADQ45" s="758"/>
      <c r="ADR45" s="758"/>
      <c r="ADS45" s="758"/>
      <c r="ADT45" s="758"/>
      <c r="ADU45" s="758"/>
      <c r="ADV45" s="758"/>
      <c r="ADW45" s="758"/>
      <c r="ADX45" s="758"/>
      <c r="ADY45" s="758"/>
      <c r="ADZ45" s="758"/>
      <c r="AEA45" s="758"/>
      <c r="AEB45" s="758"/>
      <c r="AEC45" s="758"/>
      <c r="AED45" s="758"/>
      <c r="AEE45" s="758"/>
      <c r="AEF45" s="758"/>
      <c r="AEG45" s="758"/>
      <c r="AEH45" s="758"/>
      <c r="AEI45" s="758"/>
      <c r="AEJ45" s="758"/>
      <c r="AEK45" s="758"/>
      <c r="AEL45" s="758"/>
      <c r="AEM45" s="758"/>
      <c r="AEN45" s="758"/>
      <c r="AEO45" s="758"/>
      <c r="AEP45" s="758"/>
      <c r="AEQ45" s="758"/>
      <c r="AER45" s="758"/>
      <c r="AES45" s="758"/>
      <c r="AET45" s="758"/>
      <c r="AEU45" s="758"/>
      <c r="AEV45" s="758"/>
      <c r="AEW45" s="758"/>
      <c r="AEX45" s="758"/>
      <c r="AEY45" s="758"/>
      <c r="AEZ45" s="758"/>
      <c r="AFA45" s="758"/>
      <c r="AFB45" s="758"/>
      <c r="AFC45" s="758"/>
      <c r="AFD45" s="758"/>
      <c r="AFE45" s="758"/>
      <c r="AFF45" s="758"/>
      <c r="AFG45" s="758"/>
      <c r="AFH45" s="758"/>
      <c r="AFI45" s="758"/>
      <c r="AFJ45" s="758"/>
      <c r="AFK45" s="758"/>
      <c r="AFL45" s="758"/>
      <c r="AFM45" s="758"/>
      <c r="AFN45" s="758"/>
      <c r="AFO45" s="758"/>
      <c r="AFP45" s="758"/>
      <c r="AFQ45" s="758"/>
      <c r="AFR45" s="758"/>
      <c r="AFS45" s="758"/>
      <c r="AFT45" s="758"/>
      <c r="AFU45" s="758"/>
      <c r="AFV45" s="758"/>
      <c r="AFW45" s="758"/>
      <c r="AFX45" s="758"/>
      <c r="AFY45" s="758"/>
      <c r="AFZ45" s="758"/>
      <c r="AGA45" s="758"/>
      <c r="AGB45" s="758"/>
      <c r="AGC45" s="758"/>
      <c r="AGD45" s="758"/>
      <c r="AGE45" s="758"/>
      <c r="AGF45" s="758"/>
      <c r="AGG45" s="758"/>
      <c r="AGH45" s="758"/>
      <c r="AGI45" s="758"/>
      <c r="AGJ45" s="758"/>
      <c r="AGK45" s="758"/>
      <c r="AGL45" s="758"/>
      <c r="AGM45" s="758"/>
      <c r="AGN45" s="758"/>
      <c r="AGO45" s="758"/>
      <c r="AGP45" s="758"/>
      <c r="AGQ45" s="758"/>
      <c r="AGR45" s="758"/>
      <c r="AGS45" s="758"/>
      <c r="AGT45" s="758"/>
      <c r="AGU45" s="758"/>
      <c r="AGV45" s="758"/>
      <c r="AGW45" s="758"/>
      <c r="AGX45" s="758"/>
      <c r="AGY45" s="758"/>
      <c r="AGZ45" s="758"/>
      <c r="AHA45" s="758"/>
      <c r="AHB45" s="758"/>
      <c r="AHC45" s="758"/>
      <c r="AHD45" s="758"/>
      <c r="AHE45" s="758"/>
      <c r="AHF45" s="758"/>
      <c r="AHG45" s="758"/>
      <c r="AHH45" s="758"/>
      <c r="AHI45" s="758"/>
      <c r="AHJ45" s="758"/>
      <c r="AHK45" s="758"/>
      <c r="AHL45" s="758"/>
      <c r="AHM45" s="758"/>
      <c r="AHN45" s="758"/>
      <c r="AHO45" s="758"/>
      <c r="AHP45" s="758"/>
      <c r="AHQ45" s="758"/>
      <c r="AHR45" s="758"/>
      <c r="AHS45" s="758"/>
      <c r="AHT45" s="758"/>
      <c r="AHU45" s="758"/>
      <c r="AHV45" s="758"/>
      <c r="AHW45" s="758"/>
      <c r="AHX45" s="758"/>
      <c r="AHY45" s="758"/>
      <c r="AHZ45" s="758"/>
      <c r="AIA45" s="758"/>
      <c r="AIB45" s="758"/>
      <c r="AIC45" s="758"/>
      <c r="AID45" s="758"/>
      <c r="AIE45" s="758"/>
      <c r="AIF45" s="758"/>
      <c r="AIG45" s="758"/>
      <c r="AIH45" s="758"/>
      <c r="AII45" s="758"/>
      <c r="AIJ45" s="758"/>
      <c r="AIK45" s="758"/>
      <c r="AIL45" s="758"/>
      <c r="AIM45" s="758"/>
      <c r="AIN45" s="758"/>
      <c r="AIO45" s="758"/>
      <c r="AIP45" s="758"/>
      <c r="AIQ45" s="758"/>
      <c r="AIR45" s="758"/>
      <c r="AIS45" s="758"/>
      <c r="AIT45" s="758"/>
      <c r="AIU45" s="758"/>
      <c r="AIV45" s="758"/>
      <c r="AIW45" s="758"/>
      <c r="AIX45" s="758"/>
      <c r="AIY45" s="758"/>
      <c r="AIZ45" s="758"/>
      <c r="AJA45" s="758"/>
      <c r="AJB45" s="758"/>
      <c r="AJC45" s="758"/>
      <c r="AJD45" s="758"/>
      <c r="AJE45" s="758"/>
      <c r="AJF45" s="758"/>
      <c r="AJG45" s="758"/>
      <c r="AJH45" s="758"/>
      <c r="AJI45" s="758"/>
      <c r="AJJ45" s="758"/>
      <c r="AJK45" s="758"/>
      <c r="AJL45" s="758"/>
      <c r="AJM45" s="758"/>
      <c r="AJN45" s="758"/>
      <c r="AJO45" s="758"/>
      <c r="AJP45" s="758"/>
      <c r="AJQ45" s="758"/>
      <c r="AJR45" s="758"/>
      <c r="AJS45" s="758"/>
      <c r="AJT45" s="758"/>
      <c r="AJU45" s="758"/>
      <c r="AJV45" s="758"/>
      <c r="AJW45" s="758"/>
      <c r="AJX45" s="758"/>
      <c r="AJY45" s="758"/>
      <c r="AJZ45" s="758"/>
      <c r="AKA45" s="758"/>
      <c r="AKB45" s="758"/>
      <c r="AKC45" s="758"/>
      <c r="AKD45" s="758"/>
      <c r="AKE45" s="758"/>
      <c r="AKF45" s="758"/>
      <c r="AKG45" s="758"/>
      <c r="AKH45" s="758"/>
      <c r="AKI45" s="758"/>
      <c r="AKJ45" s="758"/>
      <c r="AKK45" s="758"/>
      <c r="AKL45" s="758"/>
      <c r="AKM45" s="758"/>
      <c r="AKN45" s="758"/>
      <c r="AKO45" s="758"/>
      <c r="AKP45" s="758"/>
      <c r="AKQ45" s="758"/>
      <c r="AKR45" s="758"/>
      <c r="AKS45" s="758"/>
      <c r="AKT45" s="758"/>
      <c r="AKU45" s="758"/>
      <c r="AKV45" s="758"/>
      <c r="AKW45" s="758"/>
      <c r="AKX45" s="758"/>
      <c r="AKY45" s="758"/>
      <c r="AKZ45" s="758"/>
      <c r="ALA45" s="758"/>
      <c r="ALB45" s="758"/>
      <c r="ALC45" s="758"/>
      <c r="ALD45" s="758"/>
      <c r="ALE45" s="758"/>
      <c r="ALF45" s="758"/>
      <c r="ALG45" s="758"/>
      <c r="ALH45" s="758"/>
      <c r="ALI45" s="758"/>
      <c r="ALJ45" s="758"/>
      <c r="ALK45" s="758"/>
      <c r="ALL45" s="758"/>
      <c r="ALM45" s="758"/>
      <c r="ALN45" s="758"/>
      <c r="ALO45" s="758"/>
      <c r="ALP45" s="758"/>
      <c r="ALQ45" s="758"/>
      <c r="ALR45" s="758"/>
      <c r="ALS45" s="758"/>
      <c r="ALT45" s="758"/>
      <c r="ALU45" s="758"/>
      <c r="ALV45" s="758"/>
      <c r="ALW45" s="758"/>
      <c r="ALX45" s="758"/>
      <c r="ALY45" s="758"/>
      <c r="ALZ45" s="758"/>
      <c r="AMA45" s="758"/>
      <c r="AMB45" s="758"/>
      <c r="AMC45" s="758"/>
      <c r="AMD45" s="758"/>
      <c r="AME45" s="758"/>
      <c r="AMF45" s="758"/>
      <c r="AMG45" s="758"/>
      <c r="AMH45" s="758"/>
      <c r="AMI45" s="758"/>
    </row>
    <row r="46" spans="1:1023" s="259" customFormat="1" ht="18.75" hidden="1" customHeight="1">
      <c r="A46" s="759"/>
      <c r="B46" s="759"/>
      <c r="C46" s="759"/>
      <c r="D46" s="759"/>
      <c r="E46" s="759"/>
      <c r="F46" s="759"/>
      <c r="G46" s="759"/>
      <c r="H46" s="759"/>
      <c r="I46" s="759"/>
      <c r="J46" s="759"/>
      <c r="K46" s="759"/>
      <c r="L46" s="759"/>
      <c r="M46" s="759"/>
      <c r="N46" s="759"/>
      <c r="O46" s="759"/>
      <c r="P46" s="759"/>
      <c r="Q46" s="759"/>
      <c r="R46" s="759"/>
      <c r="S46" s="759"/>
      <c r="T46" s="759"/>
      <c r="U46" s="759"/>
      <c r="V46" s="759"/>
      <c r="W46" s="759"/>
      <c r="X46" s="759"/>
      <c r="Y46" s="759"/>
      <c r="Z46" s="759"/>
      <c r="AA46" s="759"/>
      <c r="AB46" s="759"/>
      <c r="AC46" s="759"/>
      <c r="AD46" s="759"/>
      <c r="AE46" s="759"/>
      <c r="AF46" s="759"/>
      <c r="AG46" s="759"/>
      <c r="AH46" s="759"/>
      <c r="AI46" s="759"/>
      <c r="AJ46" s="759"/>
      <c r="AK46" s="759"/>
      <c r="AL46" s="759"/>
      <c r="AM46" s="759"/>
      <c r="AN46" s="759"/>
      <c r="AO46" s="759"/>
      <c r="AP46" s="759"/>
      <c r="AQ46" s="759"/>
      <c r="AR46" s="759"/>
      <c r="AS46" s="759"/>
      <c r="AT46" s="759"/>
      <c r="AU46" s="759"/>
      <c r="AV46" s="759"/>
      <c r="AW46" s="759"/>
      <c r="AX46" s="759"/>
      <c r="AY46" s="759"/>
      <c r="AZ46" s="759"/>
      <c r="BA46" s="759"/>
      <c r="BB46" s="759"/>
      <c r="BC46" s="759"/>
      <c r="BD46" s="759"/>
      <c r="BE46" s="759"/>
      <c r="BF46" s="759"/>
      <c r="BG46" s="759"/>
      <c r="BH46" s="759"/>
      <c r="BI46" s="759"/>
      <c r="BJ46" s="759"/>
      <c r="BK46" s="759"/>
      <c r="BL46" s="759"/>
      <c r="BM46" s="759"/>
      <c r="BN46" s="759"/>
      <c r="BO46" s="759"/>
      <c r="BP46" s="759"/>
      <c r="BQ46" s="759"/>
      <c r="BR46" s="759"/>
      <c r="BS46" s="759"/>
      <c r="BT46" s="759"/>
      <c r="BU46" s="759"/>
      <c r="BV46" s="759"/>
      <c r="BW46" s="759"/>
      <c r="BX46" s="759"/>
      <c r="BY46" s="759"/>
      <c r="BZ46" s="759"/>
      <c r="CA46" s="759"/>
      <c r="CB46" s="759"/>
      <c r="CC46" s="759"/>
      <c r="CD46" s="759"/>
      <c r="CE46" s="759"/>
      <c r="CF46" s="759"/>
      <c r="CG46" s="759"/>
      <c r="CH46" s="759"/>
      <c r="CI46" s="759"/>
      <c r="CJ46" s="759"/>
      <c r="CK46" s="759"/>
      <c r="CL46" s="759"/>
      <c r="CM46" s="759"/>
      <c r="CN46" s="759"/>
      <c r="CO46" s="759"/>
      <c r="CP46" s="759"/>
      <c r="CQ46" s="759"/>
      <c r="CR46" s="759"/>
      <c r="CS46" s="759"/>
      <c r="CT46" s="759"/>
      <c r="CU46" s="759"/>
      <c r="CV46" s="759"/>
      <c r="CW46" s="759"/>
      <c r="CX46" s="759"/>
      <c r="CY46" s="759"/>
      <c r="CZ46" s="759"/>
      <c r="DA46" s="759"/>
      <c r="DB46" s="759"/>
      <c r="DC46" s="759"/>
      <c r="DD46" s="759"/>
      <c r="DE46" s="759"/>
      <c r="DF46" s="759"/>
      <c r="DG46" s="759"/>
      <c r="DH46" s="759"/>
      <c r="DI46" s="759"/>
      <c r="DJ46" s="759"/>
      <c r="DK46" s="759"/>
      <c r="DL46" s="759"/>
      <c r="DM46" s="759"/>
      <c r="DN46" s="759"/>
      <c r="DO46" s="759"/>
      <c r="DP46" s="759"/>
      <c r="DQ46" s="759"/>
      <c r="DR46" s="759"/>
      <c r="DS46" s="759"/>
      <c r="DT46" s="759"/>
      <c r="DU46" s="759"/>
      <c r="DV46" s="759"/>
      <c r="DW46" s="759"/>
      <c r="DX46" s="759"/>
      <c r="DY46" s="759"/>
      <c r="DZ46" s="759"/>
      <c r="EA46" s="759"/>
      <c r="EB46" s="759"/>
      <c r="EC46" s="759"/>
      <c r="ED46" s="759"/>
      <c r="EE46" s="759"/>
      <c r="EF46" s="759"/>
      <c r="EG46" s="759"/>
      <c r="EH46" s="759"/>
      <c r="EI46" s="759"/>
      <c r="EJ46" s="759"/>
      <c r="EK46" s="759"/>
      <c r="EL46" s="759"/>
      <c r="EM46" s="759"/>
      <c r="EN46" s="759"/>
      <c r="EO46" s="759"/>
      <c r="EP46" s="759"/>
      <c r="EQ46" s="759"/>
      <c r="ER46" s="759"/>
      <c r="ES46" s="759"/>
      <c r="ET46" s="759"/>
      <c r="EU46" s="759"/>
      <c r="EV46" s="759"/>
      <c r="EW46" s="759"/>
      <c r="EX46" s="759"/>
      <c r="EY46" s="759"/>
      <c r="EZ46" s="759"/>
      <c r="FA46" s="759"/>
      <c r="FB46" s="759"/>
      <c r="FC46" s="759"/>
      <c r="FD46" s="759"/>
      <c r="FE46" s="759"/>
      <c r="FF46" s="759"/>
      <c r="FG46" s="759"/>
      <c r="FH46" s="759"/>
      <c r="FI46" s="759"/>
      <c r="FJ46" s="759"/>
      <c r="FK46" s="759"/>
      <c r="FL46" s="759"/>
      <c r="FM46" s="759"/>
      <c r="FN46" s="759"/>
      <c r="FO46" s="759"/>
      <c r="FP46" s="759"/>
      <c r="FQ46" s="759"/>
      <c r="FR46" s="759"/>
      <c r="FS46" s="759"/>
      <c r="FT46" s="759"/>
      <c r="FU46" s="759"/>
      <c r="FV46" s="759"/>
      <c r="FW46" s="759"/>
      <c r="FX46" s="759"/>
      <c r="FY46" s="759"/>
      <c r="FZ46" s="759"/>
      <c r="GA46" s="759"/>
      <c r="GB46" s="759"/>
      <c r="GC46" s="759"/>
      <c r="GD46" s="759"/>
      <c r="GE46" s="759"/>
      <c r="GF46" s="759"/>
      <c r="GG46" s="759"/>
      <c r="GH46" s="759"/>
      <c r="GI46" s="759"/>
      <c r="GJ46" s="759"/>
      <c r="GK46" s="759"/>
      <c r="GL46" s="759"/>
      <c r="GM46" s="759"/>
      <c r="GN46" s="759"/>
      <c r="GO46" s="759"/>
      <c r="GP46" s="759"/>
      <c r="GQ46" s="759"/>
      <c r="GR46" s="759"/>
      <c r="GS46" s="759"/>
      <c r="GT46" s="759"/>
      <c r="GU46" s="759"/>
      <c r="GV46" s="759"/>
      <c r="GW46" s="759"/>
      <c r="GX46" s="759"/>
      <c r="GY46" s="759"/>
      <c r="GZ46" s="759"/>
      <c r="HA46" s="759"/>
      <c r="HB46" s="759"/>
      <c r="HC46" s="759"/>
      <c r="HD46" s="759"/>
      <c r="HE46" s="759"/>
      <c r="HF46" s="759"/>
      <c r="HG46" s="759"/>
      <c r="HH46" s="759"/>
      <c r="HI46" s="759"/>
      <c r="HJ46" s="759"/>
      <c r="HK46" s="759"/>
      <c r="HL46" s="759"/>
      <c r="HM46" s="759"/>
      <c r="HN46" s="759"/>
      <c r="HO46" s="759"/>
      <c r="HP46" s="759"/>
      <c r="HQ46" s="759"/>
      <c r="HR46" s="759"/>
      <c r="HS46" s="759"/>
      <c r="HT46" s="759"/>
      <c r="HU46" s="759"/>
      <c r="HV46" s="759"/>
      <c r="HW46" s="759"/>
      <c r="HX46" s="759"/>
      <c r="HY46" s="759"/>
      <c r="HZ46" s="759"/>
      <c r="IA46" s="759"/>
      <c r="IB46" s="759"/>
      <c r="IC46" s="759"/>
      <c r="ID46" s="759"/>
      <c r="IE46" s="759"/>
      <c r="IF46" s="759"/>
      <c r="IG46" s="759"/>
      <c r="IH46" s="759"/>
      <c r="II46" s="759"/>
      <c r="IJ46" s="759"/>
      <c r="IK46" s="759"/>
      <c r="IL46" s="759"/>
      <c r="IM46" s="759"/>
      <c r="IN46" s="759"/>
      <c r="IO46" s="759"/>
      <c r="IP46" s="759"/>
      <c r="IQ46" s="759"/>
      <c r="IR46" s="759"/>
      <c r="IS46" s="759"/>
      <c r="IT46" s="759"/>
      <c r="IU46" s="759"/>
      <c r="IV46" s="759"/>
      <c r="IW46" s="759"/>
      <c r="IX46" s="759"/>
      <c r="IY46" s="759"/>
      <c r="IZ46" s="759"/>
      <c r="JA46" s="759"/>
      <c r="JB46" s="759"/>
      <c r="JC46" s="759"/>
      <c r="JD46" s="759"/>
      <c r="JE46" s="759"/>
      <c r="JF46" s="759"/>
      <c r="JG46" s="759"/>
      <c r="JH46" s="759"/>
      <c r="JI46" s="759"/>
      <c r="JJ46" s="759"/>
      <c r="JK46" s="759"/>
      <c r="JL46" s="759"/>
      <c r="JM46" s="759"/>
      <c r="JN46" s="759"/>
      <c r="JO46" s="759"/>
      <c r="JP46" s="759"/>
      <c r="JQ46" s="759"/>
      <c r="JR46" s="759"/>
      <c r="JS46" s="759"/>
      <c r="JT46" s="759"/>
      <c r="JU46" s="759"/>
      <c r="JV46" s="759"/>
      <c r="JW46" s="759"/>
      <c r="JX46" s="759"/>
      <c r="JY46" s="759"/>
      <c r="JZ46" s="759"/>
      <c r="KA46" s="759"/>
      <c r="KB46" s="759"/>
      <c r="KC46" s="759"/>
      <c r="KD46" s="759"/>
      <c r="KE46" s="759"/>
      <c r="KF46" s="759"/>
      <c r="KG46" s="759"/>
      <c r="KH46" s="759"/>
      <c r="KI46" s="759"/>
      <c r="KJ46" s="759"/>
      <c r="KK46" s="759"/>
      <c r="KL46" s="759"/>
      <c r="KM46" s="759"/>
      <c r="KN46" s="759"/>
      <c r="KO46" s="759"/>
      <c r="KP46" s="759"/>
      <c r="KQ46" s="759"/>
      <c r="KR46" s="759"/>
      <c r="KS46" s="759"/>
      <c r="KT46" s="759"/>
      <c r="KU46" s="759"/>
      <c r="KV46" s="759"/>
      <c r="KW46" s="759"/>
      <c r="KX46" s="759"/>
      <c r="KY46" s="759"/>
      <c r="KZ46" s="759"/>
      <c r="LA46" s="759"/>
      <c r="LB46" s="759"/>
      <c r="LC46" s="759"/>
      <c r="LD46" s="759"/>
      <c r="LE46" s="759"/>
      <c r="LF46" s="759"/>
      <c r="LG46" s="759"/>
      <c r="LH46" s="759"/>
      <c r="LI46" s="759"/>
      <c r="LJ46" s="759"/>
      <c r="LK46" s="759"/>
      <c r="LL46" s="759"/>
      <c r="LM46" s="759"/>
      <c r="LN46" s="759"/>
      <c r="LO46" s="759"/>
      <c r="LP46" s="759"/>
      <c r="LQ46" s="759"/>
      <c r="LR46" s="759"/>
      <c r="LS46" s="759"/>
      <c r="LT46" s="759"/>
      <c r="LU46" s="759"/>
      <c r="LV46" s="759"/>
      <c r="LW46" s="759"/>
      <c r="LX46" s="759"/>
      <c r="LY46" s="759"/>
      <c r="LZ46" s="759"/>
      <c r="MA46" s="759"/>
      <c r="MB46" s="759"/>
      <c r="MC46" s="759"/>
      <c r="MD46" s="759"/>
      <c r="ME46" s="759"/>
      <c r="MF46" s="759"/>
      <c r="MG46" s="759"/>
      <c r="MH46" s="759"/>
      <c r="MI46" s="759"/>
      <c r="MJ46" s="759"/>
      <c r="MK46" s="759"/>
      <c r="ML46" s="759"/>
      <c r="MM46" s="759"/>
      <c r="MN46" s="759"/>
      <c r="MO46" s="759"/>
      <c r="MP46" s="759"/>
      <c r="MQ46" s="759"/>
      <c r="MR46" s="759"/>
      <c r="MS46" s="759"/>
      <c r="MT46" s="759"/>
      <c r="MU46" s="759"/>
      <c r="MV46" s="759"/>
      <c r="MW46" s="759"/>
      <c r="MX46" s="759"/>
      <c r="MY46" s="759"/>
      <c r="MZ46" s="759"/>
      <c r="NA46" s="759"/>
      <c r="NB46" s="759"/>
      <c r="NC46" s="759"/>
      <c r="ND46" s="759"/>
      <c r="NE46" s="759"/>
      <c r="NF46" s="759"/>
      <c r="NG46" s="759"/>
      <c r="NH46" s="759"/>
      <c r="NI46" s="759"/>
      <c r="NJ46" s="759"/>
      <c r="NK46" s="759"/>
      <c r="NL46" s="759"/>
      <c r="NM46" s="759"/>
      <c r="NN46" s="759"/>
      <c r="NO46" s="759"/>
      <c r="NP46" s="759"/>
      <c r="NQ46" s="759"/>
      <c r="NR46" s="759"/>
      <c r="NS46" s="759"/>
      <c r="NT46" s="759"/>
      <c r="NU46" s="759"/>
      <c r="NV46" s="759"/>
      <c r="NW46" s="759"/>
      <c r="NX46" s="759"/>
      <c r="NY46" s="759"/>
      <c r="NZ46" s="759"/>
      <c r="OA46" s="759"/>
      <c r="OB46" s="759"/>
      <c r="OC46" s="759"/>
      <c r="OD46" s="759"/>
      <c r="OE46" s="759"/>
      <c r="OF46" s="759"/>
      <c r="OG46" s="759"/>
      <c r="OH46" s="759"/>
      <c r="OI46" s="759"/>
      <c r="OJ46" s="759"/>
      <c r="OK46" s="759"/>
      <c r="OL46" s="759"/>
      <c r="OM46" s="759"/>
      <c r="ON46" s="759"/>
      <c r="OO46" s="759"/>
      <c r="OP46" s="759"/>
      <c r="OQ46" s="759"/>
      <c r="OR46" s="759"/>
      <c r="OS46" s="759"/>
      <c r="OT46" s="759"/>
      <c r="OU46" s="759"/>
      <c r="OV46" s="759"/>
      <c r="OW46" s="759"/>
      <c r="OX46" s="759"/>
      <c r="OY46" s="759"/>
      <c r="OZ46" s="759"/>
      <c r="PA46" s="759"/>
      <c r="PB46" s="759"/>
      <c r="PC46" s="759"/>
      <c r="PD46" s="759"/>
      <c r="PE46" s="759"/>
      <c r="PF46" s="759"/>
      <c r="PG46" s="759"/>
      <c r="PH46" s="759"/>
      <c r="PI46" s="759"/>
      <c r="PJ46" s="759"/>
      <c r="PK46" s="759"/>
      <c r="PL46" s="759"/>
      <c r="PM46" s="759"/>
      <c r="PN46" s="759"/>
      <c r="PO46" s="759"/>
      <c r="PP46" s="759"/>
      <c r="PQ46" s="759"/>
      <c r="PR46" s="759"/>
      <c r="PS46" s="759"/>
      <c r="PT46" s="759"/>
      <c r="PU46" s="759"/>
      <c r="PV46" s="759"/>
      <c r="PW46" s="759"/>
      <c r="PX46" s="759"/>
      <c r="PY46" s="759"/>
      <c r="PZ46" s="759"/>
      <c r="QA46" s="759"/>
      <c r="QB46" s="759"/>
      <c r="QC46" s="759"/>
      <c r="QD46" s="759"/>
      <c r="QE46" s="759"/>
      <c r="QF46" s="759"/>
      <c r="QG46" s="759"/>
      <c r="QH46" s="759"/>
      <c r="QI46" s="759"/>
      <c r="QJ46" s="759"/>
      <c r="QK46" s="759"/>
      <c r="QL46" s="759"/>
      <c r="QM46" s="759"/>
      <c r="QN46" s="759"/>
      <c r="QO46" s="759"/>
      <c r="QP46" s="759"/>
      <c r="QQ46" s="759"/>
      <c r="QR46" s="759"/>
      <c r="QS46" s="759"/>
      <c r="QT46" s="759"/>
      <c r="QU46" s="759"/>
      <c r="QV46" s="759"/>
      <c r="QW46" s="759"/>
      <c r="QX46" s="759"/>
      <c r="QY46" s="759"/>
      <c r="QZ46" s="759"/>
      <c r="RA46" s="759"/>
      <c r="RB46" s="759"/>
      <c r="RC46" s="759"/>
      <c r="RD46" s="759"/>
      <c r="RE46" s="759"/>
      <c r="RF46" s="759"/>
      <c r="RG46" s="759"/>
      <c r="RH46" s="759"/>
      <c r="RI46" s="759"/>
      <c r="RJ46" s="759"/>
      <c r="RK46" s="759"/>
      <c r="RL46" s="759"/>
      <c r="RM46" s="759"/>
      <c r="RN46" s="759"/>
      <c r="RO46" s="759"/>
      <c r="RP46" s="759"/>
      <c r="RQ46" s="759"/>
      <c r="RR46" s="759"/>
      <c r="RS46" s="759"/>
      <c r="RT46" s="759"/>
      <c r="RU46" s="759"/>
      <c r="RV46" s="759"/>
      <c r="RW46" s="759"/>
      <c r="RX46" s="759"/>
      <c r="RY46" s="759"/>
      <c r="RZ46" s="759"/>
      <c r="SA46" s="759"/>
      <c r="SB46" s="759"/>
      <c r="SC46" s="759"/>
      <c r="SD46" s="759"/>
      <c r="SE46" s="759"/>
      <c r="SF46" s="759"/>
      <c r="SG46" s="759"/>
      <c r="SH46" s="759"/>
      <c r="SI46" s="759"/>
      <c r="SJ46" s="759"/>
      <c r="SK46" s="759"/>
      <c r="SL46" s="759"/>
      <c r="SM46" s="759"/>
      <c r="SN46" s="759"/>
      <c r="SO46" s="759"/>
      <c r="SP46" s="759"/>
      <c r="SQ46" s="759"/>
      <c r="SR46" s="759"/>
      <c r="SS46" s="759"/>
      <c r="ST46" s="759"/>
      <c r="SU46" s="759"/>
      <c r="SV46" s="759"/>
      <c r="SW46" s="759"/>
      <c r="SX46" s="759"/>
      <c r="SY46" s="759"/>
      <c r="SZ46" s="759"/>
      <c r="TA46" s="759"/>
      <c r="TB46" s="759"/>
      <c r="TC46" s="759"/>
      <c r="TD46" s="759"/>
      <c r="TE46" s="759"/>
      <c r="TF46" s="759"/>
      <c r="TG46" s="759"/>
      <c r="TH46" s="759"/>
      <c r="TI46" s="759"/>
      <c r="TJ46" s="759"/>
      <c r="TK46" s="759"/>
      <c r="TL46" s="759"/>
      <c r="TM46" s="759"/>
      <c r="TN46" s="759"/>
      <c r="TO46" s="759"/>
      <c r="TP46" s="759"/>
      <c r="TQ46" s="759"/>
      <c r="TR46" s="759"/>
      <c r="TS46" s="759"/>
      <c r="TT46" s="759"/>
      <c r="TU46" s="759"/>
      <c r="TV46" s="759"/>
      <c r="TW46" s="759"/>
      <c r="TX46" s="759"/>
      <c r="TY46" s="759"/>
      <c r="TZ46" s="759"/>
      <c r="UA46" s="759"/>
      <c r="UB46" s="759"/>
      <c r="UC46" s="759"/>
      <c r="UD46" s="759"/>
      <c r="UE46" s="759"/>
      <c r="UF46" s="759"/>
      <c r="UG46" s="759"/>
      <c r="UH46" s="759"/>
      <c r="UI46" s="759"/>
      <c r="UJ46" s="759"/>
      <c r="UK46" s="759"/>
      <c r="UL46" s="759"/>
      <c r="UM46" s="759"/>
      <c r="UN46" s="759"/>
      <c r="UO46" s="759"/>
      <c r="UP46" s="759"/>
      <c r="UQ46" s="759"/>
      <c r="UR46" s="759"/>
      <c r="US46" s="759"/>
      <c r="UT46" s="759"/>
      <c r="UU46" s="759"/>
      <c r="UV46" s="759"/>
      <c r="UW46" s="759"/>
      <c r="UX46" s="759"/>
      <c r="UY46" s="759"/>
      <c r="UZ46" s="759"/>
      <c r="VA46" s="759"/>
      <c r="VB46" s="759"/>
      <c r="VC46" s="759"/>
      <c r="VD46" s="759"/>
      <c r="VE46" s="759"/>
      <c r="VF46" s="759"/>
      <c r="VG46" s="759"/>
      <c r="VH46" s="759"/>
      <c r="VI46" s="759"/>
      <c r="VJ46" s="759"/>
      <c r="VK46" s="759"/>
      <c r="VL46" s="759"/>
      <c r="VM46" s="759"/>
      <c r="VN46" s="759"/>
      <c r="VO46" s="759"/>
      <c r="VP46" s="759"/>
      <c r="VQ46" s="759"/>
      <c r="VR46" s="759"/>
      <c r="VS46" s="759"/>
      <c r="VT46" s="759"/>
      <c r="VU46" s="759"/>
      <c r="VV46" s="759"/>
      <c r="VW46" s="759"/>
      <c r="VX46" s="759"/>
      <c r="VY46" s="759"/>
      <c r="VZ46" s="759"/>
      <c r="WA46" s="759"/>
      <c r="WB46" s="759"/>
      <c r="WC46" s="759"/>
      <c r="WD46" s="759"/>
      <c r="WE46" s="759"/>
      <c r="WF46" s="759"/>
      <c r="WG46" s="759"/>
      <c r="WH46" s="759"/>
      <c r="WI46" s="759"/>
      <c r="WJ46" s="759"/>
      <c r="WK46" s="759"/>
      <c r="WL46" s="759"/>
      <c r="WM46" s="759"/>
      <c r="WN46" s="759"/>
      <c r="WO46" s="759"/>
      <c r="WP46" s="759"/>
      <c r="WQ46" s="759"/>
      <c r="WR46" s="759"/>
      <c r="WS46" s="759"/>
      <c r="WT46" s="759"/>
      <c r="WU46" s="759"/>
      <c r="WV46" s="759"/>
      <c r="WW46" s="759"/>
      <c r="WX46" s="759"/>
      <c r="WY46" s="759"/>
      <c r="WZ46" s="759"/>
      <c r="XA46" s="759"/>
      <c r="XB46" s="759"/>
      <c r="XC46" s="759"/>
      <c r="XD46" s="759"/>
      <c r="XE46" s="759"/>
      <c r="XF46" s="759"/>
      <c r="XG46" s="759"/>
      <c r="XH46" s="759"/>
      <c r="XI46" s="759"/>
      <c r="XJ46" s="759"/>
      <c r="XK46" s="759"/>
      <c r="XL46" s="759"/>
      <c r="XM46" s="759"/>
      <c r="XN46" s="759"/>
      <c r="XO46" s="759"/>
      <c r="XP46" s="759"/>
      <c r="XQ46" s="759"/>
      <c r="XR46" s="759"/>
      <c r="XS46" s="759"/>
      <c r="XT46" s="759"/>
      <c r="XU46" s="759"/>
      <c r="XV46" s="759"/>
      <c r="XW46" s="759"/>
      <c r="XX46" s="759"/>
      <c r="XY46" s="759"/>
      <c r="XZ46" s="759"/>
      <c r="YA46" s="759"/>
      <c r="YB46" s="759"/>
      <c r="YC46" s="759"/>
      <c r="YD46" s="759"/>
      <c r="YE46" s="759"/>
      <c r="YF46" s="759"/>
      <c r="YG46" s="759"/>
      <c r="YH46" s="759"/>
      <c r="YI46" s="759"/>
      <c r="YJ46" s="759"/>
      <c r="YK46" s="759"/>
      <c r="YL46" s="759"/>
      <c r="YM46" s="759"/>
      <c r="YN46" s="759"/>
      <c r="YO46" s="759"/>
      <c r="YP46" s="759"/>
      <c r="YQ46" s="759"/>
      <c r="YR46" s="759"/>
      <c r="YS46" s="759"/>
      <c r="YT46" s="759"/>
      <c r="YU46" s="759"/>
      <c r="YV46" s="759"/>
      <c r="YW46" s="759"/>
      <c r="YX46" s="759"/>
      <c r="YY46" s="759"/>
      <c r="YZ46" s="759"/>
      <c r="ZA46" s="759"/>
      <c r="ZB46" s="759"/>
      <c r="ZC46" s="759"/>
      <c r="ZD46" s="759"/>
      <c r="ZE46" s="759"/>
      <c r="ZF46" s="759"/>
      <c r="ZG46" s="759"/>
      <c r="ZH46" s="759"/>
      <c r="ZI46" s="759"/>
      <c r="ZJ46" s="759"/>
      <c r="ZK46" s="759"/>
      <c r="ZL46" s="759"/>
      <c r="ZM46" s="759"/>
      <c r="ZN46" s="759"/>
      <c r="ZO46" s="759"/>
      <c r="ZP46" s="759"/>
      <c r="ZQ46" s="759"/>
      <c r="ZR46" s="759"/>
      <c r="ZS46" s="759"/>
      <c r="ZT46" s="759"/>
      <c r="ZU46" s="759"/>
      <c r="ZV46" s="759"/>
      <c r="ZW46" s="759"/>
      <c r="ZX46" s="759"/>
      <c r="ZY46" s="759"/>
      <c r="ZZ46" s="759"/>
      <c r="AAA46" s="759"/>
      <c r="AAB46" s="759"/>
      <c r="AAC46" s="759"/>
      <c r="AAD46" s="759"/>
      <c r="AAE46" s="759"/>
      <c r="AAF46" s="759"/>
      <c r="AAG46" s="759"/>
      <c r="AAH46" s="759"/>
      <c r="AAI46" s="759"/>
      <c r="AAJ46" s="759"/>
      <c r="AAK46" s="759"/>
      <c r="AAL46" s="759"/>
      <c r="AAM46" s="759"/>
      <c r="AAN46" s="759"/>
      <c r="AAO46" s="759"/>
      <c r="AAP46" s="759"/>
      <c r="AAQ46" s="759"/>
      <c r="AAR46" s="759"/>
      <c r="AAS46" s="759"/>
      <c r="AAT46" s="759"/>
      <c r="AAU46" s="759"/>
      <c r="AAV46" s="759"/>
      <c r="AAW46" s="759"/>
      <c r="AAX46" s="759"/>
      <c r="AAY46" s="759"/>
      <c r="AAZ46" s="759"/>
      <c r="ABA46" s="759"/>
      <c r="ABB46" s="759"/>
      <c r="ABC46" s="759"/>
      <c r="ABD46" s="759"/>
      <c r="ABE46" s="759"/>
      <c r="ABF46" s="759"/>
      <c r="ABG46" s="759"/>
      <c r="ABH46" s="759"/>
      <c r="ABI46" s="759"/>
      <c r="ABJ46" s="759"/>
      <c r="ABK46" s="759"/>
      <c r="ABL46" s="759"/>
      <c r="ABM46" s="759"/>
      <c r="ABN46" s="759"/>
      <c r="ABO46" s="759"/>
      <c r="ABP46" s="759"/>
      <c r="ABQ46" s="759"/>
      <c r="ABR46" s="759"/>
      <c r="ABS46" s="759"/>
      <c r="ABT46" s="759"/>
      <c r="ABU46" s="759"/>
      <c r="ABV46" s="759"/>
      <c r="ABW46" s="759"/>
      <c r="ABX46" s="759"/>
      <c r="ABY46" s="759"/>
      <c r="ABZ46" s="759"/>
      <c r="ACA46" s="759"/>
      <c r="ACB46" s="759"/>
      <c r="ACC46" s="759"/>
      <c r="ACD46" s="759"/>
      <c r="ACE46" s="759"/>
      <c r="ACF46" s="759"/>
      <c r="ACG46" s="759"/>
      <c r="ACH46" s="759"/>
      <c r="ACI46" s="759"/>
      <c r="ACJ46" s="759"/>
      <c r="ACK46" s="759"/>
      <c r="ACL46" s="759"/>
      <c r="ACM46" s="759"/>
      <c r="ACN46" s="759"/>
      <c r="ACO46" s="759"/>
      <c r="ACP46" s="759"/>
      <c r="ACQ46" s="759"/>
      <c r="ACR46" s="759"/>
      <c r="ACS46" s="759"/>
      <c r="ACT46" s="759"/>
      <c r="ACU46" s="759"/>
      <c r="ACV46" s="759"/>
      <c r="ACW46" s="759"/>
      <c r="ACX46" s="759"/>
      <c r="ACY46" s="759"/>
      <c r="ACZ46" s="759"/>
      <c r="ADA46" s="759"/>
      <c r="ADB46" s="759"/>
      <c r="ADC46" s="759"/>
      <c r="ADD46" s="759"/>
      <c r="ADE46" s="759"/>
      <c r="ADF46" s="759"/>
      <c r="ADG46" s="759"/>
      <c r="ADH46" s="759"/>
      <c r="ADI46" s="759"/>
      <c r="ADJ46" s="759"/>
      <c r="ADK46" s="759"/>
      <c r="ADL46" s="759"/>
      <c r="ADM46" s="759"/>
      <c r="ADN46" s="759"/>
      <c r="ADO46" s="759"/>
      <c r="ADP46" s="759"/>
      <c r="ADQ46" s="759"/>
      <c r="ADR46" s="759"/>
      <c r="ADS46" s="759"/>
      <c r="ADT46" s="759"/>
      <c r="ADU46" s="759"/>
      <c r="ADV46" s="759"/>
      <c r="ADW46" s="759"/>
      <c r="ADX46" s="759"/>
      <c r="ADY46" s="759"/>
      <c r="ADZ46" s="759"/>
      <c r="AEA46" s="759"/>
      <c r="AEB46" s="759"/>
      <c r="AEC46" s="759"/>
      <c r="AED46" s="759"/>
      <c r="AEE46" s="759"/>
      <c r="AEF46" s="759"/>
      <c r="AEG46" s="759"/>
      <c r="AEH46" s="759"/>
      <c r="AEI46" s="759"/>
      <c r="AEJ46" s="759"/>
      <c r="AEK46" s="759"/>
      <c r="AEL46" s="759"/>
      <c r="AEM46" s="759"/>
      <c r="AEN46" s="759"/>
      <c r="AEO46" s="759"/>
      <c r="AEP46" s="759"/>
      <c r="AEQ46" s="759"/>
      <c r="AER46" s="759"/>
      <c r="AES46" s="759"/>
      <c r="AET46" s="759"/>
      <c r="AEU46" s="759"/>
      <c r="AEV46" s="759"/>
      <c r="AEW46" s="759"/>
      <c r="AEX46" s="759"/>
      <c r="AEY46" s="759"/>
      <c r="AEZ46" s="759"/>
      <c r="AFA46" s="759"/>
      <c r="AFB46" s="759"/>
      <c r="AFC46" s="759"/>
      <c r="AFD46" s="759"/>
      <c r="AFE46" s="759"/>
      <c r="AFF46" s="759"/>
      <c r="AFG46" s="759"/>
      <c r="AFH46" s="759"/>
      <c r="AFI46" s="759"/>
      <c r="AFJ46" s="759"/>
      <c r="AFK46" s="759"/>
      <c r="AFL46" s="759"/>
      <c r="AFM46" s="759"/>
      <c r="AFN46" s="759"/>
      <c r="AFO46" s="759"/>
      <c r="AFP46" s="759"/>
      <c r="AFQ46" s="759"/>
      <c r="AFR46" s="759"/>
      <c r="AFS46" s="759"/>
      <c r="AFT46" s="759"/>
      <c r="AFU46" s="759"/>
      <c r="AFV46" s="759"/>
      <c r="AFW46" s="759"/>
      <c r="AFX46" s="759"/>
      <c r="AFY46" s="759"/>
      <c r="AFZ46" s="759"/>
      <c r="AGA46" s="759"/>
      <c r="AGB46" s="759"/>
      <c r="AGC46" s="759"/>
      <c r="AGD46" s="759"/>
      <c r="AGE46" s="759"/>
      <c r="AGF46" s="759"/>
      <c r="AGG46" s="759"/>
      <c r="AGH46" s="759"/>
      <c r="AGI46" s="759"/>
      <c r="AGJ46" s="759"/>
      <c r="AGK46" s="759"/>
      <c r="AGL46" s="759"/>
      <c r="AGM46" s="759"/>
      <c r="AGN46" s="759"/>
      <c r="AGO46" s="759"/>
      <c r="AGP46" s="759"/>
      <c r="AGQ46" s="759"/>
      <c r="AGR46" s="759"/>
      <c r="AGS46" s="759"/>
      <c r="AGT46" s="759"/>
      <c r="AGU46" s="759"/>
      <c r="AGV46" s="759"/>
      <c r="AGW46" s="759"/>
      <c r="AGX46" s="759"/>
      <c r="AGY46" s="759"/>
      <c r="AGZ46" s="759"/>
      <c r="AHA46" s="759"/>
      <c r="AHB46" s="759"/>
      <c r="AHC46" s="759"/>
      <c r="AHD46" s="759"/>
      <c r="AHE46" s="759"/>
      <c r="AHF46" s="759"/>
      <c r="AHG46" s="759"/>
      <c r="AHH46" s="759"/>
      <c r="AHI46" s="759"/>
      <c r="AHJ46" s="759"/>
      <c r="AHK46" s="759"/>
      <c r="AHL46" s="759"/>
      <c r="AHM46" s="759"/>
      <c r="AHN46" s="759"/>
      <c r="AHO46" s="759"/>
      <c r="AHP46" s="759"/>
      <c r="AHQ46" s="759"/>
      <c r="AHR46" s="759"/>
      <c r="AHS46" s="759"/>
      <c r="AHT46" s="759"/>
      <c r="AHU46" s="759"/>
      <c r="AHV46" s="759"/>
      <c r="AHW46" s="759"/>
      <c r="AHX46" s="759"/>
      <c r="AHY46" s="759"/>
      <c r="AHZ46" s="759"/>
      <c r="AIA46" s="759"/>
      <c r="AIB46" s="759"/>
      <c r="AIC46" s="759"/>
      <c r="AID46" s="759"/>
      <c r="AIE46" s="759"/>
      <c r="AIF46" s="759"/>
      <c r="AIG46" s="759"/>
      <c r="AIH46" s="759"/>
      <c r="AII46" s="759"/>
      <c r="AIJ46" s="759"/>
      <c r="AIK46" s="759"/>
      <c r="AIL46" s="759"/>
      <c r="AIM46" s="759"/>
      <c r="AIN46" s="759"/>
      <c r="AIO46" s="759"/>
      <c r="AIP46" s="759"/>
      <c r="AIQ46" s="759"/>
      <c r="AIR46" s="759"/>
      <c r="AIS46" s="759"/>
      <c r="AIT46" s="759"/>
      <c r="AIU46" s="759"/>
      <c r="AIV46" s="759"/>
      <c r="AIW46" s="759"/>
      <c r="AIX46" s="759"/>
      <c r="AIY46" s="759"/>
      <c r="AIZ46" s="759"/>
      <c r="AJA46" s="759"/>
      <c r="AJB46" s="759"/>
      <c r="AJC46" s="759"/>
      <c r="AJD46" s="759"/>
      <c r="AJE46" s="759"/>
      <c r="AJF46" s="759"/>
      <c r="AJG46" s="759"/>
      <c r="AJH46" s="759"/>
      <c r="AJI46" s="759"/>
      <c r="AJJ46" s="759"/>
      <c r="AJK46" s="759"/>
      <c r="AJL46" s="759"/>
      <c r="AJM46" s="759"/>
      <c r="AJN46" s="759"/>
      <c r="AJO46" s="759"/>
      <c r="AJP46" s="759"/>
      <c r="AJQ46" s="759"/>
      <c r="AJR46" s="759"/>
      <c r="AJS46" s="759"/>
      <c r="AJT46" s="759"/>
      <c r="AJU46" s="759"/>
      <c r="AJV46" s="759"/>
      <c r="AJW46" s="759"/>
      <c r="AJX46" s="759"/>
      <c r="AJY46" s="759"/>
      <c r="AJZ46" s="759"/>
      <c r="AKA46" s="759"/>
      <c r="AKB46" s="759"/>
      <c r="AKC46" s="759"/>
      <c r="AKD46" s="759"/>
      <c r="AKE46" s="759"/>
      <c r="AKF46" s="759"/>
      <c r="AKG46" s="759"/>
      <c r="AKH46" s="759"/>
      <c r="AKI46" s="759"/>
      <c r="AKJ46" s="759"/>
      <c r="AKK46" s="759"/>
      <c r="AKL46" s="759"/>
      <c r="AKM46" s="759"/>
      <c r="AKN46" s="759"/>
      <c r="AKO46" s="759"/>
      <c r="AKP46" s="759"/>
      <c r="AKQ46" s="759"/>
      <c r="AKR46" s="759"/>
      <c r="AKS46" s="759"/>
      <c r="AKT46" s="759"/>
      <c r="AKU46" s="759"/>
      <c r="AKV46" s="759"/>
      <c r="AKW46" s="759"/>
      <c r="AKX46" s="759"/>
      <c r="AKY46" s="759"/>
      <c r="AKZ46" s="759"/>
      <c r="ALA46" s="759"/>
      <c r="ALB46" s="759"/>
      <c r="ALC46" s="759"/>
      <c r="ALD46" s="759"/>
      <c r="ALE46" s="759"/>
      <c r="ALF46" s="759"/>
      <c r="ALG46" s="759"/>
      <c r="ALH46" s="759"/>
      <c r="ALI46" s="759"/>
      <c r="ALJ46" s="759"/>
      <c r="ALK46" s="759"/>
      <c r="ALL46" s="759"/>
      <c r="ALM46" s="759"/>
      <c r="ALN46" s="759"/>
      <c r="ALO46" s="759"/>
      <c r="ALP46" s="759"/>
      <c r="ALQ46" s="759"/>
      <c r="ALR46" s="759"/>
      <c r="ALS46" s="759"/>
      <c r="ALT46" s="759"/>
      <c r="ALU46" s="759"/>
      <c r="ALV46" s="759"/>
      <c r="ALW46" s="759"/>
      <c r="ALX46" s="759"/>
      <c r="ALY46" s="759"/>
      <c r="ALZ46" s="759"/>
      <c r="AMA46" s="759"/>
      <c r="AMB46" s="759"/>
      <c r="AMC46" s="759"/>
      <c r="AMD46" s="759"/>
      <c r="AME46" s="759"/>
      <c r="AMF46" s="759"/>
      <c r="AMG46" s="759"/>
      <c r="AMH46" s="759"/>
      <c r="AMI46" s="759"/>
    </row>
    <row r="47" spans="1:1023" s="259" customFormat="1" ht="21.75" customHeight="1">
      <c r="A47" s="760"/>
      <c r="B47" s="760"/>
      <c r="C47" s="760"/>
      <c r="D47" s="760"/>
      <c r="E47" s="760"/>
      <c r="F47" s="760"/>
      <c r="G47" s="760"/>
      <c r="H47" s="760"/>
      <c r="I47" s="760"/>
      <c r="J47" s="760"/>
      <c r="K47" s="760"/>
      <c r="L47" s="760"/>
      <c r="M47" s="760"/>
      <c r="N47" s="760"/>
      <c r="O47" s="760"/>
      <c r="P47" s="760"/>
      <c r="Q47" s="760"/>
      <c r="R47" s="760"/>
      <c r="S47" s="760"/>
      <c r="T47" s="760"/>
      <c r="U47" s="760"/>
      <c r="V47" s="760"/>
      <c r="W47" s="760"/>
      <c r="X47" s="760"/>
      <c r="Y47" s="760"/>
      <c r="Z47" s="760"/>
      <c r="AA47" s="760"/>
      <c r="AB47" s="760"/>
      <c r="AC47" s="760"/>
      <c r="AD47" s="760"/>
      <c r="AE47" s="760"/>
      <c r="AF47" s="760"/>
      <c r="AG47" s="760"/>
      <c r="AH47" s="760"/>
      <c r="AI47" s="760"/>
      <c r="AJ47" s="760"/>
      <c r="AK47" s="760"/>
      <c r="AL47" s="760"/>
      <c r="AM47" s="760"/>
      <c r="AN47" s="760"/>
      <c r="AO47" s="760"/>
      <c r="AP47" s="760"/>
      <c r="AQ47" s="760"/>
      <c r="AR47" s="760"/>
      <c r="AS47" s="760"/>
      <c r="AT47" s="760"/>
      <c r="AU47" s="760"/>
      <c r="AV47" s="760"/>
      <c r="AW47" s="760"/>
      <c r="AX47" s="760"/>
      <c r="AY47" s="760"/>
      <c r="AZ47" s="760"/>
      <c r="BA47" s="760"/>
      <c r="BB47" s="760"/>
      <c r="BC47" s="760"/>
      <c r="BD47" s="760"/>
      <c r="BE47" s="760"/>
      <c r="BF47" s="760"/>
      <c r="BG47" s="760"/>
      <c r="BH47" s="760"/>
      <c r="BI47" s="760"/>
      <c r="BJ47" s="760"/>
      <c r="BK47" s="760"/>
      <c r="BL47" s="760"/>
      <c r="BM47" s="760"/>
      <c r="BN47" s="760"/>
      <c r="BO47" s="760"/>
      <c r="BP47" s="760"/>
      <c r="BQ47" s="760"/>
      <c r="BR47" s="760"/>
      <c r="BS47" s="760"/>
      <c r="BT47" s="760"/>
      <c r="BU47" s="760"/>
      <c r="BV47" s="760"/>
      <c r="BW47" s="760"/>
      <c r="BX47" s="760"/>
      <c r="BY47" s="760"/>
      <c r="BZ47" s="760"/>
      <c r="CA47" s="760"/>
      <c r="CB47" s="760"/>
      <c r="CC47" s="760"/>
      <c r="CD47" s="760"/>
      <c r="CE47" s="760"/>
      <c r="CF47" s="760"/>
      <c r="CG47" s="760"/>
      <c r="CH47" s="760"/>
      <c r="CI47" s="760"/>
      <c r="CJ47" s="760"/>
      <c r="CK47" s="760"/>
      <c r="CL47" s="760"/>
      <c r="CM47" s="760"/>
      <c r="CN47" s="760"/>
      <c r="CO47" s="760"/>
      <c r="CP47" s="760"/>
      <c r="CQ47" s="760"/>
      <c r="CR47" s="760"/>
      <c r="CS47" s="760"/>
      <c r="CT47" s="760"/>
      <c r="CU47" s="760"/>
      <c r="CV47" s="760"/>
      <c r="CW47" s="760"/>
      <c r="CX47" s="760"/>
      <c r="CY47" s="760"/>
      <c r="CZ47" s="760"/>
      <c r="DA47" s="760"/>
      <c r="DB47" s="760"/>
      <c r="DC47" s="760"/>
      <c r="DD47" s="760"/>
      <c r="DE47" s="760"/>
      <c r="DF47" s="760"/>
      <c r="DG47" s="760"/>
      <c r="DH47" s="760"/>
      <c r="DI47" s="760"/>
      <c r="DJ47" s="760"/>
      <c r="DK47" s="760"/>
      <c r="DL47" s="760"/>
      <c r="DM47" s="760"/>
      <c r="DN47" s="760"/>
      <c r="DO47" s="760"/>
      <c r="DP47" s="760"/>
      <c r="DQ47" s="760"/>
      <c r="DR47" s="760"/>
      <c r="DS47" s="760"/>
      <c r="DT47" s="760"/>
      <c r="DU47" s="760"/>
      <c r="DV47" s="760"/>
      <c r="DW47" s="760"/>
      <c r="DX47" s="760"/>
      <c r="DY47" s="760"/>
      <c r="DZ47" s="760"/>
      <c r="EA47" s="760"/>
      <c r="EB47" s="760"/>
      <c r="EC47" s="760"/>
      <c r="ED47" s="760"/>
      <c r="EE47" s="760"/>
      <c r="EF47" s="760"/>
      <c r="EG47" s="760"/>
      <c r="EH47" s="760"/>
      <c r="EI47" s="760"/>
      <c r="EJ47" s="760"/>
      <c r="EK47" s="760"/>
      <c r="EL47" s="760"/>
      <c r="EM47" s="760"/>
      <c r="EN47" s="760"/>
      <c r="EO47" s="760"/>
      <c r="EP47" s="760"/>
      <c r="EQ47" s="760"/>
      <c r="ER47" s="760"/>
      <c r="ES47" s="760"/>
      <c r="ET47" s="760"/>
      <c r="EU47" s="760"/>
      <c r="EV47" s="760"/>
      <c r="EW47" s="760"/>
      <c r="EX47" s="760"/>
      <c r="EY47" s="760"/>
      <c r="EZ47" s="760"/>
      <c r="FA47" s="760"/>
      <c r="FB47" s="760"/>
      <c r="FC47" s="760"/>
      <c r="FD47" s="760"/>
      <c r="FE47" s="760"/>
      <c r="FF47" s="760"/>
      <c r="FG47" s="760"/>
      <c r="FH47" s="760"/>
      <c r="FI47" s="760"/>
      <c r="FJ47" s="760"/>
      <c r="FK47" s="760"/>
      <c r="FL47" s="760"/>
      <c r="FM47" s="760"/>
      <c r="FN47" s="760"/>
      <c r="FO47" s="760"/>
      <c r="FP47" s="760"/>
      <c r="FQ47" s="760"/>
      <c r="FR47" s="760"/>
      <c r="FS47" s="760"/>
      <c r="FT47" s="760"/>
      <c r="FU47" s="760"/>
      <c r="FV47" s="760"/>
      <c r="FW47" s="760"/>
      <c r="FX47" s="760"/>
      <c r="FY47" s="760"/>
      <c r="FZ47" s="760"/>
      <c r="GA47" s="760"/>
      <c r="GB47" s="760"/>
      <c r="GC47" s="760"/>
      <c r="GD47" s="760"/>
      <c r="GE47" s="760"/>
      <c r="GF47" s="760"/>
      <c r="GG47" s="760"/>
      <c r="GH47" s="760"/>
      <c r="GI47" s="760"/>
      <c r="GJ47" s="760"/>
      <c r="GK47" s="760"/>
      <c r="GL47" s="760"/>
      <c r="GM47" s="760"/>
      <c r="GN47" s="760"/>
      <c r="GO47" s="760"/>
      <c r="GP47" s="760"/>
      <c r="GQ47" s="760"/>
      <c r="GR47" s="760"/>
      <c r="GS47" s="760"/>
      <c r="GT47" s="760"/>
      <c r="GU47" s="760"/>
      <c r="GV47" s="760"/>
      <c r="GW47" s="760"/>
      <c r="GX47" s="760"/>
      <c r="GY47" s="760"/>
      <c r="GZ47" s="760"/>
      <c r="HA47" s="760"/>
      <c r="HB47" s="760"/>
      <c r="HC47" s="760"/>
      <c r="HD47" s="760"/>
      <c r="HE47" s="760"/>
      <c r="HF47" s="760"/>
      <c r="HG47" s="760"/>
      <c r="HH47" s="760"/>
      <c r="HI47" s="760"/>
      <c r="HJ47" s="760"/>
      <c r="HK47" s="760"/>
      <c r="HL47" s="760"/>
      <c r="HM47" s="760"/>
      <c r="HN47" s="760"/>
      <c r="HO47" s="760"/>
      <c r="HP47" s="760"/>
      <c r="HQ47" s="760"/>
      <c r="HR47" s="760"/>
      <c r="HS47" s="760"/>
      <c r="HT47" s="760"/>
      <c r="HU47" s="760"/>
      <c r="HV47" s="760"/>
      <c r="HW47" s="760"/>
      <c r="HX47" s="760"/>
      <c r="HY47" s="760"/>
      <c r="HZ47" s="760"/>
      <c r="IA47" s="760"/>
      <c r="IB47" s="760"/>
      <c r="IC47" s="760"/>
      <c r="ID47" s="760"/>
      <c r="IE47" s="760"/>
      <c r="IF47" s="760"/>
      <c r="IG47" s="760"/>
      <c r="IH47" s="760"/>
      <c r="II47" s="760"/>
      <c r="IJ47" s="760"/>
      <c r="IK47" s="760"/>
      <c r="IL47" s="760"/>
      <c r="IM47" s="760"/>
      <c r="IN47" s="760"/>
      <c r="IO47" s="760"/>
      <c r="IP47" s="760"/>
      <c r="IQ47" s="760"/>
      <c r="IR47" s="760"/>
      <c r="IS47" s="760"/>
      <c r="IT47" s="760"/>
      <c r="IU47" s="760"/>
      <c r="IV47" s="760"/>
      <c r="IW47" s="760"/>
      <c r="IX47" s="760"/>
      <c r="IY47" s="760"/>
      <c r="IZ47" s="760"/>
      <c r="JA47" s="760"/>
      <c r="JB47" s="760"/>
      <c r="JC47" s="760"/>
      <c r="JD47" s="760"/>
      <c r="JE47" s="760"/>
      <c r="JF47" s="760"/>
      <c r="JG47" s="760"/>
      <c r="JH47" s="760"/>
      <c r="JI47" s="760"/>
      <c r="JJ47" s="760"/>
      <c r="JK47" s="760"/>
      <c r="JL47" s="760"/>
      <c r="JM47" s="760"/>
      <c r="JN47" s="760"/>
      <c r="JO47" s="760"/>
      <c r="JP47" s="760"/>
      <c r="JQ47" s="760"/>
      <c r="JR47" s="760"/>
      <c r="JS47" s="760"/>
      <c r="JT47" s="760"/>
      <c r="JU47" s="760"/>
      <c r="JV47" s="760"/>
      <c r="JW47" s="760"/>
      <c r="JX47" s="760"/>
      <c r="JY47" s="760"/>
      <c r="JZ47" s="760"/>
      <c r="KA47" s="760"/>
      <c r="KB47" s="760"/>
      <c r="KC47" s="760"/>
      <c r="KD47" s="760"/>
      <c r="KE47" s="760"/>
      <c r="KF47" s="760"/>
      <c r="KG47" s="760"/>
      <c r="KH47" s="760"/>
      <c r="KI47" s="760"/>
      <c r="KJ47" s="760"/>
      <c r="KK47" s="760"/>
      <c r="KL47" s="760"/>
      <c r="KM47" s="760"/>
      <c r="KN47" s="760"/>
      <c r="KO47" s="760"/>
      <c r="KP47" s="760"/>
      <c r="KQ47" s="760"/>
      <c r="KR47" s="760"/>
      <c r="KS47" s="760"/>
      <c r="KT47" s="760"/>
      <c r="KU47" s="760"/>
      <c r="KV47" s="760"/>
      <c r="KW47" s="760"/>
      <c r="KX47" s="760"/>
      <c r="KY47" s="760"/>
      <c r="KZ47" s="760"/>
      <c r="LA47" s="760"/>
      <c r="LB47" s="760"/>
      <c r="LC47" s="760"/>
      <c r="LD47" s="760"/>
      <c r="LE47" s="760"/>
      <c r="LF47" s="760"/>
      <c r="LG47" s="760"/>
      <c r="LH47" s="760"/>
      <c r="LI47" s="760"/>
      <c r="LJ47" s="760"/>
      <c r="LK47" s="760"/>
      <c r="LL47" s="760"/>
      <c r="LM47" s="760"/>
      <c r="LN47" s="760"/>
      <c r="LO47" s="760"/>
      <c r="LP47" s="760"/>
      <c r="LQ47" s="760"/>
      <c r="LR47" s="760"/>
      <c r="LS47" s="760"/>
      <c r="LT47" s="760"/>
      <c r="LU47" s="760"/>
      <c r="LV47" s="760"/>
      <c r="LW47" s="760"/>
      <c r="LX47" s="760"/>
      <c r="LY47" s="760"/>
      <c r="LZ47" s="760"/>
      <c r="MA47" s="760"/>
      <c r="MB47" s="760"/>
      <c r="MC47" s="760"/>
      <c r="MD47" s="760"/>
      <c r="ME47" s="760"/>
      <c r="MF47" s="760"/>
      <c r="MG47" s="760"/>
      <c r="MH47" s="760"/>
      <c r="MI47" s="760"/>
      <c r="MJ47" s="760"/>
      <c r="MK47" s="760"/>
      <c r="ML47" s="760"/>
      <c r="MM47" s="760"/>
      <c r="MN47" s="760"/>
      <c r="MO47" s="760"/>
      <c r="MP47" s="760"/>
      <c r="MQ47" s="760"/>
      <c r="MR47" s="760"/>
      <c r="MS47" s="760"/>
      <c r="MT47" s="760"/>
      <c r="MU47" s="760"/>
      <c r="MV47" s="760"/>
      <c r="MW47" s="760"/>
      <c r="MX47" s="760"/>
      <c r="MY47" s="760"/>
      <c r="MZ47" s="760"/>
      <c r="NA47" s="760"/>
      <c r="NB47" s="760"/>
      <c r="NC47" s="760"/>
      <c r="ND47" s="760"/>
      <c r="NE47" s="760"/>
      <c r="NF47" s="760"/>
      <c r="NG47" s="760"/>
      <c r="NH47" s="760"/>
      <c r="NI47" s="760"/>
      <c r="NJ47" s="760"/>
      <c r="NK47" s="760"/>
      <c r="NL47" s="760"/>
      <c r="NM47" s="760"/>
      <c r="NN47" s="760"/>
      <c r="NO47" s="760"/>
      <c r="NP47" s="760"/>
      <c r="NQ47" s="760"/>
      <c r="NR47" s="760"/>
      <c r="NS47" s="760"/>
      <c r="NT47" s="760"/>
      <c r="NU47" s="760"/>
      <c r="NV47" s="760"/>
      <c r="NW47" s="760"/>
      <c r="NX47" s="760"/>
      <c r="NY47" s="760"/>
      <c r="NZ47" s="760"/>
      <c r="OA47" s="760"/>
      <c r="OB47" s="760"/>
      <c r="OC47" s="760"/>
      <c r="OD47" s="760"/>
      <c r="OE47" s="760"/>
      <c r="OF47" s="760"/>
      <c r="OG47" s="760"/>
      <c r="OH47" s="760"/>
      <c r="OI47" s="760"/>
      <c r="OJ47" s="760"/>
      <c r="OK47" s="760"/>
      <c r="OL47" s="760"/>
      <c r="OM47" s="760"/>
      <c r="ON47" s="760"/>
      <c r="OO47" s="760"/>
      <c r="OP47" s="760"/>
      <c r="OQ47" s="760"/>
      <c r="OR47" s="760"/>
      <c r="OS47" s="760"/>
      <c r="OT47" s="760"/>
      <c r="OU47" s="760"/>
      <c r="OV47" s="760"/>
      <c r="OW47" s="760"/>
      <c r="OX47" s="760"/>
      <c r="OY47" s="760"/>
      <c r="OZ47" s="760"/>
      <c r="PA47" s="760"/>
      <c r="PB47" s="760"/>
      <c r="PC47" s="760"/>
      <c r="PD47" s="760"/>
      <c r="PE47" s="760"/>
      <c r="PF47" s="760"/>
      <c r="PG47" s="760"/>
      <c r="PH47" s="760"/>
      <c r="PI47" s="760"/>
      <c r="PJ47" s="760"/>
      <c r="PK47" s="760"/>
      <c r="PL47" s="760"/>
      <c r="PM47" s="760"/>
      <c r="PN47" s="760"/>
      <c r="PO47" s="760"/>
      <c r="PP47" s="760"/>
      <c r="PQ47" s="760"/>
      <c r="PR47" s="760"/>
      <c r="PS47" s="760"/>
      <c r="PT47" s="760"/>
      <c r="PU47" s="760"/>
      <c r="PV47" s="760"/>
      <c r="PW47" s="760"/>
      <c r="PX47" s="760"/>
      <c r="PY47" s="760"/>
      <c r="PZ47" s="760"/>
      <c r="QA47" s="760"/>
      <c r="QB47" s="760"/>
      <c r="QC47" s="760"/>
      <c r="QD47" s="760"/>
      <c r="QE47" s="760"/>
      <c r="QF47" s="760"/>
      <c r="QG47" s="760"/>
      <c r="QH47" s="760"/>
      <c r="QI47" s="760"/>
      <c r="QJ47" s="760"/>
      <c r="QK47" s="760"/>
      <c r="QL47" s="760"/>
      <c r="QM47" s="760"/>
      <c r="QN47" s="760"/>
      <c r="QO47" s="760"/>
      <c r="QP47" s="760"/>
      <c r="QQ47" s="760"/>
      <c r="QR47" s="760"/>
      <c r="QS47" s="760"/>
      <c r="QT47" s="760"/>
      <c r="QU47" s="760"/>
      <c r="QV47" s="760"/>
      <c r="QW47" s="760"/>
      <c r="QX47" s="760"/>
      <c r="QY47" s="760"/>
      <c r="QZ47" s="760"/>
      <c r="RA47" s="760"/>
      <c r="RB47" s="760"/>
      <c r="RC47" s="760"/>
      <c r="RD47" s="760"/>
      <c r="RE47" s="760"/>
      <c r="RF47" s="760"/>
      <c r="RG47" s="760"/>
      <c r="RH47" s="760"/>
      <c r="RI47" s="760"/>
      <c r="RJ47" s="760"/>
      <c r="RK47" s="760"/>
      <c r="RL47" s="760"/>
      <c r="RM47" s="760"/>
      <c r="RN47" s="760"/>
      <c r="RO47" s="760"/>
      <c r="RP47" s="760"/>
      <c r="RQ47" s="760"/>
      <c r="RR47" s="760"/>
      <c r="RS47" s="760"/>
      <c r="RT47" s="760"/>
      <c r="RU47" s="760"/>
      <c r="RV47" s="760"/>
      <c r="RW47" s="760"/>
      <c r="RX47" s="760"/>
      <c r="RY47" s="760"/>
      <c r="RZ47" s="760"/>
      <c r="SA47" s="760"/>
      <c r="SB47" s="760"/>
      <c r="SC47" s="760"/>
      <c r="SD47" s="760"/>
      <c r="SE47" s="760"/>
      <c r="SF47" s="760"/>
      <c r="SG47" s="760"/>
      <c r="SH47" s="760"/>
      <c r="SI47" s="760"/>
      <c r="SJ47" s="760"/>
      <c r="SK47" s="760"/>
      <c r="SL47" s="760"/>
      <c r="SM47" s="760"/>
      <c r="SN47" s="760"/>
      <c r="SO47" s="760"/>
      <c r="SP47" s="760"/>
      <c r="SQ47" s="760"/>
      <c r="SR47" s="760"/>
      <c r="SS47" s="760"/>
      <c r="ST47" s="760"/>
      <c r="SU47" s="760"/>
      <c r="SV47" s="760"/>
      <c r="SW47" s="760"/>
      <c r="SX47" s="760"/>
      <c r="SY47" s="760"/>
      <c r="SZ47" s="760"/>
      <c r="TA47" s="760"/>
      <c r="TB47" s="760"/>
      <c r="TC47" s="760"/>
      <c r="TD47" s="760"/>
      <c r="TE47" s="760"/>
      <c r="TF47" s="760"/>
      <c r="TG47" s="760"/>
      <c r="TH47" s="760"/>
      <c r="TI47" s="760"/>
      <c r="TJ47" s="760"/>
      <c r="TK47" s="760"/>
      <c r="TL47" s="760"/>
      <c r="TM47" s="760"/>
      <c r="TN47" s="760"/>
      <c r="TO47" s="760"/>
      <c r="TP47" s="760"/>
      <c r="TQ47" s="760"/>
      <c r="TR47" s="760"/>
      <c r="TS47" s="760"/>
      <c r="TT47" s="760"/>
      <c r="TU47" s="760"/>
      <c r="TV47" s="760"/>
      <c r="TW47" s="760"/>
      <c r="TX47" s="760"/>
      <c r="TY47" s="760"/>
      <c r="TZ47" s="760"/>
      <c r="UA47" s="760"/>
      <c r="UB47" s="760"/>
      <c r="UC47" s="760"/>
      <c r="UD47" s="760"/>
      <c r="UE47" s="760"/>
      <c r="UF47" s="760"/>
      <c r="UG47" s="760"/>
      <c r="UH47" s="760"/>
      <c r="UI47" s="760"/>
      <c r="UJ47" s="760"/>
      <c r="UK47" s="760"/>
      <c r="UL47" s="760"/>
      <c r="UM47" s="760"/>
      <c r="UN47" s="760"/>
      <c r="UO47" s="760"/>
      <c r="UP47" s="760"/>
      <c r="UQ47" s="760"/>
      <c r="UR47" s="760"/>
      <c r="US47" s="760"/>
      <c r="UT47" s="760"/>
      <c r="UU47" s="760"/>
      <c r="UV47" s="760"/>
      <c r="UW47" s="760"/>
      <c r="UX47" s="760"/>
      <c r="UY47" s="760"/>
      <c r="UZ47" s="760"/>
      <c r="VA47" s="760"/>
      <c r="VB47" s="760"/>
      <c r="VC47" s="760"/>
      <c r="VD47" s="760"/>
      <c r="VE47" s="760"/>
      <c r="VF47" s="760"/>
      <c r="VG47" s="760"/>
      <c r="VH47" s="760"/>
      <c r="VI47" s="760"/>
      <c r="VJ47" s="760"/>
      <c r="VK47" s="760"/>
      <c r="VL47" s="760"/>
      <c r="VM47" s="760"/>
      <c r="VN47" s="760"/>
      <c r="VO47" s="760"/>
      <c r="VP47" s="760"/>
      <c r="VQ47" s="760"/>
      <c r="VR47" s="760"/>
      <c r="VS47" s="760"/>
      <c r="VT47" s="760"/>
      <c r="VU47" s="760"/>
      <c r="VV47" s="760"/>
      <c r="VW47" s="760"/>
      <c r="VX47" s="760"/>
      <c r="VY47" s="760"/>
      <c r="VZ47" s="760"/>
      <c r="WA47" s="760"/>
      <c r="WB47" s="760"/>
      <c r="WC47" s="760"/>
      <c r="WD47" s="760"/>
      <c r="WE47" s="760"/>
      <c r="WF47" s="760"/>
      <c r="WG47" s="760"/>
      <c r="WH47" s="760"/>
      <c r="WI47" s="760"/>
      <c r="WJ47" s="760"/>
      <c r="WK47" s="760"/>
      <c r="WL47" s="760"/>
      <c r="WM47" s="760"/>
      <c r="WN47" s="760"/>
      <c r="WO47" s="760"/>
      <c r="WP47" s="760"/>
      <c r="WQ47" s="760"/>
      <c r="WR47" s="760"/>
      <c r="WS47" s="760"/>
      <c r="WT47" s="760"/>
      <c r="WU47" s="760"/>
      <c r="WV47" s="760"/>
      <c r="WW47" s="760"/>
      <c r="WX47" s="760"/>
      <c r="WY47" s="760"/>
      <c r="WZ47" s="760"/>
      <c r="XA47" s="760"/>
      <c r="XB47" s="760"/>
      <c r="XC47" s="760"/>
      <c r="XD47" s="760"/>
      <c r="XE47" s="760"/>
      <c r="XF47" s="760"/>
      <c r="XG47" s="760"/>
      <c r="XH47" s="760"/>
      <c r="XI47" s="760"/>
      <c r="XJ47" s="760"/>
      <c r="XK47" s="760"/>
      <c r="XL47" s="760"/>
      <c r="XM47" s="760"/>
      <c r="XN47" s="760"/>
      <c r="XO47" s="760"/>
      <c r="XP47" s="760"/>
      <c r="XQ47" s="760"/>
      <c r="XR47" s="760"/>
      <c r="XS47" s="760"/>
      <c r="XT47" s="760"/>
      <c r="XU47" s="760"/>
      <c r="XV47" s="760"/>
      <c r="XW47" s="760"/>
      <c r="XX47" s="760"/>
      <c r="XY47" s="760"/>
      <c r="XZ47" s="760"/>
      <c r="YA47" s="760"/>
      <c r="YB47" s="760"/>
      <c r="YC47" s="760"/>
      <c r="YD47" s="760"/>
      <c r="YE47" s="760"/>
      <c r="YF47" s="760"/>
      <c r="YG47" s="760"/>
      <c r="YH47" s="760"/>
      <c r="YI47" s="760"/>
      <c r="YJ47" s="760"/>
      <c r="YK47" s="760"/>
      <c r="YL47" s="760"/>
      <c r="YM47" s="760"/>
      <c r="YN47" s="760"/>
      <c r="YO47" s="760"/>
      <c r="YP47" s="760"/>
      <c r="YQ47" s="760"/>
      <c r="YR47" s="760"/>
      <c r="YS47" s="760"/>
      <c r="YT47" s="760"/>
      <c r="YU47" s="760"/>
      <c r="YV47" s="760"/>
      <c r="YW47" s="760"/>
      <c r="YX47" s="760"/>
      <c r="YY47" s="760"/>
      <c r="YZ47" s="760"/>
      <c r="ZA47" s="760"/>
      <c r="ZB47" s="760"/>
      <c r="ZC47" s="760"/>
      <c r="ZD47" s="760"/>
      <c r="ZE47" s="760"/>
      <c r="ZF47" s="760"/>
      <c r="ZG47" s="760"/>
      <c r="ZH47" s="760"/>
      <c r="ZI47" s="760"/>
      <c r="ZJ47" s="760"/>
      <c r="ZK47" s="760"/>
      <c r="ZL47" s="760"/>
      <c r="ZM47" s="760"/>
      <c r="ZN47" s="760"/>
      <c r="ZO47" s="760"/>
      <c r="ZP47" s="760"/>
      <c r="ZQ47" s="760"/>
      <c r="ZR47" s="760"/>
      <c r="ZS47" s="760"/>
      <c r="ZT47" s="760"/>
      <c r="ZU47" s="760"/>
      <c r="ZV47" s="760"/>
      <c r="ZW47" s="760"/>
      <c r="ZX47" s="760"/>
      <c r="ZY47" s="760"/>
      <c r="ZZ47" s="760"/>
      <c r="AAA47" s="760"/>
      <c r="AAB47" s="760"/>
      <c r="AAC47" s="760"/>
      <c r="AAD47" s="760"/>
      <c r="AAE47" s="760"/>
      <c r="AAF47" s="760"/>
      <c r="AAG47" s="760"/>
      <c r="AAH47" s="760"/>
      <c r="AAI47" s="760"/>
      <c r="AAJ47" s="760"/>
      <c r="AAK47" s="760"/>
      <c r="AAL47" s="760"/>
      <c r="AAM47" s="760"/>
      <c r="AAN47" s="760"/>
      <c r="AAO47" s="760"/>
      <c r="AAP47" s="760"/>
      <c r="AAQ47" s="760"/>
      <c r="AAR47" s="760"/>
      <c r="AAS47" s="760"/>
      <c r="AAT47" s="760"/>
      <c r="AAU47" s="760"/>
      <c r="AAV47" s="760"/>
      <c r="AAW47" s="760"/>
      <c r="AAX47" s="760"/>
      <c r="AAY47" s="760"/>
      <c r="AAZ47" s="760"/>
      <c r="ABA47" s="760"/>
      <c r="ABB47" s="760"/>
      <c r="ABC47" s="760"/>
      <c r="ABD47" s="760"/>
      <c r="ABE47" s="760"/>
      <c r="ABF47" s="760"/>
      <c r="ABG47" s="760"/>
      <c r="ABH47" s="760"/>
      <c r="ABI47" s="760"/>
      <c r="ABJ47" s="760"/>
      <c r="ABK47" s="760"/>
      <c r="ABL47" s="760"/>
      <c r="ABM47" s="760"/>
      <c r="ABN47" s="760"/>
      <c r="ABO47" s="760"/>
      <c r="ABP47" s="760"/>
      <c r="ABQ47" s="760"/>
      <c r="ABR47" s="760"/>
      <c r="ABS47" s="760"/>
      <c r="ABT47" s="760"/>
      <c r="ABU47" s="760"/>
      <c r="ABV47" s="760"/>
      <c r="ABW47" s="760"/>
      <c r="ABX47" s="760"/>
      <c r="ABY47" s="760"/>
      <c r="ABZ47" s="760"/>
      <c r="ACA47" s="760"/>
      <c r="ACB47" s="760"/>
      <c r="ACC47" s="760"/>
      <c r="ACD47" s="760"/>
      <c r="ACE47" s="760"/>
      <c r="ACF47" s="760"/>
      <c r="ACG47" s="760"/>
      <c r="ACH47" s="760"/>
      <c r="ACI47" s="760"/>
      <c r="ACJ47" s="760"/>
      <c r="ACK47" s="760"/>
      <c r="ACL47" s="760"/>
      <c r="ACM47" s="760"/>
      <c r="ACN47" s="760"/>
      <c r="ACO47" s="760"/>
      <c r="ACP47" s="760"/>
      <c r="ACQ47" s="760"/>
      <c r="ACR47" s="760"/>
      <c r="ACS47" s="760"/>
      <c r="ACT47" s="760"/>
      <c r="ACU47" s="760"/>
      <c r="ACV47" s="760"/>
      <c r="ACW47" s="760"/>
      <c r="ACX47" s="760"/>
      <c r="ACY47" s="760"/>
      <c r="ACZ47" s="760"/>
      <c r="ADA47" s="760"/>
      <c r="ADB47" s="760"/>
      <c r="ADC47" s="760"/>
      <c r="ADD47" s="760"/>
      <c r="ADE47" s="760"/>
      <c r="ADF47" s="760"/>
      <c r="ADG47" s="760"/>
      <c r="ADH47" s="760"/>
      <c r="ADI47" s="760"/>
      <c r="ADJ47" s="760"/>
      <c r="ADK47" s="760"/>
      <c r="ADL47" s="760"/>
      <c r="ADM47" s="760"/>
      <c r="ADN47" s="760"/>
      <c r="ADO47" s="760"/>
      <c r="ADP47" s="760"/>
      <c r="ADQ47" s="760"/>
      <c r="ADR47" s="760"/>
      <c r="ADS47" s="760"/>
      <c r="ADT47" s="760"/>
      <c r="ADU47" s="760"/>
      <c r="ADV47" s="760"/>
      <c r="ADW47" s="760"/>
      <c r="ADX47" s="760"/>
      <c r="ADY47" s="760"/>
      <c r="ADZ47" s="760"/>
      <c r="AEA47" s="760"/>
      <c r="AEB47" s="760"/>
      <c r="AEC47" s="760"/>
      <c r="AED47" s="760"/>
      <c r="AEE47" s="760"/>
      <c r="AEF47" s="760"/>
      <c r="AEG47" s="760"/>
      <c r="AEH47" s="760"/>
      <c r="AEI47" s="760"/>
      <c r="AEJ47" s="760"/>
      <c r="AEK47" s="760"/>
      <c r="AEL47" s="760"/>
      <c r="AEM47" s="760"/>
      <c r="AEN47" s="760"/>
      <c r="AEO47" s="760"/>
      <c r="AEP47" s="760"/>
      <c r="AEQ47" s="760"/>
      <c r="AER47" s="760"/>
      <c r="AES47" s="760"/>
      <c r="AET47" s="760"/>
      <c r="AEU47" s="760"/>
      <c r="AEV47" s="760"/>
      <c r="AEW47" s="760"/>
      <c r="AEX47" s="760"/>
      <c r="AEY47" s="760"/>
      <c r="AEZ47" s="760"/>
      <c r="AFA47" s="760"/>
      <c r="AFB47" s="760"/>
      <c r="AFC47" s="760"/>
      <c r="AFD47" s="760"/>
      <c r="AFE47" s="760"/>
      <c r="AFF47" s="760"/>
      <c r="AFG47" s="760"/>
      <c r="AFH47" s="760"/>
      <c r="AFI47" s="760"/>
      <c r="AFJ47" s="760"/>
      <c r="AFK47" s="760"/>
      <c r="AFL47" s="760"/>
      <c r="AFM47" s="760"/>
      <c r="AFN47" s="760"/>
      <c r="AFO47" s="760"/>
      <c r="AFP47" s="760"/>
      <c r="AFQ47" s="760"/>
      <c r="AFR47" s="760"/>
      <c r="AFS47" s="760"/>
      <c r="AFT47" s="760"/>
      <c r="AFU47" s="760"/>
      <c r="AFV47" s="760"/>
      <c r="AFW47" s="760"/>
      <c r="AFX47" s="760"/>
      <c r="AFY47" s="760"/>
      <c r="AFZ47" s="760"/>
      <c r="AGA47" s="760"/>
      <c r="AGB47" s="760"/>
      <c r="AGC47" s="760"/>
      <c r="AGD47" s="760"/>
      <c r="AGE47" s="760"/>
      <c r="AGF47" s="760"/>
      <c r="AGG47" s="760"/>
      <c r="AGH47" s="760"/>
      <c r="AGI47" s="760"/>
      <c r="AGJ47" s="760"/>
      <c r="AGK47" s="760"/>
      <c r="AGL47" s="760"/>
      <c r="AGM47" s="760"/>
      <c r="AGN47" s="760"/>
      <c r="AGO47" s="760"/>
      <c r="AGP47" s="760"/>
      <c r="AGQ47" s="760"/>
      <c r="AGR47" s="760"/>
      <c r="AGS47" s="760"/>
      <c r="AGT47" s="760"/>
      <c r="AGU47" s="760"/>
      <c r="AGV47" s="760"/>
      <c r="AGW47" s="760"/>
      <c r="AGX47" s="760"/>
      <c r="AGY47" s="760"/>
      <c r="AGZ47" s="760"/>
      <c r="AHA47" s="760"/>
      <c r="AHB47" s="760"/>
      <c r="AHC47" s="760"/>
      <c r="AHD47" s="760"/>
      <c r="AHE47" s="760"/>
      <c r="AHF47" s="760"/>
      <c r="AHG47" s="760"/>
      <c r="AHH47" s="760"/>
      <c r="AHI47" s="760"/>
      <c r="AHJ47" s="760"/>
      <c r="AHK47" s="760"/>
      <c r="AHL47" s="760"/>
      <c r="AHM47" s="760"/>
      <c r="AHN47" s="760"/>
      <c r="AHO47" s="760"/>
      <c r="AHP47" s="760"/>
      <c r="AHQ47" s="760"/>
      <c r="AHR47" s="760"/>
      <c r="AHS47" s="760"/>
      <c r="AHT47" s="760"/>
      <c r="AHU47" s="760"/>
      <c r="AHV47" s="760"/>
      <c r="AHW47" s="760"/>
      <c r="AHX47" s="760"/>
      <c r="AHY47" s="760"/>
      <c r="AHZ47" s="760"/>
      <c r="AIA47" s="760"/>
      <c r="AIB47" s="760"/>
      <c r="AIC47" s="760"/>
      <c r="AID47" s="760"/>
      <c r="AIE47" s="760"/>
      <c r="AIF47" s="760"/>
      <c r="AIG47" s="760"/>
      <c r="AIH47" s="760"/>
      <c r="AII47" s="760"/>
      <c r="AIJ47" s="760"/>
      <c r="AIK47" s="760"/>
      <c r="AIL47" s="760"/>
      <c r="AIM47" s="760"/>
      <c r="AIN47" s="760"/>
      <c r="AIO47" s="760"/>
      <c r="AIP47" s="760"/>
      <c r="AIQ47" s="760"/>
      <c r="AIR47" s="760"/>
      <c r="AIS47" s="760"/>
      <c r="AIT47" s="760"/>
      <c r="AIU47" s="760"/>
      <c r="AIV47" s="760"/>
      <c r="AIW47" s="760"/>
      <c r="AIX47" s="760"/>
      <c r="AIY47" s="760"/>
      <c r="AIZ47" s="760"/>
      <c r="AJA47" s="760"/>
      <c r="AJB47" s="760"/>
      <c r="AJC47" s="760"/>
      <c r="AJD47" s="760"/>
      <c r="AJE47" s="760"/>
      <c r="AJF47" s="760"/>
      <c r="AJG47" s="760"/>
      <c r="AJH47" s="760"/>
      <c r="AJI47" s="760"/>
      <c r="AJJ47" s="760"/>
      <c r="AJK47" s="760"/>
      <c r="AJL47" s="760"/>
      <c r="AJM47" s="760"/>
      <c r="AJN47" s="760"/>
      <c r="AJO47" s="760"/>
      <c r="AJP47" s="760"/>
      <c r="AJQ47" s="760"/>
      <c r="AJR47" s="760"/>
      <c r="AJS47" s="760"/>
      <c r="AJT47" s="760"/>
      <c r="AJU47" s="760"/>
      <c r="AJV47" s="760"/>
      <c r="AJW47" s="760"/>
      <c r="AJX47" s="760"/>
      <c r="AJY47" s="760"/>
      <c r="AJZ47" s="760"/>
      <c r="AKA47" s="760"/>
      <c r="AKB47" s="760"/>
      <c r="AKC47" s="760"/>
      <c r="AKD47" s="760"/>
      <c r="AKE47" s="760"/>
      <c r="AKF47" s="760"/>
      <c r="AKG47" s="760"/>
      <c r="AKH47" s="760"/>
      <c r="AKI47" s="760"/>
      <c r="AKJ47" s="760"/>
      <c r="AKK47" s="760"/>
      <c r="AKL47" s="760"/>
      <c r="AKM47" s="760"/>
      <c r="AKN47" s="760"/>
      <c r="AKO47" s="760"/>
      <c r="AKP47" s="760"/>
      <c r="AKQ47" s="760"/>
      <c r="AKR47" s="760"/>
      <c r="AKS47" s="760"/>
      <c r="AKT47" s="760"/>
      <c r="AKU47" s="760"/>
      <c r="AKV47" s="760"/>
      <c r="AKW47" s="760"/>
      <c r="AKX47" s="760"/>
      <c r="AKY47" s="760"/>
      <c r="AKZ47" s="760"/>
      <c r="ALA47" s="760"/>
      <c r="ALB47" s="760"/>
      <c r="ALC47" s="760"/>
      <c r="ALD47" s="760"/>
      <c r="ALE47" s="760"/>
      <c r="ALF47" s="760"/>
      <c r="ALG47" s="760"/>
      <c r="ALH47" s="760"/>
      <c r="ALI47" s="760"/>
      <c r="ALJ47" s="760"/>
      <c r="ALK47" s="760"/>
      <c r="ALL47" s="760"/>
      <c r="ALM47" s="760"/>
      <c r="ALN47" s="760"/>
      <c r="ALO47" s="760"/>
      <c r="ALP47" s="760"/>
      <c r="ALQ47" s="760"/>
      <c r="ALR47" s="760"/>
      <c r="ALS47" s="760"/>
      <c r="ALT47" s="760"/>
      <c r="ALU47" s="760"/>
      <c r="ALV47" s="760"/>
      <c r="ALW47" s="760"/>
      <c r="ALX47" s="760"/>
      <c r="ALY47" s="760"/>
      <c r="ALZ47" s="760"/>
      <c r="AMA47" s="760"/>
      <c r="AMB47" s="760"/>
      <c r="AMC47" s="760"/>
      <c r="AMD47" s="760"/>
      <c r="AME47" s="760"/>
      <c r="AMF47" s="760"/>
      <c r="AMG47" s="760"/>
      <c r="AMH47" s="760"/>
      <c r="AMI47" s="760"/>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xr:uid="{00000000-0002-0000-0A00-000000000000}">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1"/>
  <sheetViews>
    <sheetView workbookViewId="0">
      <selection activeCell="G21" sqref="G21"/>
    </sheetView>
  </sheetViews>
  <sheetFormatPr defaultColWidth="8.7109375" defaultRowHeight="15"/>
  <sheetData>
    <row r="1" spans="1:13">
      <c r="A1" s="127" t="s">
        <v>449</v>
      </c>
      <c r="B1" s="127"/>
      <c r="C1" s="127"/>
      <c r="D1" s="127"/>
      <c r="E1" s="127"/>
      <c r="F1" s="127"/>
      <c r="G1" s="127"/>
      <c r="H1" s="127"/>
      <c r="I1" s="127"/>
      <c r="J1" s="127"/>
      <c r="K1" s="127"/>
      <c r="L1" s="127"/>
      <c r="M1" s="127"/>
    </row>
    <row r="2" spans="1:13">
      <c r="A2" s="127"/>
      <c r="B2" s="127"/>
      <c r="C2" s="127"/>
      <c r="D2" s="127"/>
      <c r="E2" s="127"/>
      <c r="F2" s="127"/>
      <c r="G2" s="127"/>
      <c r="H2" s="127"/>
      <c r="I2" s="127"/>
      <c r="J2" s="127"/>
      <c r="K2" s="127"/>
      <c r="L2" s="127"/>
      <c r="M2" s="127"/>
    </row>
    <row r="3" spans="1:13">
      <c r="A3" s="127"/>
      <c r="B3" s="127"/>
      <c r="C3" s="127"/>
      <c r="D3" s="127"/>
      <c r="E3" s="127"/>
      <c r="F3" s="127"/>
      <c r="G3" s="127"/>
      <c r="H3" s="127"/>
      <c r="I3" s="127"/>
      <c r="J3" s="127"/>
      <c r="K3" s="127"/>
      <c r="L3" s="127"/>
      <c r="M3" s="127"/>
    </row>
    <row r="4" spans="1:13">
      <c r="A4" s="127"/>
      <c r="B4" s="127"/>
      <c r="C4" s="127"/>
      <c r="D4" s="127"/>
      <c r="E4" s="127"/>
      <c r="F4" s="127"/>
      <c r="G4" s="127"/>
      <c r="H4" s="127"/>
      <c r="I4" s="127"/>
      <c r="J4" s="127"/>
      <c r="K4" s="127"/>
      <c r="L4" s="127"/>
      <c r="M4" s="127"/>
    </row>
    <row r="5" spans="1:13">
      <c r="A5" s="127"/>
      <c r="B5" s="127"/>
      <c r="C5" s="127"/>
      <c r="D5" s="127"/>
      <c r="E5" s="127"/>
      <c r="F5" s="127"/>
      <c r="G5" s="127"/>
      <c r="H5" s="127"/>
      <c r="I5" s="127"/>
      <c r="J5" s="127"/>
      <c r="K5" s="127"/>
      <c r="L5" s="127"/>
      <c r="M5" s="127"/>
    </row>
    <row r="6" spans="1:13">
      <c r="A6" s="127"/>
      <c r="B6" s="127"/>
      <c r="C6" s="127"/>
      <c r="D6" s="127"/>
      <c r="E6" s="127"/>
      <c r="F6" s="127"/>
      <c r="G6" s="127"/>
      <c r="H6" s="127"/>
      <c r="I6" s="127"/>
      <c r="J6" s="127"/>
      <c r="K6" s="127"/>
      <c r="L6" s="127"/>
      <c r="M6" s="127"/>
    </row>
    <row r="7" spans="1:13">
      <c r="A7" s="127"/>
      <c r="B7" s="127"/>
      <c r="C7" s="127"/>
      <c r="D7" s="127"/>
      <c r="E7" s="127"/>
      <c r="F7" s="127"/>
      <c r="G7" s="127"/>
      <c r="H7" s="127"/>
      <c r="I7" s="127"/>
      <c r="J7" s="127"/>
      <c r="K7" s="127"/>
      <c r="L7" s="127"/>
      <c r="M7" s="127"/>
    </row>
    <row r="8" spans="1:13">
      <c r="A8" s="127"/>
      <c r="B8" s="127"/>
      <c r="C8" s="127"/>
      <c r="D8" s="127"/>
      <c r="E8" s="127"/>
      <c r="F8" s="127"/>
      <c r="G8" s="127"/>
      <c r="H8" s="127"/>
      <c r="I8" s="127"/>
      <c r="J8" s="127"/>
      <c r="K8" s="127"/>
      <c r="L8" s="127"/>
      <c r="M8" s="127"/>
    </row>
    <row r="9" spans="1:13">
      <c r="A9" s="127"/>
      <c r="B9" s="127"/>
      <c r="C9" s="127"/>
      <c r="D9" s="127"/>
      <c r="E9" s="127"/>
      <c r="F9" s="127"/>
      <c r="G9" s="127"/>
      <c r="H9" s="127"/>
      <c r="I9" s="127"/>
      <c r="J9" s="127"/>
      <c r="K9" s="127"/>
      <c r="L9" s="127"/>
      <c r="M9" s="127"/>
    </row>
    <row r="10" spans="1:13">
      <c r="A10" s="127"/>
      <c r="B10" s="127"/>
      <c r="C10" s="127"/>
      <c r="D10" s="127"/>
      <c r="E10" s="127"/>
      <c r="F10" s="127"/>
      <c r="G10" s="127"/>
      <c r="H10" s="127"/>
      <c r="I10" s="127"/>
      <c r="J10" s="127"/>
      <c r="K10" s="127"/>
      <c r="L10" s="127"/>
      <c r="M10" s="127"/>
    </row>
    <row r="11" spans="1:13">
      <c r="A11" s="127"/>
      <c r="B11" s="127"/>
      <c r="C11" s="127"/>
      <c r="D11" s="127"/>
      <c r="E11" s="127" t="s">
        <v>429</v>
      </c>
      <c r="F11" s="127"/>
      <c r="G11" s="127" t="s">
        <v>430</v>
      </c>
      <c r="H11" s="127"/>
      <c r="I11" s="127" t="s">
        <v>431</v>
      </c>
      <c r="J11" s="127"/>
      <c r="K11" s="127" t="s">
        <v>432</v>
      </c>
      <c r="L11" s="127"/>
      <c r="M11" s="127" t="s">
        <v>433</v>
      </c>
    </row>
    <row r="12" spans="1:13">
      <c r="A12" s="127"/>
      <c r="B12" s="127"/>
      <c r="C12" s="127" t="s">
        <v>434</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c r="A13" s="127"/>
      <c r="B13" s="127"/>
      <c r="C13" s="127"/>
      <c r="D13" s="127"/>
    </row>
    <row r="14" spans="1:13">
      <c r="A14" s="127"/>
      <c r="B14" s="127"/>
      <c r="C14" s="127" t="s">
        <v>435</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c r="A15" s="127"/>
      <c r="B15" s="127"/>
      <c r="C15" s="127"/>
      <c r="D15" s="127"/>
      <c r="G15">
        <f>(COUNTIF(Assessment_TS!H31:H43,"✓")+COUNTIF(Assessment_TS!H31:H43,"X"))/6</f>
        <v>0</v>
      </c>
    </row>
    <row r="16" spans="1:13">
      <c r="A16" s="127"/>
      <c r="B16" s="127"/>
      <c r="C16" s="127" t="s">
        <v>365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c r="C17" s="127"/>
      <c r="D17" s="127"/>
    </row>
    <row r="18" spans="3:13">
      <c r="C18" s="127" t="s">
        <v>378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c r="C19" s="127"/>
      <c r="D19" s="127"/>
    </row>
    <row r="20" spans="3:13">
      <c r="C20" s="127"/>
      <c r="D20" s="127"/>
    </row>
    <row r="21" spans="3:13">
      <c r="C21" s="127" t="s">
        <v>436</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M21"/>
  <sheetViews>
    <sheetView workbookViewId="0">
      <selection activeCell="M22" sqref="M22"/>
    </sheetView>
  </sheetViews>
  <sheetFormatPr defaultColWidth="8.7109375" defaultRowHeight="15"/>
  <sheetData>
    <row r="1" spans="1:13">
      <c r="A1" s="127" t="s">
        <v>449</v>
      </c>
      <c r="B1" s="127"/>
      <c r="C1" s="127"/>
      <c r="D1" s="127"/>
      <c r="E1" s="127"/>
      <c r="F1" s="127"/>
      <c r="G1" s="127"/>
      <c r="H1" s="127"/>
      <c r="I1" s="127"/>
      <c r="J1" s="127"/>
      <c r="K1" s="127"/>
      <c r="L1" s="127"/>
      <c r="M1" s="127"/>
    </row>
    <row r="11" spans="1:13">
      <c r="A11" s="127"/>
      <c r="B11" s="127"/>
      <c r="C11" s="127"/>
      <c r="D11" s="127"/>
      <c r="E11" s="127" t="s">
        <v>429</v>
      </c>
      <c r="F11" s="127"/>
      <c r="G11" s="127" t="s">
        <v>430</v>
      </c>
      <c r="H11" s="127"/>
      <c r="I11" s="127" t="s">
        <v>431</v>
      </c>
      <c r="J11" s="127"/>
      <c r="K11" s="127" t="s">
        <v>432</v>
      </c>
      <c r="L11" s="127"/>
      <c r="M11" s="127" t="s">
        <v>433</v>
      </c>
    </row>
    <row r="12" spans="1:13">
      <c r="C12" s="127" t="s">
        <v>434</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c r="C14" s="127" t="s">
        <v>435</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c r="C15" s="127"/>
      <c r="D15" s="127"/>
      <c r="G15">
        <f>(COUNTIF(Assessment_MSP!I24:I30,"Yes")+COUNTIF(Assessment_MSP!I24:I30,"No"))/4</f>
        <v>0</v>
      </c>
    </row>
    <row r="16" spans="1:13">
      <c r="C16" s="127" t="s">
        <v>365</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c r="C18" s="127" t="s">
        <v>378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c r="C21" s="127" t="s">
        <v>436</v>
      </c>
      <c r="D21" s="127"/>
      <c r="E21">
        <f>SUM(E12:E18)/4</f>
        <v>0</v>
      </c>
      <c r="G21">
        <f>SUM(G12:G18)/4</f>
        <v>0</v>
      </c>
      <c r="I21">
        <f>SUM(I12:I18)</f>
        <v>0</v>
      </c>
      <c r="K21">
        <f>SUM(K12:K18)</f>
        <v>0</v>
      </c>
      <c r="M21">
        <f>SUM(M12:M18)</f>
        <v>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MI102"/>
  <sheetViews>
    <sheetView showGridLines="0" showRowColHeaders="0" zoomScaleNormal="100" workbookViewId="0">
      <selection activeCell="I24" sqref="I24"/>
    </sheetView>
  </sheetViews>
  <sheetFormatPr defaultColWidth="0" defaultRowHeight="15" zeroHeight="1"/>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c r="A1" s="771" t="s">
        <v>450</v>
      </c>
      <c r="B1" s="772"/>
      <c r="C1" s="772"/>
      <c r="D1" s="772"/>
      <c r="E1" s="772"/>
      <c r="F1" s="772"/>
      <c r="G1" s="772"/>
      <c r="H1" s="772"/>
      <c r="I1" s="772"/>
      <c r="J1" s="772"/>
      <c r="K1" s="772"/>
      <c r="L1" s="772"/>
      <c r="M1" s="772"/>
      <c r="N1" s="772"/>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c r="A2" s="179"/>
      <c r="B2" s="180"/>
      <c r="C2" s="181"/>
      <c r="D2" s="181"/>
      <c r="E2" s="182"/>
      <c r="F2" s="182"/>
      <c r="G2" s="182"/>
      <c r="H2" s="182"/>
      <c r="I2" s="182"/>
      <c r="J2" s="182"/>
      <c r="K2" s="182"/>
      <c r="L2" s="181"/>
      <c r="M2" s="183"/>
      <c r="N2" s="184"/>
    </row>
    <row r="3" spans="1:1023">
      <c r="A3" s="179"/>
      <c r="B3" s="180"/>
      <c r="C3" s="185" t="s">
        <v>451</v>
      </c>
      <c r="D3" s="186"/>
      <c r="E3" s="774">
        <v>44104</v>
      </c>
      <c r="F3" s="775"/>
      <c r="G3" s="775"/>
      <c r="H3" s="775"/>
      <c r="I3" s="775"/>
      <c r="J3" s="775"/>
      <c r="K3" s="775"/>
      <c r="L3" s="776"/>
      <c r="M3" s="183"/>
      <c r="N3" s="184"/>
    </row>
    <row r="4" spans="1:1023" ht="5.25" customHeight="1">
      <c r="A4" s="187"/>
      <c r="B4" s="188"/>
      <c r="C4" s="189"/>
      <c r="D4" s="189"/>
      <c r="E4" s="189"/>
      <c r="F4" s="189"/>
      <c r="G4" s="189"/>
      <c r="H4" s="189"/>
      <c r="I4" s="189"/>
      <c r="J4" s="189"/>
      <c r="K4" s="189"/>
      <c r="L4" s="189"/>
      <c r="M4" s="183"/>
      <c r="N4" s="184"/>
    </row>
    <row r="5" spans="1:1023">
      <c r="A5" s="179"/>
      <c r="B5" s="180"/>
      <c r="C5" s="185" t="s">
        <v>452</v>
      </c>
      <c r="D5" s="186"/>
      <c r="E5" s="777"/>
      <c r="F5" s="778"/>
      <c r="G5" s="778"/>
      <c r="H5" s="778"/>
      <c r="I5" s="778"/>
      <c r="J5" s="778"/>
      <c r="K5" s="778"/>
      <c r="L5" s="779"/>
      <c r="M5" s="183"/>
      <c r="N5" s="184"/>
    </row>
    <row r="6" spans="1:1023" ht="5.25" customHeight="1">
      <c r="A6" s="187"/>
      <c r="B6" s="188"/>
      <c r="C6" s="190"/>
      <c r="D6" s="189"/>
      <c r="E6" s="189"/>
      <c r="F6" s="189"/>
      <c r="G6" s="189"/>
      <c r="H6" s="189"/>
      <c r="I6" s="189"/>
      <c r="J6" s="189"/>
      <c r="K6" s="189"/>
      <c r="L6" s="189"/>
      <c r="M6" s="183"/>
      <c r="N6" s="184"/>
    </row>
    <row r="7" spans="1:1023" ht="31.5" customHeight="1">
      <c r="A7" s="179"/>
      <c r="B7" s="180"/>
      <c r="C7" s="185" t="s">
        <v>220</v>
      </c>
      <c r="D7" s="191"/>
      <c r="E7" s="780" t="s">
        <v>214</v>
      </c>
      <c r="F7" s="781"/>
      <c r="G7" s="781"/>
      <c r="H7" s="781"/>
      <c r="I7" s="781"/>
      <c r="J7" s="781"/>
      <c r="K7" s="781"/>
      <c r="L7" s="782"/>
      <c r="M7" s="183"/>
      <c r="N7" s="184"/>
    </row>
    <row r="8" spans="1:1023" ht="5.25" customHeight="1">
      <c r="A8" s="187"/>
      <c r="B8" s="188"/>
      <c r="C8" s="189"/>
      <c r="D8" s="189"/>
      <c r="E8" s="189"/>
      <c r="F8" s="189"/>
      <c r="G8" s="189"/>
      <c r="H8" s="189"/>
      <c r="I8" s="189"/>
      <c r="J8" s="189"/>
      <c r="K8" s="189"/>
      <c r="L8" s="189"/>
      <c r="M8" s="183"/>
      <c r="N8" s="184"/>
    </row>
    <row r="9" spans="1:1023">
      <c r="A9" s="179"/>
      <c r="B9" s="180"/>
      <c r="C9" s="185" t="s">
        <v>221</v>
      </c>
      <c r="D9" s="186"/>
      <c r="E9" s="777" t="s">
        <v>222</v>
      </c>
      <c r="F9" s="778"/>
      <c r="G9" s="778"/>
      <c r="H9" s="778"/>
      <c r="I9" s="778"/>
      <c r="J9" s="778"/>
      <c r="K9" s="778"/>
      <c r="L9" s="779"/>
      <c r="M9" s="183"/>
      <c r="N9" s="184"/>
    </row>
    <row r="10" spans="1:1023">
      <c r="A10" s="192"/>
      <c r="B10" s="193"/>
      <c r="C10" s="193"/>
      <c r="D10" s="193"/>
      <c r="E10" s="193"/>
      <c r="F10" s="193"/>
      <c r="G10" s="193"/>
      <c r="H10" s="193"/>
      <c r="I10" s="193"/>
      <c r="J10" s="193"/>
      <c r="K10" s="193"/>
      <c r="L10" s="193"/>
      <c r="M10" s="193"/>
      <c r="N10" s="194"/>
    </row>
    <row r="11" spans="1:1023" ht="5.25" customHeight="1">
      <c r="A11" s="186"/>
      <c r="B11" s="195"/>
      <c r="C11" s="195"/>
      <c r="D11" s="195"/>
      <c r="E11" s="195"/>
      <c r="F11" s="195"/>
      <c r="G11" s="195"/>
      <c r="H11" s="195"/>
      <c r="I11" s="195"/>
      <c r="J11" s="195"/>
      <c r="K11" s="195"/>
      <c r="L11" s="195"/>
      <c r="M11" s="195"/>
      <c r="N11" s="196"/>
    </row>
    <row r="12" spans="1:1023" ht="30">
      <c r="A12" s="186"/>
      <c r="B12" s="195"/>
      <c r="C12" s="195"/>
      <c r="D12" s="195"/>
      <c r="E12" s="197" t="s">
        <v>429</v>
      </c>
      <c r="F12" s="198"/>
      <c r="G12" s="197" t="s">
        <v>453</v>
      </c>
      <c r="H12" s="198"/>
      <c r="I12" s="198" t="s">
        <v>431</v>
      </c>
      <c r="J12" s="198"/>
      <c r="K12" s="198" t="s">
        <v>432</v>
      </c>
      <c r="L12" s="199"/>
      <c r="M12" s="197" t="s">
        <v>454</v>
      </c>
      <c r="N12" s="196"/>
    </row>
    <row r="13" spans="1:1023" ht="3.75" customHeight="1">
      <c r="A13" s="200"/>
      <c r="B13" s="201"/>
      <c r="C13" s="202"/>
      <c r="D13" s="201"/>
      <c r="E13" s="203"/>
      <c r="F13" s="201"/>
      <c r="G13" s="203"/>
      <c r="H13" s="201"/>
      <c r="I13" s="203"/>
      <c r="J13" s="201"/>
      <c r="K13" s="203"/>
      <c r="L13" s="201"/>
      <c r="M13" s="203"/>
      <c r="N13" s="194"/>
      <c r="O13" s="141"/>
      <c r="P13" s="141"/>
    </row>
    <row r="14" spans="1:1023">
      <c r="A14" s="204"/>
      <c r="B14" s="195"/>
      <c r="C14" s="205"/>
      <c r="D14" s="195"/>
      <c r="E14" s="195"/>
      <c r="F14" s="195"/>
      <c r="G14" s="195"/>
      <c r="H14" s="195"/>
      <c r="I14" s="195"/>
      <c r="J14" s="195"/>
      <c r="K14" s="195"/>
      <c r="L14" s="195"/>
      <c r="M14" s="195"/>
      <c r="N14" s="196"/>
    </row>
    <row r="15" spans="1:1023" ht="30" customHeight="1">
      <c r="A15" s="200"/>
      <c r="B15" s="183"/>
      <c r="C15" s="206" t="s">
        <v>455</v>
      </c>
      <c r="D15" s="207"/>
      <c r="E15" s="494">
        <f>IF(G15&gt;0,(COUNTIF(Assessment_EIF!G18,"✓"))/((COUNTIF(Assessment_EIF!G18,"X"))+(COUNTIF(Assessment_EIF!G18,"✓"))),0)</f>
        <v>0</v>
      </c>
      <c r="F15" s="495"/>
      <c r="G15" s="494">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c r="A16" s="200"/>
      <c r="B16" s="183"/>
      <c r="C16" s="209"/>
      <c r="D16" s="183"/>
      <c r="E16" s="496"/>
      <c r="F16" s="495"/>
      <c r="G16" s="496"/>
      <c r="H16" s="183"/>
      <c r="I16" s="209"/>
      <c r="J16" s="183"/>
      <c r="K16" s="209"/>
      <c r="L16" s="183"/>
      <c r="M16" s="209"/>
      <c r="N16" s="184"/>
    </row>
    <row r="17" spans="1:16" ht="33" customHeight="1" thickBot="1">
      <c r="A17" s="200"/>
      <c r="B17" s="183"/>
      <c r="C17" s="211" t="s">
        <v>456</v>
      </c>
      <c r="D17" s="212"/>
      <c r="E17" s="493">
        <f>IF(G17&gt;0,(COUNTIF(Assessment_EIF!G18,"✓"))/((COUNTIF(Assessment_EIF!G18,"X"))+(COUNTIF(Assessment_EIF!G18,"✓"))),0)</f>
        <v>0</v>
      </c>
      <c r="F17" s="497"/>
      <c r="G17" s="493">
        <f>(COUNTIF(Assessment_EIF!G18,"✓")+COUNTIF(Assessment_EIF!G18,"X"))/1</f>
        <v>1</v>
      </c>
      <c r="H17" s="213"/>
      <c r="I17" s="214">
        <f>COUNTIF(Assessment_EIF!G18,"✓")</f>
        <v>0</v>
      </c>
      <c r="J17" s="213"/>
      <c r="K17" s="214">
        <f>COUNTIF(Assessment_EIF!G18,"X")</f>
        <v>1</v>
      </c>
      <c r="L17" s="213"/>
      <c r="M17" s="214">
        <f>COUNTIF(Assessment_EIF!G18,"N/A")</f>
        <v>0</v>
      </c>
      <c r="N17" s="184"/>
    </row>
    <row r="18" spans="1:16">
      <c r="A18" s="200"/>
      <c r="B18" s="201"/>
      <c r="C18" s="202"/>
      <c r="D18" s="201"/>
      <c r="E18" s="498"/>
      <c r="F18" s="499"/>
      <c r="G18" s="498"/>
      <c r="H18" s="201"/>
      <c r="I18" s="203"/>
      <c r="J18" s="201"/>
      <c r="K18" s="203"/>
      <c r="L18" s="201"/>
      <c r="M18" s="203"/>
      <c r="N18" s="194"/>
    </row>
    <row r="19" spans="1:16" ht="15.75" thickBot="1">
      <c r="A19" s="204"/>
      <c r="B19" s="195"/>
      <c r="C19" s="205"/>
      <c r="D19" s="195"/>
      <c r="E19" s="500"/>
      <c r="F19" s="500"/>
      <c r="G19" s="500"/>
      <c r="H19" s="195"/>
      <c r="I19" s="195"/>
      <c r="J19" s="195"/>
      <c r="K19" s="195"/>
      <c r="L19" s="195"/>
      <c r="M19" s="195"/>
      <c r="N19" s="196"/>
    </row>
    <row r="20" spans="1:16" ht="30" customHeight="1" thickBot="1">
      <c r="A20" s="200"/>
      <c r="B20" s="183"/>
      <c r="C20" s="215" t="s">
        <v>457</v>
      </c>
      <c r="D20" s="183"/>
      <c r="E20" s="494">
        <f>IF(G20&gt;0,(COUNTIF(Assessment_EIF!G24:G42,"✓"))/((COUNTIF(Assessment_EIF!G24:G42,"X"))+(COUNTIF(Assessment_EIF!G24:G42,"✓"))),0)</f>
        <v>1</v>
      </c>
      <c r="F20" s="495"/>
      <c r="G20" s="494">
        <f>(COUNTIF(Assessment_EIF!G24:G42,"✓")+COUNTIF(Assessment_EIF!G24:G42,"X"))/10</f>
        <v>1</v>
      </c>
      <c r="H20" s="183"/>
      <c r="I20" s="208">
        <f>COUNTIF(Assessment_EIF!G24:G42,"✓")</f>
        <v>10</v>
      </c>
      <c r="J20" s="183"/>
      <c r="K20" s="208">
        <f>COUNTIF(Assessment_EIF!G24:G42,"X")</f>
        <v>0</v>
      </c>
      <c r="L20" s="183"/>
      <c r="M20" s="208">
        <f>COUNTIF(Assessment_EIF!G24:G42,"N/A")</f>
        <v>0</v>
      </c>
      <c r="N20" s="184"/>
    </row>
    <row r="21" spans="1:16" ht="10.15" customHeight="1" thickBot="1">
      <c r="A21" s="200"/>
      <c r="B21" s="183"/>
      <c r="C21" s="216"/>
      <c r="D21" s="183"/>
      <c r="E21" s="495"/>
      <c r="F21" s="495"/>
      <c r="G21" s="495"/>
      <c r="H21" s="183"/>
      <c r="I21" s="183"/>
      <c r="J21" s="183"/>
      <c r="K21" s="183"/>
      <c r="L21" s="183"/>
      <c r="M21" s="183"/>
      <c r="N21" s="184"/>
    </row>
    <row r="22" spans="1:16" ht="30" customHeight="1" thickBot="1">
      <c r="A22" s="200"/>
      <c r="B22" s="183"/>
      <c r="C22" s="215" t="s">
        <v>458</v>
      </c>
      <c r="D22" s="183"/>
      <c r="E22" s="494">
        <f>IF(G22&gt;0,(COUNTIF(Assessment_EIF!G46:G50,"✓"))/((COUNTIF(Assessment_EIF!G46:G50,"X"))+(COUNTIF(Assessment_EIF!G46:G50,"✓"))),0)</f>
        <v>1</v>
      </c>
      <c r="F22" s="495"/>
      <c r="G22" s="494">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c r="A23" s="200"/>
      <c r="B23" s="183"/>
      <c r="C23" s="216"/>
      <c r="D23" s="183"/>
      <c r="E23" s="495"/>
      <c r="F23" s="495"/>
      <c r="G23" s="495"/>
      <c r="H23" s="183"/>
      <c r="I23" s="183"/>
      <c r="J23" s="183"/>
      <c r="K23" s="183"/>
      <c r="L23" s="183"/>
      <c r="M23" s="183"/>
      <c r="N23" s="184"/>
    </row>
    <row r="24" spans="1:16" ht="30" customHeight="1" thickBot="1">
      <c r="A24" s="200"/>
      <c r="B24" s="183"/>
      <c r="C24" s="215" t="s">
        <v>459</v>
      </c>
      <c r="D24" s="183"/>
      <c r="E24" s="494">
        <f>IF(G24&gt;0,(COUNTIF(Assessment_EIF!G54:G58,"✓"))/((COUNTIF(Assessment_EIF!G54:G58,"X"))+(COUNTIF(Assessment_EIF!G54:G58,"✓"))),0)</f>
        <v>1</v>
      </c>
      <c r="F24" s="495"/>
      <c r="G24" s="494">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c r="A25" s="200"/>
      <c r="B25" s="183"/>
      <c r="C25" s="216"/>
      <c r="D25" s="183"/>
      <c r="E25" s="495"/>
      <c r="F25" s="495"/>
      <c r="G25" s="495"/>
      <c r="H25" s="183"/>
      <c r="I25" s="183"/>
      <c r="J25" s="183"/>
      <c r="K25" s="183"/>
      <c r="L25" s="183"/>
      <c r="M25" s="183"/>
      <c r="N25" s="184"/>
    </row>
    <row r="26" spans="1:16" ht="30" customHeight="1" thickBot="1">
      <c r="A26" s="200"/>
      <c r="B26" s="183"/>
      <c r="C26" s="215" t="s">
        <v>460</v>
      </c>
      <c r="D26" s="183"/>
      <c r="E26" s="494">
        <f>IF(G26&gt;0,(COUNTIF(Assessment_EIF!G62:G66,"✓"))/((COUNTIF(Assessment_EIF!G62:G66,"X"))+(COUNTIF(Assessment_EIF!G62:G66,"✓"))),0)</f>
        <v>1</v>
      </c>
      <c r="F26" s="495"/>
      <c r="G26" s="494">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c r="A27" s="200"/>
      <c r="B27" s="183"/>
      <c r="C27" s="209"/>
      <c r="D27" s="183"/>
      <c r="E27" s="496"/>
      <c r="F27" s="495"/>
      <c r="G27" s="496"/>
      <c r="H27" s="183"/>
      <c r="I27" s="209"/>
      <c r="J27" s="183"/>
      <c r="K27" s="209"/>
      <c r="L27" s="183"/>
      <c r="M27" s="209"/>
      <c r="N27" s="184"/>
    </row>
    <row r="28" spans="1:16" ht="33" customHeight="1" thickBot="1">
      <c r="A28" s="200"/>
      <c r="B28" s="183"/>
      <c r="C28" s="217" t="s">
        <v>461</v>
      </c>
      <c r="D28" s="183"/>
      <c r="E28" s="493">
        <f>IF(G28&gt;0,(COUNTIF(Assessment_EIF!G24:G66,"✓"))/((COUNTIF(Assessment_EIF!G24:G66,"X"))+(COUNTIF(Assessment_EIF!G24:G66,"✓"))),0)</f>
        <v>1</v>
      </c>
      <c r="F28" s="497"/>
      <c r="G28" s="493">
        <f>(COUNTIF(Assessment_EIF!G24:G66,"✓")+COUNTIF(Assessment_EIF!G24:G66,"X"))/19</f>
        <v>0.94736842105263153</v>
      </c>
      <c r="H28" s="213"/>
      <c r="I28" s="214">
        <f>SUM(I20,I22,I24,I26)</f>
        <v>18</v>
      </c>
      <c r="J28" s="213"/>
      <c r="K28" s="214">
        <f>SUM(K20,K22,K24,K26)</f>
        <v>0</v>
      </c>
      <c r="L28" s="213"/>
      <c r="M28" s="214">
        <f>SUM(M20,M22,M24,M26)</f>
        <v>1</v>
      </c>
      <c r="N28" s="184"/>
    </row>
    <row r="29" spans="1:16">
      <c r="A29" s="200"/>
      <c r="B29" s="201"/>
      <c r="C29" s="202"/>
      <c r="D29" s="201"/>
      <c r="E29" s="498"/>
      <c r="F29" s="499"/>
      <c r="G29" s="498"/>
      <c r="H29" s="201"/>
      <c r="I29" s="203"/>
      <c r="J29" s="201"/>
      <c r="K29" s="203"/>
      <c r="L29" s="201"/>
      <c r="M29" s="203"/>
      <c r="N29" s="194"/>
      <c r="O29" s="145"/>
      <c r="P29" s="145"/>
    </row>
    <row r="30" spans="1:16">
      <c r="A30" s="204"/>
      <c r="B30" s="195"/>
      <c r="C30" s="205"/>
      <c r="D30" s="195"/>
      <c r="E30" s="500"/>
      <c r="F30" s="500"/>
      <c r="G30" s="500"/>
      <c r="H30" s="195"/>
      <c r="I30" s="195"/>
      <c r="J30" s="195"/>
      <c r="K30" s="195"/>
      <c r="L30" s="195"/>
      <c r="M30" s="195"/>
      <c r="N30" s="196"/>
      <c r="O30" s="168"/>
      <c r="P30" s="168"/>
    </row>
    <row r="31" spans="1:16" ht="30" customHeight="1">
      <c r="A31" s="200"/>
      <c r="B31" s="183"/>
      <c r="C31" s="218" t="s">
        <v>462</v>
      </c>
      <c r="D31" s="212"/>
      <c r="E31" s="494">
        <f>IF(G31&gt;0,(COUNTIF(Assessment_EIF!G72,"✓"))/((COUNTIF(Assessment_EIF!G72,"X"))+(COUNTIF(Assessment_EIF!G72,"✓"))),0)</f>
        <v>1</v>
      </c>
      <c r="F31" s="495"/>
      <c r="G31" s="494">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c r="A32" s="200"/>
      <c r="B32" s="183"/>
      <c r="C32" s="216"/>
      <c r="D32" s="183"/>
      <c r="E32" s="495"/>
      <c r="F32" s="495"/>
      <c r="G32" s="495"/>
      <c r="H32" s="183"/>
      <c r="I32" s="183"/>
      <c r="J32" s="183"/>
      <c r="K32" s="183"/>
      <c r="L32" s="183"/>
      <c r="M32" s="183"/>
      <c r="N32" s="184"/>
    </row>
    <row r="33" spans="1:16" ht="30" customHeight="1">
      <c r="A33" s="200"/>
      <c r="B33" s="183"/>
      <c r="C33" s="218" t="s">
        <v>463</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c r="A34" s="200"/>
      <c r="B34" s="183"/>
      <c r="C34" s="216"/>
      <c r="D34" s="183"/>
      <c r="E34" s="495"/>
      <c r="F34" s="495"/>
      <c r="G34" s="495"/>
      <c r="H34" s="183"/>
      <c r="I34" s="183"/>
      <c r="J34" s="183"/>
      <c r="K34" s="183"/>
      <c r="L34" s="183"/>
      <c r="M34" s="183"/>
      <c r="N34" s="184"/>
    </row>
    <row r="35" spans="1:16" ht="30" customHeight="1">
      <c r="A35" s="200"/>
      <c r="B35" s="183"/>
      <c r="C35" s="218" t="s">
        <v>464</v>
      </c>
      <c r="D35" s="183"/>
      <c r="E35" s="494">
        <f>IF(G35&gt;0,(COUNTIF(Assessment_EIF!G80,"✓"))/((COUNTIF(Assessment_EIF!G80,"X"))+(COUNTIF(Assessment_EIF!G80,"✓"))),0)</f>
        <v>0</v>
      </c>
      <c r="F35" s="495"/>
      <c r="G35" s="494">
        <f>(COUNTIF(Assessment_EIF!G80,"✓")+COUNTIF(Assessment_EIF!G80,"X"))/1</f>
        <v>0</v>
      </c>
      <c r="H35" s="183"/>
      <c r="I35" s="208">
        <f>COUNTIF(Assessment_EIF!G80,"✓")</f>
        <v>0</v>
      </c>
      <c r="J35" s="183"/>
      <c r="K35" s="208">
        <f>COUNTIF(Assessment_EIF!G80,"X")</f>
        <v>0</v>
      </c>
      <c r="L35" s="180"/>
      <c r="M35" s="208">
        <f>COUNTIF(Assessment_EIF!G80,"N/A")</f>
        <v>1</v>
      </c>
      <c r="N35" s="184"/>
    </row>
    <row r="36" spans="1:16" ht="10.15" customHeight="1">
      <c r="A36" s="200"/>
      <c r="B36" s="183"/>
      <c r="C36" s="219"/>
      <c r="D36" s="183"/>
      <c r="E36" s="495"/>
      <c r="F36" s="495"/>
      <c r="G36" s="495"/>
      <c r="H36" s="183"/>
      <c r="I36" s="183"/>
      <c r="J36" s="183"/>
      <c r="K36" s="183"/>
      <c r="L36" s="183"/>
      <c r="M36" s="183"/>
      <c r="N36" s="184"/>
    </row>
    <row r="37" spans="1:16" ht="30" customHeight="1">
      <c r="A37" s="200"/>
      <c r="B37" s="183"/>
      <c r="C37" s="218" t="s">
        <v>465</v>
      </c>
      <c r="D37" s="183"/>
      <c r="E37" s="494">
        <f>IF(G37&gt;0,(COUNTIF(Assessment_EIF!G84,"✓"))/((COUNTIF(Assessment_EIF!G84,"X"))+(COUNTIF(Assessment_EIF!G84,"✓"))),0)</f>
        <v>1</v>
      </c>
      <c r="F37" s="495"/>
      <c r="G37" s="494">
        <f>(COUNTIF(Assessment_EIF!G84,"✓")+COUNTIF(Assessment_EIF!G84,"X"))/1</f>
        <v>1</v>
      </c>
      <c r="H37" s="183"/>
      <c r="I37" s="208">
        <f>COUNTIF(Assessment_EIF!G84,"✓")</f>
        <v>1</v>
      </c>
      <c r="J37" s="183"/>
      <c r="K37" s="208">
        <f>COUNTIF(Assessment_EIF!G84,"X")</f>
        <v>0</v>
      </c>
      <c r="L37" s="180"/>
      <c r="M37" s="208">
        <f>COUNTIF(Assessment_EIF!G84,"N/A")</f>
        <v>0</v>
      </c>
      <c r="N37" s="184"/>
    </row>
    <row r="38" spans="1:16" ht="10.15" customHeight="1">
      <c r="A38" s="200"/>
      <c r="B38" s="183"/>
      <c r="C38" s="220"/>
      <c r="D38" s="183"/>
      <c r="E38" s="496"/>
      <c r="F38" s="495"/>
      <c r="G38" s="496"/>
      <c r="H38" s="183"/>
      <c r="I38" s="210"/>
      <c r="J38" s="183"/>
      <c r="K38" s="210"/>
      <c r="L38" s="180"/>
      <c r="M38" s="210"/>
      <c r="N38" s="184"/>
    </row>
    <row r="39" spans="1:16" ht="33" customHeight="1" thickBot="1">
      <c r="A39" s="200"/>
      <c r="B39" s="183"/>
      <c r="C39" s="221" t="s">
        <v>272</v>
      </c>
      <c r="D39" s="212"/>
      <c r="E39" s="493">
        <f>IF(G39&gt;0,(COUNTIF(Assessment_EIF!G72:G84,"✓"))/((COUNTIF(Assessment_EIF!G72:G84,"X"))+(COUNTIF(Assessment_EIF!G72:G84,"✓"))),0)</f>
        <v>1</v>
      </c>
      <c r="F39" s="497"/>
      <c r="G39" s="493">
        <f>(COUNTIF(Assessment_EIF!G72:G84,"✓")+COUNTIF(Assessment_EIF!G72:G84,"X"))/4</f>
        <v>0.5</v>
      </c>
      <c r="H39" s="213"/>
      <c r="I39" s="214">
        <f>SUM(I31:I37)</f>
        <v>2</v>
      </c>
      <c r="J39" s="213"/>
      <c r="K39" s="214">
        <f>SUM(K31:K37)</f>
        <v>0</v>
      </c>
      <c r="L39" s="213"/>
      <c r="M39" s="214">
        <f>SUM(M31:M37)</f>
        <v>2</v>
      </c>
      <c r="N39" s="184"/>
      <c r="P39" s="128">
        <v>1</v>
      </c>
    </row>
    <row r="40" spans="1:16">
      <c r="A40" s="200"/>
      <c r="B40" s="183"/>
      <c r="C40" s="222"/>
      <c r="D40" s="183"/>
      <c r="E40" s="495"/>
      <c r="F40" s="495"/>
      <c r="G40" s="495"/>
      <c r="H40" s="183"/>
      <c r="I40" s="183"/>
      <c r="J40" s="183"/>
      <c r="K40" s="183"/>
      <c r="L40" s="183"/>
      <c r="M40" s="183"/>
      <c r="N40" s="184"/>
    </row>
    <row r="41" spans="1:16" ht="15.75" thickBot="1">
      <c r="A41" s="204"/>
      <c r="B41" s="223"/>
      <c r="C41" s="224"/>
      <c r="D41" s="223"/>
      <c r="E41" s="501"/>
      <c r="F41" s="501"/>
      <c r="G41" s="501"/>
      <c r="H41" s="223"/>
      <c r="I41" s="223"/>
      <c r="J41" s="223"/>
      <c r="K41" s="223"/>
      <c r="L41" s="223"/>
      <c r="M41" s="223"/>
      <c r="N41" s="225"/>
    </row>
    <row r="42" spans="1:16" ht="30" customHeight="1" thickBot="1">
      <c r="A42" s="200"/>
      <c r="B42" s="183"/>
      <c r="C42" s="226" t="s">
        <v>466</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c r="A43" s="200"/>
      <c r="B43" s="183"/>
      <c r="C43" s="216"/>
      <c r="D43" s="183"/>
      <c r="E43" s="495"/>
      <c r="F43" s="495"/>
      <c r="G43" s="495"/>
      <c r="H43" s="183"/>
      <c r="I43" s="183"/>
      <c r="J43" s="183"/>
      <c r="K43" s="183"/>
      <c r="L43" s="183"/>
      <c r="M43" s="183"/>
      <c r="N43" s="184"/>
    </row>
    <row r="44" spans="1:16" ht="30" customHeight="1" thickBot="1">
      <c r="A44" s="200"/>
      <c r="B44" s="183"/>
      <c r="C44" s="226" t="s">
        <v>467</v>
      </c>
      <c r="D44" s="183"/>
      <c r="E44" s="494">
        <f>IF(G44&gt;0,(COUNTIF(Assessment_EIF!G94,"✓"))/((COUNTIF(Assessment_EIF!G94,"X"))+(COUNTIF(Assessment_EIF!G94,"✓"))),0)</f>
        <v>0</v>
      </c>
      <c r="F44" s="495"/>
      <c r="G44" s="494">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c r="A45" s="200"/>
      <c r="B45" s="183"/>
      <c r="C45" s="228"/>
      <c r="D45" s="183"/>
      <c r="E45" s="496"/>
      <c r="F45" s="495"/>
      <c r="G45" s="496"/>
      <c r="H45" s="183"/>
      <c r="I45" s="210"/>
      <c r="J45" s="183"/>
      <c r="K45" s="210"/>
      <c r="L45" s="180"/>
      <c r="M45" s="210"/>
      <c r="N45" s="184"/>
    </row>
    <row r="46" spans="1:16" ht="30" customHeight="1">
      <c r="A46" s="200"/>
      <c r="B46" s="183"/>
      <c r="C46" s="229" t="s">
        <v>468</v>
      </c>
      <c r="D46" s="183"/>
      <c r="E46" s="494">
        <f>IF(G46&gt;0,(COUNTIF(Assessment_EIF!G98,"✓"))/((COUNTIF(Assessment_EIF!G98,"X"))+(COUNTIF(Assessment_EIF!G98,"✓"))),0)</f>
        <v>0</v>
      </c>
      <c r="F46" s="495"/>
      <c r="G46" s="494">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c r="A47" s="200"/>
      <c r="B47" s="183"/>
      <c r="C47" s="230"/>
      <c r="D47" s="183"/>
      <c r="E47" s="496"/>
      <c r="F47" s="495"/>
      <c r="G47" s="496"/>
      <c r="H47" s="183"/>
      <c r="I47" s="210"/>
      <c r="J47" s="183"/>
      <c r="K47" s="210"/>
      <c r="L47" s="180"/>
      <c r="M47" s="210"/>
      <c r="N47" s="184"/>
    </row>
    <row r="48" spans="1:16" ht="33" customHeight="1" thickBot="1">
      <c r="A48" s="200"/>
      <c r="B48" s="183"/>
      <c r="C48" s="231" t="s">
        <v>469</v>
      </c>
      <c r="D48" s="183"/>
      <c r="E48" s="493">
        <f>IF(G48&gt;0,(COUNTIF(Assessment_EIF!G90:G98,"✓"))/((COUNTIF(Assessment_EIF!G90:G98,"X"))+(COUNTIF(Assessment_EIF!G90:G98,"✓"))),0)</f>
        <v>0.5</v>
      </c>
      <c r="F48" s="497"/>
      <c r="G48" s="493">
        <f>(COUNTIF(Assessment_EIF!G90:G98,"✓")+COUNTIF(Assessment_EIF!G90:G98,"X"))/3</f>
        <v>0.66666666666666663</v>
      </c>
      <c r="H48" s="213"/>
      <c r="I48" s="214">
        <f>SUM(I42:I46)</f>
        <v>1</v>
      </c>
      <c r="J48" s="213"/>
      <c r="K48" s="214">
        <f>SUM(K42:K46)</f>
        <v>1</v>
      </c>
      <c r="L48" s="213"/>
      <c r="M48" s="214">
        <f>SUM(M42:M46)</f>
        <v>1</v>
      </c>
      <c r="N48" s="184"/>
      <c r="P48" s="128">
        <v>1</v>
      </c>
    </row>
    <row r="49" spans="1:16">
      <c r="A49" s="232"/>
      <c r="B49" s="233"/>
      <c r="C49" s="234"/>
      <c r="D49" s="233"/>
      <c r="E49" s="502"/>
      <c r="F49" s="503"/>
      <c r="G49" s="504"/>
      <c r="H49" s="233"/>
      <c r="I49" s="233"/>
      <c r="J49" s="233"/>
      <c r="K49" s="233"/>
      <c r="L49" s="233"/>
      <c r="M49" s="233"/>
      <c r="N49" s="236"/>
      <c r="O49" s="141"/>
      <c r="P49" s="141"/>
    </row>
    <row r="50" spans="1:16">
      <c r="A50" s="237"/>
      <c r="B50" s="238"/>
      <c r="C50" s="239"/>
      <c r="D50" s="240"/>
      <c r="E50" s="505"/>
      <c r="F50" s="505"/>
      <c r="G50" s="505"/>
      <c r="H50" s="239"/>
      <c r="I50" s="239"/>
      <c r="J50" s="239"/>
      <c r="K50" s="239"/>
      <c r="L50" s="239"/>
      <c r="M50" s="239"/>
      <c r="N50" s="241"/>
      <c r="O50" s="141"/>
      <c r="P50" s="141"/>
    </row>
    <row r="51" spans="1:16" ht="30" customHeight="1" thickBot="1">
      <c r="A51" s="200"/>
      <c r="B51" s="183"/>
      <c r="C51" s="242" t="s">
        <v>470</v>
      </c>
      <c r="D51" s="243"/>
      <c r="E51" s="494">
        <f>IF(G51&gt;0,(COUNTIF(Assessment_EIF!G104:G114,"✓"))/((COUNTIF(Assessment_EIF!G104:G114,"X"))+(COUNTIF(Assessment_EIF!G104:G114,"✓"))),0)</f>
        <v>0.83333333333333337</v>
      </c>
      <c r="F51" s="495"/>
      <c r="G51" s="494">
        <f>(COUNTIF(Assessment_EIF!G104:G114,"✓")+COUNTIF(Assessment_EIF!G104:G114,"X"))/6</f>
        <v>1</v>
      </c>
      <c r="H51" s="183"/>
      <c r="I51" s="208">
        <f>COUNTIF(Assessment_EIF!G104:G114,"✓")</f>
        <v>5</v>
      </c>
      <c r="J51" s="183"/>
      <c r="K51" s="208">
        <f>COUNTIF(Assessment_EIF!G104:G114,"X")</f>
        <v>1</v>
      </c>
      <c r="L51" s="180"/>
      <c r="M51" s="208">
        <f>COUNTIF(Assessment_EIF!G104:G114,"N/A")</f>
        <v>0</v>
      </c>
      <c r="N51" s="184"/>
      <c r="O51" s="141"/>
      <c r="P51" s="141"/>
    </row>
    <row r="52" spans="1:16" ht="10.15" customHeight="1">
      <c r="A52" s="183"/>
      <c r="B52" s="183"/>
      <c r="C52" s="244"/>
      <c r="D52" s="183"/>
      <c r="E52" s="495"/>
      <c r="F52" s="495"/>
      <c r="G52" s="495"/>
      <c r="H52" s="183"/>
      <c r="I52" s="183"/>
      <c r="J52" s="183"/>
      <c r="K52" s="183"/>
      <c r="L52" s="183"/>
      <c r="M52" s="183"/>
      <c r="N52" s="245"/>
      <c r="O52" s="141"/>
      <c r="P52" s="141"/>
    </row>
    <row r="53" spans="1:16" ht="30" customHeight="1" thickBot="1">
      <c r="A53" s="200"/>
      <c r="B53" s="183"/>
      <c r="C53" s="242" t="s">
        <v>322</v>
      </c>
      <c r="D53" s="243"/>
      <c r="E53" s="494">
        <f>IF(G53&gt;0,(COUNTIF(Assessment_EIF!G118,"✓"))/((COUNTIF(Assessment_EIF!G118,"X"))+(COUNTIF(Assessment_EIF!G118,"✓"))),0)</f>
        <v>1</v>
      </c>
      <c r="F53" s="495"/>
      <c r="G53" s="494">
        <f>(COUNTIF(Assessment_EIF!G118,"✓")+COUNTIF(Assessment_EIF!G118,"X"))/1</f>
        <v>1</v>
      </c>
      <c r="H53" s="183"/>
      <c r="I53" s="208">
        <f>COUNTIF(Assessment_EIF!G118,"✓")</f>
        <v>1</v>
      </c>
      <c r="J53" s="183"/>
      <c r="K53" s="208">
        <f>COUNTIF(Assessment_EIF!G118,"X")</f>
        <v>0</v>
      </c>
      <c r="L53" s="180"/>
      <c r="M53" s="208">
        <f>COUNTIF(Assessment_EIF!G118,"N/A")</f>
        <v>0</v>
      </c>
      <c r="N53" s="184"/>
    </row>
    <row r="54" spans="1:16" ht="9.75" customHeight="1">
      <c r="A54" s="200"/>
      <c r="B54" s="183"/>
      <c r="C54" s="244"/>
      <c r="D54" s="183"/>
      <c r="E54" s="496"/>
      <c r="F54" s="495"/>
      <c r="G54" s="496"/>
      <c r="H54" s="183"/>
      <c r="I54" s="209"/>
      <c r="J54" s="183"/>
      <c r="K54" s="209"/>
      <c r="L54" s="180"/>
      <c r="M54" s="209"/>
      <c r="N54" s="184"/>
    </row>
    <row r="55" spans="1:16" ht="30" customHeight="1">
      <c r="A55" s="200"/>
      <c r="B55" s="183"/>
      <c r="C55" s="482" t="s">
        <v>471</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c r="A56" s="200"/>
      <c r="B56" s="183"/>
      <c r="C56" s="244"/>
      <c r="D56" s="183"/>
      <c r="E56" s="496"/>
      <c r="F56" s="495"/>
      <c r="G56" s="496"/>
      <c r="H56" s="183"/>
      <c r="I56" s="209"/>
      <c r="J56" s="183"/>
      <c r="K56" s="209"/>
      <c r="L56" s="180"/>
      <c r="M56" s="209"/>
      <c r="N56" s="184"/>
    </row>
    <row r="57" spans="1:16" ht="30" customHeight="1">
      <c r="A57" s="200"/>
      <c r="B57" s="183"/>
      <c r="C57" s="482" t="s">
        <v>472</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c r="A58" s="200"/>
      <c r="B58" s="183"/>
      <c r="C58" s="244"/>
      <c r="D58" s="183"/>
      <c r="E58" s="496"/>
      <c r="F58" s="495"/>
      <c r="G58" s="496"/>
      <c r="H58" s="183"/>
      <c r="I58" s="209"/>
      <c r="J58" s="183"/>
      <c r="K58" s="209"/>
      <c r="L58" s="180"/>
      <c r="M58" s="209"/>
      <c r="N58" s="184"/>
    </row>
    <row r="59" spans="1:16" ht="30" customHeight="1">
      <c r="A59" s="200"/>
      <c r="B59" s="183"/>
      <c r="C59" s="482" t="s">
        <v>473</v>
      </c>
      <c r="D59" s="183"/>
      <c r="E59" s="494">
        <f>IF(G59&gt;0,(COUNTIF(Assessment_EIF!G135:G137,"✓"))/((COUNTIF(Assessment_EIF!G135:G137,"X"))+(COUNTIF(Assessment_EIF!G135:G137,"✓"))),0)</f>
        <v>1</v>
      </c>
      <c r="F59" s="495"/>
      <c r="G59" s="494">
        <f>(COUNTIF(Assessment_EIF!G135:G137,"✓")+COUNTIF(Assessment_EIF!G135:G137,"X"))/2</f>
        <v>1</v>
      </c>
      <c r="H59" s="183"/>
      <c r="I59" s="208">
        <f>COUNTIF(Assessment_EIF!G135:G137,"✓")</f>
        <v>2</v>
      </c>
      <c r="J59" s="183"/>
      <c r="K59" s="208">
        <f>COUNTIF(Assessment_EIF!G135:G137,"X")</f>
        <v>0</v>
      </c>
      <c r="L59" s="180"/>
      <c r="M59" s="208">
        <f>COUNTIF(Assessment_EIF!G135:G137,"N/A")</f>
        <v>0</v>
      </c>
      <c r="N59" s="184"/>
    </row>
    <row r="60" spans="1:16" ht="7.5" customHeight="1">
      <c r="A60" s="200"/>
      <c r="B60" s="183"/>
      <c r="C60" s="244"/>
      <c r="D60" s="183"/>
      <c r="E60" s="496"/>
      <c r="F60" s="495"/>
      <c r="G60" s="496"/>
      <c r="H60" s="183"/>
      <c r="I60" s="209"/>
      <c r="J60" s="183"/>
      <c r="K60" s="209"/>
      <c r="L60" s="180"/>
      <c r="M60" s="209"/>
      <c r="N60" s="184"/>
    </row>
    <row r="61" spans="1:16" ht="30" customHeight="1" thickBot="1">
      <c r="A61" s="200"/>
      <c r="B61" s="183"/>
      <c r="C61" s="242" t="s">
        <v>474</v>
      </c>
      <c r="D61" s="183"/>
      <c r="E61" s="494">
        <f>IF(G61&gt;0,(COUNTIF(Assessment_EIF!G24:G42,"✓"))/((COUNTIF(Assessment_EIF!G24:G42,"X"))+(COUNTIF(Assessment_EIF!G24:G42,"✓"))),0)</f>
        <v>1</v>
      </c>
      <c r="F61" s="495"/>
      <c r="G61" s="494">
        <f>(COUNTIF(Assessment_EIF!G24:G42,"✓")+COUNTIF(Assessment_EIF!G24:G42,"X"))/10</f>
        <v>1</v>
      </c>
      <c r="H61" s="492"/>
      <c r="I61" s="209"/>
      <c r="J61" s="183"/>
      <c r="K61" s="209"/>
      <c r="L61" s="180"/>
      <c r="M61" s="209"/>
      <c r="N61" s="184"/>
    </row>
    <row r="62" spans="1:16" ht="10.15" customHeight="1">
      <c r="A62" s="200"/>
      <c r="B62" s="183"/>
      <c r="C62" s="246"/>
      <c r="D62" s="183"/>
      <c r="E62" s="496"/>
      <c r="F62" s="495"/>
      <c r="G62" s="496"/>
      <c r="H62" s="183"/>
      <c r="I62" s="486"/>
      <c r="J62" s="183"/>
      <c r="K62" s="210"/>
      <c r="L62" s="180"/>
      <c r="M62" s="210"/>
      <c r="N62" s="184"/>
    </row>
    <row r="63" spans="1:16" ht="33" customHeight="1" thickBot="1">
      <c r="A63" s="200"/>
      <c r="B63" s="183"/>
      <c r="C63" s="247" t="s">
        <v>302</v>
      </c>
      <c r="D63" s="248"/>
      <c r="E63" s="493">
        <f>IF(G63&gt;0,((COUNTIF(Assessment_EIF!G104:G137,"✓"))+(COUNTIF(Assessment_EIF!G24:G42,"✓")))/(((COUNTIF(Assessment_EIF!G104:G137,"X"))+(COUNTIF(Assessment_EIF!G104:G137,"✓")))+((COUNTIF(Assessment_EIF!G24:G42,"X"))+(COUNTIF(Assessment_EIF!G24:G42,"✓")))),0)</f>
        <v>0.9</v>
      </c>
      <c r="F63" s="497"/>
      <c r="G63" s="493">
        <f>(((COUNTIF(Assessment_EIF!G104:G137,"X"))+(COUNTIF(Assessment_EIF!G104:G137,"✓")))+((COUNTIF(Assessment_EIF!G24:G42,"X"))+(COUNTIF(Assessment_EIF!G24:G42,"✓"))))/22</f>
        <v>0.90909090909090906</v>
      </c>
      <c r="H63" s="248"/>
      <c r="I63" s="214">
        <f>SUM(I51:I59,I20)</f>
        <v>18</v>
      </c>
      <c r="J63" s="248"/>
      <c r="K63" s="214">
        <f>SUM(K51:K59,K20)</f>
        <v>2</v>
      </c>
      <c r="L63" s="248"/>
      <c r="M63" s="214">
        <f>SUM(M51:M59,M20)</f>
        <v>2</v>
      </c>
      <c r="N63" s="184"/>
      <c r="P63" s="128">
        <v>1</v>
      </c>
    </row>
    <row r="64" spans="1:16" ht="11.25" customHeight="1">
      <c r="A64" s="200"/>
      <c r="B64" s="183"/>
      <c r="C64" s="489"/>
      <c r="D64" s="248"/>
      <c r="E64" s="490"/>
      <c r="F64" s="213"/>
      <c r="G64" s="490"/>
      <c r="H64" s="248"/>
      <c r="I64" s="487"/>
      <c r="J64" s="248"/>
      <c r="K64" s="487"/>
      <c r="L64" s="248"/>
      <c r="M64" s="487"/>
      <c r="N64" s="184"/>
      <c r="P64" s="491"/>
    </row>
    <row r="65" spans="1:18">
      <c r="A65" s="200"/>
      <c r="B65" s="183"/>
      <c r="C65" s="770" t="s">
        <v>475</v>
      </c>
      <c r="D65" s="770"/>
      <c r="E65" s="770"/>
      <c r="F65" s="770"/>
      <c r="G65" s="770"/>
      <c r="H65" s="770"/>
      <c r="I65" s="770"/>
      <c r="J65" s="770"/>
      <c r="K65" s="770"/>
      <c r="L65" s="770"/>
      <c r="M65" s="770"/>
      <c r="N65" s="184"/>
      <c r="P65" s="491"/>
    </row>
    <row r="66" spans="1:18" ht="15.75" thickBot="1">
      <c r="A66" s="237"/>
      <c r="B66" s="238"/>
      <c r="C66" s="488"/>
      <c r="D66" s="240"/>
      <c r="E66" s="239"/>
      <c r="F66" s="239"/>
      <c r="G66" s="239"/>
      <c r="H66" s="239"/>
      <c r="I66" s="239"/>
      <c r="J66" s="239"/>
      <c r="K66" s="239"/>
      <c r="L66" s="239"/>
      <c r="M66" s="239"/>
      <c r="N66" s="241"/>
    </row>
    <row r="67" spans="1:18" ht="16.5" customHeight="1">
      <c r="A67" s="200"/>
      <c r="B67" s="183"/>
      <c r="C67" s="783" t="s">
        <v>436</v>
      </c>
      <c r="D67" s="183"/>
      <c r="E67" s="785">
        <f>IF(G67&gt;0,(COUNTIF(Assessment_EIF!G18:G137,"✓"))/((COUNTIF(Assessment_EIF!G18:G137,"X"))+(COUNTIF(Assessment_EIF!G18:G137,"✓"))),0)</f>
        <v>0.87878787878787878</v>
      </c>
      <c r="F67" s="183"/>
      <c r="G67" s="785">
        <f>(COUNTIF(Assessment_EIF!G18:G137,"✓")+COUNTIF(Assessment_EIF!G18:G137,"X"))/39</f>
        <v>0.84615384615384615</v>
      </c>
      <c r="H67" s="183"/>
      <c r="I67" s="787">
        <f>COUNTIF(Assessment_EIF!G18:G137,"✓")</f>
        <v>29</v>
      </c>
      <c r="J67" s="183"/>
      <c r="K67" s="787">
        <f>COUNTIF(Assessment_EIF!G18:G137,"X")</f>
        <v>4</v>
      </c>
      <c r="L67" s="183"/>
      <c r="M67" s="787">
        <f>COUNTIF(Assessment_EIF!G18:G137,"N/A")</f>
        <v>6</v>
      </c>
      <c r="N67" s="184"/>
      <c r="P67" s="768">
        <v>1</v>
      </c>
      <c r="R67" s="768"/>
    </row>
    <row r="68" spans="1:18" ht="15.75" thickBot="1">
      <c r="A68" s="200"/>
      <c r="B68" s="183"/>
      <c r="C68" s="784"/>
      <c r="D68" s="183"/>
      <c r="E68" s="786"/>
      <c r="F68" s="213"/>
      <c r="G68" s="786"/>
      <c r="H68" s="248"/>
      <c r="I68" s="788"/>
      <c r="J68" s="248"/>
      <c r="K68" s="788"/>
      <c r="L68" s="248"/>
      <c r="M68" s="788"/>
      <c r="N68" s="184"/>
      <c r="P68" s="769"/>
      <c r="R68" s="769"/>
    </row>
    <row r="69" spans="1:18">
      <c r="A69" s="249"/>
      <c r="B69" s="193"/>
      <c r="C69" s="485"/>
      <c r="D69" s="193"/>
      <c r="E69" s="251"/>
      <c r="F69" s="193"/>
      <c r="G69" s="251"/>
      <c r="H69" s="193"/>
      <c r="I69" s="252"/>
      <c r="J69" s="193"/>
      <c r="K69" s="252"/>
      <c r="L69" s="193"/>
      <c r="M69" s="252"/>
      <c r="N69" s="194"/>
    </row>
    <row r="70" spans="1:18">
      <c r="A70" s="195"/>
      <c r="B70" s="195"/>
      <c r="C70" s="205"/>
      <c r="D70" s="195"/>
      <c r="E70" s="195"/>
      <c r="F70" s="195"/>
      <c r="G70" s="195"/>
      <c r="H70" s="195"/>
      <c r="I70" s="195"/>
      <c r="J70" s="195"/>
      <c r="K70" s="195"/>
      <c r="L70" s="195"/>
      <c r="M70" s="195"/>
      <c r="N70" s="195"/>
    </row>
    <row r="71" spans="1:18">
      <c r="A71" s="253"/>
      <c r="B71" s="183"/>
      <c r="C71" s="183"/>
      <c r="D71" s="183"/>
      <c r="E71" s="183"/>
      <c r="F71" s="183"/>
      <c r="G71" s="183"/>
      <c r="H71" s="183"/>
      <c r="I71" s="183"/>
      <c r="J71" s="183"/>
      <c r="K71" s="183"/>
      <c r="L71" s="183"/>
      <c r="M71" s="183"/>
      <c r="N71" s="183"/>
    </row>
    <row r="72" spans="1:18">
      <c r="A72" s="253"/>
      <c r="B72" s="183"/>
      <c r="C72" s="183"/>
      <c r="D72" s="183"/>
      <c r="E72" s="183"/>
      <c r="F72" s="183"/>
      <c r="G72" s="183"/>
      <c r="H72" s="183"/>
      <c r="I72" s="183"/>
      <c r="J72" s="183"/>
      <c r="K72" s="183"/>
      <c r="L72" s="183"/>
      <c r="M72" s="183"/>
      <c r="N72" s="183"/>
    </row>
    <row r="73" spans="1:18">
      <c r="A73" s="253"/>
      <c r="B73" s="183"/>
      <c r="C73" s="183"/>
      <c r="D73" s="183"/>
      <c r="E73" s="183"/>
      <c r="F73" s="183"/>
      <c r="G73" s="183"/>
      <c r="H73" s="183"/>
      <c r="I73" s="183"/>
      <c r="J73" s="183"/>
      <c r="K73" s="183"/>
      <c r="L73" s="183"/>
      <c r="M73" s="183"/>
      <c r="N73" s="183"/>
    </row>
    <row r="74" spans="1:18">
      <c r="A74" s="253"/>
      <c r="B74" s="183"/>
      <c r="C74" s="183"/>
      <c r="D74" s="183"/>
      <c r="E74" s="183"/>
      <c r="F74" s="183"/>
      <c r="G74" s="183"/>
      <c r="H74" s="183"/>
      <c r="I74" s="183"/>
      <c r="J74" s="183"/>
      <c r="K74" s="183"/>
      <c r="L74" s="183"/>
      <c r="M74" s="183"/>
      <c r="N74" s="183"/>
    </row>
    <row r="75" spans="1:18">
      <c r="A75" s="254"/>
      <c r="B75" s="183"/>
      <c r="C75" s="183"/>
      <c r="D75" s="183"/>
      <c r="E75" s="183"/>
      <c r="F75" s="183"/>
      <c r="G75" s="183"/>
      <c r="H75" s="183"/>
      <c r="I75" s="183"/>
      <c r="J75" s="183"/>
      <c r="K75" s="183"/>
      <c r="L75" s="183"/>
      <c r="M75" s="183"/>
      <c r="N75" s="183"/>
    </row>
    <row r="76" spans="1:18">
      <c r="A76" s="254"/>
      <c r="B76" s="183"/>
      <c r="C76" s="183"/>
      <c r="D76" s="183"/>
      <c r="E76" s="183"/>
      <c r="F76" s="183"/>
      <c r="G76" s="183"/>
      <c r="H76" s="183"/>
      <c r="I76" s="183"/>
      <c r="J76" s="183"/>
      <c r="K76" s="183"/>
      <c r="L76" s="183"/>
      <c r="M76" s="183"/>
      <c r="N76" s="183"/>
    </row>
    <row r="77" spans="1:18">
      <c r="A77" s="254"/>
      <c r="B77" s="183"/>
      <c r="C77" s="183"/>
      <c r="D77" s="183"/>
      <c r="E77" s="183"/>
      <c r="F77" s="183"/>
      <c r="G77" s="183"/>
      <c r="H77" s="183"/>
      <c r="I77" s="183"/>
      <c r="J77" s="183"/>
      <c r="K77" s="183"/>
      <c r="L77" s="183"/>
      <c r="M77" s="183"/>
      <c r="N77" s="183"/>
    </row>
    <row r="78" spans="1:18">
      <c r="A78" s="254"/>
      <c r="B78" s="183"/>
      <c r="C78" s="183"/>
      <c r="D78" s="183"/>
      <c r="E78" s="183"/>
      <c r="F78" s="183"/>
      <c r="G78" s="183"/>
      <c r="H78" s="183"/>
      <c r="I78" s="183"/>
      <c r="J78" s="183"/>
      <c r="K78" s="183"/>
      <c r="L78" s="183"/>
      <c r="M78" s="183"/>
      <c r="N78" s="183"/>
    </row>
    <row r="79" spans="1:18">
      <c r="A79" s="254"/>
      <c r="B79" s="183"/>
      <c r="C79" s="183"/>
      <c r="D79" s="183"/>
      <c r="E79" s="183"/>
      <c r="F79" s="183"/>
      <c r="G79" s="183"/>
      <c r="H79" s="183"/>
      <c r="I79" s="183"/>
      <c r="J79" s="183"/>
      <c r="K79" s="183"/>
      <c r="L79" s="183"/>
      <c r="M79" s="183"/>
      <c r="N79" s="183"/>
    </row>
    <row r="80" spans="1:18">
      <c r="A80" s="254"/>
      <c r="B80" s="183"/>
      <c r="C80" s="183"/>
      <c r="D80" s="183"/>
      <c r="E80" s="183"/>
      <c r="F80" s="183"/>
      <c r="G80" s="183"/>
      <c r="H80" s="183"/>
      <c r="I80" s="183"/>
      <c r="J80" s="183"/>
      <c r="K80" s="183"/>
      <c r="L80" s="183"/>
      <c r="M80" s="183"/>
      <c r="N80" s="183"/>
    </row>
    <row r="81" spans="1:14">
      <c r="A81" s="254"/>
      <c r="B81" s="183"/>
      <c r="C81" s="183"/>
      <c r="D81" s="183"/>
      <c r="E81" s="183"/>
      <c r="F81" s="183"/>
      <c r="G81" s="183"/>
      <c r="H81" s="183"/>
      <c r="I81" s="183"/>
      <c r="J81" s="183"/>
      <c r="K81" s="183"/>
      <c r="L81" s="183"/>
      <c r="M81" s="183"/>
      <c r="N81" s="183"/>
    </row>
    <row r="82" spans="1:14">
      <c r="A82" s="254"/>
      <c r="B82" s="183"/>
      <c r="C82" s="183"/>
      <c r="D82" s="183"/>
      <c r="E82" s="183"/>
      <c r="F82" s="183"/>
      <c r="G82" s="183"/>
      <c r="H82" s="183"/>
      <c r="I82" s="183"/>
      <c r="J82" s="183"/>
      <c r="K82" s="183"/>
      <c r="L82" s="183"/>
      <c r="M82" s="183"/>
      <c r="N82" s="183"/>
    </row>
    <row r="83" spans="1:14">
      <c r="A83" s="254"/>
      <c r="B83" s="183"/>
      <c r="C83" s="183"/>
      <c r="D83" s="183"/>
      <c r="E83" s="183"/>
      <c r="F83" s="183"/>
      <c r="G83" s="183"/>
      <c r="H83" s="183"/>
      <c r="I83" s="183"/>
      <c r="J83" s="183"/>
      <c r="K83" s="183"/>
      <c r="L83" s="183"/>
      <c r="M83" s="183"/>
      <c r="N83" s="183"/>
    </row>
    <row r="84" spans="1:14">
      <c r="A84" s="255"/>
      <c r="B84" s="255"/>
      <c r="C84" s="255"/>
      <c r="D84" s="255"/>
      <c r="E84" s="255"/>
      <c r="F84" s="255"/>
      <c r="G84" s="255"/>
      <c r="H84" s="255"/>
      <c r="I84" s="255"/>
      <c r="J84" s="255"/>
      <c r="K84" s="255"/>
      <c r="L84" s="255"/>
      <c r="M84" s="183"/>
      <c r="N84" s="183"/>
    </row>
    <row r="85" spans="1:14">
      <c r="A85" s="256"/>
      <c r="B85" s="180"/>
      <c r="C85" s="180"/>
      <c r="D85" s="180"/>
      <c r="E85" s="180"/>
      <c r="F85" s="180"/>
      <c r="G85" s="180"/>
      <c r="H85" s="180"/>
      <c r="I85" s="180"/>
      <c r="J85" s="180"/>
      <c r="K85" s="180"/>
      <c r="L85" s="180"/>
      <c r="M85" s="183"/>
      <c r="N85" s="183"/>
    </row>
    <row r="86" spans="1:14">
      <c r="A86" s="256"/>
      <c r="B86" s="180"/>
      <c r="C86" s="180"/>
      <c r="D86" s="180"/>
      <c r="E86" s="180"/>
      <c r="F86" s="180"/>
      <c r="G86" s="180"/>
      <c r="H86" s="180"/>
      <c r="I86" s="180"/>
      <c r="J86" s="180"/>
      <c r="K86" s="180"/>
      <c r="L86" s="180"/>
      <c r="M86" s="183"/>
      <c r="N86" s="183"/>
    </row>
    <row r="87" spans="1:14">
      <c r="A87" s="256"/>
      <c r="B87" s="180"/>
      <c r="C87" s="180"/>
      <c r="D87" s="180"/>
      <c r="E87" s="180"/>
      <c r="F87" s="180"/>
      <c r="G87" s="180"/>
      <c r="H87" s="180"/>
      <c r="I87" s="180"/>
      <c r="J87" s="180"/>
      <c r="K87" s="180"/>
      <c r="L87" s="180"/>
      <c r="M87" s="183"/>
      <c r="N87" s="183"/>
    </row>
    <row r="88" spans="1:14">
      <c r="A88" s="256"/>
      <c r="B88" s="180"/>
      <c r="C88" s="180"/>
      <c r="D88" s="180"/>
      <c r="E88" s="180"/>
      <c r="F88" s="180"/>
      <c r="G88" s="180"/>
      <c r="H88" s="180"/>
      <c r="I88" s="180"/>
      <c r="J88" s="180"/>
      <c r="K88" s="180"/>
      <c r="L88" s="180"/>
      <c r="M88" s="183"/>
      <c r="N88" s="183"/>
    </row>
    <row r="89" spans="1:14">
      <c r="A89" s="256"/>
      <c r="B89" s="180"/>
      <c r="C89" s="180"/>
      <c r="D89" s="180"/>
      <c r="E89" s="180"/>
      <c r="F89" s="180"/>
      <c r="G89" s="180"/>
      <c r="H89" s="180"/>
      <c r="I89" s="180"/>
      <c r="J89" s="180"/>
      <c r="K89" s="180"/>
      <c r="L89" s="180"/>
      <c r="M89" s="183"/>
      <c r="N89" s="183"/>
    </row>
    <row r="90" spans="1:14">
      <c r="A90" s="256"/>
      <c r="B90" s="180"/>
      <c r="C90" s="180"/>
      <c r="D90" s="180"/>
      <c r="E90" s="180"/>
      <c r="F90" s="180"/>
      <c r="G90" s="180"/>
      <c r="H90" s="180"/>
      <c r="I90" s="180"/>
      <c r="J90" s="180"/>
      <c r="K90" s="180"/>
      <c r="L90" s="180"/>
      <c r="M90" s="183"/>
      <c r="N90" s="183"/>
    </row>
    <row r="91" spans="1:14">
      <c r="A91" s="256"/>
      <c r="B91" s="180"/>
      <c r="C91" s="180"/>
      <c r="D91" s="180"/>
      <c r="E91" s="180"/>
      <c r="F91" s="180"/>
      <c r="G91" s="180"/>
      <c r="H91" s="180"/>
      <c r="I91" s="180"/>
      <c r="J91" s="180"/>
      <c r="K91" s="180"/>
      <c r="L91" s="180"/>
      <c r="M91" s="183"/>
      <c r="N91" s="183"/>
    </row>
    <row r="92" spans="1:14">
      <c r="A92" s="256"/>
      <c r="B92" s="180"/>
      <c r="C92" s="180"/>
      <c r="D92" s="180"/>
      <c r="E92" s="180"/>
      <c r="F92" s="180"/>
      <c r="G92" s="180"/>
      <c r="H92" s="180"/>
      <c r="I92" s="180"/>
      <c r="J92" s="180"/>
      <c r="K92" s="180"/>
      <c r="L92" s="180"/>
      <c r="M92" s="183"/>
      <c r="N92" s="183"/>
    </row>
    <row r="93" spans="1:14">
      <c r="A93" s="256"/>
      <c r="B93" s="180"/>
      <c r="C93" s="180"/>
      <c r="D93" s="180"/>
      <c r="E93" s="180"/>
      <c r="F93" s="180"/>
      <c r="G93" s="180"/>
      <c r="H93" s="180"/>
      <c r="I93" s="180"/>
      <c r="J93" s="180"/>
      <c r="K93" s="180"/>
      <c r="L93" s="180"/>
      <c r="M93" s="183"/>
      <c r="N93" s="183"/>
    </row>
    <row r="94" spans="1:14">
      <c r="A94" s="256"/>
      <c r="B94" s="180"/>
      <c r="C94" s="180"/>
      <c r="D94" s="180"/>
      <c r="E94" s="180"/>
      <c r="F94" s="180"/>
      <c r="G94" s="180"/>
      <c r="H94" s="180"/>
      <c r="I94" s="180"/>
      <c r="J94" s="180"/>
      <c r="K94" s="180"/>
      <c r="L94" s="180"/>
      <c r="M94" s="183"/>
      <c r="N94" s="183"/>
    </row>
    <row r="95" spans="1:14">
      <c r="A95" s="256"/>
      <c r="B95" s="180"/>
      <c r="C95" s="180"/>
      <c r="D95" s="180"/>
      <c r="E95" s="180"/>
      <c r="F95" s="180"/>
      <c r="G95" s="180"/>
      <c r="H95" s="180"/>
      <c r="I95" s="180"/>
      <c r="J95" s="180"/>
      <c r="K95" s="180"/>
      <c r="L95" s="180"/>
      <c r="M95" s="183"/>
      <c r="N95" s="183"/>
    </row>
    <row r="96" spans="1:14">
      <c r="A96" s="256"/>
      <c r="B96" s="180"/>
      <c r="C96" s="180"/>
      <c r="D96" s="180"/>
      <c r="E96" s="180"/>
      <c r="F96" s="180"/>
      <c r="G96" s="180"/>
      <c r="H96" s="180"/>
      <c r="I96" s="180"/>
      <c r="J96" s="180"/>
      <c r="K96" s="180"/>
      <c r="L96" s="180"/>
      <c r="M96" s="183"/>
      <c r="N96" s="183"/>
    </row>
    <row r="97" spans="1:14">
      <c r="A97" s="256"/>
      <c r="B97" s="180"/>
      <c r="C97" s="180"/>
      <c r="D97" s="180"/>
      <c r="E97" s="180"/>
      <c r="F97" s="180"/>
      <c r="G97" s="180"/>
      <c r="H97" s="180"/>
      <c r="I97" s="180"/>
      <c r="J97" s="180"/>
      <c r="K97" s="180"/>
      <c r="L97" s="180"/>
      <c r="M97" s="183"/>
      <c r="N97" s="183"/>
    </row>
    <row r="98" spans="1:14">
      <c r="A98" s="256"/>
      <c r="B98" s="180"/>
      <c r="C98" s="180"/>
      <c r="D98" s="180"/>
      <c r="E98" s="180"/>
      <c r="F98" s="180"/>
      <c r="G98" s="180"/>
      <c r="H98" s="180"/>
      <c r="I98" s="180"/>
      <c r="J98" s="180"/>
      <c r="K98" s="180"/>
      <c r="L98" s="180"/>
      <c r="M98" s="183"/>
      <c r="N98" s="183"/>
    </row>
    <row r="99" spans="1:14">
      <c r="A99" s="256"/>
      <c r="B99" s="180"/>
      <c r="C99" s="180"/>
      <c r="D99" s="180"/>
      <c r="E99" s="180"/>
      <c r="F99" s="180"/>
      <c r="G99" s="180"/>
      <c r="H99" s="180"/>
      <c r="I99" s="180"/>
      <c r="J99" s="180"/>
      <c r="K99" s="180"/>
      <c r="L99" s="180"/>
      <c r="M99" s="183"/>
      <c r="N99" s="183"/>
    </row>
    <row r="100" spans="1:14">
      <c r="A100" s="256"/>
      <c r="B100" s="180"/>
      <c r="C100" s="180"/>
      <c r="D100" s="180"/>
      <c r="E100" s="180"/>
      <c r="F100" s="180"/>
      <c r="G100" s="180"/>
      <c r="H100" s="180"/>
      <c r="I100" s="180"/>
      <c r="J100" s="180"/>
      <c r="K100" s="180"/>
      <c r="L100" s="180"/>
      <c r="M100" s="183"/>
      <c r="N100" s="183"/>
    </row>
    <row r="101" spans="1:14" ht="30.75" customHeight="1">
      <c r="A101" s="250"/>
      <c r="B101" s="250"/>
      <c r="C101" s="250"/>
      <c r="D101" s="250"/>
      <c r="E101" s="250"/>
      <c r="F101" s="250"/>
      <c r="G101" s="250"/>
      <c r="H101" s="250"/>
      <c r="I101" s="250"/>
      <c r="J101" s="250"/>
      <c r="K101" s="250"/>
      <c r="L101" s="250"/>
      <c r="M101" s="250"/>
      <c r="N101" s="250"/>
    </row>
    <row r="102" spans="1:14" ht="44.25" customHeight="1">
      <c r="A102" s="169"/>
      <c r="B102" s="169"/>
      <c r="C102" s="773" t="s">
        <v>476</v>
      </c>
      <c r="D102" s="773"/>
      <c r="E102" s="773"/>
      <c r="F102" s="773"/>
      <c r="G102" s="773"/>
      <c r="H102" s="773"/>
      <c r="I102" s="773"/>
      <c r="J102" s="773"/>
      <c r="K102" s="773"/>
      <c r="L102" s="773"/>
      <c r="M102" s="773"/>
      <c r="N102" s="169"/>
    </row>
  </sheetData>
  <sheetProtection algorithmName="SHA-512" hashValue="hTfchr5oN6DOce/O5nZu6F30D6X8cWx6HvOY/oXZ3j3pzeSS9/YAmDg4UQ+A94ec7PgrVRUszHOIFD9cRcq1QA==" saltValue="KMiwxixCtlU0d/3DS6nV2w=="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
  <sheetViews>
    <sheetView workbookViewId="0">
      <selection activeCell="F40" sqref="F40"/>
    </sheetView>
  </sheetViews>
  <sheetFormatPr defaultColWidth="8.7109375" defaultRowHeight="15"/>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902FE96-6E7F-4719-AFFC-4FC95B5C67E3}"/>
</file>

<file path=customXml/itemProps2.xml><?xml version="1.0" encoding="utf-8"?>
<ds:datastoreItem xmlns:ds="http://schemas.openxmlformats.org/officeDocument/2006/customXml" ds:itemID="{67E59505-AC7D-444F-B635-E4B3C5CFA828}"/>
</file>

<file path=customXml/itemProps3.xml><?xml version="1.0" encoding="utf-8"?>
<ds:datastoreItem xmlns:ds="http://schemas.openxmlformats.org/officeDocument/2006/customXml" ds:itemID="{7CAE4CF5-2834-4907-9192-DF8FD4A1A5D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2021-04-07T08:47:58Z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
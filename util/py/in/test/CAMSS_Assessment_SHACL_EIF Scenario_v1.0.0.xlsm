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4.xml.rels" ContentType="application/vnd.openxmlformats-package.relationships+xml"/>
  <Override PartName="/xl/worksheets/_rels/sheet11.xml.rels" ContentType="application/vnd.openxmlformats-package.relationships+xml"/>
  <Override PartName="/xl/worksheets/_rels/sheet1.xml.rels" ContentType="application/vnd.openxmlformats-package.relationships+xml"/>
  <Override PartName="/xl/worksheets/_rels/sheet10.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9.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_rels/workbook.xml.rels" ContentType="application/vnd.openxmlformats-package.relationships+xml"/>
  <Override PartName="/xl/sharedStrings.xml" ContentType="application/vnd.openxmlformats-officedocument.spreadsheetml.sharedStrings+xml"/>
  <Override PartName="/xl/media/image1.png" ContentType="image/png"/>
  <Override PartName="/xl/media/image3.jpeg" ContentType="image/jpeg"/>
  <Override PartName="/xl/media/image2.png" ContentType="image/png"/>
  <Override PartName="/xl/media/image4.jpeg" ContentType="image/jpeg"/>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_rels/drawing9.xml.rels" ContentType="application/vnd.openxmlformats-package.relationships+xml"/>
  <Override PartName="/xl/drawings/_rels/drawing3.xml.rels" ContentType="application/vnd.openxmlformats-package.relationships+xml"/>
  <Override PartName="/xl/drawings/_rels/drawing8.xml.rels" ContentType="application/vnd.openxmlformats-package.relationships+xml"/>
  <Override PartName="/xl/drawings/_rels/drawing7.xml.rels" ContentType="application/vnd.openxmlformats-package.relationships+xml"/>
  <Override PartName="/xl/drawings/_rels/drawing6.xml.rels" ContentType="application/vnd.openxmlformats-package.relationships+xml"/>
  <Override PartName="/xl/drawings/_rels/drawing5.xml.rels" ContentType="application/vnd.openxmlformats-package.relationships+xml"/>
  <Override PartName="/xl/drawings/_rels/drawing2.xml.rels" ContentType="application/vnd.openxmlformats-package.relationships+xml"/>
  <Override PartName="/xl/drawings/_rels/drawing4.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Cover" sheetId="1" state="visible" r:id="rId3"/>
    <sheet name="Setup_MSP" sheetId="2" state="hidden" r:id="rId4"/>
    <sheet name="Setup_TS" sheetId="3" state="hidden" r:id="rId5"/>
    <sheet name="Sheet1" sheetId="4" state="hidden" r:id="rId6"/>
    <sheet name="Assessment_MSP" sheetId="5" state="hidden" r:id="rId7"/>
    <sheet name="Setup_EIF" sheetId="6" state="visible" r:id="rId8"/>
    <sheet name="Setup_ODSAT" sheetId="7" state="hidden" r:id="rId9"/>
    <sheet name="Assessment_ODSAT" sheetId="8" state="hidden" r:id="rId10"/>
    <sheet name="Assessment_EIF" sheetId="9" state="visible" r:id="rId11"/>
    <sheet name="Assessment_TS" sheetId="10" state="hidden" r:id="rId12"/>
    <sheet name="Results" sheetId="11" state="hidden" r:id="rId13"/>
    <sheet name="ResultsTS" sheetId="12" state="hidden" r:id="rId14"/>
    <sheet name="ResultsMSP" sheetId="13" state="hidden" r:id="rId15"/>
    <sheet name="Results " sheetId="14" state="visible" r:id="rId16"/>
    <sheet name="ResultsODSAT" sheetId="15" state="hidden" r:id="rId17"/>
  </sheets>
  <externalReferences>
    <externalReference r:id="rId18"/>
  </externalReferences>
  <definedNames>
    <definedName function="false" hidden="false" name="selection_allowed" vbProcedure="false">'[1]IOP Calculation Dashboard'!$A$418:$A$419</definedName>
    <definedName function="false" hidden="false" name="selection_not_allowed" vbProcedure="false">'[1]IOP Calculation Dashboard'!$B$418</definedName>
    <definedName function="true" hidden="false" name="Module1.Start" vbProcedure="true"/>
    <definedName function="true" hidden="false" name="Module2.TextBox8_Click"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<sst xmlns="http://schemas.openxmlformats.org/spreadsheetml/2006/main" count="877" uniqueCount="464">
  <si>
    <t xml:space="preserve">joinup</t>
  </si>
  <si>
    <t xml:space="preserve"> CAMSS Solution</t>
  </si>
  <si>
    <t xml:space="preserve">ASSESSMENT TOOLS</t>
  </si>
  <si>
    <r>
      <rPr>
        <b val="true"/>
        <sz val="10"/>
        <color rgb="FF404040"/>
        <rFont val="Century Gothic"/>
        <family val="2"/>
        <charset val="1"/>
      </rPr>
      <t xml:space="preserve">        Tool version: </t>
    </r>
    <r>
      <rPr>
        <sz val="10"/>
        <color rgb="FF404040"/>
        <rFont val="Century Gothic"/>
        <family val="2"/>
        <charset val="1"/>
      </rPr>
      <t xml:space="preserve">3.0.0</t>
    </r>
  </si>
  <si>
    <r>
      <rPr>
        <b val="true"/>
        <sz val="10"/>
        <color rgb="FF404040"/>
        <rFont val="Century Gothic"/>
        <family val="2"/>
        <charset val="1"/>
      </rPr>
      <t xml:space="preserve"> Tool Release Date: </t>
    </r>
    <r>
      <rPr>
        <sz val="10"/>
        <color rgb="FF404040"/>
        <rFont val="Century Gothic"/>
        <family val="2"/>
        <charset val="1"/>
      </rPr>
      <t xml:space="preserve">30/04/2019</t>
    </r>
  </si>
  <si>
    <t xml:space="preserve">Select the Assessment Scenario</t>
  </si>
  <si>
    <t xml:space="preserve">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</si>
  <si>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</si>
  <si>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 xml:space="preserve">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</si>
  <si>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 xml:space="preserve">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</si>
  <si>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 xml:space="preserve">PENDING SAT TO BE PRODUCED</t>
  </si>
  <si>
    <t xml:space="preserve">For any request related to CAMSS, please send an email by clicking on this button:</t>
  </si>
  <si>
    <t xml:space="preserve">Technical specification</t>
  </si>
  <si>
    <t xml:space="preserve">MSP</t>
  </si>
  <si>
    <r>
      <rPr>
        <sz val="11"/>
        <color rgb="FF000000"/>
        <rFont val="Calibri"/>
        <family val="2"/>
        <charset val="1"/>
      </rPr>
      <t xml:space="preserve">Please, fill in the mandatory</t>
    </r>
    <r>
      <rPr>
        <sz val="11"/>
        <color rgb="FFFF3333"/>
        <rFont val="Calibri"/>
        <family val="2"/>
        <charset val="1"/>
      </rPr>
      <t xml:space="preserve">*</t>
    </r>
    <r>
      <rPr>
        <sz val="11"/>
        <color rgb="FF000000"/>
        <rFont val="Calibri"/>
        <family val="2"/>
        <charset val="1"/>
      </rPr>
      <t xml:space="preserve"> information to  start the assessment</t>
    </r>
  </si>
  <si>
    <r>
      <rPr>
        <i val="true"/>
        <sz val="11"/>
        <color rgb="FF000000"/>
        <rFont val="Calibri"/>
        <family val="2"/>
        <charset val="1"/>
      </rPr>
      <t xml:space="preserve">Please, fill in the mandatory</t>
    </r>
    <r>
      <rPr>
        <i val="true"/>
        <sz val="11"/>
        <color rgb="FFFF3333"/>
        <rFont val="Calibri"/>
        <family val="2"/>
        <charset val="1"/>
      </rPr>
      <t xml:space="preserve">*</t>
    </r>
    <r>
      <rPr>
        <i val="true"/>
        <sz val="11"/>
        <color rgb="FF000000"/>
        <rFont val="Calibri"/>
        <family val="2"/>
        <charset val="1"/>
      </rPr>
      <t xml:space="preserve"> information to  start the asseement</t>
    </r>
  </si>
  <si>
    <t xml:space="preserve">INFORMATION ON THE SUBMITTER</t>
  </si>
  <si>
    <t xml:space="preserve">L1</t>
  </si>
  <si>
    <t xml:space="preserve">Last name, First name</t>
  </si>
  <si>
    <t xml:space="preserve">L2</t>
  </si>
  <si>
    <t xml:space="preserve">Organisation</t>
  </si>
  <si>
    <t xml:space="preserve">L3</t>
  </si>
  <si>
    <t xml:space="preserve">Position/ Role</t>
  </si>
  <si>
    <t xml:space="preserve">L4</t>
  </si>
  <si>
    <t xml:space="preserve">Contact address</t>
  </si>
  <si>
    <t xml:space="preserve">L5</t>
  </si>
  <si>
    <t xml:space="preserve">Contact phone number</t>
  </si>
  <si>
    <t xml:space="preserve">L6</t>
  </si>
  <si>
    <t xml:space="preserve">Contact email</t>
  </si>
  <si>
    <t xml:space="preserve">L7</t>
  </si>
  <si>
    <t xml:space="preserve">Date of submission</t>
  </si>
  <si>
    <t xml:space="preserve">*</t>
  </si>
  <si>
    <t xml:space="preserve">INFORMATION ON THE SUBMISSION</t>
  </si>
  <si>
    <t xml:space="preserve">P1</t>
  </si>
  <si>
    <t xml:space="preserve">Title of specification</t>
  </si>
  <si>
    <t xml:space="preserve">P2</t>
  </si>
  <si>
    <t xml:space="preserve">Address where the version of the specification can be obtained</t>
  </si>
  <si>
    <t xml:space="preserve">MIN</t>
  </si>
  <si>
    <t xml:space="preserve">P3</t>
  </si>
  <si>
    <t xml:space="preserve">Name, identifier and website of the standard developing/setting organisation (SDO/SSO) of the specification</t>
  </si>
  <si>
    <t xml:space="preserve">P4</t>
  </si>
  <si>
    <t xml:space="preserve">Contact information/contact person 
a) for the organisation
b) for the specification submitted</t>
  </si>
  <si>
    <t xml:space="preserve">P5</t>
  </si>
  <si>
    <t xml:space="preserve">Reason for the submission, the need and intended use for the specification</t>
  </si>
  <si>
    <t xml:space="preserve">P6</t>
  </si>
  <si>
    <t xml:space="preserve">If any other evaluation of this specification is known, e.g. by member states or European Commission projects, provide a link to this evaluation.</t>
  </si>
  <si>
    <t xml:space="preserve">P7</t>
  </si>
  <si>
    <t xml:space="preserve">State whether this submission concerns:
A) Identification of a new specification
B) a revision of an already identified specification 
C) a proposal to withdraw the identification of an already identified specification  </t>
  </si>
  <si>
    <t xml:space="preserve">P8</t>
  </si>
  <si>
    <t xml:space="preserve">If P.7, Case B, applies:
please provide information on backward and forward compatibility with the version already approved. </t>
  </si>
  <si>
    <t xml:space="preserve">P9</t>
  </si>
  <si>
    <t xml:space="preserve">If P.7, Case C applies:
explain why the ICT specification  no longer complies with the requirements for identification or the reasons for its withdrawal</t>
  </si>
  <si>
    <t xml:space="preserve">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</si>
  <si>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</si>
  <si>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 xml:space="preserve">CONSIDERATION</t>
  </si>
  <si>
    <t xml:space="preserve">          CORRECTNESS</t>
  </si>
  <si>
    <t xml:space="preserve">C1</t>
  </si>
  <si>
    <t xml:space="preserve">The previous information in this page are correctly provided</t>
  </si>
  <si>
    <t xml:space="preserve">C2</t>
  </si>
  <si>
    <t xml:space="preserve">The complete documentation to perform the assessement is provided</t>
  </si>
  <si>
    <t xml:space="preserve">            RELEVANCE</t>
  </si>
  <si>
    <t xml:space="preserve">C3</t>
  </si>
  <si>
    <t xml:space="preserve">The functional area of application for the formal specification is addressing interoperabiity and eGovernment</t>
  </si>
  <si>
    <t xml:space="preserve">C4</t>
  </si>
  <si>
    <t xml:space="preserve">The formal specification meets business needs of public administrations</t>
  </si>
  <si>
    <t xml:space="preserve">            LEGISLATION AND REGULATION</t>
  </si>
  <si>
    <t xml:space="preserve">C5</t>
  </si>
  <si>
    <t xml:space="preserve">The formal specification doesn’t hamper the regulatory requirements for its area of application</t>
  </si>
  <si>
    <r>
      <rPr>
        <sz val="11"/>
        <color rgb="FF000000"/>
        <rFont val="Calibri"/>
        <family val="2"/>
        <charset val="1"/>
      </rPr>
      <t xml:space="preserve">Please, fill in the mandatory</t>
    </r>
    <r>
      <rPr>
        <sz val="11"/>
        <color rgb="FFFF0000"/>
        <rFont val="Calibri"/>
        <family val="2"/>
        <charset val="1"/>
      </rPr>
      <t xml:space="preserve">*</t>
    </r>
    <r>
      <rPr>
        <sz val="11"/>
        <color rgb="FF000000"/>
        <rFont val="Calibri"/>
        <family val="2"/>
        <charset val="1"/>
      </rPr>
      <t xml:space="preserve"> information to  start the assessment</t>
    </r>
  </si>
  <si>
    <t xml:space="preserve">Name, First name</t>
  </si>
  <si>
    <t xml:space="preserve">Position / Role</t>
  </si>
  <si>
    <t xml:space="preserve">L8</t>
  </si>
  <si>
    <t xml:space="preserve">Scenario for assessment</t>
  </si>
  <si>
    <t xml:space="preserve">Technical Specification</t>
  </si>
  <si>
    <t xml:space="preserve">L9</t>
  </si>
  <si>
    <t xml:space="preserve">Public administration</t>
  </si>
  <si>
    <t xml:space="preserve">L10</t>
  </si>
  <si>
    <t xml:space="preserve">Alternatives considered</t>
  </si>
  <si>
    <t xml:space="preserve">L11</t>
  </si>
  <si>
    <t xml:space="preserve">Process approach</t>
  </si>
  <si>
    <t xml:space="preserve">L12</t>
  </si>
  <si>
    <t xml:space="preserve">Members of Assessment panel </t>
  </si>
  <si>
    <t xml:space="preserve">L13</t>
  </si>
  <si>
    <t xml:space="preserve">Consultation and validation roles</t>
  </si>
  <si>
    <t xml:space="preserve">L14</t>
  </si>
  <si>
    <t xml:space="preserve">Members of decision making body</t>
  </si>
  <si>
    <t xml:space="preserve">Name and website of the standard developing/setting organisation (SDO/SSO) of the specification</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</si>
  <si>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</si>
  <si>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 xml:space="preserve">P11</t>
  </si>
  <si>
    <t xml:space="preserve">Date of creation</t>
  </si>
  <si>
    <t xml:space="preserve">P12</t>
  </si>
  <si>
    <t xml:space="preserve">Date of last modification</t>
  </si>
  <si>
    <t xml:space="preserve">P13</t>
  </si>
  <si>
    <t xml:space="preserve">Description</t>
  </si>
  <si>
    <t xml:space="preserve">P14</t>
  </si>
  <si>
    <t xml:space="preserve">ID</t>
  </si>
  <si>
    <t xml:space="preserve">P15</t>
  </si>
  <si>
    <t xml:space="preserve">Keywords</t>
  </si>
  <si>
    <t xml:space="preserve">P16</t>
  </si>
  <si>
    <t xml:space="preserve">Asset type</t>
  </si>
  <si>
    <t xml:space="preserve">P17</t>
  </si>
  <si>
    <t xml:space="preserve">Current version</t>
  </si>
  <si>
    <t xml:space="preserve">P18</t>
  </si>
  <si>
    <t xml:space="preserve">Documentation</t>
  </si>
  <si>
    <t xml:space="preserve">P19</t>
  </si>
  <si>
    <t xml:space="preserve">Domain</t>
  </si>
  <si>
    <t xml:space="preserve">P20</t>
  </si>
  <si>
    <t xml:space="preserve">Interoperability level</t>
  </si>
  <si>
    <t xml:space="preserve">P21</t>
  </si>
  <si>
    <t xml:space="preserve">Language</t>
  </si>
  <si>
    <t xml:space="preserve">P22</t>
  </si>
  <si>
    <t xml:space="preserve">Previous version</t>
  </si>
  <si>
    <t xml:space="preserve">P23</t>
  </si>
  <si>
    <t xml:space="preserve">Release</t>
  </si>
  <si>
    <t xml:space="preserve">P24</t>
  </si>
  <si>
    <t xml:space="preserve">Spatial coverage</t>
  </si>
  <si>
    <t xml:space="preserve">P25</t>
  </si>
  <si>
    <t xml:space="preserve">Subject</t>
  </si>
  <si>
    <t xml:space="preserve">P26</t>
  </si>
  <si>
    <t xml:space="preserve">Status</t>
  </si>
  <si>
    <t xml:space="preserve">P27</t>
  </si>
  <si>
    <t xml:space="preserve">Business need(s)/requirements</t>
  </si>
  <si>
    <t xml:space="preserve">Nr</t>
  </si>
  <si>
    <t xml:space="preserve">Criterion</t>
  </si>
  <si>
    <t xml:space="preserve">Answer</t>
  </si>
  <si>
    <t xml:space="preserve">Justification</t>
  </si>
  <si>
    <t xml:space="preserve">The functional area of application for the formal specification is adressing interoperabiity and eGovernment</t>
  </si>
  <si>
    <t xml:space="preserve">           LEGISLATION AND REGULATION</t>
  </si>
  <si>
    <t xml:space="preserve">The formal specification meets the business needs of public administration</t>
  </si>
  <si>
    <r>
      <rPr>
        <sz val="11"/>
        <color rgb="FF000000"/>
        <rFont val="Calibri"/>
        <family val="2"/>
        <charset val="1"/>
      </rPr>
      <t xml:space="preserve">Please, fill in the mandatory</t>
    </r>
    <r>
      <rPr>
        <sz val="11"/>
        <color rgb="FFFF0000"/>
        <rFont val="Calibri"/>
        <family val="2"/>
        <charset val="1"/>
      </rPr>
      <t xml:space="preserve">*</t>
    </r>
    <r>
      <rPr>
        <sz val="11"/>
        <color rgb="FF000000"/>
        <rFont val="Calibri"/>
        <family val="2"/>
        <charset val="1"/>
      </rPr>
      <t xml:space="preserve">information to start the asseement</t>
    </r>
  </si>
  <si>
    <t xml:space="preserve">Date of the Assessment</t>
  </si>
  <si>
    <t xml:space="preserve">aaa</t>
  </si>
  <si>
    <t xml:space="preserve">SDO/SSO</t>
  </si>
  <si>
    <t xml:space="preserve">Gs1 (http://www.gs1.fr/)</t>
  </si>
  <si>
    <t xml:space="preserve"> MARKET ACCEPTANCE</t>
  </si>
  <si>
    <t xml:space="preserve">A1</t>
  </si>
  <si>
    <t xml:space="preserve">Has the specification been used for different implementations by different vendors/suppliers? </t>
  </si>
  <si>
    <t xml:space="preserve">A2</t>
  </si>
  <si>
    <t xml:space="preserve">Does the implementation of the specification hamper interoperability with the implementation of existing European or international standards? </t>
  </si>
  <si>
    <t xml:space="preserve">A3</t>
  </si>
  <si>
    <t xml:space="preserve">Are you aware of public references of the respective specification by public authorities (especially policies or in procurements) ?</t>
  </si>
  <si>
    <t xml:space="preserve"> COHERENCE PRINCIPLE</t>
  </si>
  <si>
    <t xml:space="preserve">A4</t>
  </si>
  <si>
    <t xml:space="preserve">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</si>
  <si>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 xml:space="preserve">A5</t>
  </si>
  <si>
    <t xml:space="preserve">a.</t>
  </si>
  <si>
    <t xml:space="preserve">Is the adoption of new European Standards which cover the same areas as the proposed specification (or standard) foreseen within a reasonable timeframe? </t>
  </si>
  <si>
    <t xml:space="preserve">b.</t>
  </si>
  <si>
    <t xml:space="preserve">Are there existing European standards with market uptake which cover the same areas as the proposed specification (or standard) being assessed?</t>
  </si>
  <si>
    <t xml:space="preserve">c.</t>
  </si>
  <si>
    <t xml:space="preserve">If yes, are the existing standards becoming obsolete?</t>
  </si>
  <si>
    <t xml:space="preserve"> ATTRIBUTES</t>
  </si>
  <si>
    <t xml:space="preserve">A6</t>
  </si>
  <si>
    <t xml:space="preserve">Is the standards developing organisation a non-profit making organisation? </t>
  </si>
  <si>
    <t xml:space="preserve">                    OPENNESS</t>
  </si>
  <si>
    <t xml:space="preserve">A7</t>
  </si>
  <si>
    <t xml:space="preserve">Is participation in the creation process of the specification open to all interested parties (e.g. organisations, companies or individuals)?</t>
  </si>
  <si>
    <t xml:space="preserve">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</si>
  <si>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</si>
  <si>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</si>
  <si>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 xml:space="preserve">A8</t>
  </si>
  <si>
    <t xml:space="preserve">Are the specifications approved in a decision making process which aims at reaching consensus?</t>
  </si>
  <si>
    <t xml:space="preserve">For documentation, see: http://www.gs1.org/docs/gsmp/gsmp_manual.pdf. Notice that the decision making process in GSMP clearly aims at reaching consensus.</t>
  </si>
  <si>
    <t xml:space="preserve">                    TRANSPARENCY</t>
  </si>
  <si>
    <t xml:space="preserve">A9</t>
  </si>
  <si>
    <t xml:space="preserve">Is relevant documentation of the development and approval process of the specification archived and identified?</t>
  </si>
  <si>
    <t xml:space="preserve">A10</t>
  </si>
  <si>
    <t xml:space="preserve">Is information on (new) standardisation activities widely announced through suitable and accessible means?</t>
  </si>
  <si>
    <t xml:space="preserve">A11</t>
  </si>
  <si>
    <t xml:space="preserve">All relevant stakeholders can formally appeal or raise objections to the development and approval of specifications?  </t>
  </si>
  <si>
    <t xml:space="preserve">Raise objections to the development and approval of specifications are a possible in the GSMP. For documentation see http://www.gs1.org/docs/gsmp/gsmp_manual.pdf</t>
  </si>
  <si>
    <t xml:space="preserve"> REQUIREMENTS</t>
  </si>
  <si>
    <t xml:space="preserve">                    MAINTENANCE</t>
  </si>
  <si>
    <t xml:space="preserve">A12</t>
  </si>
  <si>
    <t xml:space="preserve">Does the specification have a defined maintenance and support process?</t>
  </si>
  <si>
    <t xml:space="preserve">                    AVAILABILITY</t>
  </si>
  <si>
    <t xml:space="preserve">A13</t>
  </si>
  <si>
    <t xml:space="preserve">Is the specification publicly available for implementation and use on reasonable terms?</t>
  </si>
  <si>
    <t xml:space="preserve">                    INTELECTUAL PROPERTY</t>
  </si>
  <si>
    <t xml:space="preserve">A14</t>
  </si>
  <si>
    <t xml:space="preserve">Is the specification licensed on a (F)RAND basis?</t>
  </si>
  <si>
    <t xml:space="preserve">Is the specification licensed on a royalty-free basis?</t>
  </si>
  <si>
    <t xml:space="preserve">                    RELEVANCE</t>
  </si>
  <si>
    <t xml:space="preserve">A15</t>
  </si>
  <si>
    <t xml:space="preserve">Does the  specification address and facilitate interoperability between public administrations?</t>
  </si>
  <si>
    <t xml:space="preserve">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</si>
  <si>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</si>
  <si>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 xml:space="preserve">A16</t>
  </si>
  <si>
    <t xml:space="preserve">Is the specification largely independent from specific vendor products?</t>
  </si>
  <si>
    <t xml:space="preserve">Is the specification largely independent from specific platforms or technologies?</t>
  </si>
  <si>
    <t xml:space="preserve">                    QUALITY</t>
  </si>
  <si>
    <t xml:space="preserve">A17</t>
  </si>
  <si>
    <t xml:space="preserve">Has the specification sufficient detail, consistency and completeness for the use and development of products and services?</t>
  </si>
  <si>
    <t xml:space="preserve">                             Please respond to all the criteria before viewing the Results </t>
  </si>
  <si>
    <t xml:space="preserve">CAMSS Team</t>
  </si>
  <si>
    <t xml:space="preserve">everis</t>
  </si>
  <si>
    <t xml:space="preserve">CAMSS@everis.com</t>
  </si>
  <si>
    <t xml:space="preserve">European Interoperability Framework (EIF)</t>
  </si>
  <si>
    <t xml:space="preserve">.</t>
  </si>
  <si>
    <t xml:space="preserve">SHACL, Shapes constraint language</t>
  </si>
  <si>
    <t xml:space="preserve">https://www.w3.org/TR/2017/REC-shacl-20170720/ </t>
  </si>
  <si>
    <t xml:space="preserve">W3C (http://www.w3.org)</t>
  </si>
  <si>
    <t xml:space="preserve">Keyword</t>
  </si>
  <si>
    <t xml:space="preserve">The functional area of application for the formal specification is addressing interoperability and eGovernment</t>
  </si>
  <si>
    <r>
      <rPr>
        <sz val="11"/>
        <color rgb="FF000000"/>
        <rFont val="Calibri"/>
        <family val="2"/>
        <charset val="1"/>
      </rPr>
      <t xml:space="preserve">Please, fill in the mandatory</t>
    </r>
    <r>
      <rPr>
        <sz val="11"/>
        <color rgb="FFFF0000"/>
        <rFont val="Calibri"/>
        <family val="2"/>
        <charset val="1"/>
      </rPr>
      <t xml:space="preserve">*</t>
    </r>
    <r>
      <rPr>
        <sz val="11"/>
        <color rgb="FF000000"/>
        <rFont val="Calibri"/>
        <family val="2"/>
        <charset val="1"/>
      </rPr>
      <t xml:space="preserve">information to start the assessment</t>
    </r>
  </si>
  <si>
    <t xml:space="preserve">4/26/2019</t>
  </si>
  <si>
    <t xml:space="preserve">Interoperability specification</t>
  </si>
  <si>
    <t xml:space="preserve">Interoperability specification type</t>
  </si>
  <si>
    <t xml:space="preserve">Specification Identified by MSP</t>
  </si>
  <si>
    <t xml:space="preserve">  PRINCIPLES SETTING THE CONTEXT FOR EU ACTIONS ON INTEROPERABILITY</t>
  </si>
  <si>
    <t xml:space="preserve">          SUBSIDIARITY AND PROPORTIONALITY</t>
  </si>
  <si>
    <t xml:space="preserve">The standard or specification has been included in a national catalogue from a Member State whose NIF is fully aligned with at least 4 out of 5 sections of the EIF according to NIFO factsheets.</t>
  </si>
  <si>
    <t xml:space="preserve">X</t>
  </si>
  <si>
    <t xml:space="preserve">SHACL is not included in a national catalogue from a Member State. The only interest group that is currently supporting SHACL are the Semantic Web users.
However, note that SHACL is starting to be promoted by EU Member States as a relevant standard of their national standard catalogue. e.g. the Flemish (Belgium) project OSLO (Open Standard for Local Administrations).
See:
https://joinup.ec.europa.eu/news/flemish-oslo-project-puts-add  </t>
  </si>
  <si>
    <t xml:space="preserve">  CORE INTEROPERABILITY PRINCIPLES</t>
  </si>
  <si>
    <t xml:space="preserve">          OPENNESS</t>
  </si>
  <si>
    <t xml:space="preserve">The standard or specification facilitates the publication of public data as open data.</t>
  </si>
  <si>
    <t xml:space="preserve">✓</t>
  </si>
  <si>
    <t xml:space="preserve">SHACL is implemented for data validation purposes by DCAT-AP,  which is a specification that describes public sector datasets with the aim to enable cross-data portal search for datasets, and make public sector data easily searchable across borders and sectors.
DCAT-AP is used in the Open Data Support service initiated by the European Commission.</t>
  </si>
  <si>
    <t xml:space="preserve">All stakeholders have the opportunity to contribute to the development of the specification </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</si>
  <si>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Technical reports:
https://www.w3.org/standards/history/shacl </t>
  </si>
  <si>
    <t xml:space="preserve">A public review is part of the decision-making process.</t>
  </si>
  <si>
    <t xml:space="preserve">W3C has a defined and publicly available Process for the Development and approval process of the specification as a recommended standard, including a public review.
W3C Process document:
https://www.w3.org/2018/Process-20180201/#Policies </t>
  </si>
  <si>
    <t xml:space="preserve">The standard or specification is available for everyone to study.</t>
  </si>
  <si>
    <t xml:space="preserve">SHACL is publicly available for implementation and use, and therefore for everyone to study, for free on Github. Also, TopQuadrant developped a service available for free in Javascript allowing the use of SHACL features.
See:
https://github.com/w3c/data-shapes 
http://shacl.org/playground/</t>
  </si>
  <si>
    <t xml:space="preserve">The standard or specification is licensed on a (F)RAND basis</t>
  </si>
  <si>
    <t xml:space="preserve">The W3C Royalty-Free IPR licenses granted under the W3C Patent Policy apply to all W3C specifications, including SHACL
See:
https://www.w3.org/TR/patent-practice#ref-AC </t>
  </si>
  <si>
    <t xml:space="preserve">The standard or specification is licensed on a royalty-free basis</t>
  </si>
  <si>
    <t xml:space="preserve">The W3C Royalty-Free IPR licenses granted under the W3C Patent Policy apply to all W3C specifications, including SHACL.
See:
https://www.w3.org/TR/patent-practice#ref-AC </t>
  </si>
  <si>
    <t xml:space="preserve">The standard or specification is sufficiently mature and has sufficient market acceptance for its use in the development of products and services.</t>
  </si>
  <si>
    <t xml:space="preserve">SHACL has been used by different vendors such as TopQuadrant for  its ontology editor, which is called Topbraid, or  Netage, which is using smart data to prevent first responders getting injured.
See:
https://w3c.github.io/data-shapes/data-shapes-test-suite/ </t>
  </si>
  <si>
    <t xml:space="preserve">The standard or specification fosters the creation of innovative solutions.</t>
  </si>
  <si>
    <t xml:space="preserve">SHACL is used in many industries and business sectors. The following are examples of this:
Wimmics 
The web-instrumented man-machine interactions, communities and semantics is a research team that lists many projects that are implementing the Semantic web and therefore, RDF. In the context of Wimmics, a SHACL validator has been developed. It was developed using STTL, SPARDQL Template Transformation Language and LDScript.
Netage
Netage is a system that uses smart data to prevent fire fighters getting injured. For this purpose, Netage implements SHACL for data validation.
See:
http://wimmics.inria.fr/
http://netage.nl/en/home/ </t>
  </si>
  <si>
    <t xml:space="preserve">The standard or specification has a strong support from at least one developer community.</t>
  </si>
  <si>
    <t xml:space="preserve">SHACL is maintained by W3C which is an international community developing open standards. 
See:
https://www.w3.org/Consortium/</t>
  </si>
  <si>
    <t xml:space="preserve">          TRANSPARENCY</t>
  </si>
  <si>
    <t xml:space="preserve">The standard or specification fosters the visibility and comprehensibility of administrative rules, processes, data, services and decision-making of a public administration.</t>
  </si>
  <si>
    <t xml:space="preserve">SHACL can be used to validate the data of a public administration while published as RDF. Therefore it could foster its comprehensibility.
An evidence of this is CELLAR, which is the semantic repository of the Publications Office. CELLAR recognises SHACL as its standard of preference for data validation in the Semantic Web.
See:
https://publications.europa.eu/en/publication-detail/-/publication/658088eb-c071-11e8-9893-01aa75ed71a1/language-en/format-PDF/source-86108820</t>
  </si>
  <si>
    <t xml:space="preserve">The standard or specification helps ensuring the availability of interfaces with internal information systems of a public administration.</t>
  </si>
  <si>
    <t xml:space="preserve">SHACL has been designed to enhance the semantic and technical interoperability layers of ontologies expressed as RDF graphs. RDF is a European Standard used by public administrations.
Furthermore, SHACL is implemented for data validation purposes by DCAT-AP,  which is a specification that describes public sector datasets with the aim to enable cross-data portal search for datasets, and make this way public sector data easily searchable across borders and sectors.
DCAT-AP is used in the Open Data Support service initiated by the European Commission.
See:
https://joinup.ec.europa.eu/rdf_entity/http_e_f_fdata_ceuropa_ceu_fw21_fac376c94_b74cf_b4dd7_bade7_b267d6a4ec4dc/about</t>
  </si>
  <si>
    <t xml:space="preserve">          REUSABILITY</t>
  </si>
  <si>
    <t xml:space="preserve">The standard or specification is reusable beyond the domain for which it was originally developed. </t>
  </si>
  <si>
    <t xml:space="preserve">SHACL is a web standard whose only purpose is RDF data graphs validation. Moreover, there are no implementations of SHACL in domains different from the one it was originally developed for.</t>
  </si>
  <si>
    <t xml:space="preserve">The standard has been made available for its reuse by the organisations, administrations, open communities, etc. that developed it.</t>
  </si>
  <si>
    <t xml:space="preserve">SHACL is publicly available for implementation and use for free on Github. Also, TopQuadrant developped a service available for free in Javascript allowing the use of SHACL features for free.
See:
https://github.com/w3c/data-shapes 
http://shacl.org/playground/</t>
  </si>
  <si>
    <t xml:space="preserve">          TECHNOLOGICAL NEUTRALITY AND DATA PORTABILITY</t>
  </si>
  <si>
    <t xml:space="preserve">The standard or specification is independent from any specific technology and/or platform.</t>
  </si>
  <si>
    <t xml:space="preserve">SHACL is built around RDF and is highly dependent from it since its purpose is to  validate RDF graphs.
However, note that RDF is a European standard since 2014 and the common data format for Semantic web.</t>
  </si>
  <si>
    <t xml:space="preserve">The standard or specification is proportionate to the needs of its users (citizens, businesses or administrations).</t>
  </si>
  <si>
    <t xml:space="preserve">SHACL is a web standard whose only purpose is RDF data graphs validation. Therefore, in terms of scalability, there are no evidences that prove the scalability of SHACL.</t>
  </si>
  <si>
    <t xml:space="preserve">The standard or specification fosters data portability between systems and applications supporting the implementation and evolution of European public services when legally possible.</t>
  </si>
  <si>
    <t xml:space="preserve">The evidence to justify this criterion is reflected in the section "Scope and motivation" of the technical specification, which proves that SHACL positively impacts interoperability.
See:
https://www.w3.org/TR/shacl-ucr/</t>
  </si>
  <si>
    <t xml:space="preserve">PRINCIPLES RELATED TO GENERIC USER NEEDS AND EXPECTATIONS</t>
  </si>
  <si>
    <t xml:space="preserve">          USER-CENTRICITY</t>
  </si>
  <si>
    <t xml:space="preserve">A18</t>
  </si>
  <si>
    <t xml:space="preserve">The standard or specification eases the implementation of the once-only principle.</t>
  </si>
  <si>
    <t xml:space="preserve">The application of the once-only principle in all EU Member States public administrations aims at reducing the administrative burden. To achieve this, interoperability between public administrations is a sine qua non condition. In this sense, SHACL addresses and facilitates interoperability between public administrations, cross border services and impacts positively the development of eGovernment. This is due to the fact that it has been designed to enhance the semantic and technical interoperability layers of ontologies expressed as RDF graphs, and RDF is a European Standard used by public administrations in projects for sharing Linked Data.</t>
  </si>
  <si>
    <t xml:space="preserve">          INCLUSION AND ACCESSIBILITY</t>
  </si>
  <si>
    <t xml:space="preserve">A19</t>
  </si>
  <si>
    <t xml:space="preserve">The standard or specification fosters e-accessibility.</t>
  </si>
  <si>
    <t xml:space="preserve">N/A</t>
  </si>
  <si>
    <t xml:space="preserve">The purpose of SHACL is not related in any way to e-accessibility. Therefore, this criterion is not applicable.</t>
  </si>
  <si>
    <t xml:space="preserve">          SECURITY AND PRIVACY</t>
  </si>
  <si>
    <t xml:space="preserve">A20</t>
  </si>
  <si>
    <t xml:space="preserve">The specification fosters the secure and trustworthy data exchange between citizens and businesses, and public administrations.</t>
  </si>
  <si>
    <t xml:space="preserve">Understanding data exchange as the publication by the administration of data for its later consumption by citizens, the specification facilitates the trustworthy data exhange in RDF format by providing the means to validate RDF data graphs.</t>
  </si>
  <si>
    <t xml:space="preserve">          MULTILINGUALISM</t>
  </si>
  <si>
    <t xml:space="preserve">A21</t>
  </si>
  <si>
    <t xml:space="preserve">The standard or specification fosters the delivery of multilingual European public services.</t>
  </si>
  <si>
    <t xml:space="preserve">The purpose of SHACL is not related in any way to the delivery of multilingual public services. Therefore, this criterion is not applicable.</t>
  </si>
  <si>
    <t xml:space="preserve">  FOUNDATION PRINCIPLES FOR COOPERATION AMONG PUBLIC ADMINISTRATIONS</t>
  </si>
  <si>
    <t xml:space="preserve">          ADMINISTRATIVE SIMPLIFICATION</t>
  </si>
  <si>
    <t xml:space="preserve">A22</t>
  </si>
  <si>
    <t xml:space="preserve">The adoption of the standard or specification reduces the administrative burden.</t>
  </si>
  <si>
    <t xml:space="preserve">SHACL is a specification developed and maintained by W3C and identified by the MSP for its use in public procurement in Europe. As the specification is available for free and on a FRAND basis, this reduces the administrative burden.</t>
  </si>
  <si>
    <t xml:space="preserve">          PRESERVATION OF INFORMATION</t>
  </si>
  <si>
    <t xml:space="preserve">A23</t>
  </si>
  <si>
    <t xml:space="preserve">The standard or specification fosters the long-term preservation of electronic records and other kinds of information.</t>
  </si>
  <si>
    <t xml:space="preserve">The purpose of SHACL is not related in any way to the long-term preservation of electronic records and other kinds of information. Therefore, this criterion is not applicable.</t>
  </si>
  <si>
    <t xml:space="preserve">          ASSESSMENT OF EFFECTIVENESS AND EFFICIENCY</t>
  </si>
  <si>
    <t xml:space="preserve">A24</t>
  </si>
  <si>
    <t xml:space="preserve">There are already existing studies or documentation assessing the standard or specification in terms of effectiveness and efficiency.</t>
  </si>
  <si>
    <t xml:space="preserve">There are no evidences of existing studies or documentation assessing the standard or specification in terms of effectiveness and efficiency to justify the criterion. Note that SHACL is th first W3C standard mechanism for defining data constraints. </t>
  </si>
  <si>
    <t xml:space="preserve">INTEROPERABILITY LAYERS</t>
  </si>
  <si>
    <t xml:space="preserve">           INTEROPERABILITY GOVERNANCE</t>
  </si>
  <si>
    <t xml:space="preserve">A25</t>
  </si>
  <si>
    <t xml:space="preserve">The standard or specification can be mapped to the EIRA.</t>
  </si>
  <si>
    <t xml:space="preserve">SHACL can describe the interoperability aspects of the Data Validation Service or Data Validation Component ABBs from EIRA's Technical View.</t>
  </si>
  <si>
    <t xml:space="preserve">A26</t>
  </si>
  <si>
    <t xml:space="preserve">Mechanisms to assess conformity of the implementations of the standard or specification (e.g. conformity tests, certifications) are available for free.</t>
  </si>
  <si>
    <t xml:space="preserve">W3C provides a test suite for free to assess SHACL implementations.
See:
https://w3c.github.io/data-shapes/data-shapes-test-suite/</t>
  </si>
  <si>
    <t xml:space="preserve">A27</t>
  </si>
  <si>
    <t xml:space="preserve">The standard or specification is recommended by a EU Member State.</t>
  </si>
  <si>
    <t xml:space="preserve">SHACL is not included in any Member State standards catalogue but it was presented by Spain for its identification in the MSP.</t>
  </si>
  <si>
    <t xml:space="preserve">A28</t>
  </si>
  <si>
    <t xml:space="preserve">The standard or specification has been selected for its use in a EU cross-border project or initiative after agreed identification and assessment.</t>
  </si>
  <si>
    <t xml:space="preserve">After being identified by the MSP, SEMIC has developed a SHACL expression of DCAT-AP 1.2</t>
  </si>
  <si>
    <t xml:space="preserve">A29</t>
  </si>
  <si>
    <t xml:space="preserve">The standard or specification is included in a catalogue of standards at national level.</t>
  </si>
  <si>
    <t xml:space="preserve">SHACL has not been included in any catalogue of standards at national level.</t>
  </si>
  <si>
    <t xml:space="preserve">A30</t>
  </si>
  <si>
    <t xml:space="preserve">The standard or specification is included in a catalogue of standards at EU level.</t>
  </si>
  <si>
    <t xml:space="preserve">CELLAR is the semantic repository of the Publications Office, and it recognises SHACL as its standard of preference for data validation in the Semantic Web.
See:
https://publications.europa.eu/en/publication-detail/-/publication/658088eb-c071-11e8-9893-01aa75ed71a1/language-en/format-PDF/source-86108820</t>
  </si>
  <si>
    <t xml:space="preserve">INTEGRATED PUBLIC SERVICE GOVERNANCE</t>
  </si>
  <si>
    <t xml:space="preserve">A31</t>
  </si>
  <si>
    <t xml:space="preserve">The standard or specification is included in an interoperability agreement established between organisations involved in European public service provision.</t>
  </si>
  <si>
    <t xml:space="preserve">The Multi-stakeholder platform (MSP) has identified SHACL as referenceable for its use in procurement. The following step is its recommendation by the European Commission based on the MSP's identification. Although this step has not taken place yet, it will take place with all certainty. Therefore, it can be considered that SHACL has been included in an interoperability agreement between organisations involved in European public service provision.</t>
  </si>
  <si>
    <t xml:space="preserve">           LEGAL INTEROPERABILITY</t>
  </si>
  <si>
    <t xml:space="preserve">A32</t>
  </si>
  <si>
    <t xml:space="preserve">The standard or specification is compliant with a European standardisation regulation (e.g. regulation 1025/2012 on European standardisation).</t>
  </si>
  <si>
    <t xml:space="preserve">The SHACL has been assessed through the CAMSS Method which is in full compliance with Annex II criteria set out in the Regulation 1025/2012, hereafter 'the standardisation regulation'.</t>
  </si>
  <si>
    <t xml:space="preserve">         ORGANISATIONAL INTEROPERABILITY</t>
  </si>
  <si>
    <t xml:space="preserve">A33</t>
  </si>
  <si>
    <t xml:space="preserve">The standard or specification is a commonly accepted business process modelling standard or specification.</t>
  </si>
  <si>
    <r>
      <rPr>
        <sz val="11"/>
        <rFont val="Calibri"/>
        <family val="2"/>
        <charset val="1"/>
      </rPr>
      <t xml:space="preserve">SHACL is a web standard whose only purpose is RDF data graphs validation.</t>
    </r>
    <r>
      <rPr>
        <b val="true"/>
        <sz val="11"/>
        <color rgb="FF000000"/>
        <rFont val="Calibri"/>
        <family val="2"/>
        <charset val="1"/>
      </rPr>
      <t xml:space="preserve"> </t>
    </r>
    <r>
      <rPr>
        <sz val="11"/>
        <color rgb="FF000000"/>
        <rFont val="Calibri"/>
        <family val="2"/>
        <charset val="1"/>
      </rPr>
      <t xml:space="preserve">Therefore, it is not a commonly accepted business process modelling standard or specification.</t>
    </r>
  </si>
  <si>
    <t xml:space="preserve">A34</t>
  </si>
  <si>
    <t xml:space="preserve">The standard or specification defines organisational interoperability aspects (e.g. skills, language, etc.).</t>
  </si>
  <si>
    <t xml:space="preserve">SHACL does not define organisational interoperability aspects.</t>
  </si>
  <si>
    <t xml:space="preserve">         SEMANTIC INTEROPERABILITY</t>
  </si>
  <si>
    <t xml:space="preserve">A35</t>
  </si>
  <si>
    <t xml:space="preserve">The standard or specification defines a cross-sector reusable data model.</t>
  </si>
  <si>
    <t xml:space="preserve">SHACL does not defines a cross-sector reusable data model. SHACL is a web standard whose only purpose is RDF data graph validation.</t>
  </si>
  <si>
    <t xml:space="preserve">A36</t>
  </si>
  <si>
    <t xml:space="preserve">The standard or specification fosters the publication of data as Linked Open Data.</t>
  </si>
  <si>
    <t xml:space="preserve">SHACL was designed to enhance the semantic and technical interoperability layers of ontologies expressed as RDF graphs. RDF is a European Standard used by public administrations in projects for sharing Linked Open Data. This means that the validation carried out with SHACL on RFD graphs fosters their use for the publication of data as Linked Open Data.</t>
  </si>
  <si>
    <t xml:space="preserve">A37</t>
  </si>
  <si>
    <t xml:space="preserve">The standard or specification is available for free on at least one national or European platform.</t>
  </si>
  <si>
    <t xml:space="preserve">SHACL is publicly available for implementation and use for free on Github.
See:
https://github.com/w3c/data-shapes </t>
  </si>
  <si>
    <t xml:space="preserve">           TECHNICAL INTEROPERABILITY</t>
  </si>
  <si>
    <t xml:space="preserve"> This interoperability layer is covered by criteria A2-A10, corresponding to the core interoperability principle ''Openness'' </t>
  </si>
  <si>
    <t xml:space="preserve">das</t>
  </si>
  <si>
    <t xml:space="preserve">jk</t>
  </si>
  <si>
    <t xml:space="preserve">Type of specification</t>
  </si>
  <si>
    <t xml:space="preserve">The technical specification or standard has been used for different implementations by different vendors/suppliers.</t>
  </si>
  <si>
    <t xml:space="preserve">The implementation of the technical specification or standard does not hamper interoperability with implementations that are currently based on existing European or international standards.</t>
  </si>
  <si>
    <t xml:space="preserve">There are public references (especially policies or in procurement) of the respective specification made by public authorities.</t>
  </si>
  <si>
    <t xml:space="preserve">The technical specification or standard has been used in different industries, business sectors and/or functions.</t>
  </si>
  <si>
    <t xml:space="preserve">The products that implement the technical specification or standard has a certain or even significant market share of adoption.</t>
  </si>
  <si>
    <t xml:space="preserve">The products that implement the technical specification or standard targets a broad spectrum of end-users.</t>
  </si>
  <si>
    <t xml:space="preserve">The technical specification or standard has a strong support from at least one interest group.</t>
  </si>
  <si>
    <t xml:space="preserve">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</si>
  <si>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 xml:space="preserve">A9    a.</t>
  </si>
  <si>
    <t xml:space="preserve"> The adoption of new European standards that cover the same areas as the proposed technical specification or standard is not foreseen.</t>
  </si>
  <si>
    <t xml:space="preserve">         b. </t>
  </si>
  <si>
    <t xml:space="preserve">There are no existing European standards with market uptake that cover the same areas as the proposed technical specification or standard being assessed.</t>
  </si>
  <si>
    <r>
      <rPr>
        <sz val="11"/>
        <color rgb="FF000000"/>
        <rFont val="Calibri"/>
        <family val="2"/>
        <charset val="1"/>
      </rPr>
      <t xml:space="preserve">The response to the criteria "b" is "</t>
    </r>
    <r>
      <rPr>
        <sz val="11"/>
        <color rgb="FFCE181E"/>
        <rFont val="Calibri"/>
        <family val="2"/>
        <charset val="1"/>
      </rPr>
      <t xml:space="preserve">X</t>
    </r>
    <r>
      <rPr>
        <sz val="11"/>
        <color rgb="FF000000"/>
        <rFont val="Calibri"/>
        <family val="2"/>
        <charset val="1"/>
      </rPr>
      <t xml:space="preserve">" and the existing European standards are becoming obsolete</t>
    </r>
  </si>
  <si>
    <t xml:space="preserve">The technical specification or standard is based on one or more relevant international standards.</t>
  </si>
  <si>
    <t xml:space="preserve">The technical specification or standard is listed as recommended by at least one Member State or a European institution.</t>
  </si>
  <si>
    <t xml:space="preserve">The technical specification or standard is listed as mandatory by at least one Member State or a European institution.</t>
  </si>
  <si>
    <t xml:space="preserve">ATTRIBUTES</t>
  </si>
  <si>
    <t xml:space="preserve">The standards definition/development/setting organisation is a non-profit making organisation.</t>
  </si>
  <si>
    <t xml:space="preserve">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</si>
  <si>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</si>
  <si>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 xml:space="preserve">The technical specification or standard is reviewed using a formal review process involving all the relevant external stakeholders (e.g. public consultation).</t>
  </si>
  <si>
    <t xml:space="preserve">          CONSENSUS</t>
  </si>
  <si>
    <t xml:space="preserve">The standards development/setting organisation approves all the technical specifications and/or standards in a decision making process aiming to reach consensus.</t>
  </si>
  <si>
    <t xml:space="preserve">Relevant documentation of the development and approval process of the specification is archived and identified.</t>
  </si>
  <si>
    <t xml:space="preserve">Information on (new) standardisation activities is widely announced through suitable and accessible means.</t>
  </si>
  <si>
    <t xml:space="preserve">Relevant stakeholders can formally appeal or raise objections to the development and approval of specifications.</t>
  </si>
  <si>
    <t xml:space="preserve">Information on the standardisation process is publicly available.</t>
  </si>
  <si>
    <t xml:space="preserve">Information on the decision making process for approving the technical specification or standard is publicly available.</t>
  </si>
  <si>
    <t xml:space="preserve">Relevant documentation of the development and approval process of the technical specification or standard is publicly available (e.g. preliminary results, committee meeting notes).</t>
  </si>
  <si>
    <t xml:space="preserve">REQUIREMENTS</t>
  </si>
  <si>
    <r>
      <rPr>
        <sz val="11"/>
        <color rgb="FFFFFFFF"/>
        <rFont val="Calibri"/>
        <family val="2"/>
        <charset val="1"/>
      </rPr>
      <t xml:space="preserve">          </t>
    </r>
    <r>
      <rPr>
        <i val="true"/>
        <sz val="11"/>
        <color rgb="FFFFFFFF"/>
        <rFont val="Calibri"/>
        <family val="2"/>
        <charset val="1"/>
      </rPr>
      <t xml:space="preserve">MAINTENANCE</t>
    </r>
  </si>
  <si>
    <t xml:space="preserve">The specification has a defined maintenance and support process.</t>
  </si>
  <si>
    <t xml:space="preserve">The technical specification or standard has a defined maintenance organisation.</t>
  </si>
  <si>
    <t xml:space="preserve">The maintenance organisation for the technical specification or standard has sufficient finances and resources to ensure its freedom from short- to medium-term threats.</t>
  </si>
  <si>
    <t xml:space="preserve">The technical specification or standard has a defined policy for version management.</t>
  </si>
  <si>
    <t xml:space="preserve">          AVAILABILITY</t>
  </si>
  <si>
    <t xml:space="preserve">The specification is publicly available for implementation and use on reasonable terms.</t>
  </si>
  <si>
    <t xml:space="preserve">          INTELLECTUAL PROPERTY</t>
  </si>
  <si>
    <t xml:space="preserve">A29  a.</t>
  </si>
  <si>
    <t xml:space="preserve">The technical specification or standard is licensed on on a proven/well-motivaded  non-discriminatory basis.</t>
  </si>
  <si>
    <t xml:space="preserve">          b. </t>
  </si>
  <si>
    <t xml:space="preserve">The technical specification or standard is licensed on a royalty-free basis.</t>
  </si>
  <si>
    <t xml:space="preserve">The documentation of the IPR for technical specification or standard is publicly available (there is a clear and complete set of licence terms).</t>
  </si>
  <si>
    <r>
      <rPr>
        <sz val="11"/>
        <color rgb="FFFFFFFF"/>
        <rFont val="Calibri"/>
        <family val="2"/>
        <charset val="1"/>
      </rPr>
      <t xml:space="preserve">    </t>
    </r>
    <r>
      <rPr>
        <i val="true"/>
        <sz val="11"/>
        <color rgb="FFFFFFFF"/>
        <rFont val="Calibri"/>
        <family val="2"/>
        <charset val="1"/>
      </rPr>
      <t xml:space="preserve">      RELEVANCE</t>
    </r>
  </si>
  <si>
    <t xml:space="preserve">A31  a. </t>
  </si>
  <si>
    <t xml:space="preserve">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</si>
  <si>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</si>
  <si>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</si>
  <si>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 xml:space="preserve">The technical specification or standard addresses, facilitates or is an enabler of eGovernment.</t>
  </si>
  <si>
    <t xml:space="preserve">The functional and non-functional requirements for the use and implementation of the technical specification or standard are clearly defined.</t>
  </si>
  <si>
    <t xml:space="preserve">The technical specification or standard is applicable and extensible for implementations in different domains.</t>
  </si>
  <si>
    <t xml:space="preserve">The technical specification or standard provides added value compared to alternative technical specifications or standards in the same area of application.</t>
  </si>
  <si>
    <t xml:space="preserve">The technical specification or standard is largely compatible with related (not alternative) technical specification or standards in the same area of application.</t>
  </si>
  <si>
    <t xml:space="preserve">There is evidence that the adoption of the technical specification or standard makes it easier to migrate between different solutions from different providers.</t>
  </si>
  <si>
    <t xml:space="preserve">A38</t>
  </si>
  <si>
    <t xml:space="preserve">There is evidence that the adoption of the technical specification or standard positively impacts the financial costs.</t>
  </si>
  <si>
    <t xml:space="preserve">A39</t>
  </si>
  <si>
    <t xml:space="preserve">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</si>
  <si>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 xml:space="preserve">A40</t>
  </si>
  <si>
    <t xml:space="preserve">There is evidence that the adoption of the technical specification or standard positively impacts privacy.</t>
  </si>
  <si>
    <t xml:space="preserve">A41</t>
  </si>
  <si>
    <t xml:space="preserve">The risks related to the adoption of the technical specification or standard are acceptable.</t>
  </si>
  <si>
    <t xml:space="preserve">          NEUTRALITY AND STABILITY</t>
  </si>
  <si>
    <t xml:space="preserve">A42  a.</t>
  </si>
  <si>
    <t xml:space="preserve">The technical specification is independent from specific vendor products.</t>
  </si>
  <si>
    <t xml:space="preserve">The technical specification is independent from specific platforms or technologies.</t>
  </si>
  <si>
    <t xml:space="preserve">          QUALITY</t>
  </si>
  <si>
    <t xml:space="preserve">A43</t>
  </si>
  <si>
    <t xml:space="preserve">The specification has sufficient completeness and consistency for the use and development of products and services.</t>
  </si>
  <si>
    <t xml:space="preserve">A44</t>
  </si>
  <si>
    <t xml:space="preserve">The technical specification or standard is considered mature in the sense that it has overcome most of its initial problems and is considered developed sufficiently (i.e. it fits its purpose).</t>
  </si>
  <si>
    <t xml:space="preserve">A45</t>
  </si>
  <si>
    <t xml:space="preserve">There are existing or planned mechanisms to assess conformity of the implementations of the technical specification or standard (e.g. conformity tests, certifications).</t>
  </si>
  <si>
    <t xml:space="preserve">A46</t>
  </si>
  <si>
    <t xml:space="preserve">The technical specification or standard provides implementation guidelines and documentation for the implementation of products.</t>
  </si>
  <si>
    <t xml:space="preserve">A47</t>
  </si>
  <si>
    <t xml:space="preserve">The technical specification or standard provides an open source reference implementation.</t>
  </si>
  <si>
    <t xml:space="preserve">A48</t>
  </si>
  <si>
    <t xml:space="preserve">The technical specification or standard addresses backward compatibility with previous versions.</t>
  </si>
  <si>
    <t xml:space="preserve">A49</t>
  </si>
  <si>
    <t xml:space="preserve">The underlying technologies for implementing the technical specification or standard have been clearly defined, are stable and have been tested.</t>
  </si>
  <si>
    <t xml:space="preserve">CAMSS Results - MSP Scenario</t>
  </si>
  <si>
    <t xml:space="preserve">d</t>
  </si>
  <si>
    <t xml:space="preserve">Automated Score</t>
  </si>
  <si>
    <t xml:space="preserve">CAMSS Assessment Strength</t>
  </si>
  <si>
    <t xml:space="preserve">#Favorable</t>
  </si>
  <si>
    <t xml:space="preserve">#Unfavorable</t>
  </si>
  <si>
    <t xml:space="preserve">#Not Applicable</t>
  </si>
  <si>
    <t xml:space="preserve">MARKET ACCEPTANCE</t>
  </si>
  <si>
    <t xml:space="preserve">COHERENCE PRINCIPLE</t>
  </si>
  <si>
    <t xml:space="preserve">OVERALL SCORE</t>
  </si>
  <si>
    <t xml:space="preserve">Proposed classification:               </t>
  </si>
  <si>
    <t xml:space="preserve">Justification for classification:               </t>
  </si>
  <si>
    <t xml:space="preserve">Category</t>
  </si>
  <si>
    <t xml:space="preserve">Positive/answered</t>
  </si>
  <si>
    <t xml:space="preserve">Negative/answered</t>
  </si>
  <si>
    <t xml:space="preserve">Variables represented:</t>
  </si>
  <si>
    <t xml:space="preserve">Market acceptance</t>
  </si>
  <si>
    <t xml:space="preserve">Coherence principle</t>
  </si>
  <si>
    <t xml:space="preserve">Attributes</t>
  </si>
  <si>
    <t xml:space="preserve">Requirements</t>
  </si>
  <si>
    <t xml:space="preserve">Overall score</t>
  </si>
  <si>
    <t xml:space="preserve">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</si>
  <si>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</si>
  <si>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 xml:space="preserve">CAMSS Results - EIF Scenario</t>
  </si>
  <si>
    <t xml:space="preserve">  Date of the Assessment</t>
  </si>
  <si>
    <t xml:space="preserve">  SDO/SSO</t>
  </si>
  <si>
    <t xml:space="preserve">Assessment Strength</t>
  </si>
  <si>
    <t xml:space="preserve">#Not 
Applicable</t>
  </si>
  <si>
    <t xml:space="preserve">SUBSIDIARITY AND PROPORTIONALITY</t>
  </si>
  <si>
    <t xml:space="preserve">PRINCIPLE SETTING THE CONTEXT FOR EU ACTIONS ON INTEROPERABILITY</t>
  </si>
  <si>
    <t xml:space="preserve">OPENNESS</t>
  </si>
  <si>
    <t xml:space="preserve">TRANSPARENCY</t>
  </si>
  <si>
    <t xml:space="preserve">REUSABILITY</t>
  </si>
  <si>
    <t xml:space="preserve">TECHNOLOGICAL NEUTRALITY AND DATA PORTABILITY</t>
  </si>
  <si>
    <t xml:space="preserve"> CORE INTEROPERABILITY PRINCIPLES</t>
  </si>
  <si>
    <t xml:space="preserve">USER-CENTRICITY</t>
  </si>
  <si>
    <t xml:space="preserve">INCLUSION AND ACCESSIBILITY</t>
  </si>
  <si>
    <t xml:space="preserve">SECURITY AND PRIVACY</t>
  </si>
  <si>
    <t xml:space="preserve">MULTILINGUALISM</t>
  </si>
  <si>
    <t xml:space="preserve">ADMINISTRATIVE SIMPLIFICATION</t>
  </si>
  <si>
    <t xml:space="preserve">PRESERVATION OF INFORMATION</t>
  </si>
  <si>
    <t xml:space="preserve">ASSESSMENT OF EFFECTIVENESS AND EFFICIENCY</t>
  </si>
  <si>
    <t xml:space="preserve">FOUNDATION PRINCIPLES FOR COOPERATION AMONG PUBLIC ADMINISTRATIONS</t>
  </si>
  <si>
    <t xml:space="preserve">INTEROPERABILITY GOVERNANCE</t>
  </si>
  <si>
    <t xml:space="preserve">LEGAL INTEROPERABILITY</t>
  </si>
  <si>
    <t xml:space="preserve">ORGANISATIONAL INTEROPERABILITY</t>
  </si>
  <si>
    <t xml:space="preserve">SEMANTIC INTEROPERABILITY</t>
  </si>
  <si>
    <t xml:space="preserve">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</si>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</sst>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numFmts count="8">
    <numFmt numFmtId="164" formatCode="General"/>
    <numFmt numFmtId="165" formatCode="[$-F800]dddd&quot;, &quot;mmmm\ dd&quot;, &quot;yyyy"/>
    <numFmt numFmtId="166" formatCode="0.00%"/>
    <numFmt numFmtId="167" formatCode="@"/>
    <numFmt numFmtId="168" formatCode="dd/mm/yyyy"/>
    <numFmt numFmtId="169" formatCode="0%"/>
    <numFmt numFmtId="170" formatCode="0.0"/>
    <numFmt numFmtId="171" formatCode="General"/>
  </numFmts>
  <fonts count="97">
    <font>
      <sz val="11"/>
      <color rgb="FF000000"/>
      <name val="Calibri"/>
      <family val="2"/>
      <charset val="1"/>
    </font>
    <font>
      <sz val="10"/>
      <name val="Arial"/>
      <family val="0"/>
    </font>
    <font>
      <sz val="10"/>
      <name val="Arial"/>
      <family val="0"/>
    </font>
    <font>
      <sz val="10"/>
      <name val="Arial"/>
      <family val="0"/>
    </font>
    <font>
      <sz val="11"/>
      <color rgb="FF404040"/>
      <name val="Calibri"/>
      <family val="2"/>
      <charset val="1"/>
    </font>
    <font>
      <sz val="11"/>
      <color rgb="FF404040"/>
      <name val="Verdana"/>
      <family val="2"/>
      <charset val="1"/>
    </font>
    <font>
      <sz val="11"/>
      <color rgb="FF404040"/>
      <name val="Century Gothic"/>
      <family val="2"/>
      <charset val="1"/>
    </font>
    <font>
      <sz val="14"/>
      <color rgb="FF4F81BD"/>
      <name val="Century Gothic"/>
      <family val="2"/>
      <charset val="1"/>
    </font>
    <font>
      <b val="true"/>
      <sz val="20"/>
      <color rgb="FF404040"/>
      <name val="Verdana"/>
      <family val="2"/>
      <charset val="1"/>
    </font>
    <font>
      <b val="true"/>
      <u val="single"/>
      <sz val="11"/>
      <color rgb="FF404040"/>
      <name val="Century Gothic"/>
      <family val="2"/>
      <charset val="1"/>
    </font>
    <font>
      <sz val="10"/>
      <color rgb="FF404040"/>
      <name val="Century Gothic"/>
      <family val="2"/>
      <charset val="1"/>
    </font>
    <font>
      <sz val="13"/>
      <color rgb="FF404040"/>
      <name val="Century Gothic"/>
      <family val="2"/>
      <charset val="1"/>
    </font>
    <font>
      <b val="true"/>
      <sz val="13"/>
      <color rgb="FF404040"/>
      <name val="Century Gothic"/>
      <family val="2"/>
      <charset val="1"/>
    </font>
    <font>
      <b val="true"/>
      <sz val="10"/>
      <color rgb="FF404040"/>
      <name val="Century Gothic"/>
      <family val="2"/>
      <charset val="1"/>
    </font>
    <font>
      <sz val="12"/>
      <color rgb="FF404040"/>
      <name val="Century Gothic"/>
      <family val="2"/>
      <charset val="1"/>
    </font>
    <font>
      <b val="true"/>
      <sz val="12"/>
      <color rgb="FF404040"/>
      <name val="Century Gothic"/>
      <family val="2"/>
      <charset val="1"/>
    </font>
    <font>
      <i val="true"/>
      <sz val="9"/>
      <color rgb="FF404040"/>
      <name val="Century Gothic"/>
      <family val="2"/>
      <charset val="1"/>
    </font>
    <font>
      <i val="true"/>
      <sz val="10"/>
      <color rgb="FF404040"/>
      <name val="Calibri"/>
      <family val="2"/>
      <charset val="1"/>
    </font>
    <font>
      <i val="true"/>
      <sz val="11"/>
      <color rgb="FF404040"/>
      <name val="Century Gothic"/>
      <family val="2"/>
      <charset val="1"/>
    </font>
    <font>
      <b val="true"/>
      <i val="true"/>
      <sz val="10"/>
      <color rgb="FF404040"/>
      <name val="Century Gothic"/>
      <family val="2"/>
      <charset val="1"/>
    </font>
    <font>
      <i val="true"/>
      <sz val="10"/>
      <color rgb="FF404040"/>
      <name val="Century Gothic"/>
      <family val="2"/>
      <charset val="1"/>
    </font>
    <font>
      <i val="true"/>
      <sz val="8"/>
      <color rgb="FF404040"/>
      <name val="Century Gothic"/>
      <family val="2"/>
      <charset val="1"/>
    </font>
    <font>
      <b val="true"/>
      <i val="true"/>
      <sz val="8"/>
      <color rgb="FF000000"/>
      <name val="Verdana"/>
      <family val="0"/>
    </font>
    <font>
      <b val="true"/>
      <sz val="10.5"/>
      <color rgb="FF000000"/>
      <name val="Arial Bold"/>
      <family val="0"/>
    </font>
    <font>
      <b val="true"/>
      <sz val="11"/>
      <color rgb="FF000000"/>
      <name val="Calibri"/>
      <family val="2"/>
      <charset val="1"/>
    </font>
    <font>
      <b val="true"/>
      <u val="single"/>
      <sz val="11"/>
      <color rgb="FF000000"/>
      <name val="Calibri"/>
      <family val="2"/>
      <charset val="1"/>
    </font>
    <font>
      <sz val="11"/>
      <color rgb="FFFF3333"/>
      <name val="Calibri"/>
      <family val="2"/>
      <charset val="1"/>
    </font>
    <font>
      <i val="true"/>
      <sz val="11"/>
      <color rgb="FF000000"/>
      <name val="Calibri"/>
      <family val="2"/>
      <charset val="1"/>
    </font>
    <font>
      <i val="true"/>
      <sz val="11"/>
      <color rgb="FFFF3333"/>
      <name val="Calibri"/>
      <family val="2"/>
      <charset val="1"/>
    </font>
    <font>
      <sz val="11"/>
      <color rgb="FF800000"/>
      <name val="Calibri"/>
      <family val="2"/>
      <charset val="1"/>
    </font>
    <font>
      <b val="true"/>
      <sz val="11"/>
      <color rgb="FFFFFFFF"/>
      <name val="Calibri"/>
      <family val="2"/>
      <charset val="1"/>
    </font>
    <font>
      <i val="true"/>
      <sz val="11"/>
      <color rgb="FFFFFFFF"/>
      <name val="Calibri"/>
      <family val="2"/>
      <charset val="1"/>
    </font>
    <font>
      <b val="true"/>
      <sz val="11"/>
      <color rgb="FFFF3333"/>
      <name val="Calibri"/>
      <family val="2"/>
      <charset val="1"/>
    </font>
    <font>
      <sz val="26"/>
      <color rgb="FF000000"/>
      <name val="Calibri"/>
      <family val="2"/>
      <charset val="1"/>
    </font>
    <font>
      <sz val="52"/>
      <color rgb="FF000000"/>
      <name val="Calibri"/>
      <family val="2"/>
      <charset val="1"/>
    </font>
    <font>
      <sz val="40"/>
      <color rgb="FF000000"/>
      <name val="Calibri"/>
      <family val="2"/>
      <charset val="1"/>
    </font>
    <font>
      <sz val="60"/>
      <color rgb="FF000000"/>
      <name val="Calibri"/>
      <family val="2"/>
      <charset val="1"/>
    </font>
    <font>
      <sz val="100"/>
      <color rgb="FF000000"/>
      <name val="Calibri"/>
      <family val="2"/>
      <charset val="1"/>
    </font>
    <font>
      <sz val="65"/>
      <color rgb="FF000000"/>
      <name val="Calibri"/>
      <family val="2"/>
      <charset val="1"/>
    </font>
    <font>
      <sz val="11"/>
      <color rgb="FFFFFFFF"/>
      <name val="Calibri"/>
      <family val="2"/>
      <charset val="1"/>
    </font>
    <font>
      <b val="true"/>
      <sz val="11"/>
      <name val="Calibri"/>
      <family val="2"/>
      <charset val="1"/>
    </font>
    <font>
      <sz val="11"/>
      <color rgb="FFFF0000"/>
      <name val="Calibri"/>
      <family val="2"/>
      <charset val="1"/>
    </font>
    <font>
      <sz val="11"/>
      <color rgb="FF000000"/>
      <name val="Cambria"/>
      <family val="2"/>
      <charset val="1"/>
    </font>
    <font>
      <b val="true"/>
      <sz val="8"/>
      <color rgb="FF000000"/>
      <name val="Verdana"/>
      <family val="0"/>
    </font>
    <font>
      <b val="true"/>
      <sz val="11"/>
      <color rgb="FF047ABA"/>
      <name val="Calibri"/>
      <family val="2"/>
      <charset val="1"/>
    </font>
    <font>
      <i val="true"/>
      <sz val="11"/>
      <color rgb="FFB2B2B2"/>
      <name val="Calibri"/>
      <family val="2"/>
      <charset val="1"/>
    </font>
    <font>
      <b val="true"/>
      <i val="true"/>
      <sz val="11"/>
      <color rgb="FFFFFFFF"/>
      <name val="Calibri"/>
      <family val="2"/>
      <charset val="1"/>
    </font>
    <font>
      <b val="true"/>
      <sz val="10"/>
      <color rgb="FF000000"/>
      <name val="Calibri"/>
      <family val="2"/>
      <charset val="1"/>
    </font>
    <font>
      <b val="true"/>
      <sz val="11"/>
      <color rgb="FF999999"/>
      <name val="Calibri"/>
      <family val="2"/>
      <charset val="1"/>
    </font>
    <font>
      <b val="true"/>
      <sz val="11"/>
      <color rgb="FF00B050"/>
      <name val="Calibri"/>
      <family val="2"/>
      <charset val="1"/>
    </font>
    <font>
      <sz val="10"/>
      <color rgb="FF000000"/>
      <name val="Calibri"/>
      <family val="2"/>
      <charset val="1"/>
    </font>
    <font>
      <sz val="11"/>
      <color rgb="FF000000"/>
      <name val="Calibri"/>
      <family val="2"/>
    </font>
    <font>
      <u val="single"/>
      <sz val="11"/>
      <color rgb="FF0000FF"/>
      <name val="Calibri"/>
      <family val="2"/>
    </font>
    <font>
      <u val="single"/>
      <sz val="11"/>
      <color rgb="FF0000FF"/>
      <name val="Calibri"/>
      <family val="2"/>
      <charset val="1"/>
    </font>
    <font>
      <sz val="44"/>
      <color rgb="FF000000"/>
      <name val="Calibri"/>
      <family val="2"/>
      <charset val="1"/>
    </font>
    <font>
      <sz val="67"/>
      <color rgb="FF000000"/>
      <name val="Calibri"/>
      <family val="2"/>
      <charset val="1"/>
    </font>
    <font>
      <sz val="110"/>
      <color rgb="FF000000"/>
      <name val="Calibri"/>
      <family val="2"/>
      <charset val="1"/>
    </font>
    <font>
      <sz val="48"/>
      <color rgb="FF000000"/>
      <name val="Calibri"/>
      <family val="2"/>
      <charset val="1"/>
    </font>
    <font>
      <sz val="66"/>
      <color rgb="FF000000"/>
      <name val="Calibri"/>
      <family val="2"/>
      <charset val="1"/>
    </font>
    <font>
      <sz val="120"/>
      <color rgb="FF000000"/>
      <name val="Calibri"/>
      <family val="2"/>
      <charset val="1"/>
    </font>
    <font>
      <sz val="11"/>
      <name val="Calibri"/>
      <family val="2"/>
      <charset val="1"/>
    </font>
    <font>
      <b val="true"/>
      <sz val="10"/>
      <name val="Calibri"/>
      <family val="2"/>
      <charset val="1"/>
    </font>
    <font>
      <b val="true"/>
      <sz val="11"/>
      <color rgb="FF000000"/>
      <name val="Cambria"/>
      <family val="2"/>
      <charset val="1"/>
    </font>
    <font>
      <b val="true"/>
      <sz val="11"/>
      <color rgb="FF000000"/>
      <name val="Century Gothic"/>
      <family val="2"/>
      <charset val="1"/>
    </font>
    <font>
      <b val="true"/>
      <sz val="11"/>
      <color rgb="FFB2B2B2"/>
      <name val="Calibri"/>
      <family val="2"/>
      <charset val="1"/>
    </font>
    <font>
      <b val="true"/>
      <sz val="12"/>
      <color rgb="FF000000"/>
      <name val="Calibri"/>
      <family val="2"/>
      <charset val="1"/>
    </font>
    <font>
      <sz val="12"/>
      <color rgb="FF000000"/>
      <name val="Calibri"/>
      <family val="2"/>
      <charset val="1"/>
    </font>
    <font>
      <b val="true"/>
      <sz val="12"/>
      <color rgb="FF000000"/>
      <name val="Cambria"/>
      <family val="2"/>
      <charset val="1"/>
    </font>
    <font>
      <sz val="28"/>
      <color rgb="FF000000"/>
      <name val="Arial"/>
      <family val="2"/>
      <charset val="1"/>
    </font>
    <font>
      <sz val="10"/>
      <name val="Cambria"/>
      <family val="2"/>
      <charset val="1"/>
    </font>
    <font>
      <sz val="36"/>
      <color rgb="FF000000"/>
      <name val="Arial"/>
      <family val="2"/>
      <charset val="1"/>
    </font>
    <font>
      <i val="true"/>
      <sz val="11"/>
      <name val="Calibri"/>
      <family val="2"/>
      <charset val="1"/>
    </font>
    <font>
      <sz val="12"/>
      <color rgb="FF000000"/>
      <name val="Cambria"/>
      <family val="2"/>
      <charset val="1"/>
    </font>
    <font>
      <sz val="10"/>
      <name val="Calibri"/>
      <family val="2"/>
      <charset val="1"/>
    </font>
    <font>
      <sz val="64"/>
      <color rgb="FF000000"/>
      <name val="Calibri"/>
      <family val="2"/>
      <charset val="1"/>
    </font>
    <font>
      <sz val="11"/>
      <color rgb="FFCE181E"/>
      <name val="Calibri"/>
      <family val="2"/>
      <charset val="1"/>
    </font>
    <font>
      <sz val="50"/>
      <color rgb="FF000000"/>
      <name val="Calibri"/>
      <family val="2"/>
      <charset val="1"/>
    </font>
    <font>
      <i val="true"/>
      <sz val="12"/>
      <color rgb="FFFFFFFF"/>
      <name val="Calibri"/>
      <family val="2"/>
      <charset val="1"/>
    </font>
    <font>
      <sz val="11"/>
      <color rgb="FFFF6600"/>
      <name val="Calibri"/>
      <family val="2"/>
      <charset val="1"/>
    </font>
    <font>
      <sz val="11"/>
      <color rgb="FF385724"/>
      <name val="Calibri"/>
      <family val="2"/>
      <charset val="1"/>
    </font>
    <font>
      <sz val="10"/>
      <color rgb="FF000000"/>
      <name val="Calibri"/>
      <family val="2"/>
    </font>
    <font>
      <b val="true"/>
      <sz val="10"/>
      <color rgb="FF000000"/>
      <name val="Calibri"/>
      <family val="2"/>
    </font>
    <font>
      <sz val="9"/>
      <color rgb="FF595959"/>
      <name val="Calibri"/>
      <family val="2"/>
    </font>
    <font>
      <b val="true"/>
      <sz val="12"/>
      <color rgb="FF1E7546"/>
      <name val="Calibri"/>
      <family val="2"/>
      <charset val="1"/>
    </font>
    <font>
      <b val="true"/>
      <sz val="12"/>
      <color rgb="FF1E975A"/>
      <name val="Calibri"/>
      <family val="2"/>
      <charset val="1"/>
    </font>
    <font>
      <b val="true"/>
      <sz val="12"/>
      <color rgb="FF40AD58"/>
      <name val="Calibri"/>
      <family val="2"/>
      <charset val="1"/>
    </font>
    <font>
      <b val="true"/>
      <sz val="12"/>
      <color rgb="FF80B343"/>
      <name val="Calibri"/>
      <family val="2"/>
      <charset val="1"/>
    </font>
    <font>
      <b val="true"/>
      <sz val="12"/>
      <color rgb="FFF6A842"/>
      <name val="Calibri"/>
      <family val="2"/>
      <charset val="1"/>
    </font>
    <font>
      <b val="true"/>
      <sz val="11"/>
      <color rgb="FFF6A842"/>
      <name val="Calibri"/>
      <family val="2"/>
      <charset val="1"/>
    </font>
    <font>
      <i val="true"/>
      <sz val="8"/>
      <color rgb="FF000000"/>
      <name val="Calibri"/>
      <family val="2"/>
      <charset val="1"/>
    </font>
    <font>
      <b val="true"/>
      <sz val="12"/>
      <color rgb="FF7F7F7F"/>
      <name val="Calibri"/>
      <family val="2"/>
      <charset val="1"/>
    </font>
    <font>
      <b val="true"/>
      <sz val="11"/>
      <color rgb="FF80B343"/>
      <name val="Calibri"/>
      <family val="2"/>
      <charset val="1"/>
    </font>
    <font>
      <b val="true"/>
      <sz val="14"/>
      <color rgb="FF4F81BD"/>
      <name val="Calibri"/>
      <family val="2"/>
    </font>
    <font>
      <sz val="9"/>
      <color rgb="FF4F81BD"/>
      <name val="Calibri"/>
      <family val="2"/>
    </font>
    <font>
      <sz val="9"/>
      <color rgb="FF8064A2"/>
      <name val="Calibri"/>
      <family val="2"/>
    </font>
    <font>
      <b val="true"/>
      <sz val="14"/>
      <color rgb="FFF6A842"/>
      <name val="Calibri"/>
      <family val="2"/>
    </font>
    <font>
      <sz val="9"/>
      <color rgb="FFF79646"/>
      <name val="Calibri"/>
      <family val="2"/>
    </font>
  </fonts>
  <fills count="25">
    <fill>
      <patternFill patternType="none"/>
    </fill>
    <fill>
      <patternFill patternType="gray125"/>
    </fill>
    <fill>
      <patternFill patternType="solid">
        <fgColor rgb="FFFFFFFF"/>
        <bgColor rgb="FFFBFBFB"/>
      </patternFill>
    </fill>
    <fill>
      <patternFill patternType="solid">
        <fgColor rgb="FF047ABA"/>
        <bgColor rgb="FF047EC4"/>
      </patternFill>
    </fill>
    <fill>
      <patternFill patternType="solid">
        <fgColor rgb="FF9B54A6"/>
        <bgColor rgb="FF884993"/>
      </patternFill>
    </fill>
    <fill>
      <patternFill patternType="solid">
        <fgColor rgb="FFE67E21"/>
        <bgColor rgb="FFE46C0A"/>
      </patternFill>
    </fill>
    <fill>
      <patternFill patternType="solid">
        <fgColor rgb="FFF8F8F8"/>
        <bgColor rgb="FFFBFBFB"/>
      </patternFill>
    </fill>
    <fill>
      <patternFill patternType="solid">
        <fgColor rgb="FF6A9B42"/>
        <bgColor rgb="FF77933C"/>
      </patternFill>
    </fill>
    <fill>
      <patternFill patternType="solid">
        <fgColor rgb="FFF2F2F2"/>
        <bgColor rgb="FFEEEEEE"/>
      </patternFill>
    </fill>
    <fill>
      <patternFill patternType="solid">
        <fgColor rgb="FF1B8751"/>
        <bgColor rgb="FF1E975A"/>
      </patternFill>
    </fill>
    <fill>
      <patternFill patternType="solid">
        <fgColor rgb="FF1E975A"/>
        <bgColor rgb="FF1B8751"/>
      </patternFill>
    </fill>
    <fill>
      <patternFill patternType="solid">
        <fgColor rgb="FF40AD58"/>
        <bgColor rgb="FF1E975A"/>
      </patternFill>
    </fill>
    <fill>
      <patternFill patternType="solid">
        <fgColor rgb="FF80B343"/>
        <bgColor rgb="FF6A9B42"/>
      </patternFill>
    </fill>
    <fill>
      <patternFill patternType="solid">
        <fgColor rgb="FFF6A842"/>
        <bgColor rgb="FFF79646"/>
      </patternFill>
    </fill>
    <fill>
      <patternFill patternType="solid">
        <fgColor rgb="FF047EC4"/>
        <bgColor rgb="FF047FC4"/>
      </patternFill>
    </fill>
    <fill>
      <patternFill patternType="solid">
        <fgColor rgb="FFC0C0C0"/>
        <bgColor rgb="FFBFBFBF"/>
      </patternFill>
    </fill>
    <fill>
      <patternFill patternType="solid">
        <fgColor rgb="FFFBFBFB"/>
        <bgColor rgb="FFF8F8F8"/>
      </patternFill>
    </fill>
    <fill>
      <patternFill patternType="solid">
        <fgColor rgb="FF047FC4"/>
        <bgColor rgb="FF047EC4"/>
      </patternFill>
    </fill>
    <fill>
      <patternFill patternType="solid">
        <fgColor rgb="FF7C4385"/>
        <bgColor rgb="FF884993"/>
      </patternFill>
    </fill>
    <fill>
      <patternFill patternType="solid">
        <fgColor rgb="FF884993"/>
        <bgColor rgb="FF7C4385"/>
      </patternFill>
    </fill>
    <fill>
      <patternFill patternType="solid">
        <fgColor rgb="FFCF6F17"/>
        <bgColor rgb="FFE46C0A"/>
      </patternFill>
    </fill>
    <fill>
      <patternFill patternType="solid">
        <fgColor rgb="FF608C3C"/>
        <bgColor rgb="FF6A9B42"/>
      </patternFill>
    </fill>
    <fill>
      <patternFill patternType="solid">
        <fgColor rgb="FF333333"/>
        <bgColor rgb="FF3F4041"/>
      </patternFill>
    </fill>
    <fill>
      <patternFill patternType="solid">
        <fgColor rgb="FF00CC99"/>
        <bgColor rgb="FF00B050"/>
      </patternFill>
    </fill>
    <fill>
      <patternFill patternType="solid">
        <fgColor rgb="FF1E7546"/>
        <bgColor rgb="FF1B8751"/>
      </patternFill>
    </fill>
  </fills>
  <borders count="71">
    <border diagonalUp="false" diagonalDown="false">
      <left/>
      <right/>
      <top/>
      <bottom/>
      <diagonal/>
    </border>
    <border diagonalUp="false" diagonalDown="false">
      <left/>
      <right style="thin">
        <color rgb="FFDDD9C3"/>
      </right>
      <top/>
      <bottom/>
      <diagonal/>
    </border>
    <border diagonalUp="false" diagonalDown="false">
      <left/>
      <right/>
      <top style="thin">
        <color rgb="FFD9D9D9"/>
      </top>
      <bottom/>
      <diagonal/>
    </border>
    <border diagonalUp="false" diagonalDown="false">
      <left/>
      <right style="thin">
        <color rgb="FFDDD9C3"/>
      </right>
      <top style="thin">
        <color rgb="FFD9D9D9"/>
      </top>
      <bottom/>
      <diagonal/>
    </border>
    <border diagonalUp="false" diagonalDown="false">
      <left style="thin">
        <color rgb="FFD9D9D9"/>
      </left>
      <right style="thin">
        <color rgb="FFD9D9D9"/>
      </right>
      <top style="thin">
        <color rgb="FFD9D9D9"/>
      </top>
      <bottom style="thin">
        <color rgb="FFD9D9D9"/>
      </bottom>
      <diagonal/>
    </border>
    <border diagonalUp="false" diagonalDown="false">
      <left/>
      <right/>
      <top style="medium">
        <color rgb="FFFFFFFF"/>
      </top>
      <bottom/>
      <diagonal/>
    </border>
    <border diagonalUp="false" diagonalDown="false">
      <left/>
      <right/>
      <top/>
      <bottom style="thin">
        <color rgb="FFD9D9D9"/>
      </bottom>
      <diagonal/>
    </border>
    <border diagonalUp="false" diagonalDown="false">
      <left/>
      <right style="thin">
        <color rgb="FFDDD9C3"/>
      </right>
      <top/>
      <bottom style="thin">
        <color rgb="FFD9D9D9"/>
      </bottom>
      <diagonal/>
    </border>
    <border diagonalUp="false" diagonalDown="false">
      <left style="thin">
        <color rgb="FFD9D9D9"/>
      </left>
      <right/>
      <top style="thin">
        <color rgb="FFD9D9D9"/>
      </top>
      <bottom style="thin">
        <color rgb="FFD9D9D9"/>
      </bottom>
      <diagonal/>
    </border>
    <border diagonalUp="false" diagonalDown="false">
      <left/>
      <right/>
      <top style="thin">
        <color rgb="FFD9D9D9"/>
      </top>
      <bottom style="thin">
        <color rgb="FFD9D9D9"/>
      </bottom>
      <diagonal/>
    </border>
    <border diagonalUp="false" diagonalDown="false">
      <left/>
      <right style="thin">
        <color rgb="FFD9D9D9"/>
      </right>
      <top style="thin">
        <color rgb="FFD9D9D9"/>
      </top>
      <bottom style="thin">
        <color rgb="FFD9D9D9"/>
      </bottom>
      <diagonal/>
    </border>
    <border diagonalUp="false" diagonalDown="false">
      <left style="thin">
        <color rgb="FFD0CECE"/>
      </left>
      <right style="thin">
        <color rgb="FFD0CECE"/>
      </right>
      <top style="thin">
        <color rgb="FFD0CECE"/>
      </top>
      <bottom style="thin">
        <color rgb="FFD0CECE"/>
      </bottom>
      <diagonal/>
    </border>
    <border diagonalUp="false" diagonalDown="false">
      <left style="hair">
        <color rgb="FFCCCCCC"/>
      </left>
      <right/>
      <top style="hair">
        <color rgb="FFCCCCCC"/>
      </top>
      <bottom style="hair">
        <color rgb="FFCCCCCC"/>
      </bottom>
      <diagonal/>
    </border>
    <border diagonalUp="false" diagonalDown="false">
      <left/>
      <right/>
      <top style="hair">
        <color rgb="FFCCCCCC"/>
      </top>
      <bottom style="hair">
        <color rgb="FFCCCCCC"/>
      </bottom>
      <diagonal/>
    </border>
    <border diagonalUp="false" diagonalDown="false">
      <left style="thin">
        <color rgb="FFD9D9D9"/>
      </left>
      <right/>
      <top/>
      <bottom/>
      <diagonal/>
    </border>
    <border diagonalUp="false" diagonalDown="false">
      <left style="thin">
        <color rgb="FFD9D9D9"/>
      </left>
      <right/>
      <top/>
      <bottom style="thin">
        <color rgb="FFD9D9D9"/>
      </bottom>
      <diagonal/>
    </border>
    <border diagonalUp="false" diagonalDown="false">
      <left style="thin">
        <color rgb="FF047ABA"/>
      </left>
      <right/>
      <top style="thin">
        <color rgb="FF047ABA"/>
      </top>
      <bottom style="thin">
        <color rgb="FF047ABA"/>
      </bottom>
      <diagonal/>
    </border>
    <border diagonalUp="false" diagonalDown="false">
      <left/>
      <right/>
      <top style="thin">
        <color rgb="FF047ABA"/>
      </top>
      <bottom style="thin">
        <color rgb="FF047ABA"/>
      </bottom>
      <diagonal/>
    </border>
    <border diagonalUp="false" diagonalDown="false">
      <left/>
      <right style="thin">
        <color rgb="FF047ABA"/>
      </right>
      <top style="thin">
        <color rgb="FF047ABA"/>
      </top>
      <bottom style="thin">
        <color rgb="FF047ABA"/>
      </bottom>
      <diagonal/>
    </border>
    <border diagonalUp="false" diagonalDown="false">
      <left style="thin">
        <color rgb="FFD9D9D9"/>
      </left>
      <right style="thin">
        <color rgb="FFD0CECE"/>
      </right>
      <top style="thin">
        <color rgb="FFD9D9D9"/>
      </top>
      <bottom style="thin">
        <color rgb="FFD9D9D9"/>
      </bottom>
      <diagonal/>
    </border>
    <border diagonalUp="false" diagonalDown="false">
      <left style="hair">
        <color rgb="FFCCCCCC"/>
      </left>
      <right style="hair">
        <color rgb="FFCCCCCC"/>
      </right>
      <top style="hair">
        <color rgb="FFCCCCCC"/>
      </top>
      <bottom style="hair">
        <color rgb="FFCCCCCC"/>
      </bottom>
      <diagonal/>
    </border>
    <border diagonalUp="false" diagonalDown="false">
      <left/>
      <right style="thin">
        <color rgb="FFD9D9D9"/>
      </right>
      <top style="thin">
        <color rgb="FFD9D9D9"/>
      </top>
      <bottom/>
      <diagonal/>
    </border>
    <border diagonalUp="false" diagonalDown="false">
      <left/>
      <right style="thin">
        <color rgb="FFD9D9D9"/>
      </right>
      <top/>
      <bottom/>
      <diagonal/>
    </border>
    <border diagonalUp="false" diagonalDown="false">
      <left/>
      <right style="thin">
        <color rgb="FFD9D9D9"/>
      </right>
      <top/>
      <bottom style="thin">
        <color rgb="FFD9D9D9"/>
      </bottom>
      <diagonal/>
    </border>
    <border diagonalUp="false" diagonalDown="false">
      <left/>
      <right/>
      <top style="thin">
        <color rgb="FFFFFFFF"/>
      </top>
      <bottom style="thin">
        <color rgb="FFFFFFFF"/>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right/>
      <top style="thin">
        <color rgb="FFFFFFFF"/>
      </top>
      <bottom/>
      <diagonal/>
    </border>
    <border diagonalUp="false" diagonalDown="false">
      <left style="thin">
        <color rgb="FFD9D9D9"/>
      </left>
      <right/>
      <top style="thin">
        <color rgb="FFD0CECE"/>
      </top>
      <bottom style="thin">
        <color rgb="FFD9D9D9"/>
      </bottom>
      <diagonal/>
    </border>
    <border diagonalUp="false" diagonalDown="false">
      <left/>
      <right style="thin">
        <color rgb="FFD9D9D9"/>
      </right>
      <top style="thin">
        <color rgb="FFD0CECE"/>
      </top>
      <bottom style="thin">
        <color rgb="FFD9D9D9"/>
      </bottom>
      <diagonal/>
    </border>
    <border diagonalUp="false" diagonalDown="false">
      <left style="thin">
        <color rgb="FFD9D9D9"/>
      </left>
      <right/>
      <top style="thin">
        <color rgb="FFD9D9D9"/>
      </top>
      <bottom/>
      <diagonal/>
    </border>
    <border diagonalUp="false" diagonalDown="false">
      <left style="thin">
        <color rgb="FFD9D9D9"/>
      </left>
      <right style="thin">
        <color rgb="FFD9D9D9"/>
      </right>
      <top style="thin">
        <color rgb="FFD0CECE"/>
      </top>
      <bottom style="thin">
        <color rgb="FFD9D9D9"/>
      </bottom>
      <diagonal/>
    </border>
    <border diagonalUp="false" diagonalDown="false">
      <left style="thin">
        <color rgb="FFBFBFBF"/>
      </left>
      <right style="thin">
        <color rgb="FFBFBFBF"/>
      </right>
      <top/>
      <bottom style="thin">
        <color rgb="FFD9D9D9"/>
      </bottom>
      <diagonal/>
    </border>
    <border diagonalUp="false" diagonalDown="false">
      <left style="thin">
        <color rgb="FFD9D9D9"/>
      </left>
      <right style="thin">
        <color rgb="FFD9D9D9"/>
      </right>
      <top/>
      <bottom/>
      <diagonal/>
    </border>
    <border diagonalUp="false" diagonalDown="false">
      <left/>
      <right/>
      <top style="thin">
        <color rgb="FFD9D9D9"/>
      </top>
      <bottom style="thin">
        <color rgb="FFE7E6E6"/>
      </bottom>
      <diagonal/>
    </border>
    <border diagonalUp="false" diagonalDown="false">
      <left style="thin">
        <color rgb="FFE7E6E6"/>
      </left>
      <right/>
      <top style="thin">
        <color rgb="FFE7E6E6"/>
      </top>
      <bottom/>
      <diagonal/>
    </border>
    <border diagonalUp="false" diagonalDown="false">
      <left/>
      <right/>
      <top style="thin">
        <color rgb="FFE7E6E6"/>
      </top>
      <bottom/>
      <diagonal/>
    </border>
    <border diagonalUp="false" diagonalDown="false">
      <left/>
      <right style="thin">
        <color rgb="FFE7E6E6"/>
      </right>
      <top style="thin">
        <color rgb="FFE7E6E6"/>
      </top>
      <bottom/>
      <diagonal/>
    </border>
    <border diagonalUp="false" diagonalDown="false">
      <left style="thin">
        <color rgb="FFE7E6E6"/>
      </left>
      <right style="thin">
        <color rgb="FFE7E6E6"/>
      </right>
      <top style="thin">
        <color rgb="FFE7E6E6"/>
      </top>
      <bottom style="thin">
        <color rgb="FFE7E6E6"/>
      </bottom>
      <diagonal/>
    </border>
    <border diagonalUp="false" diagonalDown="false">
      <left/>
      <right style="thin">
        <color rgb="FFE7E6E6"/>
      </right>
      <top/>
      <bottom/>
      <diagonal/>
    </border>
    <border diagonalUp="false" diagonalDown="false">
      <left style="thin">
        <color rgb="FFE7E6E6"/>
      </left>
      <right/>
      <top/>
      <bottom/>
      <diagonal/>
    </border>
    <border diagonalUp="false" diagonalDown="false">
      <left style="thin">
        <color rgb="FFE7E6E6"/>
      </left>
      <right/>
      <top/>
      <bottom style="thin">
        <color rgb="FFE7E6E6"/>
      </bottom>
      <diagonal/>
    </border>
    <border diagonalUp="false" diagonalDown="false">
      <left/>
      <right/>
      <top/>
      <bottom style="thin">
        <color rgb="FFE7E6E6"/>
      </bottom>
      <diagonal/>
    </border>
    <border diagonalUp="false" diagonalDown="false">
      <left/>
      <right style="thin">
        <color rgb="FFE7E6E6"/>
      </right>
      <top/>
      <bottom style="thin">
        <color rgb="FFE7E6E6"/>
      </bottom>
      <diagonal/>
    </border>
    <border diagonalUp="false" diagonalDown="false">
      <left style="hair">
        <color rgb="FFEEEEEE"/>
      </left>
      <right style="hair">
        <color rgb="FFEEEEEE"/>
      </right>
      <top style="hair">
        <color rgb="FFEEEEEE"/>
      </top>
      <bottom style="hair">
        <color rgb="FFEEEEEE"/>
      </bottom>
      <diagonal/>
    </border>
    <border diagonalUp="false" diagonalDown="false">
      <left/>
      <right/>
      <top style="thin">
        <color rgb="FFCCCCCC"/>
      </top>
      <bottom style="thin">
        <color rgb="FFCCCCCC"/>
      </bottom>
      <diagonal/>
    </border>
    <border diagonalUp="false" diagonalDown="false">
      <left/>
      <right/>
      <top style="thin">
        <color rgb="FFCCCCCC"/>
      </top>
      <bottom style="thin">
        <color rgb="FFBFBFBF"/>
      </bottom>
      <diagonal/>
    </border>
    <border diagonalUp="false" diagonalDown="false">
      <left style="thin">
        <color rgb="FFBFBFBF"/>
      </left>
      <right/>
      <top/>
      <bottom style="thin">
        <color rgb="FFD9D9D9"/>
      </bottom>
      <diagonal/>
    </border>
    <border diagonalUp="false" diagonalDown="false">
      <left style="thin">
        <color rgb="FFBFBFBF"/>
      </left>
      <right style="thin">
        <color rgb="FFBFBFBF"/>
      </right>
      <top style="thin">
        <color rgb="FFBFBFBF"/>
      </top>
      <bottom style="thin">
        <color rgb="FFD9D9D9"/>
      </bottom>
      <diagonal/>
    </border>
    <border diagonalUp="false" diagonalDown="false">
      <left style="thin">
        <color rgb="FF1E7546"/>
      </left>
      <right style="thin">
        <color rgb="FF1E7546"/>
      </right>
      <top style="thin">
        <color rgb="FF1E7546"/>
      </top>
      <bottom style="thin">
        <color rgb="FF1E7546"/>
      </bottom>
      <diagonal/>
    </border>
    <border diagonalUp="false" diagonalDown="false">
      <left style="thin">
        <color rgb="FF1E7546"/>
      </left>
      <right style="thin">
        <color rgb="FFE7E6E6"/>
      </right>
      <top/>
      <bottom/>
      <diagonal/>
    </border>
    <border diagonalUp="false" diagonalDown="false">
      <left/>
      <right/>
      <top/>
      <bottom style="medium">
        <color rgb="FF1E7546"/>
      </bottom>
      <diagonal/>
    </border>
    <border diagonalUp="false" diagonalDown="false">
      <left style="medium">
        <color rgb="FF1E975A"/>
      </left>
      <right style="medium">
        <color rgb="FF1E975A"/>
      </right>
      <top style="medium">
        <color rgb="FF1E975A"/>
      </top>
      <bottom style="medium">
        <color rgb="FF1E975A"/>
      </bottom>
      <diagonal/>
    </border>
    <border diagonalUp="false" diagonalDown="false">
      <left/>
      <right/>
      <top/>
      <bottom style="medium">
        <color rgb="FF1E975A"/>
      </bottom>
      <diagonal/>
    </border>
    <border diagonalUp="false" diagonalDown="false">
      <left/>
      <right/>
      <top style="medium">
        <color rgb="FF40AD58"/>
      </top>
      <bottom style="thin">
        <color rgb="FFD9D9D9"/>
      </bottom>
      <diagonal/>
    </border>
    <border diagonalUp="false" diagonalDown="false">
      <left style="medium">
        <color rgb="FF80B343"/>
      </left>
      <right style="medium">
        <color rgb="FF80B343"/>
      </right>
      <top style="medium">
        <color rgb="FF80B343"/>
      </top>
      <bottom style="medium">
        <color rgb="FF80B343"/>
      </bottom>
      <diagonal/>
    </border>
    <border diagonalUp="false" diagonalDown="false">
      <left style="medium">
        <color rgb="FF80B343"/>
      </left>
      <right style="thin">
        <color rgb="FFE7E6E6"/>
      </right>
      <top/>
      <bottom/>
      <diagonal/>
    </border>
    <border diagonalUp="false" diagonalDown="false">
      <left/>
      <right/>
      <top/>
      <bottom style="medium">
        <color rgb="FF80B343"/>
      </bottom>
      <diagonal/>
    </border>
    <border diagonalUp="false" diagonalDown="false">
      <left style="thin">
        <color rgb="FFFFFFFF"/>
      </left>
      <right/>
      <top/>
      <bottom/>
      <diagonal/>
    </border>
    <border diagonalUp="false" diagonalDown="false">
      <left style="thin">
        <color rgb="FFFFFFFF"/>
      </left>
      <right style="thin">
        <color rgb="FFFFFFFF"/>
      </right>
      <top/>
      <bottom/>
      <diagonal/>
    </border>
    <border diagonalUp="false" diagonalDown="false">
      <left style="thin">
        <color rgb="FFFFFFFF"/>
      </left>
      <right style="thin">
        <color rgb="FFD9D9D9"/>
      </right>
      <top/>
      <bottom/>
      <diagonal/>
    </border>
    <border diagonalUp="false" diagonalDown="false">
      <left style="thin">
        <color rgb="FFD9D9D9"/>
      </left>
      <right style="thin">
        <color rgb="FFFFFFFF"/>
      </right>
      <top style="thin">
        <color rgb="FFD9D9D9"/>
      </top>
      <bottom/>
      <diagonal/>
    </border>
    <border diagonalUp="false" diagonalDown="false">
      <left style="thin">
        <color rgb="FFFFFFFF"/>
      </left>
      <right/>
      <top style="thin">
        <color rgb="FFD9D9D9"/>
      </top>
      <bottom/>
      <diagonal/>
    </border>
    <border diagonalUp="false" diagonalDown="false">
      <left style="thin">
        <color rgb="FFFFFFFF"/>
      </left>
      <right style="thin">
        <color rgb="FFFFFFFF"/>
      </right>
      <top style="thin">
        <color rgb="FFD9D9D9"/>
      </top>
      <bottom/>
      <diagonal/>
    </border>
    <border diagonalUp="false" diagonalDown="false">
      <left style="thin">
        <color rgb="FFFFFFFF"/>
      </left>
      <right style="thin">
        <color rgb="FFD9D9D9"/>
      </right>
      <top style="thin">
        <color rgb="FFD9D9D9"/>
      </top>
      <bottom/>
      <diagonal/>
    </border>
    <border diagonalUp="false" diagonalDown="false">
      <left style="medium">
        <color rgb="FFF6A842"/>
      </left>
      <right style="medium">
        <color rgb="FFF6A842"/>
      </right>
      <top/>
      <bottom style="medium">
        <color rgb="FFF6A842"/>
      </bottom>
      <diagonal/>
    </border>
    <border diagonalUp="false" diagonalDown="false">
      <left style="medium">
        <color rgb="FFF6A842"/>
      </left>
      <right style="thin">
        <color rgb="FFE7E6E6"/>
      </right>
      <top/>
      <bottom/>
      <diagonal/>
    </border>
    <border diagonalUp="false" diagonalDown="false">
      <left/>
      <right/>
      <top/>
      <bottom style="medium">
        <color rgb="FFF6A842"/>
      </bottom>
      <diagonal/>
    </border>
    <border diagonalUp="false" diagonalDown="false">
      <left style="thin">
        <color rgb="FFFFFFFF"/>
      </left>
      <right style="thin">
        <color rgb="FFFFFFFF"/>
      </right>
      <top style="thin">
        <color rgb="FFD9D9D9"/>
      </top>
      <bottom style="medium">
        <color rgb="FF808080"/>
      </bottom>
      <diagonal/>
    </border>
    <border diagonalUp="false" diagonalDown="false">
      <left style="medium">
        <color rgb="FF808080"/>
      </left>
      <right style="medium">
        <color rgb="FF808080"/>
      </right>
      <top style="medium">
        <color rgb="FF808080"/>
      </top>
      <bottom style="medium">
        <color rgb="FF808080"/>
      </bottom>
      <diagonal/>
    </border>
    <border diagonalUp="false" diagonalDown="false">
      <left/>
      <right/>
      <top style="medium">
        <color rgb="FF808080"/>
      </top>
      <bottom style="thin">
        <color rgb="FFD9D9D9"/>
      </bottom>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53"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center"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center" textRotation="0" wrapText="false" indent="0" shrinkToFit="false"/>
      <protection locked="true" hidden="false"/>
    </xf>
  </cellStyleXfs>
  <cellXfs count="56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true">
      <alignment horizontal="general" vertical="bottom" textRotation="0" wrapText="false" indent="0" shrinkToFit="false"/>
      <protection locked="true" hidden="true"/>
    </xf>
    <xf numFmtId="164" fontId="5" fillId="2" borderId="0" xfId="0" applyFont="true" applyBorder="false" applyAlignment="false" applyProtection="true">
      <alignment horizontal="general" vertical="bottom" textRotation="0" wrapText="false" indent="0" shrinkToFit="false"/>
      <protection locked="true" hidden="true"/>
    </xf>
    <xf numFmtId="164" fontId="6" fillId="2" borderId="0" xfId="23" applyFont="true" applyBorder="true" applyAlignment="false" applyProtection="true">
      <alignment horizontal="general" vertical="center" textRotation="0" wrapText="false" indent="0" shrinkToFit="false"/>
      <protection locked="true" hidden="true"/>
    </xf>
    <xf numFmtId="164" fontId="4" fillId="0" borderId="0" xfId="23" applyFont="true" applyBorder="false" applyAlignment="false" applyProtection="true">
      <alignment horizontal="general" vertical="center" textRotation="0" wrapText="false" indent="0" shrinkToFit="false"/>
      <protection locked="true" hidden="true"/>
    </xf>
    <xf numFmtId="164" fontId="7" fillId="2" borderId="1" xfId="23" applyFont="true" applyBorder="true" applyAlignment="true" applyProtection="true">
      <alignment horizontal="center" vertical="center" textRotation="0" wrapText="false" indent="0" shrinkToFit="false"/>
      <protection locked="true" hidden="true"/>
    </xf>
    <xf numFmtId="164" fontId="8" fillId="2" borderId="0" xfId="0" applyFont="true" applyBorder="false" applyAlignment="true" applyProtection="true">
      <alignment horizontal="general" vertical="bottom" textRotation="0" wrapText="false" indent="0" shrinkToFit="false"/>
      <protection locked="true" hidden="true"/>
    </xf>
    <xf numFmtId="164" fontId="9" fillId="2" borderId="0" xfId="23" applyFont="true" applyBorder="true" applyAlignment="true" applyProtection="true">
      <alignment horizontal="center" vertical="center" textRotation="0" wrapText="false" indent="0" shrinkToFit="false"/>
      <protection locked="true" hidden="true"/>
    </xf>
    <xf numFmtId="164" fontId="6" fillId="2" borderId="1" xfId="23" applyFont="true" applyBorder="true" applyAlignment="false" applyProtection="true">
      <alignment horizontal="general" vertical="center" textRotation="0" wrapText="false" indent="0" shrinkToFit="false"/>
      <protection locked="true" hidden="true"/>
    </xf>
    <xf numFmtId="164" fontId="6" fillId="2" borderId="0" xfId="23" applyFont="true" applyBorder="true" applyAlignment="true" applyProtection="true">
      <alignment horizontal="center" vertical="center" textRotation="0" wrapText="false" indent="0" shrinkToFit="false"/>
      <protection locked="true" hidden="true"/>
    </xf>
    <xf numFmtId="164" fontId="10" fillId="2" borderId="1" xfId="23" applyFont="true" applyBorder="true" applyAlignment="true" applyProtection="true">
      <alignment horizontal="center" vertical="center" textRotation="0" wrapText="false" indent="0" shrinkToFit="false"/>
      <protection locked="true" hidden="true"/>
    </xf>
    <xf numFmtId="164" fontId="5" fillId="2" borderId="0" xfId="0" applyFont="true" applyBorder="true" applyAlignment="true" applyProtection="true">
      <alignment horizontal="center" vertical="bottom" textRotation="0" wrapText="false" indent="0" shrinkToFit="false"/>
      <protection locked="true" hidden="true"/>
    </xf>
    <xf numFmtId="164" fontId="5" fillId="2" borderId="0" xfId="0" applyFont="true" applyBorder="false" applyAlignment="true" applyProtection="true">
      <alignment horizontal="general" vertical="bottom" textRotation="0" wrapText="false" indent="0" shrinkToFit="false"/>
      <protection locked="true" hidden="true"/>
    </xf>
    <xf numFmtId="164" fontId="6" fillId="2" borderId="0" xfId="23" applyFont="true" applyBorder="true" applyAlignment="true" applyProtection="true">
      <alignment horizontal="general" vertical="bottom" textRotation="0" wrapText="false" indent="0" shrinkToFit="false"/>
      <protection locked="true" hidden="true"/>
    </xf>
    <xf numFmtId="164" fontId="11" fillId="0" borderId="1" xfId="23" applyFont="true" applyBorder="true" applyAlignment="true" applyProtection="true">
      <alignment horizontal="center" vertical="bottom" textRotation="0" wrapText="false" indent="0" shrinkToFit="false"/>
      <protection locked="true" hidden="true"/>
    </xf>
    <xf numFmtId="164" fontId="12" fillId="2" borderId="1" xfId="23" applyFont="true" applyBorder="true" applyAlignment="true" applyProtection="true">
      <alignment horizontal="center" vertical="bottom" textRotation="0" wrapText="false" indent="0" shrinkToFit="false"/>
      <protection locked="true" hidden="true"/>
    </xf>
    <xf numFmtId="164" fontId="11" fillId="2" borderId="0" xfId="23" applyFont="true" applyBorder="true" applyAlignment="true" applyProtection="true">
      <alignment horizontal="center" vertical="bottom" textRotation="0" wrapText="true" indent="0" shrinkToFit="false"/>
      <protection locked="true" hidden="true"/>
    </xf>
    <xf numFmtId="164" fontId="11" fillId="2" borderId="1" xfId="23" applyFont="true" applyBorder="true" applyAlignment="true" applyProtection="true">
      <alignment horizontal="center" vertical="bottom" textRotation="0" wrapText="true" indent="0" shrinkToFit="false"/>
      <protection locked="true" hidden="true"/>
    </xf>
    <xf numFmtId="164" fontId="6" fillId="0" borderId="0" xfId="23" applyFont="true" applyBorder="true" applyAlignment="false" applyProtection="true">
      <alignment horizontal="general" vertical="center" textRotation="0" wrapText="false" indent="0" shrinkToFit="false"/>
      <protection locked="true" hidden="true"/>
    </xf>
    <xf numFmtId="164" fontId="6" fillId="2" borderId="0" xfId="23" applyFont="true" applyBorder="true" applyAlignment="true" applyProtection="true">
      <alignment horizontal="general" vertical="bottom" textRotation="0" wrapText="true" indent="0" shrinkToFit="false"/>
      <protection locked="true" hidden="true"/>
    </xf>
    <xf numFmtId="164" fontId="13" fillId="2" borderId="0" xfId="23" applyFont="true" applyBorder="true" applyAlignment="true" applyProtection="true">
      <alignment horizontal="left" vertical="bottom" textRotation="0" wrapText="true" indent="0" shrinkToFit="false"/>
      <protection locked="true" hidden="true"/>
    </xf>
    <xf numFmtId="164" fontId="6" fillId="2" borderId="1" xfId="23" applyFont="true" applyBorder="true" applyAlignment="true" applyProtection="true">
      <alignment horizontal="general" vertical="bottom" textRotation="0" wrapText="true" indent="0" shrinkToFit="false"/>
      <protection locked="true" hidden="true"/>
    </xf>
    <xf numFmtId="164" fontId="6" fillId="2" borderId="0" xfId="23" applyFont="true" applyBorder="true" applyAlignment="true" applyProtection="true">
      <alignment horizontal="center" vertical="bottom" textRotation="0" wrapText="true" indent="0" shrinkToFit="false"/>
      <protection locked="true" hidden="true"/>
    </xf>
    <xf numFmtId="164" fontId="13" fillId="2" borderId="0" xfId="23" applyFont="true" applyBorder="true" applyAlignment="true" applyProtection="true">
      <alignment horizontal="center" vertical="bottom" textRotation="0" wrapText="true" indent="0" shrinkToFit="false"/>
      <protection locked="true" hidden="true"/>
    </xf>
    <xf numFmtId="164" fontId="13" fillId="2" borderId="0" xfId="23" applyFont="true" applyBorder="true" applyAlignment="true" applyProtection="true">
      <alignment horizontal="general" vertical="bottom" textRotation="0" wrapText="true" indent="0" shrinkToFit="false"/>
      <protection locked="true" hidden="true"/>
    </xf>
    <xf numFmtId="164" fontId="6" fillId="2" borderId="1" xfId="23" applyFont="true" applyBorder="true" applyAlignment="true" applyProtection="true">
      <alignment horizontal="center" vertical="bottom" textRotation="0" wrapText="true" indent="0" shrinkToFit="false"/>
      <protection locked="true" hidden="true"/>
    </xf>
    <xf numFmtId="164" fontId="14" fillId="2" borderId="2" xfId="23" applyFont="true" applyBorder="true" applyAlignment="true" applyProtection="true">
      <alignment horizontal="general" vertical="bottom" textRotation="0" wrapText="false" indent="0" shrinkToFit="false"/>
      <protection locked="true" hidden="true"/>
    </xf>
    <xf numFmtId="164" fontId="14" fillId="2" borderId="3" xfId="23" applyFont="true" applyBorder="true" applyAlignment="true" applyProtection="true">
      <alignment horizontal="general" vertical="bottom" textRotation="0" wrapText="false" indent="0" shrinkToFit="false"/>
      <protection locked="true" hidden="true"/>
    </xf>
    <xf numFmtId="164" fontId="6" fillId="2" borderId="0" xfId="23" applyFont="true" applyBorder="true" applyAlignment="true" applyProtection="true">
      <alignment horizontal="general" vertical="center" textRotation="0" wrapText="false" indent="0" shrinkToFit="false"/>
      <protection locked="true" hidden="true"/>
    </xf>
    <xf numFmtId="164" fontId="4" fillId="0" borderId="0" xfId="23" applyFont="true" applyBorder="true" applyAlignment="false" applyProtection="true">
      <alignment horizontal="general" vertical="center" textRotation="0" wrapText="false" indent="0" shrinkToFit="false"/>
      <protection locked="true" hidden="true"/>
    </xf>
    <xf numFmtId="164" fontId="6" fillId="2" borderId="1" xfId="23" applyFont="true" applyBorder="true" applyAlignment="true" applyProtection="true">
      <alignment horizontal="general" vertical="center" textRotation="0" wrapText="false" indent="0" shrinkToFit="false"/>
      <protection locked="true" hidden="true"/>
    </xf>
    <xf numFmtId="164" fontId="13" fillId="2" borderId="4" xfId="23" applyFont="true" applyBorder="true" applyAlignment="true" applyProtection="true">
      <alignment horizontal="center" vertical="center" textRotation="0" wrapText="false" indent="0" shrinkToFit="false"/>
      <protection locked="false" hidden="false"/>
    </xf>
    <xf numFmtId="164" fontId="15" fillId="2" borderId="0" xfId="23" applyFont="true" applyBorder="true" applyAlignment="true" applyProtection="true">
      <alignment horizontal="general" vertical="center" textRotation="0" wrapText="false" indent="0" shrinkToFit="false"/>
      <protection locked="true" hidden="true"/>
    </xf>
    <xf numFmtId="164" fontId="6" fillId="2" borderId="0" xfId="23" applyFont="true" applyBorder="true" applyAlignment="true" applyProtection="true">
      <alignment horizontal="center" vertical="bottom" textRotation="0" wrapText="false" indent="0" shrinkToFit="false"/>
      <protection locked="true" hidden="true"/>
    </xf>
    <xf numFmtId="164" fontId="4" fillId="0" borderId="5" xfId="0" applyFont="true" applyBorder="true" applyAlignment="false" applyProtection="true">
      <alignment horizontal="general" vertical="bottom" textRotation="0" wrapText="false" indent="0" shrinkToFit="false"/>
      <protection locked="true" hidden="true"/>
    </xf>
    <xf numFmtId="164" fontId="16" fillId="2" borderId="0" xfId="23" applyFont="true" applyBorder="true" applyAlignment="true" applyProtection="true">
      <alignment horizontal="general" vertical="center" textRotation="0" wrapText="true" indent="0" shrinkToFit="false"/>
      <protection locked="true" hidden="true"/>
    </xf>
    <xf numFmtId="164" fontId="17" fillId="0" borderId="4" xfId="0" applyFont="true" applyBorder="true" applyAlignment="true" applyProtection="true">
      <alignment horizontal="left" vertical="center" textRotation="0" wrapText="true" indent="1" shrinkToFit="false"/>
      <protection locked="true" hidden="true"/>
    </xf>
    <xf numFmtId="164" fontId="18" fillId="2" borderId="0" xfId="23" applyFont="true" applyBorder="true" applyAlignment="true" applyProtection="true">
      <alignment horizontal="center" vertical="center" textRotation="0" wrapText="true" indent="0" shrinkToFit="false"/>
      <protection locked="true" hidden="true"/>
    </xf>
    <xf numFmtId="164" fontId="9" fillId="2" borderId="0" xfId="23" applyFont="true" applyBorder="true" applyAlignment="true" applyProtection="true">
      <alignment horizontal="center" vertical="bottom" textRotation="0" wrapText="false" indent="0" shrinkToFit="false"/>
      <protection locked="true" hidden="true"/>
    </xf>
    <xf numFmtId="164" fontId="17" fillId="2" borderId="4" xfId="23" applyFont="true" applyBorder="true" applyAlignment="true" applyProtection="true">
      <alignment horizontal="left" vertical="center" textRotation="0" wrapText="true" indent="1" shrinkToFit="false"/>
      <protection locked="true" hidden="true"/>
    </xf>
    <xf numFmtId="164" fontId="6" fillId="2" borderId="0" xfId="23" applyFont="true" applyBorder="true" applyAlignment="true" applyProtection="true">
      <alignment horizontal="left" vertical="center" textRotation="0" wrapText="false" indent="0" shrinkToFit="false"/>
      <protection locked="true" hidden="true"/>
    </xf>
    <xf numFmtId="164" fontId="6" fillId="2" borderId="1" xfId="23" applyFont="true" applyBorder="true" applyAlignment="true" applyProtection="true">
      <alignment horizontal="left" vertical="center" textRotation="0" wrapText="false" indent="0" shrinkToFit="false"/>
      <protection locked="true" hidden="true"/>
    </xf>
    <xf numFmtId="164" fontId="8" fillId="2" borderId="0" xfId="0" applyFont="true" applyBorder="false" applyAlignment="true" applyProtection="true">
      <alignment horizontal="left" vertical="bottom" textRotation="0" wrapText="false" indent="0" shrinkToFit="false"/>
      <protection locked="true" hidden="true"/>
    </xf>
    <xf numFmtId="164" fontId="4" fillId="0" borderId="0" xfId="0" applyFont="true" applyBorder="false" applyAlignment="true" applyProtection="true">
      <alignment horizontal="left" vertical="bottom" textRotation="0" wrapText="false" indent="0" shrinkToFit="false"/>
      <protection locked="true" hidden="true"/>
    </xf>
    <xf numFmtId="164" fontId="18" fillId="2" borderId="0" xfId="23" applyFont="true" applyBorder="true" applyAlignment="true" applyProtection="true">
      <alignment horizontal="left" vertical="center" textRotation="0" wrapText="true" indent="0" shrinkToFit="false"/>
      <protection locked="true" hidden="true"/>
    </xf>
    <xf numFmtId="164" fontId="19" fillId="2" borderId="4" xfId="23" applyFont="true" applyBorder="true" applyAlignment="true" applyProtection="true">
      <alignment horizontal="left" vertical="center" textRotation="0" wrapText="true" indent="0" shrinkToFit="false"/>
      <protection locked="true" hidden="true"/>
    </xf>
    <xf numFmtId="164" fontId="6" fillId="2" borderId="6" xfId="23" applyFont="true" applyBorder="true" applyAlignment="true" applyProtection="true">
      <alignment horizontal="left" vertical="center" textRotation="0" wrapText="false" indent="0" shrinkToFit="false"/>
      <protection locked="true" hidden="true"/>
    </xf>
    <xf numFmtId="164" fontId="6" fillId="2" borderId="6" xfId="23" applyFont="true" applyBorder="true" applyAlignment="true" applyProtection="true">
      <alignment horizontal="left" vertical="bottom" textRotation="0" wrapText="false" indent="0" shrinkToFit="false"/>
      <protection locked="true" hidden="true"/>
    </xf>
    <xf numFmtId="164" fontId="20" fillId="2" borderId="6" xfId="23" applyFont="true" applyBorder="true" applyAlignment="true" applyProtection="true">
      <alignment horizontal="left" vertical="center" textRotation="0" wrapText="true" indent="0" shrinkToFit="false"/>
      <protection locked="true" hidden="true"/>
    </xf>
    <xf numFmtId="164" fontId="9" fillId="2" borderId="6" xfId="23" applyFont="true" applyBorder="true" applyAlignment="true" applyProtection="true">
      <alignment horizontal="left" vertical="bottom" textRotation="0" wrapText="false" indent="0" shrinkToFit="false"/>
      <protection locked="true" hidden="true"/>
    </xf>
    <xf numFmtId="164" fontId="6" fillId="2" borderId="7" xfId="23" applyFont="true" applyBorder="true" applyAlignment="true" applyProtection="true">
      <alignment horizontal="left" vertical="center" textRotation="0" wrapText="false" indent="0" shrinkToFit="false"/>
      <protection locked="true" hidden="true"/>
    </xf>
    <xf numFmtId="164" fontId="10" fillId="2" borderId="8" xfId="22" applyFont="true" applyBorder="true" applyAlignment="false" applyProtection="true">
      <alignment horizontal="general" vertical="bottom" textRotation="0" wrapText="false" indent="0" shrinkToFit="false"/>
      <protection locked="true" hidden="true"/>
    </xf>
    <xf numFmtId="164" fontId="21" fillId="2" borderId="9" xfId="22" applyFont="true" applyBorder="true" applyAlignment="true" applyProtection="true">
      <alignment horizontal="center" vertical="center" textRotation="0" wrapText="true" indent="0" shrinkToFit="false"/>
      <protection locked="true" hidden="true"/>
    </xf>
    <xf numFmtId="164" fontId="6" fillId="2" borderId="9" xfId="23" applyFont="true" applyBorder="true" applyAlignment="true" applyProtection="true">
      <alignment horizontal="general" vertical="bottom" textRotation="0" wrapText="false" indent="0" shrinkToFit="false"/>
      <protection locked="true" hidden="true"/>
    </xf>
    <xf numFmtId="164" fontId="6" fillId="2" borderId="10" xfId="23" applyFont="true" applyBorder="true" applyAlignment="false" applyProtection="true">
      <alignment horizontal="general" vertical="center" textRotation="0" wrapText="false" indent="0" shrinkToFit="false"/>
      <protection locked="true" hidden="true"/>
    </xf>
    <xf numFmtId="164" fontId="0" fillId="0" borderId="0" xfId="0" applyFont="false" applyBorder="false" applyAlignment="true" applyProtection="false">
      <alignment horizontal="left" vertical="bottom" textRotation="0" wrapText="false" indent="0" shrinkToFit="false"/>
      <protection locked="true" hidden="false"/>
    </xf>
    <xf numFmtId="164" fontId="0" fillId="2" borderId="0" xfId="23" applyFont="true" applyBorder="true" applyAlignment="true" applyProtection="true">
      <alignment horizontal="general" vertical="center" textRotation="0" wrapText="false" indent="0" shrinkToFit="false"/>
      <protection locked="true" hidden="false"/>
    </xf>
    <xf numFmtId="164" fontId="24" fillId="2" borderId="0" xfId="23" applyFont="true" applyBorder="true" applyAlignment="true" applyProtection="true">
      <alignment horizontal="center" vertical="center" textRotation="0" wrapText="false" indent="0" shrinkToFit="false"/>
      <protection locked="false" hidden="false"/>
    </xf>
    <xf numFmtId="164" fontId="24" fillId="2" borderId="0" xfId="23" applyFont="true" applyBorder="true" applyAlignment="true" applyProtection="true">
      <alignment horizontal="center" vertical="center" textRotation="0" wrapText="false" indent="0" shrinkToFit="false"/>
      <protection locked="true" hidden="false"/>
    </xf>
    <xf numFmtId="164" fontId="25" fillId="2" borderId="0" xfId="23" applyFont="true" applyBorder="true" applyAlignment="true" applyProtection="true">
      <alignment horizontal="general" vertical="center" textRotation="0" wrapText="true" indent="0" shrinkToFit="false"/>
      <protection locked="true" hidden="false"/>
    </xf>
    <xf numFmtId="164" fontId="0" fillId="2" borderId="0" xfId="23" applyFont="true" applyBorder="true" applyAlignment="true" applyProtection="true">
      <alignment horizontal="left" vertical="center" textRotation="0" wrapText="false" indent="0" shrinkToFit="false"/>
      <protection locked="true" hidden="false"/>
    </xf>
    <xf numFmtId="164" fontId="24" fillId="2" borderId="0" xfId="23" applyFont="true" applyBorder="false" applyAlignment="true" applyProtection="true">
      <alignment horizontal="center" vertical="center" textRotation="0" wrapText="false" indent="0" shrinkToFit="false"/>
      <protection locked="true" hidden="false"/>
    </xf>
    <xf numFmtId="164" fontId="24" fillId="2" borderId="0" xfId="23" applyFont="true" applyBorder="true" applyAlignment="true" applyProtection="true">
      <alignment horizontal="left" vertical="center" textRotation="0" wrapText="false" indent="0" shrinkToFit="false"/>
      <protection locked="true" hidden="false"/>
    </xf>
    <xf numFmtId="164" fontId="0" fillId="0" borderId="0" xfId="23" applyFont="true" applyBorder="true" applyAlignment="true" applyProtection="true">
      <alignment horizontal="center" vertical="center" textRotation="0" wrapText="false" indent="0" shrinkToFit="false"/>
      <protection locked="true" hidden="false"/>
    </xf>
    <xf numFmtId="164" fontId="24" fillId="2" borderId="0" xfId="23" applyFont="true" applyBorder="true" applyAlignment="true" applyProtection="true">
      <alignment horizontal="center" vertical="center" textRotation="0" wrapText="true" indent="0" shrinkToFit="false"/>
      <protection locked="true" hidden="false"/>
    </xf>
    <xf numFmtId="164" fontId="29" fillId="3" borderId="0" xfId="23" applyFont="true" applyBorder="true" applyAlignment="true" applyProtection="true">
      <alignment horizontal="general" vertical="center" textRotation="0" wrapText="false" indent="0" shrinkToFit="false"/>
      <protection locked="true" hidden="false"/>
    </xf>
    <xf numFmtId="164" fontId="30" fillId="3" borderId="0" xfId="23" applyFont="true" applyBorder="true" applyAlignment="true" applyProtection="true">
      <alignment horizontal="left" vertical="center" textRotation="0" wrapText="false" indent="0" shrinkToFit="false"/>
      <protection locked="true" hidden="false"/>
    </xf>
    <xf numFmtId="164" fontId="31" fillId="3" borderId="0" xfId="23" applyFont="true" applyBorder="true" applyAlignment="true" applyProtection="true">
      <alignment horizontal="left" vertical="center" textRotation="0" wrapText="false" indent="0" shrinkToFit="false"/>
      <protection locked="true" hidden="false"/>
    </xf>
    <xf numFmtId="164" fontId="0" fillId="3" borderId="0" xfId="23" applyFont="true" applyBorder="true" applyAlignment="true" applyProtection="true">
      <alignment horizontal="general" vertical="center" textRotation="0" wrapText="false" indent="0" shrinkToFit="false"/>
      <protection locked="true" hidden="false"/>
    </xf>
    <xf numFmtId="164" fontId="0" fillId="3" borderId="0" xfId="23" applyFont="true" applyBorder="true" applyAlignment="true" applyProtection="true">
      <alignment horizontal="left" vertical="center" textRotation="0" wrapText="false" indent="0" shrinkToFit="false"/>
      <protection locked="true" hidden="false"/>
    </xf>
    <xf numFmtId="164" fontId="0" fillId="2" borderId="0" xfId="23" applyFont="true" applyBorder="false" applyAlignment="true" applyProtection="true">
      <alignment horizontal="general" vertical="center" textRotation="0" wrapText="false" indent="0" shrinkToFit="false"/>
      <protection locked="true" hidden="false"/>
    </xf>
    <xf numFmtId="164" fontId="0" fillId="2" borderId="0" xfId="23" applyFont="true" applyBorder="false" applyAlignment="true" applyProtection="true">
      <alignment horizontal="left" vertical="center" textRotation="0" wrapText="false" indent="0" shrinkToFit="false"/>
      <protection locked="true" hidden="false"/>
    </xf>
    <xf numFmtId="164" fontId="24" fillId="2" borderId="0" xfId="23" applyFont="true" applyBorder="true" applyAlignment="true" applyProtection="true">
      <alignment horizontal="general" vertical="center" textRotation="0" wrapText="false" indent="0" shrinkToFit="false"/>
      <protection locked="true" hidden="false"/>
    </xf>
    <xf numFmtId="164" fontId="0" fillId="2" borderId="4" xfId="23" applyFont="true" applyBorder="true" applyAlignment="true" applyProtection="true">
      <alignment horizontal="left" vertical="center" textRotation="0" wrapText="false" indent="0" shrinkToFit="false"/>
      <protection locked="true" hidden="false"/>
    </xf>
    <xf numFmtId="164" fontId="0" fillId="2" borderId="4" xfId="23" applyFont="true" applyBorder="true" applyAlignment="true" applyProtection="true">
      <alignment horizontal="left" vertical="center" textRotation="0" wrapText="false" indent="0" shrinkToFit="false"/>
      <protection locked="false" hidden="false"/>
    </xf>
    <xf numFmtId="164" fontId="0" fillId="2" borderId="0" xfId="23" applyFont="true" applyBorder="true" applyAlignment="true" applyProtection="true">
      <alignment horizontal="left" vertical="center" textRotation="0" wrapText="true" indent="0" shrinkToFit="false"/>
      <protection locked="true" hidden="false"/>
    </xf>
    <xf numFmtId="164" fontId="24" fillId="2" borderId="0" xfId="23" applyFont="true" applyBorder="false" applyAlignment="true" applyProtection="true">
      <alignment horizontal="left" vertical="center" textRotation="0" wrapText="false" indent="0" shrinkToFit="false"/>
      <protection locked="true" hidden="false"/>
    </xf>
    <xf numFmtId="164" fontId="0" fillId="2" borderId="0" xfId="23" applyFont="true" applyBorder="false" applyAlignment="true" applyProtection="true">
      <alignment horizontal="left" vertical="center" textRotation="0" wrapText="true" indent="0" shrinkToFit="false"/>
      <protection locked="true" hidden="false"/>
    </xf>
    <xf numFmtId="164" fontId="24" fillId="2" borderId="0" xfId="23" applyFont="true" applyBorder="false" applyAlignment="true" applyProtection="true">
      <alignment horizontal="general" vertical="center" textRotation="0" wrapText="false" indent="0" shrinkToFit="false"/>
      <protection locked="true" hidden="false"/>
    </xf>
    <xf numFmtId="164" fontId="32" fillId="2" borderId="0" xfId="23" applyFont="true" applyBorder="false" applyAlignment="true" applyProtection="true">
      <alignment horizontal="left" vertical="bottom" textRotation="0" wrapText="false" indent="0" shrinkToFit="false"/>
      <protection locked="true" hidden="false"/>
    </xf>
    <xf numFmtId="165" fontId="0" fillId="2" borderId="4" xfId="23" applyFont="true" applyBorder="true" applyAlignment="true" applyProtection="true">
      <alignment horizontal="left" vertical="center" textRotation="0" wrapText="false" indent="0" shrinkToFit="false"/>
      <protection locked="false" hidden="false"/>
    </xf>
    <xf numFmtId="164" fontId="0" fillId="4" borderId="0" xfId="23" applyFont="true" applyBorder="true" applyAlignment="true" applyProtection="true">
      <alignment horizontal="left" vertical="center" textRotation="0" wrapText="false" indent="0" shrinkToFit="false"/>
      <protection locked="true" hidden="false"/>
    </xf>
    <xf numFmtId="164" fontId="30" fillId="4" borderId="0" xfId="23" applyFont="true" applyBorder="true" applyAlignment="true" applyProtection="true">
      <alignment horizontal="left" vertical="center" textRotation="0" wrapText="false" indent="0" shrinkToFit="false"/>
      <protection locked="true" hidden="false"/>
    </xf>
    <xf numFmtId="164" fontId="31" fillId="4" borderId="0" xfId="23" applyFont="true" applyBorder="true" applyAlignment="true" applyProtection="true">
      <alignment horizontal="left" vertical="center" textRotation="0" wrapText="false" indent="0" shrinkToFit="false"/>
      <protection locked="true" hidden="false"/>
    </xf>
    <xf numFmtId="164" fontId="0" fillId="4" borderId="0" xfId="23" applyFont="true" applyBorder="true" applyAlignment="true" applyProtection="true">
      <alignment horizontal="general" vertical="center" textRotation="0" wrapText="false" indent="0" shrinkToFit="false"/>
      <protection locked="true" hidden="false"/>
    </xf>
    <xf numFmtId="164" fontId="0" fillId="2" borderId="0" xfId="23" applyFont="true" applyBorder="false" applyAlignment="true" applyProtection="true">
      <alignment horizontal="general" vertical="center" textRotation="0" wrapText="true" indent="0" shrinkToFit="false"/>
      <protection locked="true" hidden="false"/>
    </xf>
    <xf numFmtId="164" fontId="0" fillId="2" borderId="4" xfId="23" applyFont="true" applyBorder="true" applyAlignment="true" applyProtection="true">
      <alignment horizontal="left" vertical="center"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0" fillId="0" borderId="0" xfId="23" applyFont="true" applyBorder="false" applyAlignment="false" applyProtection="true">
      <alignment horizontal="general" vertical="center" textRotation="0" wrapText="false" indent="0" shrinkToFit="false"/>
      <protection locked="true" hidden="false"/>
    </xf>
    <xf numFmtId="164" fontId="32" fillId="2" borderId="0" xfId="23" applyFont="true" applyBorder="false" applyAlignment="true" applyProtection="true">
      <alignment horizontal="left" vertical="center"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0" fillId="2" borderId="4" xfId="23" applyFont="true" applyBorder="true" applyAlignment="true" applyProtection="true">
      <alignment horizontal="left" vertical="center" textRotation="0" wrapText="true" indent="0" shrinkToFit="false"/>
      <protection locked="fals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0" fillId="5" borderId="0" xfId="23" applyFont="true" applyBorder="true" applyAlignment="true" applyProtection="true">
      <alignment horizontal="left" vertical="center" textRotation="0" wrapText="false" indent="0" shrinkToFit="false"/>
      <protection locked="true" hidden="false"/>
    </xf>
    <xf numFmtId="164" fontId="30" fillId="5" borderId="0" xfId="23" applyFont="true" applyBorder="true" applyAlignment="true" applyProtection="true">
      <alignment horizontal="left" vertical="center" textRotation="0" wrapText="false" indent="0" shrinkToFit="false"/>
      <protection locked="true" hidden="false"/>
    </xf>
    <xf numFmtId="164" fontId="31" fillId="5" borderId="0" xfId="23" applyFont="true" applyBorder="true" applyAlignment="true" applyProtection="true">
      <alignment horizontal="left" vertical="center" textRotation="0" wrapText="false" indent="0" shrinkToFit="false"/>
      <protection locked="true" hidden="false"/>
    </xf>
    <xf numFmtId="164" fontId="39" fillId="5" borderId="0" xfId="23" applyFont="true" applyBorder="true" applyAlignment="true" applyProtection="true">
      <alignment horizontal="general" vertical="center" textRotation="0" wrapText="false" indent="0" shrinkToFit="false"/>
      <protection locked="true" hidden="false"/>
    </xf>
    <xf numFmtId="164" fontId="31" fillId="5" borderId="0" xfId="23" applyFont="true" applyBorder="true" applyAlignment="true" applyProtection="true">
      <alignment horizontal="general" vertical="center" textRotation="0" wrapText="false" indent="0" shrinkToFit="false"/>
      <protection locked="true" hidden="false"/>
    </xf>
    <xf numFmtId="164" fontId="39" fillId="5" borderId="0" xfId="23" applyFont="true" applyBorder="true" applyAlignment="true" applyProtection="true">
      <alignment horizontal="left" vertical="center" textRotation="0" wrapText="false" indent="0" shrinkToFit="false"/>
      <protection locked="true" hidden="false"/>
    </xf>
    <xf numFmtId="164" fontId="40" fillId="2" borderId="11" xfId="23" applyFont="true" applyBorder="true" applyAlignment="true" applyProtection="true">
      <alignment horizontal="center" vertical="center" textRotation="0" wrapText="false" indent="0" shrinkToFit="false"/>
      <protection locked="false" hidden="false"/>
    </xf>
    <xf numFmtId="164" fontId="0" fillId="2" borderId="11" xfId="23" applyFont="true" applyBorder="true" applyAlignment="true" applyProtection="true">
      <alignment horizontal="center" vertical="center" textRotation="0" wrapText="true" indent="0" shrinkToFit="false"/>
      <protection locked="false" hidden="false"/>
    </xf>
    <xf numFmtId="164" fontId="39" fillId="2" borderId="0" xfId="23" applyFont="true" applyBorder="true" applyAlignment="true" applyProtection="true">
      <alignment horizontal="general" vertical="center" textRotation="0" wrapText="true" indent="0" shrinkToFit="false"/>
      <protection locked="true" hidden="false"/>
    </xf>
    <xf numFmtId="164" fontId="0" fillId="5" borderId="0" xfId="23" applyFont="true" applyBorder="true" applyAlignment="false" applyProtection="true">
      <alignment horizontal="general" vertical="center" textRotation="0" wrapText="false" indent="0" shrinkToFit="false"/>
      <protection locked="true" hidden="false"/>
    </xf>
    <xf numFmtId="164" fontId="40" fillId="2" borderId="0" xfId="23" applyFont="true" applyBorder="true" applyAlignment="true" applyProtection="true">
      <alignment horizontal="center" vertical="center" textRotation="0" wrapText="false" indent="0" shrinkToFit="false"/>
      <protection locked="false" hidden="false"/>
    </xf>
    <xf numFmtId="164" fontId="0" fillId="2" borderId="0" xfId="23" applyFont="true" applyBorder="true" applyAlignment="true" applyProtection="true">
      <alignment horizontal="center" vertical="center" textRotation="0" wrapText="true" indent="0" shrinkToFit="false"/>
      <protection locked="false" hidden="false"/>
    </xf>
    <xf numFmtId="164" fontId="0" fillId="2" borderId="12" xfId="23" applyFont="true" applyBorder="true" applyAlignment="true" applyProtection="true">
      <alignment horizontal="center" vertical="center" textRotation="0" wrapText="true" indent="0" shrinkToFit="false"/>
      <protection locked="true" hidden="false"/>
    </xf>
    <xf numFmtId="164" fontId="42" fillId="2" borderId="13" xfId="23"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2" borderId="6" xfId="23" applyFont="true" applyBorder="true" applyAlignment="true" applyProtection="true">
      <alignment horizontal="center" vertical="center" textRotation="0" wrapText="false" indent="0" shrinkToFit="false"/>
      <protection locked="fals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24" fillId="2" borderId="14" xfId="23" applyFont="true" applyBorder="true" applyAlignment="true" applyProtection="tru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24" fillId="2" borderId="15" xfId="23" applyFont="true" applyBorder="true" applyAlignment="true" applyProtection="true">
      <alignment horizontal="center" vertical="center" textRotation="0" wrapText="false" indent="0" shrinkToFit="false"/>
      <protection locked="true" hidden="false"/>
    </xf>
    <xf numFmtId="164" fontId="24" fillId="2" borderId="6" xfId="23" applyFont="true" applyBorder="true" applyAlignment="true" applyProtection="true">
      <alignment horizontal="center" vertical="center" textRotation="0" wrapText="false" indent="0" shrinkToFit="false"/>
      <protection locked="true" hidden="false"/>
    </xf>
    <xf numFmtId="164" fontId="44" fillId="3" borderId="16" xfId="23" applyFont="true" applyBorder="true" applyAlignment="true" applyProtection="true">
      <alignment horizontal="center" vertical="center" textRotation="0" wrapText="false" indent="0" shrinkToFit="false"/>
      <protection locked="true" hidden="false"/>
    </xf>
    <xf numFmtId="164" fontId="44" fillId="3" borderId="17" xfId="23" applyFont="true" applyBorder="true" applyAlignment="true" applyProtection="true">
      <alignment horizontal="center" vertical="center" textRotation="0" wrapText="false" indent="0" shrinkToFit="false"/>
      <protection locked="true" hidden="false"/>
    </xf>
    <xf numFmtId="164" fontId="30" fillId="3" borderId="17" xfId="23" applyFont="true" applyBorder="true" applyAlignment="true" applyProtection="true">
      <alignment horizontal="left" vertical="center" textRotation="0" wrapText="false" indent="0" shrinkToFit="false"/>
      <protection locked="true" hidden="false"/>
    </xf>
    <xf numFmtId="164" fontId="39" fillId="3" borderId="17" xfId="23" applyFont="true" applyBorder="true" applyAlignment="true" applyProtection="true">
      <alignment horizontal="left" vertical="center" textRotation="0" wrapText="false" indent="0" shrinkToFit="false"/>
      <protection locked="true" hidden="false"/>
    </xf>
    <xf numFmtId="164" fontId="0" fillId="3" borderId="17" xfId="23" applyFont="true" applyBorder="true" applyAlignment="true" applyProtection="true">
      <alignment horizontal="general" vertical="center" textRotation="0" wrapText="false" indent="0" shrinkToFit="false"/>
      <protection locked="true" hidden="false"/>
    </xf>
    <xf numFmtId="164" fontId="29" fillId="3" borderId="17" xfId="23" applyFont="true" applyBorder="true" applyAlignment="true" applyProtection="true">
      <alignment horizontal="general" vertical="center" textRotation="0" wrapText="false" indent="0" shrinkToFit="false"/>
      <protection locked="true" hidden="false"/>
    </xf>
    <xf numFmtId="164" fontId="29" fillId="3" borderId="18" xfId="23" applyFont="true" applyBorder="true" applyAlignment="true" applyProtection="true">
      <alignment horizontal="general" vertical="center" textRotation="0" wrapText="false" indent="0" shrinkToFit="false"/>
      <protection locked="true" hidden="false"/>
    </xf>
    <xf numFmtId="164" fontId="24" fillId="3" borderId="18" xfId="23" applyFont="true" applyBorder="true" applyAlignment="true" applyProtection="true">
      <alignment horizontal="center" vertical="center" textRotation="0" wrapText="false" indent="0" shrinkToFit="false"/>
      <protection locked="true" hidden="false"/>
    </xf>
    <xf numFmtId="164" fontId="32" fillId="2" borderId="0" xfId="23" applyFont="true" applyBorder="true" applyAlignment="true" applyProtection="true">
      <alignment horizontal="general" vertical="bottom" textRotation="0" wrapText="false" indent="0" shrinkToFit="false"/>
      <protection locked="true" hidden="false"/>
    </xf>
    <xf numFmtId="164" fontId="32" fillId="2" borderId="0" xfId="23" applyFont="true" applyBorder="false" applyAlignment="true" applyProtection="true">
      <alignment horizontal="general" vertical="bottom" textRotation="0" wrapText="false" indent="0" shrinkToFit="false"/>
      <protection locked="true" hidden="false"/>
    </xf>
    <xf numFmtId="164" fontId="0" fillId="2" borderId="4" xfId="23" applyFont="true" applyBorder="true" applyAlignment="true" applyProtection="true">
      <alignment horizontal="left" vertical="center" textRotation="0" wrapText="false" indent="0" shrinkToFit="false"/>
      <protection locked="true" hidden="true"/>
    </xf>
    <xf numFmtId="166" fontId="0" fillId="2" borderId="0" xfId="23" applyFont="true" applyBorder="true" applyAlignment="true" applyProtection="true">
      <alignment horizontal="general" vertical="center" textRotation="0" wrapText="false" indent="0" shrinkToFit="false"/>
      <protection locked="true" hidden="false"/>
    </xf>
    <xf numFmtId="166" fontId="0" fillId="2" borderId="0" xfId="23" applyFont="true" applyBorder="true" applyAlignment="true" applyProtection="true">
      <alignment horizontal="left" vertical="center" textRotation="0" wrapText="false" indent="0" shrinkToFit="false"/>
      <protection locked="true" hidden="false"/>
    </xf>
    <xf numFmtId="164" fontId="45" fillId="2" borderId="0" xfId="23" applyFont="true" applyBorder="true" applyAlignment="true" applyProtection="true">
      <alignment horizontal="left" vertical="center" textRotation="0" wrapText="true" indent="0" shrinkToFit="false"/>
      <protection locked="true" hidden="false"/>
    </xf>
    <xf numFmtId="164" fontId="32" fillId="2" borderId="0" xfId="23" applyFont="true" applyBorder="false" applyAlignment="true" applyProtection="true">
      <alignment horizontal="general" vertical="center" textRotation="0" wrapText="false" indent="0" shrinkToFit="false"/>
      <protection locked="true" hidden="false"/>
    </xf>
    <xf numFmtId="164" fontId="46" fillId="5" borderId="0" xfId="23" applyFont="true" applyBorder="true" applyAlignment="true" applyProtection="true">
      <alignment horizontal="left" vertical="center" textRotation="0" wrapText="false" indent="0" shrinkToFit="false"/>
      <protection locked="true" hidden="false"/>
    </xf>
    <xf numFmtId="164" fontId="0" fillId="5" borderId="0" xfId="23" applyFont="true" applyBorder="true" applyAlignment="true" applyProtection="true">
      <alignment horizontal="general" vertical="center" textRotation="0" wrapText="false" indent="0" shrinkToFit="false"/>
      <protection locked="true" hidden="false"/>
    </xf>
    <xf numFmtId="164" fontId="39" fillId="2" borderId="0" xfId="23" applyFont="true" applyBorder="false" applyAlignment="false" applyProtection="true">
      <alignment horizontal="general" vertical="center" textRotation="0" wrapText="false" indent="0" shrinkToFit="false"/>
      <protection locked="true" hidden="false"/>
    </xf>
    <xf numFmtId="164" fontId="0" fillId="2" borderId="19" xfId="23" applyFont="true" applyBorder="true" applyAlignment="true" applyProtection="true">
      <alignment horizontal="left" vertical="center" textRotation="0" wrapText="true" indent="0" shrinkToFit="false"/>
      <protection locked="true" hidden="false"/>
    </xf>
    <xf numFmtId="164" fontId="39" fillId="2" borderId="0" xfId="23" applyFont="true" applyBorder="true" applyAlignment="true" applyProtection="true">
      <alignment horizontal="general" vertical="center" textRotation="0" wrapText="false" indent="0" shrinkToFit="false"/>
      <protection locked="true" hidden="false"/>
    </xf>
    <xf numFmtId="164" fontId="0" fillId="2" borderId="4" xfId="23" applyFont="true" applyBorder="true" applyAlignment="true" applyProtection="true">
      <alignment horizontal="center" vertical="center" textRotation="0" wrapText="false" indent="0" shrinkToFit="false"/>
      <protection locked="true" hidden="false"/>
    </xf>
    <xf numFmtId="164" fontId="0" fillId="2" borderId="0" xfId="23" applyFont="true" applyBorder="true" applyAlignment="true" applyProtection="true">
      <alignment horizontal="general" vertical="center" textRotation="0" wrapText="true" indent="0" shrinkToFit="false"/>
      <protection locked="true" hidden="false"/>
    </xf>
    <xf numFmtId="164" fontId="47" fillId="2" borderId="0" xfId="23" applyFont="true" applyBorder="true" applyAlignment="true" applyProtection="true">
      <alignment horizontal="center" vertical="center" textRotation="0" wrapText="true" indent="0" shrinkToFit="false"/>
      <protection locked="true" hidden="false"/>
    </xf>
    <xf numFmtId="164" fontId="24" fillId="2" borderId="0" xfId="23" applyFont="true" applyBorder="true" applyAlignment="true" applyProtection="true">
      <alignment horizontal="general" vertical="center" textRotation="0" wrapText="true" indent="0" shrinkToFit="false"/>
      <protection locked="true" hidden="false"/>
    </xf>
    <xf numFmtId="164" fontId="24" fillId="6" borderId="4" xfId="23" applyFont="true" applyBorder="true" applyAlignment="true" applyProtection="true">
      <alignment horizontal="general" vertical="center" textRotation="0" wrapText="true" indent="0" shrinkToFit="false"/>
      <protection locked="true" hidden="false"/>
    </xf>
    <xf numFmtId="167" fontId="24" fillId="2" borderId="11" xfId="23" applyFont="true" applyBorder="true" applyAlignment="true" applyProtection="true">
      <alignment horizontal="center" vertical="center" textRotation="0" wrapText="true" indent="0" shrinkToFit="false"/>
      <protection locked="true" hidden="false"/>
    </xf>
    <xf numFmtId="164" fontId="24" fillId="2" borderId="11" xfId="23" applyFont="true" applyBorder="true" applyAlignment="true" applyProtection="true">
      <alignment horizontal="center" vertical="center" textRotation="0" wrapText="true" indent="0" shrinkToFit="false"/>
      <protection locked="false" hidden="false"/>
    </xf>
    <xf numFmtId="167" fontId="48" fillId="2" borderId="11" xfId="23" applyFont="true" applyBorder="true" applyAlignment="true" applyProtection="true">
      <alignment horizontal="center" vertical="center" textRotation="0" wrapText="true" indent="0" shrinkToFit="false"/>
      <protection locked="false" hidden="false"/>
    </xf>
    <xf numFmtId="164" fontId="27" fillId="2" borderId="0" xfId="23" applyFont="true" applyBorder="true" applyAlignment="true" applyProtection="true">
      <alignment horizontal="general" vertical="center" textRotation="0" wrapText="true" indent="0" shrinkToFit="false"/>
      <protection locked="true" hidden="false"/>
    </xf>
    <xf numFmtId="168" fontId="49" fillId="2" borderId="0" xfId="23" applyFont="true" applyBorder="true" applyAlignment="true" applyProtection="true">
      <alignment horizontal="center" vertical="center" textRotation="0" wrapText="true" indent="0" shrinkToFit="false"/>
      <protection locked="true" hidden="false"/>
    </xf>
    <xf numFmtId="164" fontId="49" fillId="2" borderId="0" xfId="23" applyFont="true" applyBorder="true" applyAlignment="true" applyProtection="true">
      <alignment horizontal="center" vertical="center" textRotation="0" wrapText="true" indent="0" shrinkToFit="false"/>
      <protection locked="true" hidden="false"/>
    </xf>
    <xf numFmtId="164" fontId="24" fillId="2" borderId="6" xfId="23" applyFont="true" applyBorder="true" applyAlignment="true" applyProtection="true">
      <alignment horizontal="center" vertical="center" textRotation="0" wrapText="true" indent="0" shrinkToFit="false"/>
      <protection locked="true" hidden="false"/>
    </xf>
    <xf numFmtId="164" fontId="0" fillId="2" borderId="6" xfId="23" applyFont="true" applyBorder="true" applyAlignment="true" applyProtection="true">
      <alignment horizontal="center" vertical="center" textRotation="0" wrapText="true" indent="0" shrinkToFit="false"/>
      <protection locked="true" hidden="false"/>
    </xf>
    <xf numFmtId="164" fontId="27" fillId="0" borderId="6" xfId="23" applyFont="true" applyBorder="true" applyAlignment="true" applyProtection="true">
      <alignment horizontal="general" vertical="center" textRotation="0" wrapText="false" indent="0" shrinkToFit="false"/>
      <protection locked="true" hidden="false"/>
    </xf>
    <xf numFmtId="164" fontId="0" fillId="2" borderId="0" xfId="23" applyFont="true" applyBorder="true" applyAlignment="true" applyProtection="true">
      <alignment horizontal="general" vertical="bottom" textRotation="0" wrapText="true" indent="0" shrinkToFit="false"/>
      <protection locked="true" hidden="false"/>
    </xf>
    <xf numFmtId="164" fontId="24" fillId="2" borderId="0" xfId="23" applyFont="true" applyBorder="true" applyAlignment="true" applyProtection="true">
      <alignment horizontal="center" vertical="bottom" textRotation="0" wrapText="true" indent="0" shrinkToFit="false"/>
      <protection locked="true" hidden="false"/>
    </xf>
    <xf numFmtId="164" fontId="24" fillId="2" borderId="0" xfId="23" applyFont="true" applyBorder="true" applyAlignment="true" applyProtection="true">
      <alignment horizontal="left" vertical="bottom" textRotation="0" wrapText="false" indent="0" shrinkToFit="false"/>
      <protection locked="true" hidden="false"/>
    </xf>
    <xf numFmtId="164" fontId="24" fillId="2" borderId="0" xfId="23" applyFont="true" applyBorder="true" applyAlignment="true" applyProtection="true">
      <alignment horizontal="left" vertical="bottom" textRotation="0" wrapText="true" indent="0" shrinkToFit="false"/>
      <protection locked="true" hidden="false"/>
    </xf>
    <xf numFmtId="164" fontId="24" fillId="2" borderId="0" xfId="23" applyFont="true" applyBorder="false" applyAlignment="true" applyProtection="true">
      <alignment horizontal="center" vertical="bottom" textRotation="0" wrapText="true" indent="0" shrinkToFit="false"/>
      <protection locked="true" hidden="false"/>
    </xf>
    <xf numFmtId="164" fontId="29" fillId="3" borderId="0" xfId="23" applyFont="true" applyBorder="true" applyAlignment="true" applyProtection="true">
      <alignment horizontal="general" vertical="center" textRotation="0" wrapText="true" indent="0" shrinkToFit="false"/>
      <protection locked="true" hidden="false"/>
    </xf>
    <xf numFmtId="164" fontId="30" fillId="3" borderId="0" xfId="23" applyFont="true" applyBorder="true" applyAlignment="true" applyProtection="true">
      <alignment horizontal="left" vertical="center" textRotation="0" wrapText="true" indent="0" shrinkToFit="false"/>
      <protection locked="true" hidden="false"/>
    </xf>
    <xf numFmtId="164" fontId="0" fillId="3" borderId="0" xfId="23" applyFont="true" applyBorder="true" applyAlignment="true" applyProtection="true">
      <alignment horizontal="general" vertical="center" textRotation="0" wrapText="true" indent="0" shrinkToFit="false"/>
      <protection locked="true" hidden="false"/>
    </xf>
    <xf numFmtId="164" fontId="47" fillId="2" borderId="0" xfId="23" applyFont="true" applyBorder="false" applyAlignment="true" applyProtection="true">
      <alignment horizontal="center" vertical="center" textRotation="0" wrapText="true" indent="0" shrinkToFit="false"/>
      <protection locked="true" hidden="false"/>
    </xf>
    <xf numFmtId="164" fontId="24" fillId="2" borderId="0" xfId="23" applyFont="true" applyBorder="false" applyAlignment="true" applyProtection="true">
      <alignment horizontal="center" vertical="center" textRotation="0" wrapText="true" indent="0" shrinkToFit="false"/>
      <protection locked="true" hidden="false"/>
    </xf>
    <xf numFmtId="164" fontId="47" fillId="2" borderId="0" xfId="23" applyFont="true" applyBorder="true" applyAlignment="true" applyProtection="true">
      <alignment horizontal="general" vertical="center" textRotation="0" wrapText="true" indent="0" shrinkToFit="false"/>
      <protection locked="true" hidden="false"/>
    </xf>
    <xf numFmtId="164" fontId="0" fillId="2" borderId="11" xfId="23" applyFont="true" applyBorder="true" applyAlignment="true" applyProtection="true">
      <alignment horizontal="left" vertical="center" textRotation="0" wrapText="true" indent="0" shrinkToFit="false"/>
      <protection locked="true" hidden="false"/>
    </xf>
    <xf numFmtId="164" fontId="40" fillId="2" borderId="11" xfId="23" applyFont="true" applyBorder="true" applyAlignment="true" applyProtection="true">
      <alignment horizontal="center" vertical="center" textRotation="0" wrapText="true" indent="0" shrinkToFit="false"/>
      <protection locked="false" hidden="false"/>
    </xf>
    <xf numFmtId="164" fontId="0" fillId="2" borderId="11" xfId="23" applyFont="true" applyBorder="true" applyAlignment="true" applyProtection="true">
      <alignment horizontal="general" vertical="center" textRotation="0" wrapText="true" indent="0" shrinkToFit="false"/>
      <protection locked="false" hidden="false"/>
    </xf>
    <xf numFmtId="164" fontId="0" fillId="4" borderId="0" xfId="23" applyFont="true" applyBorder="true" applyAlignment="true" applyProtection="true">
      <alignment horizontal="general" vertical="center" textRotation="0" wrapText="true" indent="0" shrinkToFit="false"/>
      <protection locked="true" hidden="false"/>
    </xf>
    <xf numFmtId="164" fontId="30" fillId="4" borderId="0" xfId="23" applyFont="true" applyBorder="true" applyAlignment="true" applyProtection="true">
      <alignment horizontal="left" vertical="center" textRotation="0" wrapText="true" indent="0" shrinkToFit="false"/>
      <protection locked="true" hidden="false"/>
    </xf>
    <xf numFmtId="164" fontId="50" fillId="2" borderId="0" xfId="23" applyFont="true" applyBorder="false" applyAlignment="true" applyProtection="true">
      <alignment horizontal="general" vertical="center" textRotation="0" wrapText="true" indent="0" shrinkToFit="false"/>
      <protection locked="true" hidden="false"/>
    </xf>
    <xf numFmtId="164" fontId="0" fillId="2" borderId="0" xfId="23" applyFont="true" applyBorder="true" applyAlignment="true" applyProtection="true">
      <alignment horizontal="center" vertical="center" textRotation="0" wrapText="true" indent="0" shrinkToFit="false"/>
      <protection locked="true" hidden="false"/>
    </xf>
    <xf numFmtId="164" fontId="0" fillId="5" borderId="0" xfId="23" applyFont="true" applyBorder="true" applyAlignment="true" applyProtection="true">
      <alignment horizontal="general" vertical="center" textRotation="0" wrapText="true" indent="0" shrinkToFit="false"/>
      <protection locked="true" hidden="false"/>
    </xf>
    <xf numFmtId="164" fontId="30" fillId="5" borderId="0" xfId="23" applyFont="true" applyBorder="true" applyAlignment="true" applyProtection="true">
      <alignment horizontal="left" vertical="center" textRotation="0" wrapText="true" indent="0" shrinkToFit="false"/>
      <protection locked="true" hidden="false"/>
    </xf>
    <xf numFmtId="164" fontId="31" fillId="5" borderId="0" xfId="23" applyFont="true" applyBorder="true" applyAlignment="true" applyProtection="true">
      <alignment horizontal="general" vertical="center" textRotation="0" wrapText="true" indent="0" shrinkToFit="false"/>
      <protection locked="true" hidden="false"/>
    </xf>
    <xf numFmtId="164" fontId="47" fillId="2" borderId="0" xfId="23" applyFont="true" applyBorder="false" applyAlignment="true" applyProtection="true">
      <alignment horizontal="general" vertical="center" textRotation="0" wrapText="true" indent="0" shrinkToFit="false"/>
      <protection locked="true" hidden="false"/>
    </xf>
    <xf numFmtId="164" fontId="24" fillId="2" borderId="0" xfId="23" applyFont="true" applyBorder="false" applyAlignment="true" applyProtection="true">
      <alignment horizontal="general" vertical="center" textRotation="0" wrapText="true" indent="0" shrinkToFit="false"/>
      <protection locked="true" hidden="false"/>
    </xf>
    <xf numFmtId="164" fontId="39" fillId="5" borderId="0" xfId="23" applyFont="true" applyBorder="true" applyAlignment="true" applyProtection="true">
      <alignment horizontal="general" vertical="center" textRotation="0" wrapText="true" indent="0" shrinkToFit="false"/>
      <protection locked="true" hidden="false"/>
    </xf>
    <xf numFmtId="164" fontId="0" fillId="7" borderId="0" xfId="23" applyFont="true" applyBorder="true" applyAlignment="true" applyProtection="true">
      <alignment horizontal="general" vertical="center" textRotation="0" wrapText="true" indent="0" shrinkToFit="false"/>
      <protection locked="true" hidden="false"/>
    </xf>
    <xf numFmtId="164" fontId="30" fillId="7" borderId="0" xfId="23" applyFont="true" applyBorder="true" applyAlignment="true" applyProtection="true">
      <alignment horizontal="left" vertical="center" textRotation="0" wrapText="true" indent="0" shrinkToFit="false"/>
      <protection locked="true" hidden="false"/>
    </xf>
    <xf numFmtId="164" fontId="31" fillId="7" borderId="0" xfId="23" applyFont="true" applyBorder="true" applyAlignment="true" applyProtection="true">
      <alignment horizontal="general" vertical="center" textRotation="0" wrapText="true" indent="0" shrinkToFit="false"/>
      <protection locked="true" hidden="false"/>
    </xf>
    <xf numFmtId="164" fontId="24" fillId="2" borderId="0" xfId="23" applyFont="true" applyBorder="true" applyAlignment="true" applyProtection="true">
      <alignment horizontal="left" vertical="center" textRotation="0" wrapText="true" indent="0" shrinkToFit="false"/>
      <protection locked="true" hidden="false"/>
    </xf>
    <xf numFmtId="164" fontId="0" fillId="2" borderId="0" xfId="23" applyFont="true" applyBorder="false" applyAlignment="true" applyProtection="true">
      <alignment horizontal="center" vertical="center" textRotation="0" wrapText="true" indent="0" shrinkToFit="false"/>
      <protection locked="true" hidden="false"/>
    </xf>
    <xf numFmtId="164" fontId="0" fillId="2" borderId="20" xfId="23" applyFont="true" applyBorder="true" applyAlignment="true" applyProtection="true">
      <alignment horizontal="center" vertical="center"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true"/>
    </xf>
    <xf numFmtId="164" fontId="0" fillId="0" borderId="0" xfId="0" applyFont="false" applyBorder="false" applyAlignment="true" applyProtection="true">
      <alignment horizontal="general" vertical="bottom" textRotation="0" wrapText="false" indent="0" shrinkToFit="false"/>
      <protection locked="true" hidden="true"/>
    </xf>
    <xf numFmtId="164" fontId="0" fillId="2" borderId="6" xfId="23" applyFont="true" applyBorder="true" applyAlignment="true" applyProtection="true">
      <alignment horizontal="center" vertical="center" textRotation="0" wrapText="false" indent="0" shrinkToFit="false"/>
      <protection locked="true" hidden="true"/>
    </xf>
    <xf numFmtId="164" fontId="0" fillId="0" borderId="2" xfId="0" applyFont="false" applyBorder="true" applyAlignment="false" applyProtection="true">
      <alignment horizontal="general" vertical="bottom" textRotation="0" wrapText="false" indent="0" shrinkToFit="false"/>
      <protection locked="true" hidden="true"/>
    </xf>
    <xf numFmtId="164" fontId="24" fillId="2" borderId="14" xfId="23" applyFont="true" applyBorder="true" applyAlignment="true" applyProtection="true">
      <alignment horizontal="center" vertical="center" textRotation="0" wrapText="false" indent="0" shrinkToFit="false"/>
      <protection locked="true" hidden="true"/>
    </xf>
    <xf numFmtId="164" fontId="24" fillId="2" borderId="0" xfId="23" applyFont="true" applyBorder="true" applyAlignment="true" applyProtection="true">
      <alignment horizontal="center" vertical="center" textRotation="0" wrapText="false" indent="0" shrinkToFit="false"/>
      <protection locked="true" hidden="true"/>
    </xf>
    <xf numFmtId="164" fontId="0" fillId="0" borderId="0" xfId="0" applyFont="false" applyBorder="true" applyAlignment="false" applyProtection="true">
      <alignment horizontal="general" vertical="bottom" textRotation="0" wrapText="false" indent="0" shrinkToFit="false"/>
      <protection locked="true" hidden="true"/>
    </xf>
    <xf numFmtId="164" fontId="24" fillId="2" borderId="15" xfId="23" applyFont="true" applyBorder="true" applyAlignment="true" applyProtection="true">
      <alignment horizontal="center" vertical="center" textRotation="0" wrapText="false" indent="0" shrinkToFit="false"/>
      <protection locked="true" hidden="true"/>
    </xf>
    <xf numFmtId="164" fontId="24" fillId="2" borderId="6" xfId="23" applyFont="true" applyBorder="true" applyAlignment="true" applyProtection="true">
      <alignment horizontal="center" vertical="center" textRotation="0" wrapText="false" indent="0" shrinkToFit="false"/>
      <protection locked="true" hidden="true"/>
    </xf>
    <xf numFmtId="164" fontId="0" fillId="0" borderId="6" xfId="0" applyFont="false" applyBorder="true" applyAlignment="false" applyProtection="true">
      <alignment horizontal="general" vertical="bottom" textRotation="0" wrapText="false" indent="0" shrinkToFit="false"/>
      <protection locked="true" hidden="true"/>
    </xf>
    <xf numFmtId="164" fontId="0" fillId="2" borderId="0" xfId="23" applyFont="true" applyBorder="true" applyAlignment="true" applyProtection="true">
      <alignment horizontal="general" vertical="center" textRotation="0" wrapText="false" indent="0" shrinkToFit="false"/>
      <protection locked="true" hidden="true"/>
    </xf>
    <xf numFmtId="164" fontId="0" fillId="2" borderId="0" xfId="23" applyFont="true" applyBorder="false" applyAlignment="true" applyProtection="true">
      <alignment horizontal="general" vertical="center" textRotation="0" wrapText="false" indent="0" shrinkToFit="false"/>
      <protection locked="true" hidden="true"/>
    </xf>
    <xf numFmtId="164" fontId="44" fillId="3" borderId="16" xfId="23" applyFont="true" applyBorder="true" applyAlignment="true" applyProtection="true">
      <alignment horizontal="center" vertical="center" textRotation="0" wrapText="false" indent="0" shrinkToFit="false"/>
      <protection locked="true" hidden="true"/>
    </xf>
    <xf numFmtId="164" fontId="44" fillId="3" borderId="17" xfId="23" applyFont="true" applyBorder="true" applyAlignment="true" applyProtection="true">
      <alignment horizontal="center" vertical="center" textRotation="0" wrapText="false" indent="0" shrinkToFit="false"/>
      <protection locked="true" hidden="true"/>
    </xf>
    <xf numFmtId="164" fontId="30" fillId="3" borderId="17" xfId="23" applyFont="true" applyBorder="true" applyAlignment="true" applyProtection="true">
      <alignment horizontal="left" vertical="center" textRotation="0" wrapText="false" indent="0" shrinkToFit="false"/>
      <protection locked="true" hidden="true"/>
    </xf>
    <xf numFmtId="164" fontId="31" fillId="3" borderId="17" xfId="23" applyFont="true" applyBorder="true" applyAlignment="true" applyProtection="true">
      <alignment horizontal="left" vertical="center" textRotation="0" wrapText="false" indent="0" shrinkToFit="false"/>
      <protection locked="true" hidden="true"/>
    </xf>
    <xf numFmtId="164" fontId="0" fillId="3" borderId="17" xfId="23" applyFont="true" applyBorder="true" applyAlignment="true" applyProtection="true">
      <alignment horizontal="general" vertical="center" textRotation="0" wrapText="false" indent="0" shrinkToFit="false"/>
      <protection locked="true" hidden="true"/>
    </xf>
    <xf numFmtId="164" fontId="29" fillId="3" borderId="17" xfId="23" applyFont="true" applyBorder="true" applyAlignment="true" applyProtection="true">
      <alignment horizontal="general" vertical="center" textRotation="0" wrapText="false" indent="0" shrinkToFit="false"/>
      <protection locked="true" hidden="true"/>
    </xf>
    <xf numFmtId="164" fontId="29" fillId="3" borderId="18" xfId="23" applyFont="true" applyBorder="true" applyAlignment="true" applyProtection="true">
      <alignment horizontal="general" vertical="center" textRotation="0" wrapText="false" indent="0" shrinkToFit="false"/>
      <protection locked="true" hidden="true"/>
    </xf>
    <xf numFmtId="164" fontId="24" fillId="3" borderId="18" xfId="23" applyFont="true" applyBorder="true" applyAlignment="true" applyProtection="true">
      <alignment horizontal="center" vertical="center" textRotation="0" wrapText="false" indent="0" shrinkToFit="false"/>
      <protection locked="true" hidden="true"/>
    </xf>
    <xf numFmtId="164" fontId="24" fillId="2" borderId="0" xfId="23" applyFont="true" applyBorder="false" applyAlignment="true" applyProtection="true">
      <alignment horizontal="center" vertical="center" textRotation="0" wrapText="false" indent="0" shrinkToFit="false"/>
      <protection locked="true" hidden="true"/>
    </xf>
    <xf numFmtId="164" fontId="24" fillId="2" borderId="0" xfId="23" applyFont="true" applyBorder="true" applyAlignment="true" applyProtection="true">
      <alignment horizontal="general" vertical="center" textRotation="0" wrapText="false" indent="0" shrinkToFit="false"/>
      <protection locked="true" hidden="true"/>
    </xf>
    <xf numFmtId="164" fontId="51" fillId="2" borderId="4" xfId="23" applyFont="true" applyBorder="true" applyAlignment="true" applyProtection="true">
      <alignment horizontal="left" vertical="center" textRotation="0" wrapText="false" indent="0" shrinkToFit="false"/>
      <protection locked="false" hidden="false"/>
    </xf>
    <xf numFmtId="164" fontId="24" fillId="2" borderId="0" xfId="23" applyFont="true" applyBorder="true" applyAlignment="true" applyProtection="true">
      <alignment horizontal="left" vertical="center" textRotation="0" wrapText="false" indent="0" shrinkToFit="false"/>
      <protection locked="true" hidden="true"/>
    </xf>
    <xf numFmtId="164" fontId="0" fillId="2" borderId="0" xfId="23" applyFont="true" applyBorder="true" applyAlignment="true" applyProtection="true">
      <alignment horizontal="left" vertical="center" textRotation="0" wrapText="false" indent="0" shrinkToFit="false"/>
      <protection locked="true" hidden="true"/>
    </xf>
    <xf numFmtId="164" fontId="0" fillId="2" borderId="0" xfId="23" applyFont="true" applyBorder="false" applyAlignment="true" applyProtection="true">
      <alignment horizontal="left" vertical="center" textRotation="0" wrapText="false" indent="0" shrinkToFit="false"/>
      <protection locked="true" hidden="true"/>
    </xf>
    <xf numFmtId="164" fontId="24" fillId="2" borderId="0" xfId="23" applyFont="true" applyBorder="false" applyAlignment="true" applyProtection="true">
      <alignment horizontal="left" vertical="center" textRotation="0" wrapText="false" indent="0" shrinkToFit="false"/>
      <protection locked="true" hidden="true"/>
    </xf>
    <xf numFmtId="164" fontId="52" fillId="2" borderId="4" xfId="23" applyFont="true" applyBorder="true" applyAlignment="true" applyProtection="true">
      <alignment horizontal="left" vertical="center" textRotation="0" wrapText="false" indent="0" shrinkToFit="false"/>
      <protection locked="false" hidden="false"/>
    </xf>
    <xf numFmtId="164" fontId="32" fillId="2" borderId="0" xfId="23" applyFont="true" applyBorder="true" applyAlignment="true" applyProtection="true">
      <alignment horizontal="general" vertical="bottom" textRotation="0" wrapText="false" indent="0" shrinkToFit="false"/>
      <protection locked="true" hidden="true"/>
    </xf>
    <xf numFmtId="164" fontId="24" fillId="2" borderId="0" xfId="23" applyFont="true" applyBorder="false" applyAlignment="true" applyProtection="true">
      <alignment horizontal="general" vertical="center" textRotation="0" wrapText="false" indent="0" shrinkToFit="false"/>
      <protection locked="true" hidden="true"/>
    </xf>
    <xf numFmtId="164" fontId="32" fillId="2" borderId="0" xfId="23" applyFont="true" applyBorder="false" applyAlignment="true" applyProtection="true">
      <alignment horizontal="general" vertical="bottom" textRotation="0" wrapText="false" indent="0" shrinkToFit="false"/>
      <protection locked="true" hidden="true"/>
    </xf>
    <xf numFmtId="164" fontId="0" fillId="0" borderId="0" xfId="23" applyFont="true" applyBorder="false" applyAlignment="false" applyProtection="true">
      <alignment horizontal="general" vertical="center" textRotation="0" wrapText="false" indent="0" shrinkToFit="false"/>
      <protection locked="true" hidden="true"/>
    </xf>
    <xf numFmtId="166" fontId="0" fillId="2" borderId="0" xfId="23" applyFont="true" applyBorder="true" applyAlignment="true" applyProtection="true">
      <alignment horizontal="general" vertical="center" textRotation="0" wrapText="false" indent="0" shrinkToFit="false"/>
      <protection locked="true" hidden="true"/>
    </xf>
    <xf numFmtId="166" fontId="0" fillId="2" borderId="0" xfId="23" applyFont="true" applyBorder="true" applyAlignment="true" applyProtection="true">
      <alignment horizontal="left" vertical="center" textRotation="0" wrapText="false" indent="0" shrinkToFit="false"/>
      <protection locked="true" hidden="true"/>
    </xf>
    <xf numFmtId="164" fontId="0" fillId="2" borderId="4" xfId="23" applyFont="true" applyBorder="true" applyAlignment="true" applyProtection="true">
      <alignment horizontal="left" vertical="center" textRotation="0" wrapText="true" indent="0" shrinkToFit="false"/>
      <protection locked="true" hidden="true"/>
    </xf>
    <xf numFmtId="164" fontId="45" fillId="2" borderId="0" xfId="23" applyFont="true" applyBorder="true" applyAlignment="true" applyProtection="true">
      <alignment horizontal="left" vertical="center" textRotation="0" wrapText="true" indent="0" shrinkToFit="false"/>
      <protection locked="true" hidden="true"/>
    </xf>
    <xf numFmtId="164" fontId="0" fillId="4" borderId="0" xfId="23" applyFont="true" applyBorder="true" applyAlignment="true" applyProtection="true">
      <alignment horizontal="left" vertical="center" textRotation="0" wrapText="false" indent="0" shrinkToFit="false"/>
      <protection locked="true" hidden="true"/>
    </xf>
    <xf numFmtId="164" fontId="30" fillId="4" borderId="0" xfId="23" applyFont="true" applyBorder="true" applyAlignment="true" applyProtection="true">
      <alignment horizontal="left" vertical="center" textRotation="0" wrapText="false" indent="0" shrinkToFit="false"/>
      <protection locked="true" hidden="true"/>
    </xf>
    <xf numFmtId="164" fontId="31" fillId="4" borderId="0" xfId="23" applyFont="true" applyBorder="true" applyAlignment="true" applyProtection="true">
      <alignment horizontal="left" vertical="center" textRotation="0" wrapText="false" indent="0" shrinkToFit="false"/>
      <protection locked="true" hidden="true"/>
    </xf>
    <xf numFmtId="164" fontId="0" fillId="4" borderId="0" xfId="23" applyFont="true" applyBorder="true" applyAlignment="true" applyProtection="true">
      <alignment horizontal="general" vertical="center" textRotation="0" wrapText="false" indent="0" shrinkToFit="false"/>
      <protection locked="true" hidden="true"/>
    </xf>
    <xf numFmtId="164" fontId="53" fillId="2" borderId="4" xfId="20" applyFont="true" applyBorder="true" applyAlignment="true" applyProtection="true">
      <alignment horizontal="left" vertical="center" textRotation="0" wrapText="false" indent="0" shrinkToFit="false"/>
      <protection locked="false" hidden="false"/>
    </xf>
    <xf numFmtId="164" fontId="33" fillId="0" borderId="0" xfId="0" applyFont="true" applyBorder="false" applyAlignment="false" applyProtection="true">
      <alignment horizontal="general" vertical="bottom" textRotation="0" wrapText="false" indent="0" shrinkToFit="false"/>
      <protection locked="true" hidden="true"/>
    </xf>
    <xf numFmtId="164" fontId="32" fillId="2" borderId="0" xfId="23" applyFont="true" applyBorder="false" applyAlignment="true" applyProtection="true">
      <alignment horizontal="general" vertical="center" textRotation="0" wrapText="false" indent="0" shrinkToFit="false"/>
      <protection locked="true" hidden="true"/>
    </xf>
    <xf numFmtId="164" fontId="35" fillId="0" borderId="0" xfId="0" applyFont="true" applyBorder="false" applyAlignment="false" applyProtection="true">
      <alignment horizontal="general" vertical="bottom" textRotation="0" wrapText="false" indent="0" shrinkToFit="false"/>
      <protection locked="true" hidden="true"/>
    </xf>
    <xf numFmtId="164" fontId="54" fillId="0" borderId="0" xfId="0" applyFont="true" applyBorder="false" applyAlignment="false" applyProtection="true">
      <alignment horizontal="general" vertical="bottom" textRotation="0" wrapText="false" indent="0" shrinkToFit="false"/>
      <protection locked="true" hidden="true"/>
    </xf>
    <xf numFmtId="164" fontId="55" fillId="0" borderId="0" xfId="0" applyFont="true" applyBorder="false" applyAlignment="false" applyProtection="true">
      <alignment horizontal="general" vertical="bottom" textRotation="0" wrapText="false" indent="0" shrinkToFit="false"/>
      <protection locked="true" hidden="true"/>
    </xf>
    <xf numFmtId="164" fontId="56" fillId="0" borderId="0" xfId="0" applyFont="true" applyBorder="false" applyAlignment="false" applyProtection="true">
      <alignment horizontal="general" vertical="bottom" textRotation="0" wrapText="false" indent="0" shrinkToFit="false"/>
      <protection locked="true" hidden="true"/>
    </xf>
    <xf numFmtId="164" fontId="57" fillId="0" borderId="0" xfId="0" applyFont="true" applyBorder="false" applyAlignment="false" applyProtection="true">
      <alignment horizontal="general" vertical="bottom" textRotation="0" wrapText="false" indent="0" shrinkToFit="false"/>
      <protection locked="true" hidden="true"/>
    </xf>
    <xf numFmtId="164" fontId="58" fillId="0" borderId="0" xfId="0" applyFont="true" applyBorder="false" applyAlignment="false" applyProtection="true">
      <alignment horizontal="general" vertical="bottom" textRotation="0" wrapText="false" indent="0" shrinkToFit="false"/>
      <protection locked="true" hidden="true"/>
    </xf>
    <xf numFmtId="164" fontId="59" fillId="0" borderId="0" xfId="0" applyFont="true" applyBorder="false" applyAlignment="false" applyProtection="true">
      <alignment horizontal="general" vertical="bottom" textRotation="0" wrapText="false" indent="0" shrinkToFit="false"/>
      <protection locked="true" hidden="true"/>
    </xf>
    <xf numFmtId="164" fontId="0" fillId="5" borderId="0" xfId="23" applyFont="true" applyBorder="true" applyAlignment="true" applyProtection="true">
      <alignment horizontal="left" vertical="center" textRotation="0" wrapText="false" indent="0" shrinkToFit="false"/>
      <protection locked="true" hidden="true"/>
    </xf>
    <xf numFmtId="164" fontId="30" fillId="5" borderId="0" xfId="23" applyFont="true" applyBorder="true" applyAlignment="true" applyProtection="true">
      <alignment horizontal="left" vertical="center" textRotation="0" wrapText="false" indent="0" shrinkToFit="false"/>
      <protection locked="true" hidden="true"/>
    </xf>
    <xf numFmtId="164" fontId="0" fillId="5" borderId="0" xfId="23" applyFont="true" applyBorder="true" applyAlignment="true" applyProtection="true">
      <alignment horizontal="general" vertical="center" textRotation="0" wrapText="false" indent="0" shrinkToFit="false"/>
      <protection locked="true" hidden="true"/>
    </xf>
    <xf numFmtId="164" fontId="39" fillId="2" borderId="0" xfId="23" applyFont="true" applyBorder="false" applyAlignment="false" applyProtection="true">
      <alignment horizontal="general" vertical="center" textRotation="0" wrapText="false" indent="0" shrinkToFit="false"/>
      <protection locked="true" hidden="true"/>
    </xf>
    <xf numFmtId="164" fontId="0" fillId="5" borderId="0" xfId="23" applyFont="true" applyBorder="true" applyAlignment="false" applyProtection="true">
      <alignment horizontal="general" vertical="center" textRotation="0" wrapText="false" indent="0" shrinkToFit="false"/>
      <protection locked="true" hidden="true"/>
    </xf>
    <xf numFmtId="164" fontId="31" fillId="5" borderId="0" xfId="23" applyFont="true" applyBorder="true" applyAlignment="true" applyProtection="true">
      <alignment horizontal="general" vertical="center" textRotation="0" wrapText="false" indent="0" shrinkToFit="false"/>
      <protection locked="true" hidden="true"/>
    </xf>
    <xf numFmtId="164" fontId="39" fillId="5" borderId="0" xfId="23" applyFont="true" applyBorder="true" applyAlignment="true" applyProtection="true">
      <alignment horizontal="general" vertical="center" textRotation="0" wrapText="false" indent="0" shrinkToFit="false"/>
      <protection locked="true" hidden="true"/>
    </xf>
    <xf numFmtId="164" fontId="0" fillId="2" borderId="19" xfId="23" applyFont="true" applyBorder="true" applyAlignment="true" applyProtection="true">
      <alignment horizontal="left" vertical="center" textRotation="0" wrapText="true" indent="0" shrinkToFit="false"/>
      <protection locked="true" hidden="true"/>
    </xf>
    <xf numFmtId="164" fontId="40" fillId="2" borderId="11" xfId="23" applyFont="true" applyBorder="true" applyAlignment="true" applyProtection="true">
      <alignment horizontal="center" vertical="center" textRotation="0" wrapText="false" indent="0" shrinkToFit="false"/>
      <protection locked="true" hidden="true"/>
    </xf>
    <xf numFmtId="164" fontId="60" fillId="2" borderId="11" xfId="23" applyFont="true" applyBorder="true" applyAlignment="true" applyProtection="true">
      <alignment horizontal="center" vertical="center" textRotation="0" wrapText="false" indent="0" shrinkToFit="false"/>
      <protection locked="false" hidden="false"/>
    </xf>
    <xf numFmtId="164" fontId="0" fillId="2" borderId="0" xfId="23" applyFont="true" applyBorder="false" applyAlignment="true" applyProtection="true">
      <alignment horizontal="general" vertical="center" textRotation="0" wrapText="true" indent="0" shrinkToFit="false"/>
      <protection locked="true" hidden="true"/>
    </xf>
    <xf numFmtId="164" fontId="39" fillId="2" borderId="0" xfId="23" applyFont="true" applyBorder="true" applyAlignment="true" applyProtection="true">
      <alignment horizontal="general" vertical="center" textRotation="0" wrapText="true" indent="0" shrinkToFit="false"/>
      <protection locked="true" hidden="true"/>
    </xf>
    <xf numFmtId="164" fontId="39" fillId="2" borderId="0" xfId="23" applyFont="true" applyBorder="true" applyAlignment="true" applyProtection="true">
      <alignment horizontal="general" vertical="center" textRotation="0" wrapText="false" indent="0" shrinkToFit="false"/>
      <protection locked="true" hidden="true"/>
    </xf>
    <xf numFmtId="164" fontId="0" fillId="2" borderId="4" xfId="23" applyFont="true" applyBorder="true" applyAlignment="true" applyProtection="true">
      <alignment horizontal="center" vertical="center" textRotation="0" wrapText="false" indent="0" shrinkToFit="false"/>
      <protection locked="true" hidden="true"/>
    </xf>
    <xf numFmtId="164" fontId="24" fillId="2" borderId="2" xfId="23" applyFont="true" applyBorder="true" applyAlignment="true" applyProtection="true">
      <alignment horizontal="center" vertical="center" textRotation="0" wrapText="false" indent="0" shrinkToFit="false"/>
      <protection locked="true" hidden="true"/>
    </xf>
    <xf numFmtId="164" fontId="25" fillId="2" borderId="2" xfId="23" applyFont="true" applyBorder="true" applyAlignment="true" applyProtection="true">
      <alignment horizontal="general" vertical="center" textRotation="0" wrapText="true" indent="0" shrinkToFit="false"/>
      <protection locked="true" hidden="true"/>
    </xf>
    <xf numFmtId="164" fontId="0" fillId="2" borderId="2" xfId="23" applyFont="true" applyBorder="true" applyAlignment="true" applyProtection="true">
      <alignment horizontal="general" vertical="center" textRotation="0" wrapText="false" indent="0" shrinkToFit="false"/>
      <protection locked="true" hidden="true"/>
    </xf>
    <xf numFmtId="164" fontId="61" fillId="2" borderId="2" xfId="23" applyFont="true" applyBorder="true" applyAlignment="true" applyProtection="true">
      <alignment horizontal="center" vertical="center" textRotation="0" wrapText="true" indent="0" shrinkToFit="false"/>
      <protection locked="true" hidden="true"/>
    </xf>
    <xf numFmtId="164" fontId="62" fillId="2" borderId="21" xfId="23" applyFont="true" applyBorder="true" applyAlignment="true" applyProtection="true">
      <alignment horizontal="center" vertical="center" textRotation="0" wrapText="false" indent="0" shrinkToFit="false"/>
      <protection locked="true" hidden="true"/>
    </xf>
    <xf numFmtId="164" fontId="24" fillId="8" borderId="4" xfId="23" applyFont="true" applyBorder="true" applyAlignment="true" applyProtection="true">
      <alignment horizontal="left" vertical="center" textRotation="0" wrapText="true" indent="0" shrinkToFit="false"/>
      <protection locked="true" hidden="true"/>
    </xf>
    <xf numFmtId="164" fontId="63" fillId="2" borderId="0" xfId="23" applyFont="true" applyBorder="true" applyAlignment="true" applyProtection="true">
      <alignment horizontal="center" vertical="center" textRotation="0" wrapText="false" indent="0" shrinkToFit="false"/>
      <protection locked="true" hidden="true"/>
    </xf>
    <xf numFmtId="167" fontId="24" fillId="2" borderId="4" xfId="23" applyFont="true" applyBorder="true" applyAlignment="true" applyProtection="true">
      <alignment horizontal="general" vertical="center" textRotation="0" wrapText="true" indent="0" shrinkToFit="false"/>
      <protection locked="true" hidden="true"/>
    </xf>
    <xf numFmtId="164" fontId="61" fillId="2" borderId="0" xfId="23" applyFont="true" applyBorder="true" applyAlignment="true" applyProtection="true">
      <alignment horizontal="center" vertical="center" textRotation="0" wrapText="true" indent="0" shrinkToFit="false"/>
      <protection locked="true" hidden="true"/>
    </xf>
    <xf numFmtId="164" fontId="62" fillId="2" borderId="22" xfId="23" applyFont="true" applyBorder="true" applyAlignment="true" applyProtection="true">
      <alignment horizontal="center" vertical="center" textRotation="0" wrapText="false" indent="0" shrinkToFit="false"/>
      <protection locked="true" hidden="true"/>
    </xf>
    <xf numFmtId="164" fontId="24" fillId="2" borderId="0" xfId="23" applyFont="true" applyBorder="true" applyAlignment="true" applyProtection="true">
      <alignment horizontal="left" vertical="center" textRotation="0" wrapText="true" indent="0" shrinkToFit="false"/>
      <protection locked="true" hidden="true"/>
    </xf>
    <xf numFmtId="164" fontId="24" fillId="2" borderId="4" xfId="23" applyFont="true" applyBorder="true" applyAlignment="true" applyProtection="true">
      <alignment horizontal="general" vertical="center" textRotation="0" wrapText="true" indent="0" shrinkToFit="false"/>
      <protection locked="false" hidden="false"/>
    </xf>
    <xf numFmtId="167" fontId="64" fillId="2" borderId="4" xfId="23" applyFont="true" applyBorder="true" applyAlignment="true" applyProtection="true">
      <alignment horizontal="general" vertical="center" textRotation="0" wrapText="true" indent="0" shrinkToFit="false"/>
      <protection locked="true" hidden="true"/>
    </xf>
    <xf numFmtId="167" fontId="24" fillId="2" borderId="0" xfId="23" applyFont="true" applyBorder="true" applyAlignment="true" applyProtection="true">
      <alignment horizontal="center" vertical="center" textRotation="0" wrapText="false" indent="0" shrinkToFit="false"/>
      <protection locked="true" hidden="true"/>
    </xf>
    <xf numFmtId="167" fontId="24" fillId="2" borderId="4" xfId="23" applyFont="true" applyBorder="true" applyAlignment="true" applyProtection="true">
      <alignment horizontal="left" vertical="center" textRotation="0" wrapText="true" indent="0" shrinkToFit="false"/>
      <protection locked="false" hidden="false"/>
    </xf>
    <xf numFmtId="164" fontId="0" fillId="2" borderId="6" xfId="23" applyFont="true" applyBorder="true" applyAlignment="true" applyProtection="true">
      <alignment horizontal="general" vertical="center" textRotation="0" wrapText="false" indent="0" shrinkToFit="false"/>
      <protection locked="true" hidden="true"/>
    </xf>
    <xf numFmtId="168" fontId="49" fillId="2" borderId="6" xfId="23" applyFont="true" applyBorder="true" applyAlignment="true" applyProtection="true">
      <alignment horizontal="center" vertical="center" textRotation="0" wrapText="true" indent="0" shrinkToFit="false"/>
      <protection locked="true" hidden="true"/>
    </xf>
    <xf numFmtId="164" fontId="61" fillId="2" borderId="6" xfId="23" applyFont="true" applyBorder="true" applyAlignment="true" applyProtection="true">
      <alignment horizontal="center" vertical="center" textRotation="0" wrapText="true" indent="0" shrinkToFit="false"/>
      <protection locked="true" hidden="true"/>
    </xf>
    <xf numFmtId="164" fontId="62" fillId="2" borderId="23" xfId="23" applyFont="true" applyBorder="true" applyAlignment="true" applyProtection="true">
      <alignment horizontal="center" vertical="center" textRotation="0" wrapText="false" indent="0" shrinkToFit="false"/>
      <protection locked="true" hidden="true"/>
    </xf>
    <xf numFmtId="164" fontId="65" fillId="2" borderId="0" xfId="23" applyFont="true" applyBorder="true" applyAlignment="true" applyProtection="true">
      <alignment horizontal="left" vertical="bottom" textRotation="0" wrapText="false" indent="0" shrinkToFit="false"/>
      <protection locked="true" hidden="true"/>
    </xf>
    <xf numFmtId="164" fontId="66" fillId="2" borderId="0" xfId="23" applyFont="true" applyBorder="true" applyAlignment="true" applyProtection="true">
      <alignment horizontal="left" vertical="center" textRotation="0" wrapText="false" indent="0" shrinkToFit="false"/>
      <protection locked="true" hidden="true"/>
    </xf>
    <xf numFmtId="164" fontId="61" fillId="2" borderId="0" xfId="23" applyFont="true" applyBorder="true" applyAlignment="true" applyProtection="true">
      <alignment horizontal="left" vertical="center" textRotation="0" wrapText="true" indent="0" shrinkToFit="false"/>
      <protection locked="true" hidden="true"/>
    </xf>
    <xf numFmtId="164" fontId="67" fillId="2" borderId="22" xfId="23" applyFont="true" applyBorder="true" applyAlignment="true" applyProtection="true">
      <alignment horizontal="left" vertical="bottom" textRotation="0" wrapText="false" indent="0" shrinkToFit="false"/>
      <protection locked="true" hidden="true"/>
    </xf>
    <xf numFmtId="164" fontId="67" fillId="2" borderId="0" xfId="23" applyFont="true" applyBorder="true" applyAlignment="true" applyProtection="true">
      <alignment horizontal="left" vertical="bottom" textRotation="0" wrapText="false" indent="0" shrinkToFit="false"/>
      <protection locked="true" hidden="true"/>
    </xf>
    <xf numFmtId="164" fontId="30" fillId="9" borderId="0" xfId="0" applyFont="true" applyBorder="true" applyAlignment="true" applyProtection="true">
      <alignment horizontal="general" vertical="center" textRotation="0" wrapText="true" indent="0" shrinkToFit="false"/>
      <protection locked="true" hidden="true"/>
    </xf>
    <xf numFmtId="164" fontId="30" fillId="9" borderId="0" xfId="0" applyFont="true" applyBorder="true" applyAlignment="true" applyProtection="true">
      <alignment horizontal="left" vertical="center" textRotation="0" wrapText="true" indent="0" shrinkToFit="false"/>
      <protection locked="true" hidden="true"/>
    </xf>
    <xf numFmtId="164" fontId="31" fillId="9" borderId="0" xfId="0" applyFont="true" applyBorder="true" applyAlignment="true" applyProtection="true">
      <alignment horizontal="general" vertical="center" textRotation="0" wrapText="true" indent="0" shrinkToFit="false"/>
      <protection locked="true" hidden="true"/>
    </xf>
    <xf numFmtId="164" fontId="47" fillId="2" borderId="0" xfId="23" applyFont="true" applyBorder="true" applyAlignment="true" applyProtection="true">
      <alignment horizontal="general" vertical="center" textRotation="0" wrapText="false" indent="0" shrinkToFit="false"/>
      <protection locked="true" hidden="true"/>
    </xf>
    <xf numFmtId="164" fontId="60" fillId="2" borderId="11" xfId="23" applyFont="true" applyBorder="true" applyAlignment="true" applyProtection="true">
      <alignment horizontal="left" vertical="center" textRotation="0" wrapText="true" indent="0" shrinkToFit="false"/>
      <protection locked="true" hidden="true"/>
    </xf>
    <xf numFmtId="164" fontId="60" fillId="2" borderId="11" xfId="23" applyFont="true" applyBorder="true" applyAlignment="true" applyProtection="true">
      <alignment horizontal="general" vertical="center" textRotation="0" wrapText="true" indent="0" shrinkToFit="false"/>
      <protection locked="false" hidden="false"/>
    </xf>
    <xf numFmtId="164" fontId="68" fillId="0" borderId="0" xfId="0" applyFont="true" applyBorder="false" applyAlignment="false" applyProtection="true">
      <alignment horizontal="general" vertical="bottom" textRotation="0" wrapText="false" indent="0" shrinkToFit="false"/>
      <protection locked="true" hidden="true"/>
    </xf>
    <xf numFmtId="164" fontId="30" fillId="10" borderId="0" xfId="0" applyFont="true" applyBorder="true" applyAlignment="true" applyProtection="true">
      <alignment horizontal="general" vertical="center" textRotation="0" wrapText="true" indent="0" shrinkToFit="false"/>
      <protection locked="true" hidden="true"/>
    </xf>
    <xf numFmtId="164" fontId="46" fillId="10" borderId="0" xfId="0" applyFont="true" applyBorder="true" applyAlignment="true" applyProtection="true">
      <alignment horizontal="general" vertical="center" textRotation="0" wrapText="true" indent="0" shrinkToFit="false"/>
      <protection locked="true" hidden="true"/>
    </xf>
    <xf numFmtId="164" fontId="0" fillId="2" borderId="0" xfId="23" applyFont="true" applyBorder="true" applyAlignment="true" applyProtection="true">
      <alignment horizontal="general" vertical="center" textRotation="0" wrapText="true" indent="0" shrinkToFit="false"/>
      <protection locked="true" hidden="true"/>
    </xf>
    <xf numFmtId="164" fontId="50" fillId="2" borderId="0" xfId="23" applyFont="true" applyBorder="true" applyAlignment="true" applyProtection="true">
      <alignment horizontal="general" vertical="center" textRotation="0" wrapText="true" indent="0" shrinkToFit="false"/>
      <protection locked="true" hidden="true"/>
    </xf>
    <xf numFmtId="164" fontId="24" fillId="2" borderId="0" xfId="23" applyFont="true" applyBorder="true" applyAlignment="true" applyProtection="true">
      <alignment horizontal="general" vertical="center" textRotation="0" wrapText="true" indent="0" shrinkToFit="false"/>
      <protection locked="true" hidden="true"/>
    </xf>
    <xf numFmtId="164" fontId="60" fillId="2" borderId="0" xfId="23" applyFont="true" applyBorder="true" applyAlignment="true" applyProtection="true">
      <alignment horizontal="general" vertical="center" textRotation="0" wrapText="true" indent="0" shrinkToFit="false"/>
      <protection locked="true" hidden="true"/>
    </xf>
    <xf numFmtId="164" fontId="42" fillId="2" borderId="22" xfId="23" applyFont="true" applyBorder="true" applyAlignment="true" applyProtection="true">
      <alignment horizontal="general" vertical="center" textRotation="0" wrapText="true" indent="0" shrinkToFit="false"/>
      <protection locked="true" hidden="true"/>
    </xf>
    <xf numFmtId="164" fontId="31" fillId="10" borderId="0" xfId="0" applyFont="true" applyBorder="true" applyAlignment="true" applyProtection="true">
      <alignment horizontal="general" vertical="center" textRotation="0" wrapText="true" indent="0" shrinkToFit="false"/>
      <protection locked="true" hidden="true"/>
    </xf>
    <xf numFmtId="164" fontId="42" fillId="2" borderId="22" xfId="23" applyFont="true" applyBorder="true" applyAlignment="true" applyProtection="true">
      <alignment horizontal="general" vertical="center" textRotation="0" wrapText="false" indent="0" shrinkToFit="false"/>
      <protection locked="true" hidden="true"/>
    </xf>
    <xf numFmtId="164" fontId="0" fillId="0" borderId="0" xfId="0" applyFont="false" applyBorder="false" applyAlignment="true" applyProtection="true">
      <alignment horizontal="left" vertical="center" textRotation="0" wrapText="true" indent="0" shrinkToFit="false"/>
      <protection locked="true" hidden="true"/>
    </xf>
    <xf numFmtId="164" fontId="0" fillId="2" borderId="0" xfId="23" applyFont="true" applyBorder="true" applyAlignment="true" applyProtection="true">
      <alignment horizontal="left" vertical="center" textRotation="0" wrapText="true" indent="0" shrinkToFit="false"/>
      <protection locked="true" hidden="true"/>
    </xf>
    <xf numFmtId="164" fontId="50" fillId="2" borderId="0" xfId="23" applyFont="true" applyBorder="true" applyAlignment="true" applyProtection="true">
      <alignment horizontal="general" vertical="center" textRotation="0" wrapText="false" indent="0" shrinkToFit="false"/>
      <protection locked="true" hidden="true"/>
    </xf>
    <xf numFmtId="164" fontId="30" fillId="10" borderId="24" xfId="0" applyFont="true" applyBorder="true" applyAlignment="true" applyProtection="true">
      <alignment horizontal="general" vertical="center" textRotation="0" wrapText="true" indent="0" shrinkToFit="false"/>
      <protection locked="true" hidden="true"/>
    </xf>
    <xf numFmtId="164" fontId="31" fillId="10" borderId="24" xfId="0" applyFont="true" applyBorder="true" applyAlignment="true" applyProtection="true">
      <alignment horizontal="general" vertical="center" textRotation="0" wrapText="true" indent="0" shrinkToFit="false"/>
      <protection locked="true" hidden="true"/>
    </xf>
    <xf numFmtId="164" fontId="0" fillId="2" borderId="0" xfId="23" applyFont="true" applyBorder="true" applyAlignment="false" applyProtection="true">
      <alignment horizontal="general" vertical="center" textRotation="0" wrapText="false" indent="0" shrinkToFit="false"/>
      <protection locked="true" hidden="true"/>
    </xf>
    <xf numFmtId="164" fontId="0" fillId="2" borderId="0" xfId="23" applyFont="true" applyBorder="true" applyAlignment="true" applyProtection="true">
      <alignment horizontal="center" vertical="center" textRotation="0" wrapText="true" indent="0" shrinkToFit="false"/>
      <protection locked="true" hidden="true"/>
    </xf>
    <xf numFmtId="164" fontId="0" fillId="0" borderId="0" xfId="23" applyFont="true" applyBorder="true" applyAlignment="true" applyProtection="true">
      <alignment horizontal="general" vertical="center" textRotation="0" wrapText="false" indent="0" shrinkToFit="false"/>
      <protection locked="true" hidden="true"/>
    </xf>
    <xf numFmtId="164" fontId="60" fillId="2" borderId="0" xfId="23" applyFont="true" applyBorder="true" applyAlignment="true" applyProtection="true">
      <alignment horizontal="left" vertical="center" textRotation="0" wrapText="true" indent="0" shrinkToFit="false"/>
      <protection locked="true" hidden="true"/>
    </xf>
    <xf numFmtId="164" fontId="40" fillId="2" borderId="0" xfId="23" applyFont="true" applyBorder="true" applyAlignment="true" applyProtection="true">
      <alignment horizontal="center" vertical="center" textRotation="0" wrapText="true" indent="0" shrinkToFit="false"/>
      <protection locked="true" hidden="true"/>
    </xf>
    <xf numFmtId="164" fontId="31" fillId="10" borderId="24" xfId="0" applyFont="true" applyBorder="true" applyAlignment="true" applyProtection="true">
      <alignment horizontal="left" vertical="center" textRotation="0" wrapText="true" indent="0" shrinkToFit="false"/>
      <protection locked="true" hidden="true"/>
    </xf>
    <xf numFmtId="164" fontId="0" fillId="11" borderId="0" xfId="23" applyFont="true" applyBorder="true" applyAlignment="true" applyProtection="true">
      <alignment horizontal="general" vertical="center" textRotation="0" wrapText="false" indent="0" shrinkToFit="false"/>
      <protection locked="true" hidden="true"/>
    </xf>
    <xf numFmtId="164" fontId="30" fillId="11" borderId="0" xfId="23" applyFont="true" applyBorder="true" applyAlignment="true" applyProtection="true">
      <alignment horizontal="general" vertical="center" textRotation="0" wrapText="false" indent="0" shrinkToFit="false"/>
      <protection locked="true" hidden="true"/>
    </xf>
    <xf numFmtId="164" fontId="30" fillId="11" borderId="0" xfId="0" applyFont="true" applyBorder="true" applyAlignment="true" applyProtection="true">
      <alignment horizontal="general" vertical="center" textRotation="0" wrapText="true" indent="0" shrinkToFit="false"/>
      <protection locked="true" hidden="true"/>
    </xf>
    <xf numFmtId="164" fontId="30" fillId="11" borderId="22" xfId="0" applyFont="true" applyBorder="true" applyAlignment="true" applyProtection="true">
      <alignment horizontal="general" vertical="center" textRotation="0" wrapText="true" indent="0" shrinkToFit="false"/>
      <protection locked="true" hidden="true"/>
    </xf>
    <xf numFmtId="164" fontId="30" fillId="11" borderId="24" xfId="0" applyFont="true" applyBorder="true" applyAlignment="true" applyProtection="true">
      <alignment horizontal="general" vertical="center" textRotation="0" wrapText="true" indent="0" shrinkToFit="false"/>
      <protection locked="true" hidden="true"/>
    </xf>
    <xf numFmtId="164" fontId="31" fillId="11" borderId="24" xfId="0" applyFont="true" applyBorder="true" applyAlignment="true" applyProtection="true">
      <alignment horizontal="general" vertical="center" textRotation="0" wrapText="true" indent="0" shrinkToFit="false"/>
      <protection locked="true" hidden="true"/>
    </xf>
    <xf numFmtId="164" fontId="30" fillId="12" borderId="25" xfId="0" applyFont="true" applyBorder="true" applyAlignment="true" applyProtection="true">
      <alignment horizontal="general" vertical="center" textRotation="0" wrapText="true" indent="0" shrinkToFit="false"/>
      <protection locked="true" hidden="true"/>
    </xf>
    <xf numFmtId="164" fontId="30" fillId="12" borderId="26" xfId="0" applyFont="true" applyBorder="true" applyAlignment="true" applyProtection="true">
      <alignment horizontal="left" vertical="center" textRotation="0" wrapText="true" indent="0" shrinkToFit="false"/>
      <protection locked="true" hidden="true"/>
    </xf>
    <xf numFmtId="164" fontId="30" fillId="12" borderId="0" xfId="0" applyFont="true" applyBorder="true" applyAlignment="true" applyProtection="true">
      <alignment horizontal="general" vertical="center" textRotation="0" wrapText="true" indent="0" shrinkToFit="false"/>
      <protection locked="true" hidden="true"/>
    </xf>
    <xf numFmtId="164" fontId="31" fillId="12" borderId="0" xfId="0" applyFont="true" applyBorder="true" applyAlignment="true" applyProtection="true">
      <alignment horizontal="general" vertical="center" textRotation="0" wrapText="true" indent="0" shrinkToFit="false"/>
      <protection locked="true" hidden="true"/>
    </xf>
    <xf numFmtId="164" fontId="31" fillId="12" borderId="0" xfId="0" applyFont="true" applyBorder="true" applyAlignment="true" applyProtection="true">
      <alignment horizontal="left" vertical="center" textRotation="0" wrapText="true" indent="0" shrinkToFit="false"/>
      <protection locked="true" hidden="true"/>
    </xf>
    <xf numFmtId="164" fontId="30" fillId="13" borderId="27" xfId="0" applyFont="true" applyBorder="true" applyAlignment="true" applyProtection="true">
      <alignment horizontal="center" vertical="center" textRotation="0" wrapText="true" indent="0" shrinkToFit="false"/>
      <protection locked="true" hidden="true"/>
    </xf>
    <xf numFmtId="164" fontId="30" fillId="13" borderId="27" xfId="0" applyFont="true" applyBorder="true" applyAlignment="true" applyProtection="true">
      <alignment horizontal="general" vertical="center" textRotation="0" wrapText="true" indent="0" shrinkToFit="false"/>
      <protection locked="true" hidden="true"/>
    </xf>
    <xf numFmtId="164" fontId="42" fillId="2" borderId="0" xfId="23" applyFont="true" applyBorder="true" applyAlignment="true" applyProtection="true">
      <alignment horizontal="general" vertical="center" textRotation="0" wrapText="false" indent="0" shrinkToFit="false"/>
      <protection locked="true" hidden="true"/>
    </xf>
    <xf numFmtId="164" fontId="62" fillId="2" borderId="0" xfId="23" applyFont="true" applyBorder="true" applyAlignment="true" applyProtection="true">
      <alignment horizontal="general" vertical="center" textRotation="0" wrapText="false" indent="0" shrinkToFit="false"/>
      <protection locked="true" hidden="true"/>
    </xf>
    <xf numFmtId="164" fontId="69" fillId="2" borderId="0" xfId="23" applyFont="true" applyBorder="true" applyAlignment="true" applyProtection="true">
      <alignment horizontal="general" vertical="center" textRotation="0" wrapText="true" indent="0" shrinkToFit="false"/>
      <protection locked="true" hidden="true"/>
    </xf>
    <xf numFmtId="164" fontId="31" fillId="13" borderId="27" xfId="0" applyFont="true" applyBorder="true" applyAlignment="true" applyProtection="true">
      <alignment horizontal="left" vertical="center" textRotation="0" wrapText="true" indent="0" shrinkToFit="false"/>
      <protection locked="true" hidden="true"/>
    </xf>
    <xf numFmtId="164" fontId="70" fillId="0" borderId="0" xfId="0" applyFont="true" applyBorder="false" applyAlignment="false" applyProtection="true">
      <alignment horizontal="general" vertical="bottom" textRotation="0" wrapText="false" indent="0" shrinkToFit="false"/>
      <protection locked="true" hidden="true"/>
    </xf>
    <xf numFmtId="164" fontId="0" fillId="0" borderId="0" xfId="0" applyFont="true" applyBorder="false" applyAlignment="true" applyProtection="true">
      <alignment horizontal="general" vertical="bottom" textRotation="0" wrapText="true" indent="0" shrinkToFit="false"/>
      <protection locked="true" hidden="true"/>
    </xf>
    <xf numFmtId="164" fontId="0" fillId="0" borderId="0" xfId="0" applyFont="false" applyBorder="false" applyAlignment="true" applyProtection="true">
      <alignment horizontal="general" vertical="bottom" textRotation="0" wrapText="true" indent="0" shrinkToFit="false"/>
      <protection locked="true" hidden="true"/>
    </xf>
    <xf numFmtId="164" fontId="24" fillId="0" borderId="0" xfId="0" applyFont="true" applyBorder="false" applyAlignment="false" applyProtection="true">
      <alignment horizontal="general" vertical="bottom" textRotation="0" wrapText="false" indent="0" shrinkToFit="false"/>
      <protection locked="true" hidden="true"/>
    </xf>
    <xf numFmtId="164" fontId="71" fillId="2" borderId="11" xfId="23" applyFont="true" applyBorder="true" applyAlignment="true" applyProtection="true">
      <alignment horizontal="left" vertical="center" textRotation="0" wrapText="true" indent="0" shrinkToFit="false"/>
      <protection locked="true" hidden="false"/>
    </xf>
    <xf numFmtId="164" fontId="0" fillId="2" borderId="28" xfId="23" applyFont="true" applyBorder="true" applyAlignment="true" applyProtection="true">
      <alignment horizontal="center" vertical="center" textRotation="0" wrapText="true" indent="0" shrinkToFit="false"/>
      <protection locked="true" hidden="true"/>
    </xf>
    <xf numFmtId="164" fontId="0" fillId="2" borderId="29" xfId="23" applyFont="true" applyBorder="true" applyAlignment="true" applyProtection="true">
      <alignment horizontal="general" vertical="center" textRotation="0" wrapText="true" indent="0" shrinkToFit="false"/>
      <protection locked="true" hidden="true"/>
    </xf>
    <xf numFmtId="164" fontId="24" fillId="0" borderId="0" xfId="0" applyFont="true" applyBorder="false" applyAlignment="false" applyProtection="false">
      <alignment horizontal="general" vertical="bottom" textRotation="0" wrapText="false" indent="0" shrinkToFit="false"/>
      <protection locked="true" hidden="false"/>
    </xf>
    <xf numFmtId="164" fontId="42" fillId="2" borderId="30" xfId="23" applyFont="true" applyBorder="true" applyAlignment="true" applyProtection="true">
      <alignment horizontal="general" vertical="center" textRotation="0" wrapText="false" indent="0" shrinkToFit="false"/>
      <protection locked="true" hidden="false"/>
    </xf>
    <xf numFmtId="164" fontId="24" fillId="2" borderId="2" xfId="23" applyFont="true" applyBorder="true" applyAlignment="true" applyProtection="true">
      <alignment horizontal="center" vertical="center" textRotation="0" wrapText="false" indent="0" shrinkToFit="false"/>
      <protection locked="true" hidden="false"/>
    </xf>
    <xf numFmtId="164" fontId="25" fillId="2" borderId="2" xfId="23" applyFont="true" applyBorder="true" applyAlignment="true" applyProtection="true">
      <alignment horizontal="general" vertical="center" textRotation="0" wrapText="true" indent="0" shrinkToFit="false"/>
      <protection locked="true" hidden="false"/>
    </xf>
    <xf numFmtId="164" fontId="0" fillId="2" borderId="2" xfId="23" applyFont="true" applyBorder="true" applyAlignment="true" applyProtection="true">
      <alignment horizontal="general" vertical="center" textRotation="0" wrapText="false" indent="0" shrinkToFit="false"/>
      <protection locked="true" hidden="false"/>
    </xf>
    <xf numFmtId="164" fontId="61" fillId="2" borderId="2" xfId="23" applyFont="true" applyBorder="true" applyAlignment="true" applyProtection="true">
      <alignment horizontal="center" vertical="center" textRotation="0" wrapText="true" indent="0" shrinkToFit="false"/>
      <protection locked="true" hidden="false"/>
    </xf>
    <xf numFmtId="164" fontId="62" fillId="2" borderId="21" xfId="23" applyFont="true" applyBorder="true" applyAlignment="true" applyProtection="true">
      <alignment horizontal="center" vertical="center" textRotation="0" wrapText="false" indent="0" shrinkToFit="false"/>
      <protection locked="true" hidden="false"/>
    </xf>
    <xf numFmtId="164" fontId="62" fillId="2" borderId="14" xfId="23" applyFont="true" applyBorder="true" applyAlignment="true" applyProtection="true">
      <alignment horizontal="general" vertical="center" textRotation="0" wrapText="false" indent="0" shrinkToFit="false"/>
      <protection locked="true" hidden="false"/>
    </xf>
    <xf numFmtId="164" fontId="24" fillId="6" borderId="4" xfId="23" applyFont="true" applyBorder="true" applyAlignment="true" applyProtection="true">
      <alignment horizontal="left" vertical="center" textRotation="0" wrapText="true" indent="0" shrinkToFit="false"/>
      <protection locked="true" hidden="false"/>
    </xf>
    <xf numFmtId="164" fontId="63" fillId="2" borderId="0" xfId="23" applyFont="true" applyBorder="true" applyAlignment="true" applyProtection="true">
      <alignment horizontal="center" vertical="center" textRotation="0" wrapText="false" indent="0" shrinkToFit="false"/>
      <protection locked="true" hidden="false"/>
    </xf>
    <xf numFmtId="167" fontId="24" fillId="2" borderId="4" xfId="23" applyFont="true" applyBorder="true" applyAlignment="true" applyProtection="true">
      <alignment horizontal="center" vertical="center" textRotation="0" wrapText="true" indent="0" shrinkToFit="false"/>
      <protection locked="false" hidden="false"/>
    </xf>
    <xf numFmtId="164" fontId="61" fillId="2" borderId="0" xfId="23" applyFont="true" applyBorder="true" applyAlignment="true" applyProtection="true">
      <alignment horizontal="center" vertical="center" textRotation="0" wrapText="true" indent="0" shrinkToFit="false"/>
      <protection locked="true" hidden="false"/>
    </xf>
    <xf numFmtId="164" fontId="62" fillId="2" borderId="22" xfId="23" applyFont="true" applyBorder="true" applyAlignment="true" applyProtection="true">
      <alignment horizontal="center" vertical="center" textRotation="0" wrapText="false" indent="0" shrinkToFit="false"/>
      <protection locked="true" hidden="false"/>
    </xf>
    <xf numFmtId="164" fontId="24" fillId="2" borderId="4" xfId="23" applyFont="true" applyBorder="true" applyAlignment="true" applyProtection="true">
      <alignment horizontal="center" vertical="center" textRotation="0" wrapText="true" indent="0" shrinkToFit="false"/>
      <protection locked="false" hidden="false"/>
    </xf>
    <xf numFmtId="167" fontId="64" fillId="2" borderId="4" xfId="23" applyFont="true" applyBorder="true" applyAlignment="true" applyProtection="true">
      <alignment horizontal="center" vertical="center" textRotation="0" wrapText="true" indent="0" shrinkToFit="false"/>
      <protection locked="false" hidden="false"/>
    </xf>
    <xf numFmtId="167" fontId="24" fillId="2" borderId="0" xfId="23" applyFont="true" applyBorder="true" applyAlignment="true" applyProtection="true">
      <alignment horizontal="center" vertical="center" textRotation="0" wrapText="false" indent="0" shrinkToFit="false"/>
      <protection locked="true" hidden="false"/>
    </xf>
    <xf numFmtId="164" fontId="42" fillId="2" borderId="15" xfId="23" applyFont="true" applyBorder="true" applyAlignment="true" applyProtection="true">
      <alignment horizontal="general" vertical="center" textRotation="0" wrapText="false" indent="0" shrinkToFit="false"/>
      <protection locked="true" hidden="false"/>
    </xf>
    <xf numFmtId="164" fontId="0" fillId="2" borderId="6" xfId="23" applyFont="true" applyBorder="true" applyAlignment="true" applyProtection="true">
      <alignment horizontal="general" vertical="center" textRotation="0" wrapText="false" indent="0" shrinkToFit="false"/>
      <protection locked="true" hidden="false"/>
    </xf>
    <xf numFmtId="168" fontId="49" fillId="2" borderId="6" xfId="23" applyFont="true" applyBorder="true" applyAlignment="true" applyProtection="true">
      <alignment horizontal="center" vertical="center" textRotation="0" wrapText="true" indent="0" shrinkToFit="false"/>
      <protection locked="true" hidden="false"/>
    </xf>
    <xf numFmtId="164" fontId="61" fillId="2" borderId="6" xfId="23" applyFont="true" applyBorder="true" applyAlignment="true" applyProtection="true">
      <alignment horizontal="center" vertical="center" textRotation="0" wrapText="true" indent="0" shrinkToFit="false"/>
      <protection locked="true" hidden="false"/>
    </xf>
    <xf numFmtId="164" fontId="62" fillId="2" borderId="23" xfId="23" applyFont="true" applyBorder="true" applyAlignment="true" applyProtection="true">
      <alignment horizontal="center" vertical="center" textRotation="0" wrapText="false" indent="0" shrinkToFit="false"/>
      <protection locked="true" hidden="false"/>
    </xf>
    <xf numFmtId="164" fontId="72" fillId="2" borderId="14" xfId="23" applyFont="true" applyBorder="true" applyAlignment="true" applyProtection="true">
      <alignment horizontal="left" vertical="bottom" textRotation="0" wrapText="false" indent="0" shrinkToFit="false"/>
      <protection locked="true" hidden="false"/>
    </xf>
    <xf numFmtId="164" fontId="65" fillId="2" borderId="0" xfId="23" applyFont="true" applyBorder="true" applyAlignment="true" applyProtection="true">
      <alignment horizontal="left" vertical="bottom" textRotation="0" wrapText="false" indent="0" shrinkToFit="false"/>
      <protection locked="true" hidden="false"/>
    </xf>
    <xf numFmtId="164" fontId="66" fillId="2" borderId="0" xfId="23" applyFont="true" applyBorder="true" applyAlignment="true" applyProtection="true">
      <alignment horizontal="left" vertical="center" textRotation="0" wrapText="false" indent="0" shrinkToFit="false"/>
      <protection locked="true" hidden="false"/>
    </xf>
    <xf numFmtId="164" fontId="61" fillId="2" borderId="0" xfId="23" applyFont="true" applyBorder="true" applyAlignment="true" applyProtection="true">
      <alignment horizontal="left" vertical="center" textRotation="0" wrapText="true" indent="0" shrinkToFit="false"/>
      <protection locked="true" hidden="false"/>
    </xf>
    <xf numFmtId="164" fontId="67" fillId="2" borderId="22" xfId="23" applyFont="true" applyBorder="true" applyAlignment="true" applyProtection="true">
      <alignment horizontal="left" vertical="bottom" textRotation="0" wrapText="false" indent="0" shrinkToFit="false"/>
      <protection locked="true" hidden="false"/>
    </xf>
    <xf numFmtId="164" fontId="62" fillId="2" borderId="14" xfId="23" applyFont="true" applyBorder="true" applyAlignment="true" applyProtection="true">
      <alignment horizontal="center" vertical="center" textRotation="0" wrapText="false" indent="0" shrinkToFit="false"/>
      <protection locked="true" hidden="false"/>
    </xf>
    <xf numFmtId="164" fontId="31" fillId="14" borderId="0" xfId="23" applyFont="true" applyBorder="true" applyAlignment="true" applyProtection="true">
      <alignment horizontal="left" vertical="center" textRotation="0" wrapText="false" indent="0" shrinkToFit="false"/>
      <protection locked="true" hidden="false"/>
    </xf>
    <xf numFmtId="164" fontId="30" fillId="14" borderId="0" xfId="23" applyFont="true" applyBorder="true" applyAlignment="true" applyProtection="true">
      <alignment horizontal="left" vertical="center" textRotation="0" wrapText="false" indent="0" shrinkToFit="false"/>
      <protection locked="true" hidden="false"/>
    </xf>
    <xf numFmtId="164" fontId="46" fillId="14" borderId="0" xfId="23" applyFont="true" applyBorder="true" applyAlignment="true" applyProtection="true">
      <alignment horizontal="left" vertical="center" textRotation="0" wrapText="false" indent="0" shrinkToFit="false"/>
      <protection locked="true" hidden="false"/>
    </xf>
    <xf numFmtId="164" fontId="0" fillId="15" borderId="0" xfId="0" applyFont="false" applyBorder="false" applyAlignment="false" applyProtection="false">
      <alignment horizontal="general" vertical="bottom" textRotation="0" wrapText="false" indent="0" shrinkToFit="false"/>
      <protection locked="true" hidden="false"/>
    </xf>
    <xf numFmtId="164" fontId="42" fillId="2" borderId="14" xfId="23" applyFont="true" applyBorder="true" applyAlignment="true" applyProtection="true">
      <alignment horizontal="general" vertical="center" textRotation="0" wrapText="false" indent="0" shrinkToFit="false"/>
      <protection locked="true" hidden="false"/>
    </xf>
    <xf numFmtId="164" fontId="0" fillId="2" borderId="0" xfId="23" applyFont="true" applyBorder="true" applyAlignment="true" applyProtection="true">
      <alignment horizontal="center" vertical="center" textRotation="0" wrapText="false" indent="0" shrinkToFit="false"/>
      <protection locked="true" hidden="false"/>
    </xf>
    <xf numFmtId="164" fontId="73" fillId="2" borderId="0" xfId="23" applyFont="true" applyBorder="true" applyAlignment="true" applyProtection="true">
      <alignment horizontal="general" vertical="center" textRotation="0" wrapText="true" indent="0" shrinkToFit="false"/>
      <protection locked="true" hidden="false"/>
    </xf>
    <xf numFmtId="164" fontId="0" fillId="2" borderId="11" xfId="23" applyFont="true" applyBorder="true" applyAlignment="true" applyProtection="true">
      <alignment horizontal="general" vertical="center" textRotation="0" wrapText="true" indent="0" shrinkToFit="true"/>
      <protection locked="true" hidden="false"/>
    </xf>
    <xf numFmtId="164" fontId="50" fillId="2" borderId="0" xfId="23" applyFont="true" applyBorder="true" applyAlignment="true" applyProtection="true">
      <alignment horizontal="general" vertical="center" textRotation="0" wrapText="true" indent="0" shrinkToFit="false"/>
      <protection locked="true" hidden="false"/>
    </xf>
    <xf numFmtId="164" fontId="60" fillId="2" borderId="0" xfId="23" applyFont="true" applyBorder="true" applyAlignment="true" applyProtection="true">
      <alignment horizontal="general" vertical="center" textRotation="0" wrapText="true" indent="0" shrinkToFit="false"/>
      <protection locked="true" hidden="false"/>
    </xf>
    <xf numFmtId="164" fontId="42" fillId="2" borderId="22" xfId="23" applyFont="true" applyBorder="true" applyAlignment="true" applyProtection="true">
      <alignment horizontal="general" vertical="center" textRotation="0" wrapText="true" indent="0" shrinkToFit="false"/>
      <protection locked="true" hidden="false"/>
    </xf>
    <xf numFmtId="164" fontId="47" fillId="2" borderId="0" xfId="23" applyFont="true" applyBorder="true" applyAlignment="true" applyProtection="true">
      <alignment horizontal="general" vertical="center" textRotation="0" wrapText="false" indent="0" shrinkToFit="false"/>
      <protection locked="true" hidden="false"/>
    </xf>
    <xf numFmtId="164" fontId="42" fillId="2" borderId="22" xfId="23" applyFont="true" applyBorder="true" applyAlignment="true" applyProtection="true">
      <alignment horizontal="general" vertical="center" textRotation="0" wrapText="false" indent="0" shrinkToFit="false"/>
      <protection locked="true" hidden="false"/>
    </xf>
    <xf numFmtId="164" fontId="0" fillId="2" borderId="11" xfId="23" applyFont="true" applyBorder="true" applyAlignment="true" applyProtection="true">
      <alignment horizontal="left" vertical="top" textRotation="0" wrapText="true" indent="0" shrinkToFit="false"/>
      <protection locked="true" hidden="false"/>
    </xf>
    <xf numFmtId="164" fontId="50" fillId="2" borderId="0" xfId="23" applyFont="true" applyBorder="true" applyAlignment="true" applyProtection="true">
      <alignment horizontal="general" vertical="center" textRotation="0" wrapText="false" indent="0" shrinkToFit="false"/>
      <protection locked="true" hidden="false"/>
    </xf>
    <xf numFmtId="164" fontId="31" fillId="4" borderId="0" xfId="23" applyFont="true" applyBorder="true" applyAlignment="true" applyProtection="true">
      <alignment horizontal="left" vertical="center" textRotation="0" wrapText="true" indent="0" shrinkToFit="false"/>
      <protection locked="true" hidden="false"/>
    </xf>
    <xf numFmtId="164" fontId="46" fillId="4" borderId="0" xfId="23" applyFont="true" applyBorder="true" applyAlignment="true" applyProtection="true">
      <alignment horizontal="left" vertical="center" textRotation="0" wrapText="false" indent="0" shrinkToFit="false"/>
      <protection locked="true" hidden="false"/>
    </xf>
    <xf numFmtId="164" fontId="60" fillId="2" borderId="11" xfId="23" applyFont="true" applyBorder="true" applyAlignment="true" applyProtection="true">
      <alignment horizontal="left" vertical="center" textRotation="0" wrapText="true" indent="0" shrinkToFit="false"/>
      <protection locked="true" hidden="false"/>
    </xf>
    <xf numFmtId="164" fontId="74" fillId="0" borderId="0" xfId="0" applyFont="true" applyBorder="false" applyAlignment="false" applyProtection="false">
      <alignment horizontal="general" vertical="bottom" textRotation="0" wrapText="false" indent="0" shrinkToFit="false"/>
      <protection locked="true" hidden="false"/>
    </xf>
    <xf numFmtId="164" fontId="0" fillId="0" borderId="0" xfId="23" applyFont="true" applyBorder="true" applyAlignment="true" applyProtection="false">
      <alignment horizontal="general" vertical="center" textRotation="0" wrapText="true" indent="0" shrinkToFit="false"/>
      <protection locked="true" hidden="false"/>
    </xf>
    <xf numFmtId="164" fontId="0" fillId="2" borderId="0" xfId="23" applyFont="true" applyBorder="true" applyAlignment="false" applyProtection="true">
      <alignment horizontal="general" vertical="center" textRotation="0" wrapText="false" indent="0" shrinkToFit="false"/>
      <protection locked="true" hidden="false"/>
    </xf>
    <xf numFmtId="164" fontId="0" fillId="0" borderId="0" xfId="23" applyFont="true" applyBorder="true" applyAlignment="true" applyProtection="true">
      <alignment horizontal="general" vertical="center" textRotation="0" wrapText="false" indent="0" shrinkToFit="false"/>
      <protection locked="true" hidden="false"/>
    </xf>
    <xf numFmtId="164" fontId="31" fillId="5" borderId="0" xfId="23" applyFont="true" applyBorder="true" applyAlignment="true" applyProtection="true">
      <alignment horizontal="left" vertical="center" textRotation="0" wrapText="true" indent="0" shrinkToFit="false"/>
      <protection locked="true" hidden="false"/>
    </xf>
    <xf numFmtId="164" fontId="46" fillId="5" borderId="0" xfId="23" applyFont="true" applyBorder="true" applyAlignment="true" applyProtection="true">
      <alignment horizontal="left" vertical="center" textRotation="0" wrapText="true" indent="0" shrinkToFit="false"/>
      <protection locked="true" hidden="false"/>
    </xf>
    <xf numFmtId="164" fontId="60" fillId="5" borderId="0" xfId="23" applyFont="true" applyBorder="true" applyAlignment="true" applyProtection="true">
      <alignment horizontal="general" vertical="center" textRotation="0" wrapText="true" indent="0" shrinkToFit="false"/>
      <protection locked="true" hidden="false"/>
    </xf>
    <xf numFmtId="164" fontId="31" fillId="5" borderId="0" xfId="23" applyFont="true" applyBorder="true" applyAlignment="true" applyProtection="true">
      <alignment horizontal="left" vertical="center" textRotation="0" wrapText="true" indent="1" shrinkToFit="false"/>
      <protection locked="true" hidden="false"/>
    </xf>
    <xf numFmtId="164" fontId="24" fillId="5" borderId="0" xfId="23" applyFont="true" applyBorder="true" applyAlignment="true" applyProtection="true">
      <alignment horizontal="general" vertical="center" textRotation="0" wrapText="false" indent="0" shrinkToFit="false"/>
      <protection locked="true" hidden="false"/>
    </xf>
    <xf numFmtId="164" fontId="31" fillId="7" borderId="0" xfId="23" applyFont="true" applyBorder="true" applyAlignment="true" applyProtection="true">
      <alignment horizontal="left" vertical="center" textRotation="0" wrapText="true" indent="0" shrinkToFit="false"/>
      <protection locked="true" hidden="false"/>
    </xf>
    <xf numFmtId="164" fontId="0" fillId="7" borderId="0" xfId="23" applyFont="true" applyBorder="true" applyAlignment="true" applyProtection="true">
      <alignment horizontal="general" vertical="center" textRotation="0" wrapText="false" indent="0" shrinkToFit="false"/>
      <protection locked="true" hidden="false"/>
    </xf>
    <xf numFmtId="164" fontId="24" fillId="7" borderId="0" xfId="23" applyFont="true" applyBorder="true" applyAlignment="true" applyProtection="true">
      <alignment horizontal="general" vertical="center" textRotation="0" wrapText="false" indent="0" shrinkToFit="false"/>
      <protection locked="true" hidden="false"/>
    </xf>
    <xf numFmtId="164" fontId="60" fillId="7" borderId="0" xfId="23" applyFont="true" applyBorder="true" applyAlignment="true" applyProtection="true">
      <alignment horizontal="general" vertical="center" textRotation="0" wrapText="true" indent="0" shrinkToFit="false"/>
      <protection locked="true" hidden="false"/>
    </xf>
    <xf numFmtId="164" fontId="39" fillId="7" borderId="0" xfId="23" applyFont="true" applyBorder="true" applyAlignment="true" applyProtection="true">
      <alignment horizontal="left" vertical="center" textRotation="0" wrapText="true" indent="1" shrinkToFit="false"/>
      <protection locked="true" hidden="false"/>
    </xf>
    <xf numFmtId="164" fontId="0" fillId="7" borderId="0" xfId="23" applyFont="true" applyBorder="true" applyAlignment="false" applyProtection="true">
      <alignment horizontal="general" vertical="center" textRotation="0" wrapText="false" indent="0" shrinkToFit="false"/>
      <protection locked="true" hidden="false"/>
    </xf>
    <xf numFmtId="164" fontId="31" fillId="7" borderId="0" xfId="23" applyFont="true" applyBorder="true" applyAlignment="true" applyProtection="true">
      <alignment horizontal="left" vertical="center" textRotation="0" wrapText="true" indent="1"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64" fontId="0" fillId="2" borderId="11" xfId="23" applyFont="true" applyBorder="true" applyAlignment="true" applyProtection="true">
      <alignment horizontal="general" vertical="center" textRotation="0" wrapText="true" indent="0" shrinkToFit="false"/>
      <protection locked="true" hidden="false"/>
    </xf>
    <xf numFmtId="164" fontId="0" fillId="2" borderId="0" xfId="21" applyFont="true" applyBorder="true" applyAlignment="false" applyProtection="true">
      <alignment horizontal="general" vertical="center" textRotation="0" wrapText="false" indent="0" shrinkToFit="false"/>
      <protection locked="true" hidden="false"/>
    </xf>
    <xf numFmtId="164" fontId="0" fillId="2" borderId="0" xfId="21" applyFont="true" applyBorder="true" applyAlignment="true" applyProtection="true">
      <alignment horizontal="general" vertical="center" textRotation="0" wrapText="true" indent="0" shrinkToFit="false"/>
      <protection locked="true" hidden="false"/>
    </xf>
    <xf numFmtId="164" fontId="60" fillId="2" borderId="0" xfId="21" applyFont="true" applyBorder="true" applyAlignment="true" applyProtection="true">
      <alignment horizontal="general" vertical="center" textRotation="0" wrapText="true" indent="0" shrinkToFit="false"/>
      <protection locked="true" hidden="false"/>
    </xf>
    <xf numFmtId="164" fontId="42" fillId="2" borderId="22" xfId="21" applyFont="true" applyBorder="true" applyAlignment="false" applyProtection="true">
      <alignment horizontal="general" vertical="center" textRotation="0" wrapText="false" indent="0" shrinkToFit="false"/>
      <protection locked="true" hidden="false"/>
    </xf>
    <xf numFmtId="164" fontId="42" fillId="2" borderId="0" xfId="23" applyFont="true" applyBorder="true" applyAlignment="true" applyProtection="true">
      <alignment horizontal="general" vertical="center" textRotation="0" wrapText="false" indent="0" shrinkToFit="false"/>
      <protection locked="true" hidden="false"/>
    </xf>
    <xf numFmtId="164" fontId="42" fillId="2" borderId="0" xfId="23" applyFont="true" applyBorder="true" applyAlignment="true" applyProtection="true">
      <alignment horizontal="general" vertical="center" textRotation="0" wrapText="true" indent="0" shrinkToFit="false"/>
      <protection locked="true" hidden="false"/>
    </xf>
    <xf numFmtId="164" fontId="62" fillId="2" borderId="0" xfId="23" applyFont="true" applyBorder="true" applyAlignment="true" applyProtection="true">
      <alignment horizontal="general" vertical="center" textRotation="0" wrapText="false" indent="0" shrinkToFit="false"/>
      <protection locked="true" hidden="false"/>
    </xf>
    <xf numFmtId="164" fontId="69" fillId="2" borderId="0" xfId="23" applyFont="true" applyBorder="true" applyAlignment="true" applyProtection="true">
      <alignment horizontal="general" vertical="center" textRotation="0" wrapText="true" indent="0" shrinkToFit="false"/>
      <protection locked="true" hidden="false"/>
    </xf>
    <xf numFmtId="164" fontId="0" fillId="2" borderId="31" xfId="23" applyFont="true" applyBorder="true" applyAlignment="true" applyProtection="true">
      <alignment horizontal="center" vertical="center" textRotation="0" wrapText="true" indent="0" shrinkToFit="false"/>
      <protection locked="true" hidden="false"/>
    </xf>
    <xf numFmtId="164" fontId="40" fillId="16" borderId="32" xfId="0" applyFont="true" applyBorder="true" applyAlignment="true" applyProtection="true">
      <alignment horizontal="center" vertical="center" textRotation="0" wrapText="true" indent="0" shrinkToFit="false"/>
      <protection locked="true" hidden="true"/>
    </xf>
    <xf numFmtId="164" fontId="0" fillId="2" borderId="0" xfId="0" applyFont="true" applyBorder="true" applyAlignment="true" applyProtection="true">
      <alignment horizontal="general" vertical="center" textRotation="0" wrapText="false" indent="0" shrinkToFit="false"/>
      <protection locked="true" hidden="true"/>
    </xf>
    <xf numFmtId="164" fontId="24" fillId="2" borderId="0" xfId="0" applyFont="true" applyBorder="true" applyAlignment="true" applyProtection="true">
      <alignment horizontal="center" vertical="center" textRotation="0" wrapText="false" indent="0" shrinkToFit="false"/>
      <protection locked="true" hidden="true"/>
    </xf>
    <xf numFmtId="164" fontId="25" fillId="2" borderId="0" xfId="0" applyFont="true" applyBorder="true" applyAlignment="true" applyProtection="true">
      <alignment horizontal="center" vertical="center" textRotation="0" wrapText="true" indent="0" shrinkToFit="false"/>
      <protection locked="true" hidden="true"/>
    </xf>
    <xf numFmtId="164" fontId="24" fillId="2" borderId="0" xfId="0" applyFont="true" applyBorder="false" applyAlignment="true" applyProtection="true">
      <alignment horizontal="center" vertical="center" textRotation="0" wrapText="false" indent="0" shrinkToFit="false"/>
      <protection locked="true" hidden="true"/>
    </xf>
    <xf numFmtId="164" fontId="0" fillId="2" borderId="0" xfId="0" applyFont="true" applyBorder="false" applyAlignment="true" applyProtection="true">
      <alignment horizontal="general" vertical="center" textRotation="0" wrapText="false" indent="0" shrinkToFit="false"/>
      <protection locked="true" hidden="true"/>
    </xf>
    <xf numFmtId="164" fontId="0" fillId="0" borderId="0" xfId="0" applyFont="true" applyBorder="false" applyAlignment="true" applyProtection="true">
      <alignment horizontal="general" vertical="center" textRotation="0" wrapText="false" indent="0" shrinkToFit="false"/>
      <protection locked="true" hidden="true"/>
    </xf>
    <xf numFmtId="164" fontId="0" fillId="0" borderId="0" xfId="0" applyFont="true" applyBorder="false" applyAlignment="false" applyProtection="true">
      <alignment horizontal="general" vertical="bottom" textRotation="0" wrapText="false" indent="0" shrinkToFit="false"/>
      <protection locked="true" hidden="true"/>
    </xf>
    <xf numFmtId="164" fontId="40" fillId="16" borderId="4" xfId="0" applyFont="true" applyBorder="true" applyAlignment="true" applyProtection="true">
      <alignment horizontal="general" vertical="center" textRotation="0" wrapText="false" indent="0" shrinkToFit="false"/>
      <protection locked="true" hidden="true"/>
    </xf>
    <xf numFmtId="164" fontId="60" fillId="2" borderId="0" xfId="0" applyFont="true" applyBorder="true" applyAlignment="true" applyProtection="true">
      <alignment horizontal="general" vertical="center" textRotation="0" wrapText="true" indent="0" shrinkToFit="false"/>
      <protection locked="true" hidden="true"/>
    </xf>
    <xf numFmtId="167" fontId="40" fillId="2" borderId="4" xfId="0" applyFont="true" applyBorder="true" applyAlignment="true" applyProtection="true">
      <alignment horizontal="center" vertical="center" textRotation="0" wrapText="false" indent="0" shrinkToFit="false"/>
      <protection locked="true" hidden="true"/>
    </xf>
    <xf numFmtId="164" fontId="60" fillId="2" borderId="0" xfId="0" applyFont="true" applyBorder="false" applyAlignment="true" applyProtection="true">
      <alignment horizontal="general" vertical="center" textRotation="0" wrapText="false" indent="0" shrinkToFit="false"/>
      <protection locked="true" hidden="true"/>
    </xf>
    <xf numFmtId="164" fontId="60" fillId="2" borderId="0" xfId="0" applyFont="true" applyBorder="true" applyAlignment="true" applyProtection="true">
      <alignment horizontal="general" vertical="center" textRotation="0" wrapText="false" indent="0" shrinkToFit="false"/>
      <protection locked="true" hidden="true"/>
    </xf>
    <xf numFmtId="164" fontId="40" fillId="2" borderId="0" xfId="0" applyFont="true" applyBorder="false" applyAlignment="true" applyProtection="true">
      <alignment horizontal="center" vertical="center" textRotation="0" wrapText="false" indent="0" shrinkToFit="false"/>
      <protection locked="true" hidden="true"/>
    </xf>
    <xf numFmtId="164" fontId="40" fillId="2" borderId="0" xfId="0" applyFont="true" applyBorder="true" applyAlignment="true" applyProtection="true">
      <alignment horizontal="center" vertical="center" textRotation="0" wrapText="false" indent="0" shrinkToFit="false"/>
      <protection locked="true" hidden="true"/>
    </xf>
    <xf numFmtId="164" fontId="40" fillId="2" borderId="4" xfId="0" applyFont="true" applyBorder="true" applyAlignment="true" applyProtection="true">
      <alignment horizontal="center" vertical="center" textRotation="0" wrapText="true" indent="0" shrinkToFit="false"/>
      <protection locked="true" hidden="true"/>
    </xf>
    <xf numFmtId="164" fontId="60" fillId="2" borderId="33" xfId="0" applyFont="true" applyBorder="true" applyAlignment="true" applyProtection="true">
      <alignment horizontal="general" vertical="center" textRotation="0" wrapText="false" indent="0" shrinkToFit="false"/>
      <protection locked="true" hidden="true"/>
    </xf>
    <xf numFmtId="164" fontId="0" fillId="0" borderId="34" xfId="0" applyFont="true" applyBorder="true" applyAlignment="true" applyProtection="true">
      <alignment horizontal="general" vertical="center" textRotation="0" wrapText="false" indent="0" shrinkToFit="false"/>
      <protection locked="true" hidden="true"/>
    </xf>
    <xf numFmtId="164" fontId="0" fillId="2" borderId="0" xfId="0" applyFont="true" applyBorder="false" applyAlignment="true" applyProtection="true">
      <alignment horizontal="general" vertical="center" textRotation="0" wrapText="true" indent="0" shrinkToFit="false"/>
      <protection locked="true" hidden="true"/>
    </xf>
    <xf numFmtId="164" fontId="24" fillId="2" borderId="35" xfId="0" applyFont="true" applyBorder="true" applyAlignment="true" applyProtection="true">
      <alignment horizontal="center" vertical="center" textRotation="0" wrapText="true" indent="0" shrinkToFit="false"/>
      <protection locked="true" hidden="true"/>
    </xf>
    <xf numFmtId="164" fontId="24" fillId="2" borderId="36" xfId="0" applyFont="true" applyBorder="true" applyAlignment="true" applyProtection="true">
      <alignment horizontal="center" vertical="center" textRotation="0" wrapText="true" indent="0" shrinkToFit="false"/>
      <protection locked="true" hidden="true"/>
    </xf>
    <xf numFmtId="164" fontId="24" fillId="2" borderId="36" xfId="0" applyFont="true" applyBorder="true" applyAlignment="true" applyProtection="true">
      <alignment horizontal="center" vertical="bottom" textRotation="0" wrapText="true" indent="0" shrinkToFit="false"/>
      <protection locked="true" hidden="true"/>
    </xf>
    <xf numFmtId="164" fontId="0" fillId="2" borderId="36" xfId="0" applyFont="true" applyBorder="true" applyAlignment="true" applyProtection="true">
      <alignment horizontal="general" vertical="bottom" textRotation="0" wrapText="false" indent="0" shrinkToFit="false"/>
      <protection locked="true" hidden="true"/>
    </xf>
    <xf numFmtId="164" fontId="0" fillId="0" borderId="36" xfId="0" applyFont="true" applyBorder="true" applyAlignment="true" applyProtection="true">
      <alignment horizontal="general" vertical="bottom" textRotation="0" wrapText="false" indent="0" shrinkToFit="false"/>
      <protection locked="true" hidden="true"/>
    </xf>
    <xf numFmtId="164" fontId="0" fillId="2" borderId="36" xfId="0" applyFont="true" applyBorder="true" applyAlignment="true" applyProtection="true">
      <alignment horizontal="general" vertical="center" textRotation="0" wrapText="false" indent="0" shrinkToFit="false"/>
      <protection locked="true" hidden="true"/>
    </xf>
    <xf numFmtId="164" fontId="0" fillId="0" borderId="36" xfId="0" applyFont="true" applyBorder="true" applyAlignment="true" applyProtection="true">
      <alignment horizontal="general" vertical="center" textRotation="0" wrapText="false" indent="0" shrinkToFit="false"/>
      <protection locked="true" hidden="true"/>
    </xf>
    <xf numFmtId="164" fontId="24" fillId="2" borderId="37" xfId="0" applyFont="true" applyBorder="true" applyAlignment="true" applyProtection="true">
      <alignment horizontal="center" vertical="center" textRotation="0" wrapText="true" indent="0" shrinkToFit="false"/>
      <protection locked="true" hidden="true"/>
    </xf>
    <xf numFmtId="164" fontId="31" fillId="17" borderId="0" xfId="0" applyFont="true" applyBorder="true" applyAlignment="true" applyProtection="true">
      <alignment horizontal="left" vertical="center" textRotation="0" wrapText="false" indent="0" shrinkToFit="false"/>
      <protection locked="true" hidden="true"/>
    </xf>
    <xf numFmtId="164" fontId="0" fillId="17" borderId="0" xfId="0" applyFont="true" applyBorder="true" applyAlignment="true" applyProtection="true">
      <alignment horizontal="general" vertical="center" textRotation="0" wrapText="false" indent="0" shrinkToFit="false"/>
      <protection locked="true" hidden="true"/>
    </xf>
    <xf numFmtId="164" fontId="77" fillId="17" borderId="0" xfId="0" applyFont="true" applyBorder="true" applyAlignment="true" applyProtection="true">
      <alignment horizontal="left" vertical="center" textRotation="0" wrapText="false" indent="0" shrinkToFit="false"/>
      <protection locked="true" hidden="true"/>
    </xf>
    <xf numFmtId="169" fontId="0" fillId="2" borderId="38" xfId="0" applyFont="true" applyBorder="true" applyAlignment="true" applyProtection="true">
      <alignment horizontal="center" vertical="center" textRotation="0" wrapText="false" indent="0" shrinkToFit="false"/>
      <protection locked="true" hidden="true"/>
    </xf>
    <xf numFmtId="169" fontId="0" fillId="2" borderId="0" xfId="0" applyFont="true" applyBorder="true" applyAlignment="true" applyProtection="true">
      <alignment horizontal="center" vertical="bottom" textRotation="0" wrapText="false" indent="0" shrinkToFit="false"/>
      <protection locked="true" hidden="true"/>
    </xf>
    <xf numFmtId="164" fontId="0" fillId="2" borderId="0" xfId="0" applyFont="true" applyBorder="true" applyAlignment="true" applyProtection="true">
      <alignment horizontal="center" vertical="bottom" textRotation="0" wrapText="false" indent="0" shrinkToFit="false"/>
      <protection locked="true" hidden="true"/>
    </xf>
    <xf numFmtId="164" fontId="0" fillId="2" borderId="38" xfId="0" applyFont="true" applyBorder="true" applyAlignment="true" applyProtection="true">
      <alignment horizontal="center" vertical="center" textRotation="0" wrapText="false" indent="0" shrinkToFit="false"/>
      <protection locked="true" hidden="true"/>
    </xf>
    <xf numFmtId="170" fontId="0" fillId="2" borderId="0" xfId="0" applyFont="true" applyBorder="true" applyAlignment="true" applyProtection="true">
      <alignment horizontal="center" vertical="bottom" textRotation="0" wrapText="false" indent="0" shrinkToFit="false"/>
      <protection locked="true" hidden="true"/>
    </xf>
    <xf numFmtId="164" fontId="0" fillId="2" borderId="0" xfId="0" applyFont="true" applyBorder="true" applyAlignment="true" applyProtection="true">
      <alignment horizontal="general" vertical="center" textRotation="0" wrapText="true" indent="0" shrinkToFit="false"/>
      <protection locked="true" hidden="true"/>
    </xf>
    <xf numFmtId="164" fontId="0" fillId="0" borderId="0" xfId="0" applyFont="true" applyBorder="true" applyAlignment="true" applyProtection="true">
      <alignment horizontal="general" vertical="center" textRotation="0" wrapText="false" indent="0" shrinkToFit="false"/>
      <protection locked="true" hidden="true"/>
    </xf>
    <xf numFmtId="164" fontId="0" fillId="2" borderId="39" xfId="0" applyFont="true" applyBorder="true" applyAlignment="true" applyProtection="true">
      <alignment horizontal="general" vertical="center" textRotation="0" wrapText="false" indent="0" shrinkToFit="false"/>
      <protection locked="true" hidden="true"/>
    </xf>
    <xf numFmtId="164" fontId="0" fillId="2" borderId="40" xfId="0" applyFont="true" applyBorder="true" applyAlignment="true" applyProtection="true">
      <alignment horizontal="general" vertical="center" textRotation="0" wrapText="false" indent="0" shrinkToFit="false"/>
      <protection locked="true" hidden="true"/>
    </xf>
    <xf numFmtId="164" fontId="31" fillId="18" borderId="0" xfId="0" applyFont="true" applyBorder="true" applyAlignment="true" applyProtection="true">
      <alignment horizontal="left" vertical="center" textRotation="0" wrapText="false" indent="0" shrinkToFit="false"/>
      <protection locked="true" hidden="true"/>
    </xf>
    <xf numFmtId="164" fontId="31" fillId="19" borderId="0" xfId="0" applyFont="true" applyBorder="true" applyAlignment="true" applyProtection="true">
      <alignment horizontal="left" vertical="center" textRotation="0" wrapText="false" indent="0" shrinkToFit="false"/>
      <protection locked="true" hidden="true"/>
    </xf>
    <xf numFmtId="164" fontId="0" fillId="20" borderId="0" xfId="0" applyFont="true" applyBorder="true" applyAlignment="true" applyProtection="true">
      <alignment horizontal="general" vertical="center" textRotation="0" wrapText="false" indent="0" shrinkToFit="false"/>
      <protection locked="true" hidden="true"/>
    </xf>
    <xf numFmtId="164" fontId="31" fillId="20" borderId="0" xfId="0" applyFont="true" applyBorder="true" applyAlignment="true" applyProtection="true">
      <alignment horizontal="left" vertical="center" textRotation="0" wrapText="false" indent="0" shrinkToFit="false"/>
      <protection locked="true" hidden="true"/>
    </xf>
    <xf numFmtId="164" fontId="78" fillId="2" borderId="0" xfId="0" applyFont="true" applyBorder="true" applyAlignment="true" applyProtection="true">
      <alignment horizontal="general" vertical="top" textRotation="0" wrapText="false" indent="0" shrinkToFit="false"/>
      <protection locked="true" hidden="true"/>
    </xf>
    <xf numFmtId="164" fontId="0" fillId="21" borderId="0" xfId="0" applyFont="true" applyBorder="true" applyAlignment="true" applyProtection="true">
      <alignment horizontal="general" vertical="center" textRotation="0" wrapText="false" indent="0" shrinkToFit="false"/>
      <protection locked="true" hidden="true"/>
    </xf>
    <xf numFmtId="164" fontId="31" fillId="21" borderId="0" xfId="0" applyFont="true" applyBorder="true" applyAlignment="true" applyProtection="true">
      <alignment horizontal="left" vertical="center" textRotation="0" wrapText="false" indent="0" shrinkToFit="false"/>
      <protection locked="true" hidden="true"/>
    </xf>
    <xf numFmtId="164" fontId="79" fillId="2" borderId="0" xfId="0" applyFont="true" applyBorder="true" applyAlignment="true" applyProtection="true">
      <alignment horizontal="general" vertical="top" textRotation="0" wrapText="false" indent="0" shrinkToFit="false"/>
      <protection locked="true" hidden="true"/>
    </xf>
    <xf numFmtId="164" fontId="0" fillId="2" borderId="0" xfId="0" applyFont="true" applyBorder="true" applyAlignment="true" applyProtection="true">
      <alignment horizontal="center" vertical="center" textRotation="0" wrapText="false" indent="0" shrinkToFit="false"/>
      <protection locked="true" hidden="true"/>
    </xf>
    <xf numFmtId="164" fontId="0" fillId="2" borderId="35" xfId="0" applyFont="true" applyBorder="true" applyAlignment="true" applyProtection="true">
      <alignment horizontal="general" vertical="center" textRotation="0" wrapText="false" indent="0" shrinkToFit="false"/>
      <protection locked="true" hidden="true"/>
    </xf>
    <xf numFmtId="164" fontId="79" fillId="2" borderId="36" xfId="0" applyFont="true" applyBorder="true" applyAlignment="true" applyProtection="true">
      <alignment horizontal="general" vertical="top" textRotation="0" wrapText="false" indent="0" shrinkToFit="false"/>
      <protection locked="true" hidden="true"/>
    </xf>
    <xf numFmtId="169" fontId="0" fillId="2" borderId="36" xfId="0" applyFont="true" applyBorder="true" applyAlignment="true" applyProtection="true">
      <alignment horizontal="center" vertical="bottom" textRotation="0" wrapText="false" indent="0" shrinkToFit="false"/>
      <protection locked="true" hidden="true"/>
    </xf>
    <xf numFmtId="164" fontId="0" fillId="2" borderId="36" xfId="0" applyFont="true" applyBorder="true" applyAlignment="true" applyProtection="true">
      <alignment horizontal="center" vertical="bottom" textRotation="0" wrapText="false" indent="0" shrinkToFit="false"/>
      <protection locked="true" hidden="true"/>
    </xf>
    <xf numFmtId="164" fontId="0" fillId="2" borderId="36" xfId="0" applyFont="true" applyBorder="true" applyAlignment="true" applyProtection="true">
      <alignment horizontal="center" vertical="center" textRotation="0" wrapText="false" indent="0" shrinkToFit="false"/>
      <protection locked="true" hidden="true"/>
    </xf>
    <xf numFmtId="164" fontId="0" fillId="2" borderId="37" xfId="0" applyFont="true" applyBorder="true" applyAlignment="true" applyProtection="true">
      <alignment horizontal="general" vertical="center" textRotation="0" wrapText="false" indent="0" shrinkToFit="false"/>
      <protection locked="true" hidden="true"/>
    </xf>
    <xf numFmtId="164" fontId="0" fillId="22" borderId="0" xfId="0" applyFont="true" applyBorder="true" applyAlignment="true" applyProtection="true">
      <alignment horizontal="general" vertical="center" textRotation="0" wrapText="false" indent="0" shrinkToFit="false"/>
      <protection locked="true" hidden="true"/>
    </xf>
    <xf numFmtId="164" fontId="31" fillId="22" borderId="0" xfId="0" applyFont="true" applyBorder="true" applyAlignment="true" applyProtection="true">
      <alignment horizontal="left" vertical="center" textRotation="0" wrapText="false" indent="0" shrinkToFit="false"/>
      <protection locked="true" hidden="true"/>
    </xf>
    <xf numFmtId="164" fontId="0" fillId="2" borderId="41" xfId="0" applyFont="true" applyBorder="true" applyAlignment="true" applyProtection="true">
      <alignment horizontal="general" vertical="center" textRotation="0" wrapText="false" indent="0" shrinkToFit="false"/>
      <protection locked="true" hidden="true"/>
    </xf>
    <xf numFmtId="164" fontId="0" fillId="2" borderId="42" xfId="0" applyFont="true" applyBorder="true" applyAlignment="true" applyProtection="true">
      <alignment horizontal="general" vertical="center" textRotation="0" wrapText="false" indent="0" shrinkToFit="false"/>
      <protection locked="true" hidden="true"/>
    </xf>
    <xf numFmtId="164" fontId="0" fillId="2" borderId="42" xfId="0" applyFont="true" applyBorder="true" applyAlignment="true" applyProtection="true">
      <alignment horizontal="general" vertical="center" textRotation="0" wrapText="true" indent="0" shrinkToFit="false"/>
      <protection locked="true" hidden="true"/>
    </xf>
    <xf numFmtId="164" fontId="0" fillId="0" borderId="42" xfId="0" applyFont="true" applyBorder="true" applyAlignment="true" applyProtection="true">
      <alignment horizontal="general" vertical="center" textRotation="0" wrapText="false" indent="0" shrinkToFit="false"/>
      <protection locked="true" hidden="true"/>
    </xf>
    <xf numFmtId="164" fontId="0" fillId="2" borderId="43" xfId="0" applyFont="true" applyBorder="true" applyAlignment="true" applyProtection="true">
      <alignment horizontal="general" vertical="center" textRotation="0" wrapText="false" indent="0" shrinkToFit="false"/>
      <protection locked="true" hidden="true"/>
    </xf>
    <xf numFmtId="164" fontId="0" fillId="2" borderId="36" xfId="0" applyFont="true" applyBorder="true" applyAlignment="true" applyProtection="true">
      <alignment horizontal="general" vertical="center" textRotation="0" wrapText="true" indent="0" shrinkToFit="false"/>
      <protection locked="true" hidden="true"/>
    </xf>
    <xf numFmtId="164" fontId="0" fillId="2" borderId="40" xfId="0" applyFont="true" applyBorder="true" applyAlignment="true" applyProtection="true">
      <alignment horizontal="right" vertical="center" textRotation="0" wrapText="false" indent="0" shrinkToFit="false"/>
      <protection locked="true" hidden="true"/>
    </xf>
    <xf numFmtId="164" fontId="0" fillId="2" borderId="20" xfId="0" applyFont="true" applyBorder="true" applyAlignment="true" applyProtection="true">
      <alignment horizontal="center" vertical="center" textRotation="0" wrapText="false" indent="0" shrinkToFit="false"/>
      <protection locked="false" hidden="false"/>
    </xf>
    <xf numFmtId="164" fontId="39" fillId="23" borderId="0" xfId="0" applyFont="true" applyBorder="true" applyAlignment="true" applyProtection="true">
      <alignment horizontal="general" vertical="center" textRotation="0" wrapText="false" indent="0" shrinkToFit="false"/>
      <protection locked="true" hidden="true"/>
    </xf>
    <xf numFmtId="164" fontId="0" fillId="2" borderId="20" xfId="0" applyFont="true" applyBorder="true" applyAlignment="true" applyProtection="true">
      <alignment horizontal="center" vertical="center" textRotation="0" wrapText="true" indent="0" shrinkToFit="false"/>
      <protection locked="false" hidden="false"/>
    </xf>
    <xf numFmtId="164" fontId="39" fillId="2" borderId="0" xfId="0" applyFont="true" applyBorder="false" applyAlignment="true" applyProtection="true">
      <alignment horizontal="general" vertical="center" textRotation="0" wrapText="false" indent="0" shrinkToFit="false"/>
      <protection locked="true" hidden="true"/>
    </xf>
    <xf numFmtId="164" fontId="39" fillId="2" borderId="0" xfId="0" applyFont="true" applyBorder="true" applyAlignment="true" applyProtection="true">
      <alignment horizontal="general" vertical="center" textRotation="0" wrapText="false" indent="0" shrinkToFit="false"/>
      <protection locked="true" hidden="true"/>
    </xf>
    <xf numFmtId="164" fontId="39" fillId="2" borderId="0" xfId="0" applyFont="true" applyBorder="true" applyAlignment="true" applyProtection="true">
      <alignment horizontal="general" vertical="center" textRotation="0" wrapText="true" indent="0" shrinkToFit="false"/>
      <protection locked="true" hidden="true"/>
    </xf>
    <xf numFmtId="164" fontId="0" fillId="2" borderId="44" xfId="0" applyFont="true" applyBorder="true" applyAlignment="true" applyProtection="true">
      <alignment horizontal="general" vertical="bottom" textRotation="0" wrapText="true" indent="0" shrinkToFit="false"/>
      <protection locked="true" hidden="true"/>
    </xf>
    <xf numFmtId="169" fontId="0" fillId="2" borderId="44" xfId="0" applyFont="true" applyBorder="true" applyAlignment="true" applyProtection="true">
      <alignment horizontal="general" vertical="bottom" textRotation="0" wrapText="true" indent="0" shrinkToFit="false"/>
      <protection locked="true" hidden="true"/>
    </xf>
    <xf numFmtId="169" fontId="39" fillId="2" borderId="0" xfId="0" applyFont="true" applyBorder="false" applyAlignment="true" applyProtection="true">
      <alignment horizontal="general" vertical="center" textRotation="0" wrapText="false" indent="0" shrinkToFit="false"/>
      <protection locked="true" hidden="true"/>
    </xf>
    <xf numFmtId="164" fontId="39" fillId="2" borderId="0" xfId="0" applyFont="true" applyBorder="false" applyAlignment="true" applyProtection="true">
      <alignment horizontal="general" vertical="center" textRotation="0" wrapText="true" indent="0" shrinkToFit="false"/>
      <protection locked="true" hidden="true"/>
    </xf>
    <xf numFmtId="164" fontId="60" fillId="2" borderId="45" xfId="0" applyFont="true" applyBorder="true" applyAlignment="true" applyProtection="true">
      <alignment horizontal="left" vertical="center" textRotation="0" wrapText="true" indent="4" shrinkToFit="false"/>
      <protection locked="true" hidden="true"/>
    </xf>
    <xf numFmtId="164" fontId="0" fillId="2" borderId="46" xfId="0" applyFont="true" applyBorder="true" applyAlignment="true" applyProtection="true">
      <alignment horizontal="center" vertical="center" textRotation="0" wrapText="false" indent="0" shrinkToFit="false"/>
      <protection locked="true" hidden="true"/>
    </xf>
    <xf numFmtId="164" fontId="0" fillId="0" borderId="0" xfId="23" applyFont="true" applyBorder="false" applyAlignment="false" applyProtection="false">
      <alignment horizontal="general" vertical="center" textRotation="0" wrapText="false" indent="0" shrinkToFit="false"/>
      <protection locked="true" hidden="false"/>
    </xf>
    <xf numFmtId="164" fontId="24" fillId="16" borderId="47" xfId="0" applyFont="true" applyBorder="true" applyAlignment="true" applyProtection="true">
      <alignment horizontal="center" vertical="center" textRotation="0" wrapText="false" indent="0" shrinkToFit="false"/>
      <protection locked="true" hidden="true"/>
    </xf>
    <xf numFmtId="164" fontId="24" fillId="16" borderId="6" xfId="0" applyFont="true" applyBorder="true" applyAlignment="true" applyProtection="false">
      <alignment horizontal="general" vertical="center" textRotation="0" wrapText="false" indent="0" shrinkToFit="false"/>
      <protection locked="true" hidden="false"/>
    </xf>
    <xf numFmtId="164" fontId="24" fillId="16" borderId="48" xfId="0" applyFont="true" applyBorder="true" applyAlignment="true" applyProtection="false">
      <alignment horizontal="general" vertical="center" textRotation="0" wrapText="false" indent="0" shrinkToFit="false"/>
      <protection locked="true" hidden="false"/>
    </xf>
    <xf numFmtId="164" fontId="0" fillId="2" borderId="14" xfId="0" applyFont="true" applyBorder="true" applyAlignment="true" applyProtection="true">
      <alignment horizontal="general" vertical="center" textRotation="0" wrapText="false" indent="0" shrinkToFit="false"/>
      <protection locked="true" hidden="true"/>
    </xf>
    <xf numFmtId="164" fontId="24" fillId="2" borderId="2" xfId="0" applyFont="true" applyBorder="true" applyAlignment="true" applyProtection="true">
      <alignment horizontal="center" vertical="center" textRotation="0" wrapText="false" indent="0" shrinkToFit="false"/>
      <protection locked="true" hidden="true"/>
    </xf>
    <xf numFmtId="164" fontId="0" fillId="2" borderId="22" xfId="0" applyFont="true" applyBorder="true" applyAlignment="true" applyProtection="true">
      <alignment horizontal="general" vertical="center" textRotation="0" wrapText="false" indent="0" shrinkToFit="false"/>
      <protection locked="true" hidden="true"/>
    </xf>
    <xf numFmtId="164" fontId="40" fillId="2" borderId="14" xfId="0" applyFont="true" applyBorder="true" applyAlignment="true" applyProtection="true">
      <alignment horizontal="general" vertical="center" textRotation="0" wrapText="false" indent="0" shrinkToFit="false"/>
      <protection locked="true" hidden="true"/>
    </xf>
    <xf numFmtId="168" fontId="40" fillId="2" borderId="4" xfId="0" applyFont="true" applyBorder="true" applyAlignment="true" applyProtection="true">
      <alignment horizontal="center" vertical="center" textRotation="0" wrapText="false" indent="0" shrinkToFit="false"/>
      <protection locked="true" hidden="true"/>
    </xf>
    <xf numFmtId="164" fontId="60" fillId="2" borderId="14" xfId="0" applyFont="true" applyBorder="true" applyAlignment="true" applyProtection="true">
      <alignment horizontal="general" vertical="center" textRotation="0" wrapText="false" indent="0" shrinkToFit="false"/>
      <protection locked="true" hidden="true"/>
    </xf>
    <xf numFmtId="164" fontId="40" fillId="2" borderId="4" xfId="0" applyFont="true" applyBorder="true" applyAlignment="true" applyProtection="true">
      <alignment horizontal="center" vertical="center" textRotation="0" wrapText="false" indent="0" shrinkToFit="false"/>
      <protection locked="true" hidden="true"/>
    </xf>
    <xf numFmtId="164" fontId="60" fillId="2" borderId="2" xfId="0" applyFont="true" applyBorder="true" applyAlignment="true" applyProtection="true">
      <alignment horizontal="general" vertical="center" textRotation="0" wrapText="true" indent="0" shrinkToFit="false"/>
      <protection locked="true" hidden="true"/>
    </xf>
    <xf numFmtId="164" fontId="40" fillId="2" borderId="14" xfId="0" applyFont="true" applyBorder="true" applyAlignment="true" applyProtection="true">
      <alignment horizontal="left" vertical="center" textRotation="0" wrapText="false" indent="0" shrinkToFit="false"/>
      <protection locked="true" hidden="true"/>
    </xf>
    <xf numFmtId="164" fontId="0" fillId="2" borderId="15" xfId="0" applyFont="true" applyBorder="true" applyAlignment="true" applyProtection="true">
      <alignment horizontal="general" vertical="center" textRotation="0" wrapText="false" indent="0" shrinkToFit="false"/>
      <protection locked="true" hidden="true"/>
    </xf>
    <xf numFmtId="164" fontId="0" fillId="2" borderId="6" xfId="0" applyFont="true" applyBorder="true" applyAlignment="true" applyProtection="true">
      <alignment horizontal="general" vertical="center" textRotation="0" wrapText="false" indent="0" shrinkToFit="false"/>
      <protection locked="true" hidden="true"/>
    </xf>
    <xf numFmtId="164" fontId="0" fillId="2" borderId="23" xfId="0" applyFont="true" applyBorder="true" applyAlignment="true" applyProtection="true">
      <alignment horizontal="general" vertical="center" textRotation="0" wrapText="false" indent="0" shrinkToFit="false"/>
      <protection locked="true" hidden="true"/>
    </xf>
    <xf numFmtId="164" fontId="40" fillId="2" borderId="0" xfId="0" applyFont="true" applyBorder="true" applyAlignment="true" applyProtection="true">
      <alignment horizontal="general" vertical="center" textRotation="0" wrapText="false" indent="0" shrinkToFit="false"/>
      <protection locked="true" hidden="true"/>
    </xf>
    <xf numFmtId="164" fontId="40" fillId="2" borderId="22" xfId="0" applyFont="true" applyBorder="true" applyAlignment="true" applyProtection="true">
      <alignment horizontal="general" vertical="center" textRotation="0" wrapText="false" indent="0" shrinkToFit="false"/>
      <protection locked="true" hidden="true"/>
    </xf>
    <xf numFmtId="164" fontId="24" fillId="2" borderId="0" xfId="0" applyFont="true" applyBorder="true" applyAlignment="true" applyProtection="true">
      <alignment horizontal="center" vertical="bottom" textRotation="0" wrapText="true" indent="0" shrinkToFit="false"/>
      <protection locked="true" hidden="true"/>
    </xf>
    <xf numFmtId="164" fontId="24" fillId="2" borderId="0" xfId="0" applyFont="true" applyBorder="true" applyAlignment="true" applyProtection="true">
      <alignment horizontal="center" vertical="bottom" textRotation="0" wrapText="false" indent="0" shrinkToFit="false"/>
      <protection locked="true" hidden="true"/>
    </xf>
    <xf numFmtId="164" fontId="0" fillId="2" borderId="0" xfId="0" applyFont="true" applyBorder="true" applyAlignment="true" applyProtection="true">
      <alignment horizontal="general" vertical="bottom" textRotation="0" wrapText="false" indent="0" shrinkToFit="false"/>
      <protection locked="true" hidden="true"/>
    </xf>
    <xf numFmtId="164" fontId="24" fillId="2" borderId="14" xfId="0" applyFont="true" applyBorder="true" applyAlignment="true" applyProtection="true">
      <alignment horizontal="right" vertical="center" textRotation="90" wrapText="false" indent="0" shrinkToFit="false"/>
      <protection locked="true" hidden="true"/>
    </xf>
    <xf numFmtId="164" fontId="0" fillId="0" borderId="6" xfId="0" applyFont="true" applyBorder="true" applyAlignment="true" applyProtection="true">
      <alignment horizontal="center" vertical="center" textRotation="0" wrapText="false" indent="0" shrinkToFit="false"/>
      <protection locked="true" hidden="true"/>
    </xf>
    <xf numFmtId="164" fontId="0" fillId="0" borderId="6" xfId="0" applyFont="true" applyBorder="true" applyAlignment="true" applyProtection="true">
      <alignment horizontal="general" vertical="center" textRotation="0" wrapText="false" indent="0" shrinkToFit="false"/>
      <protection locked="true" hidden="true"/>
    </xf>
    <xf numFmtId="164" fontId="40" fillId="2" borderId="30" xfId="0" applyFont="true" applyBorder="true" applyAlignment="true" applyProtection="true">
      <alignment horizontal="general" vertical="center" textRotation="0" wrapText="false" indent="0" shrinkToFit="false"/>
      <protection locked="true" hidden="true"/>
    </xf>
    <xf numFmtId="164" fontId="31" fillId="24" borderId="49" xfId="0" applyFont="true" applyBorder="true" applyAlignment="true" applyProtection="true">
      <alignment horizontal="center" vertical="center" textRotation="0" wrapText="true" indent="0" shrinkToFit="false"/>
      <protection locked="true" hidden="true"/>
    </xf>
    <xf numFmtId="164" fontId="0" fillId="2" borderId="50" xfId="0" applyFont="true" applyBorder="true" applyAlignment="true" applyProtection="true">
      <alignment horizontal="general" vertical="center" textRotation="0" wrapText="false" indent="0" shrinkToFit="false"/>
      <protection locked="true" hidden="true"/>
    </xf>
    <xf numFmtId="169" fontId="0" fillId="2" borderId="0" xfId="0" applyFont="true" applyBorder="true" applyAlignment="true" applyProtection="true">
      <alignment horizontal="general" vertical="center" textRotation="0" wrapText="false" indent="0" shrinkToFit="false"/>
      <protection locked="true" hidden="true"/>
    </xf>
    <xf numFmtId="171" fontId="0" fillId="2" borderId="38" xfId="0" applyFont="true" applyBorder="true" applyAlignment="true" applyProtection="true">
      <alignment horizontal="center" vertical="center" textRotation="0" wrapText="false" indent="0" shrinkToFit="false"/>
      <protection locked="true" hidden="true"/>
    </xf>
    <xf numFmtId="164" fontId="0" fillId="2" borderId="0" xfId="0" applyFont="true" applyBorder="true" applyAlignment="true" applyProtection="true">
      <alignment horizontal="center" vertical="center" textRotation="0" wrapText="false" indent="0" shrinkToFit="false"/>
      <protection locked="true" hidden="true"/>
    </xf>
    <xf numFmtId="169" fontId="0" fillId="2" borderId="0" xfId="0" applyFont="true" applyBorder="true" applyAlignment="true" applyProtection="true">
      <alignment horizontal="center" vertical="center" textRotation="0" wrapText="false" indent="0" shrinkToFit="false"/>
      <protection locked="true" hidden="true"/>
    </xf>
    <xf numFmtId="164" fontId="83" fillId="2" borderId="51" xfId="0" applyFont="true" applyBorder="true" applyAlignment="true" applyProtection="true">
      <alignment horizontal="center" vertical="center" textRotation="0" wrapText="true" indent="0" shrinkToFit="false"/>
      <protection locked="true" hidden="true"/>
    </xf>
    <xf numFmtId="169" fontId="24" fillId="2" borderId="38" xfId="0" applyFont="true" applyBorder="true" applyAlignment="true" applyProtection="true">
      <alignment horizontal="center" vertical="center" textRotation="0" wrapText="false" indent="0" shrinkToFit="false"/>
      <protection locked="true" hidden="true"/>
    </xf>
    <xf numFmtId="169" fontId="24" fillId="2" borderId="0" xfId="0" applyFont="true" applyBorder="true" applyAlignment="true" applyProtection="true">
      <alignment horizontal="general" vertical="center" textRotation="0" wrapText="false" indent="0" shrinkToFit="false"/>
      <protection locked="true" hidden="true"/>
    </xf>
    <xf numFmtId="164" fontId="24" fillId="2" borderId="0" xfId="0" applyFont="true" applyBorder="true" applyAlignment="true" applyProtection="true">
      <alignment horizontal="general" vertical="center" textRotation="0" wrapText="false" indent="0" shrinkToFit="false"/>
      <protection locked="true" hidden="true"/>
    </xf>
    <xf numFmtId="171" fontId="24" fillId="2" borderId="38" xfId="0" applyFont="true" applyBorder="true" applyAlignment="true" applyProtection="true">
      <alignment horizontal="center" vertical="center" textRotation="0" wrapText="false" indent="0" shrinkToFit="false"/>
      <protection locked="true" hidden="true"/>
    </xf>
    <xf numFmtId="169" fontId="0" fillId="0" borderId="6" xfId="0" applyFont="true" applyBorder="true" applyAlignment="true" applyProtection="true">
      <alignment horizontal="general" vertical="center" textRotation="0" wrapText="false" indent="0" shrinkToFit="false"/>
      <protection locked="true" hidden="true"/>
    </xf>
    <xf numFmtId="169" fontId="0" fillId="2" borderId="6" xfId="0" applyFont="true" applyBorder="true" applyAlignment="true" applyProtection="true">
      <alignment horizontal="general" vertical="center" textRotation="0" wrapText="false" indent="0" shrinkToFit="false"/>
      <protection locked="true" hidden="true"/>
    </xf>
    <xf numFmtId="169" fontId="40" fillId="2" borderId="0" xfId="0" applyFont="true" applyBorder="true" applyAlignment="true" applyProtection="true">
      <alignment horizontal="general" vertical="center" textRotation="0" wrapText="false" indent="0" shrinkToFit="false"/>
      <protection locked="true" hidden="true"/>
    </xf>
    <xf numFmtId="164" fontId="31" fillId="10" borderId="52" xfId="0" applyFont="true" applyBorder="true" applyAlignment="true" applyProtection="true">
      <alignment horizontal="center" vertical="center" textRotation="0" wrapText="true" indent="0" shrinkToFit="false"/>
      <protection locked="true" hidden="true"/>
    </xf>
    <xf numFmtId="164" fontId="27" fillId="2" borderId="0" xfId="0" applyFont="true" applyBorder="true" applyAlignment="true" applyProtection="true">
      <alignment horizontal="center" vertical="center" textRotation="0" wrapText="false" indent="0" shrinkToFit="false"/>
      <protection locked="true" hidden="true"/>
    </xf>
    <xf numFmtId="166" fontId="0" fillId="2" borderId="38" xfId="0" applyFont="true" applyBorder="true" applyAlignment="true" applyProtection="false">
      <alignment horizontal="center" vertical="center" textRotation="0" wrapText="false" indent="0" shrinkToFit="false"/>
      <protection locked="true" hidden="false"/>
    </xf>
    <xf numFmtId="164" fontId="84" fillId="2" borderId="53" xfId="0" applyFont="true" applyBorder="true" applyAlignment="true" applyProtection="true">
      <alignment horizontal="center" vertical="center" textRotation="0" wrapText="false" indent="0" shrinkToFit="false"/>
      <protection locked="true" hidden="true"/>
    </xf>
    <xf numFmtId="164" fontId="40" fillId="2" borderId="0" xfId="0" applyFont="true" applyBorder="true" applyAlignment="true" applyProtection="false">
      <alignment horizontal="general" vertical="center" textRotation="0" wrapText="false" indent="0" shrinkToFit="false"/>
      <protection locked="true" hidden="false"/>
    </xf>
    <xf numFmtId="164" fontId="31" fillId="11" borderId="0" xfId="0" applyFont="true" applyBorder="true" applyAlignment="true" applyProtection="true">
      <alignment horizontal="center" vertical="center" textRotation="0" wrapText="false" indent="0" shrinkToFit="false"/>
      <protection locked="true" hidden="true"/>
    </xf>
    <xf numFmtId="164" fontId="31" fillId="2" borderId="0" xfId="0" applyFont="true" applyBorder="true" applyAlignment="true" applyProtection="true">
      <alignment horizontal="center" vertical="center" textRotation="0" wrapText="false" indent="0" shrinkToFit="false"/>
      <protection locked="true" hidden="true"/>
    </xf>
    <xf numFmtId="164" fontId="24" fillId="2" borderId="0" xfId="0" applyFont="true" applyBorder="true" applyAlignment="true" applyProtection="true">
      <alignment horizontal="center" vertical="center" textRotation="90" wrapText="false" indent="0" shrinkToFit="false"/>
      <protection locked="true" hidden="true"/>
    </xf>
    <xf numFmtId="166" fontId="0" fillId="2" borderId="0" xfId="0" applyFont="true" applyBorder="true" applyAlignment="true" applyProtection="true">
      <alignment horizontal="center" vertical="center" textRotation="0" wrapText="false" indent="0" shrinkToFit="false"/>
      <protection locked="true" hidden="true"/>
    </xf>
    <xf numFmtId="164" fontId="85" fillId="2" borderId="0" xfId="0" applyFont="true" applyBorder="true" applyAlignment="true" applyProtection="true">
      <alignment horizontal="center" vertical="center" textRotation="0" wrapText="true" indent="0" shrinkToFit="false"/>
      <protection locked="true" hidden="true"/>
    </xf>
    <xf numFmtId="164" fontId="0" fillId="2" borderId="54" xfId="0" applyFont="true" applyBorder="true" applyAlignment="true" applyProtection="true">
      <alignment horizontal="center" vertical="center" textRotation="0" wrapText="false" indent="0" shrinkToFit="false"/>
      <protection locked="true" hidden="true"/>
    </xf>
    <xf numFmtId="164" fontId="40" fillId="2" borderId="2" xfId="0" applyFont="true" applyBorder="true" applyAlignment="true" applyProtection="true">
      <alignment horizontal="general" vertical="center" textRotation="0" wrapText="false" indent="0" shrinkToFit="false"/>
      <protection locked="true" hidden="true"/>
    </xf>
    <xf numFmtId="164" fontId="40" fillId="2" borderId="2" xfId="0" applyFont="true" applyBorder="true" applyAlignment="true" applyProtection="true">
      <alignment horizontal="center" vertical="center" textRotation="0" wrapText="false" indent="0" shrinkToFit="false"/>
      <protection locked="true" hidden="true"/>
    </xf>
    <xf numFmtId="169" fontId="40" fillId="2" borderId="2" xfId="0" applyFont="true" applyBorder="true" applyAlignment="true" applyProtection="true">
      <alignment horizontal="general" vertical="center" textRotation="0" wrapText="false" indent="0" shrinkToFit="false"/>
      <protection locked="true" hidden="true"/>
    </xf>
    <xf numFmtId="164" fontId="40" fillId="2" borderId="21" xfId="0" applyFont="true" applyBorder="true" applyAlignment="true" applyProtection="true">
      <alignment horizontal="general" vertical="center" textRotation="0" wrapText="false" indent="0" shrinkToFit="false"/>
      <protection locked="true" hidden="true"/>
    </xf>
    <xf numFmtId="164" fontId="31" fillId="12" borderId="55" xfId="0" applyFont="true" applyBorder="true" applyAlignment="true" applyProtection="true">
      <alignment horizontal="center" vertical="center" textRotation="0" wrapText="true" indent="0" shrinkToFit="false"/>
      <protection locked="true" hidden="true"/>
    </xf>
    <xf numFmtId="164" fontId="0" fillId="2" borderId="56" xfId="0" applyFont="true" applyBorder="true" applyAlignment="true" applyProtection="true">
      <alignment horizontal="general" vertical="center" textRotation="0" wrapText="false" indent="0" shrinkToFit="false"/>
      <protection locked="true" hidden="true"/>
    </xf>
    <xf numFmtId="166" fontId="27" fillId="2" borderId="0" xfId="0" applyFont="true" applyBorder="true" applyAlignment="true" applyProtection="true">
      <alignment horizontal="center" vertical="center" textRotation="0" wrapText="false" indent="0" shrinkToFit="false"/>
      <protection locked="true" hidden="true"/>
    </xf>
    <xf numFmtId="164" fontId="31" fillId="12" borderId="0" xfId="0" applyFont="true" applyBorder="true" applyAlignment="true" applyProtection="true">
      <alignment horizontal="center" vertical="center" textRotation="0" wrapText="true" indent="0" shrinkToFit="false"/>
      <protection locked="true" hidden="true"/>
    </xf>
    <xf numFmtId="164" fontId="30" fillId="2" borderId="0" xfId="0" applyFont="true" applyBorder="true" applyAlignment="true" applyProtection="true">
      <alignment horizontal="center" vertical="center" textRotation="0" wrapText="true" indent="0" shrinkToFit="false"/>
      <protection locked="true" hidden="true"/>
    </xf>
    <xf numFmtId="164" fontId="86" fillId="2" borderId="57" xfId="0" applyFont="true" applyBorder="true" applyAlignment="true" applyProtection="true">
      <alignment horizontal="center" vertical="center" textRotation="0" wrapText="true" indent="0" shrinkToFit="false"/>
      <protection locked="true" hidden="true"/>
    </xf>
    <xf numFmtId="164" fontId="0" fillId="0" borderId="14" xfId="0" applyFont="false" applyBorder="true" applyAlignment="false" applyProtection="true">
      <alignment horizontal="general" vertical="bottom" textRotation="0" wrapText="false" indent="0" shrinkToFit="false"/>
      <protection locked="true" hidden="true"/>
    </xf>
    <xf numFmtId="164" fontId="0" fillId="0" borderId="58" xfId="0" applyFont="false" applyBorder="true" applyAlignment="false" applyProtection="true">
      <alignment horizontal="general" vertical="bottom" textRotation="0" wrapText="false" indent="0" shrinkToFit="false"/>
      <protection locked="true" hidden="true"/>
    </xf>
    <xf numFmtId="164" fontId="0" fillId="0" borderId="59" xfId="0" applyFont="false" applyBorder="true" applyAlignment="false" applyProtection="true">
      <alignment horizontal="general" vertical="bottom" textRotation="0" wrapText="false" indent="0" shrinkToFit="false"/>
      <protection locked="true" hidden="true"/>
    </xf>
    <xf numFmtId="169" fontId="0" fillId="0" borderId="58" xfId="0" applyFont="false" applyBorder="true" applyAlignment="false" applyProtection="true">
      <alignment horizontal="general" vertical="bottom" textRotation="0" wrapText="false" indent="0" shrinkToFit="false"/>
      <protection locked="true" hidden="true"/>
    </xf>
    <xf numFmtId="169" fontId="0" fillId="0" borderId="59" xfId="0" applyFont="false" applyBorder="true" applyAlignment="false" applyProtection="true">
      <alignment horizontal="general" vertical="bottom" textRotation="0" wrapText="false" indent="0" shrinkToFit="false"/>
      <protection locked="true" hidden="true"/>
    </xf>
    <xf numFmtId="169" fontId="0" fillId="0" borderId="0" xfId="0" applyFont="false" applyBorder="true" applyAlignment="false" applyProtection="true">
      <alignment horizontal="general" vertical="bottom" textRotation="0" wrapText="false" indent="0" shrinkToFit="false"/>
      <protection locked="true" hidden="true"/>
    </xf>
    <xf numFmtId="164" fontId="0" fillId="0" borderId="60" xfId="0" applyFont="false" applyBorder="true" applyAlignment="false" applyProtection="true">
      <alignment horizontal="general" vertical="bottom" textRotation="0" wrapText="false" indent="0" shrinkToFit="false"/>
      <protection locked="true" hidden="true"/>
    </xf>
    <xf numFmtId="164" fontId="0" fillId="0" borderId="61" xfId="0" applyFont="false" applyBorder="true" applyAlignment="false" applyProtection="true">
      <alignment horizontal="general" vertical="bottom" textRotation="0" wrapText="false" indent="0" shrinkToFit="false"/>
      <protection locked="true" hidden="true"/>
    </xf>
    <xf numFmtId="164" fontId="0" fillId="0" borderId="62" xfId="0" applyFont="false" applyBorder="true" applyAlignment="false" applyProtection="true">
      <alignment horizontal="general" vertical="bottom" textRotation="0" wrapText="false" indent="0" shrinkToFit="false"/>
      <protection locked="true" hidden="true"/>
    </xf>
    <xf numFmtId="164" fontId="0" fillId="0" borderId="63" xfId="0" applyFont="false" applyBorder="true" applyAlignment="false" applyProtection="true">
      <alignment horizontal="general" vertical="bottom" textRotation="0" wrapText="false" indent="0" shrinkToFit="false"/>
      <protection locked="true" hidden="true"/>
    </xf>
    <xf numFmtId="169" fontId="0" fillId="0" borderId="63" xfId="0" applyFont="false" applyBorder="true" applyAlignment="false" applyProtection="true">
      <alignment horizontal="general" vertical="bottom" textRotation="0" wrapText="false" indent="0" shrinkToFit="false"/>
      <protection locked="true" hidden="true"/>
    </xf>
    <xf numFmtId="164" fontId="0" fillId="0" borderId="64" xfId="0" applyFont="false" applyBorder="true" applyAlignment="false" applyProtection="true">
      <alignment horizontal="general" vertical="bottom" textRotation="0" wrapText="false" indent="0" shrinkToFit="false"/>
      <protection locked="true" hidden="true"/>
    </xf>
    <xf numFmtId="164" fontId="31" fillId="13" borderId="65" xfId="0" applyFont="true" applyBorder="true" applyAlignment="true" applyProtection="true">
      <alignment horizontal="center" vertical="center" textRotation="0" wrapText="true" indent="0" shrinkToFit="false"/>
      <protection locked="true" hidden="true"/>
    </xf>
    <xf numFmtId="164" fontId="0" fillId="2" borderId="66" xfId="0" applyFont="true" applyBorder="true" applyAlignment="true" applyProtection="true">
      <alignment horizontal="general" vertical="center" textRotation="0" wrapText="false" indent="0" shrinkToFit="false"/>
      <protection locked="true" hidden="true"/>
    </xf>
    <xf numFmtId="164" fontId="27" fillId="2" borderId="0" xfId="0" applyFont="true" applyBorder="true" applyAlignment="true" applyProtection="true">
      <alignment horizontal="general" vertical="center" textRotation="0" wrapText="false" indent="0" shrinkToFit="false"/>
      <protection locked="true" hidden="true"/>
    </xf>
    <xf numFmtId="164" fontId="0" fillId="0" borderId="22" xfId="0" applyFont="false" applyBorder="true" applyAlignment="false" applyProtection="true">
      <alignment horizontal="general" vertical="bottom" textRotation="0" wrapText="false" indent="0" shrinkToFit="false"/>
      <protection locked="true" hidden="true"/>
    </xf>
    <xf numFmtId="164" fontId="31" fillId="13" borderId="0" xfId="0" applyFont="true" applyBorder="true" applyAlignment="true" applyProtection="true">
      <alignment horizontal="center" vertical="center" textRotation="0" wrapText="true" indent="0" shrinkToFit="false"/>
      <protection locked="true" hidden="true"/>
    </xf>
    <xf numFmtId="169"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true" applyBorder="true" applyAlignment="true" applyProtection="true">
      <alignment horizontal="general" vertical="center" textRotation="0" wrapText="false" indent="0" shrinkToFit="false"/>
      <protection locked="true" hidden="true"/>
    </xf>
    <xf numFmtId="166" fontId="0" fillId="2" borderId="42" xfId="0" applyFont="true" applyBorder="true" applyAlignment="true" applyProtection="true">
      <alignment horizontal="center" vertical="center" textRotation="0" wrapText="false" indent="0" shrinkToFit="false"/>
      <protection locked="true" hidden="true"/>
    </xf>
    <xf numFmtId="164" fontId="87" fillId="2" borderId="67" xfId="0" applyFont="true" applyBorder="true" applyAlignment="true" applyProtection="true">
      <alignment horizontal="center" vertical="center" textRotation="0" wrapText="false" indent="0" shrinkToFit="false"/>
      <protection locked="true" hidden="true"/>
    </xf>
    <xf numFmtId="164" fontId="88" fillId="2" borderId="0" xfId="0" applyFont="true" applyBorder="true" applyAlignment="true" applyProtection="true">
      <alignment horizontal="general" vertical="bottom" textRotation="0" wrapText="false" indent="0" shrinkToFit="false"/>
      <protection locked="true" hidden="true"/>
    </xf>
    <xf numFmtId="164" fontId="87" fillId="2" borderId="0" xfId="0" applyFont="true" applyBorder="true" applyAlignment="true" applyProtection="true">
      <alignment horizontal="center" vertical="center" textRotation="0" wrapText="false" indent="0" shrinkToFit="false"/>
      <protection locked="true" hidden="true"/>
    </xf>
    <xf numFmtId="166" fontId="24" fillId="2" borderId="0" xfId="0" applyFont="true" applyBorder="true" applyAlignment="true" applyProtection="true">
      <alignment horizontal="center" vertical="center" textRotation="0" wrapText="false" indent="0" shrinkToFit="false"/>
      <protection locked="true" hidden="true"/>
    </xf>
    <xf numFmtId="164" fontId="24" fillId="2" borderId="0" xfId="0" applyFont="true" applyBorder="true" applyAlignment="true" applyProtection="true">
      <alignment horizontal="center" vertical="center" textRotation="0" wrapText="false" indent="0" shrinkToFit="false"/>
      <protection locked="true" hidden="true"/>
    </xf>
    <xf numFmtId="166" fontId="0" fillId="2" borderId="0" xfId="0" applyFont="true" applyBorder="true" applyAlignment="true" applyProtection="false">
      <alignment horizontal="center" vertical="center" textRotation="0" wrapText="false" indent="0" shrinkToFit="false"/>
      <protection locked="true" hidden="false"/>
    </xf>
    <xf numFmtId="166" fontId="89" fillId="2" borderId="0" xfId="0" applyFont="true" applyBorder="true" applyAlignment="true" applyProtection="true">
      <alignment horizontal="center" vertical="center" textRotation="0" wrapText="true" indent="0" shrinkToFit="false"/>
      <protection locked="true" hidden="true"/>
    </xf>
    <xf numFmtId="164" fontId="0" fillId="0" borderId="68" xfId="0" applyFont="false" applyBorder="true" applyAlignment="false" applyProtection="true">
      <alignment horizontal="general" vertical="bottom" textRotation="0" wrapText="false" indent="0" shrinkToFit="false"/>
      <protection locked="true" hidden="true"/>
    </xf>
    <xf numFmtId="164" fontId="90" fillId="8" borderId="69" xfId="0" applyFont="true" applyBorder="true" applyAlignment="true" applyProtection="true">
      <alignment horizontal="center" vertical="center" textRotation="0" wrapText="false" indent="0" shrinkToFit="false"/>
      <protection locked="true" hidden="true"/>
    </xf>
    <xf numFmtId="164" fontId="24" fillId="2" borderId="15" xfId="0" applyFont="true" applyBorder="true" applyAlignment="true" applyProtection="true">
      <alignment horizontal="right" vertical="center" textRotation="90" wrapText="false" indent="0" shrinkToFit="false"/>
      <protection locked="true" hidden="true"/>
    </xf>
    <xf numFmtId="164" fontId="91" fillId="2" borderId="70" xfId="0" applyFont="true" applyBorder="true" applyAlignment="true" applyProtection="true">
      <alignment horizontal="center" vertical="center" textRotation="0" wrapText="false" indent="0" shrinkToFit="false"/>
      <protection locked="true" hidden="true"/>
    </xf>
    <xf numFmtId="166" fontId="0" fillId="2" borderId="6" xfId="0" applyFont="true" applyBorder="true" applyAlignment="true" applyProtection="true">
      <alignment horizontal="center" vertical="center" textRotation="0" wrapText="false" indent="0" shrinkToFit="false"/>
      <protection locked="true" hidden="true"/>
    </xf>
    <xf numFmtId="164" fontId="0" fillId="2" borderId="6" xfId="0" applyFont="true" applyBorder="true" applyAlignment="true" applyProtection="true">
      <alignment horizontal="center" vertical="center" textRotation="0" wrapText="false" indent="0" shrinkToFit="false"/>
      <protection locked="true" hidden="true"/>
    </xf>
    <xf numFmtId="164" fontId="24" fillId="2" borderId="0" xfId="0" applyFont="true" applyBorder="true" applyAlignment="true" applyProtection="true">
      <alignment horizontal="right" vertical="center" textRotation="90" wrapText="false" indent="0" shrinkToFit="false"/>
      <protection locked="true" hidden="true"/>
    </xf>
    <xf numFmtId="164" fontId="91" fillId="2" borderId="6" xfId="0" applyFont="true" applyBorder="true" applyAlignment="true" applyProtection="true">
      <alignment horizontal="center" vertical="center" textRotation="0" wrapText="false" indent="0" shrinkToFit="false"/>
      <protection locked="true" hidden="true"/>
    </xf>
    <xf numFmtId="164" fontId="91" fillId="2" borderId="6" xfId="0" applyFont="true" applyBorder="true" applyAlignment="true" applyProtection="false">
      <alignment horizontal="center" vertical="center" textRotation="0" wrapText="false" indent="0" shrinkToFit="false"/>
      <protection locked="true" hidden="false"/>
    </xf>
    <xf numFmtId="164" fontId="60" fillId="2" borderId="45" xfId="0" applyFont="true" applyBorder="true" applyAlignment="true" applyProtection="false">
      <alignment horizontal="left" vertical="center" textRotation="0" wrapText="true" indent="4"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Explanatory Text 2" xfId="21"/>
    <cellStyle name="Normal 2" xfId="22"/>
    <cellStyle name="Normal 3" xfId="23"/>
    <cellStyle name="*unknown*" xfId="20" builtinId="8"/>
  </cellStyles>
  <dxfs count="86">
    <dxf>
      <font>
        <name val="Calibri"/>
        <charset val="1"/>
        <family val="0"/>
        <b val="0"/>
        <i val="0"/>
        <color rgb="FF000000"/>
      </font>
      <numFmt numFmtId="164" formatCode="General"/>
      <fill>
        <patternFill>
          <bgColor rgb="FFFFFFFF"/>
        </patternFill>
      </fill>
    </dxf>
    <dxf>
      <font>
        <name val="Calibri"/>
        <charset val="1"/>
        <family val="0"/>
        <b val="0"/>
        <i val="1"/>
        <color rgb="FFC00000"/>
      </font>
      <numFmt numFmtId="164" formatCode="General"/>
      <fill>
        <patternFill>
          <bgColor rgb="FFFBE5D6"/>
        </patternFill>
      </fill>
    </dxf>
    <dxf>
      <font>
        <name val="Calibri"/>
        <charset val="1"/>
        <family val="0"/>
        <b val="0"/>
        <i val="1"/>
        <color rgb="FF385724"/>
      </font>
      <numFmt numFmtId="164" formatCode="General"/>
      <fill>
        <patternFill>
          <bgColor rgb="FFC5E0B4"/>
        </patternFill>
      </fill>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color rgb="FFC00000"/>
      </font>
    </dxf>
    <dxf>
      <font>
        <b val="1"/>
        <i val="0"/>
        <color rgb="FF77933C"/>
      </font>
    </dxf>
    <dxf>
      <font>
        <name val="Calibri"/>
        <charset val="1"/>
        <family val="0"/>
        <b val="0"/>
        <i val="1"/>
        <color rgb="FF385724"/>
      </font>
      <numFmt numFmtId="164" formatCode="General"/>
      <fill>
        <patternFill>
          <bgColor rgb="FFC5E0B4"/>
        </patternFill>
      </fill>
    </dxf>
    <dxf>
      <font>
        <name val="Calibri"/>
        <charset val="1"/>
        <family val="0"/>
        <b val="0"/>
        <i val="1"/>
        <color rgb="FFC00000"/>
      </font>
      <numFmt numFmtId="164" formatCode="General"/>
      <fill>
        <patternFill>
          <bgColor rgb="FFFBE5D6"/>
        </patternFill>
      </fill>
    </dxf>
    <dxf>
      <font>
        <name val="Calibri"/>
        <charset val="1"/>
        <family val="0"/>
        <b val="0"/>
        <i val="1"/>
        <color rgb="FF385724"/>
      </font>
      <numFmt numFmtId="164" formatCode="General"/>
      <fill>
        <patternFill>
          <bgColor rgb="FFC5E0B4"/>
        </patternFill>
      </fill>
    </dxf>
    <dxf>
      <font>
        <name val="Calibri"/>
        <charset val="1"/>
        <family val="0"/>
        <b val="0"/>
        <i val="1"/>
        <color rgb="FF385724"/>
      </font>
      <numFmt numFmtId="164" formatCode="General"/>
      <fill>
        <patternFill>
          <bgColor rgb="FFC5E0B4"/>
        </patternFill>
      </fill>
    </dxf>
    <dxf>
      <font>
        <name val="Calibri"/>
        <charset val="1"/>
        <family val="0"/>
        <b val="0"/>
        <i val="1"/>
        <color rgb="FFC00000"/>
      </font>
      <numFmt numFmtId="164" formatCode="General"/>
      <fill>
        <patternFill>
          <bgColor rgb="FFFBE5D6"/>
        </patternFill>
      </fill>
    </dxf>
    <dxf>
      <font>
        <name val="Calibri"/>
        <charset val="1"/>
        <family val="0"/>
        <b val="0"/>
        <i val="1"/>
        <color rgb="FF385724"/>
      </font>
      <numFmt numFmtId="164" formatCode="General"/>
      <fill>
        <patternFill>
          <bgColor rgb="FFC5E0B4"/>
        </patternFill>
      </fill>
    </dxf>
  </dxfs>
  <colors>
    <indexedColors>
      <rgbColor rgb="FF000000"/>
      <rgbColor rgb="FFFFFFFF"/>
      <rgbColor rgb="FFFF0000"/>
      <rgbColor rgb="FF40AD58"/>
      <rgbColor rgb="FF0000FF"/>
      <rgbColor rgb="FFE7E6E6"/>
      <rgbColor rgb="FFFF3333"/>
      <rgbColor rgb="FF6A9B42"/>
      <rgbColor rgb="FF800000"/>
      <rgbColor rgb="FF1E7546"/>
      <rgbColor rgb="FFCF6F17"/>
      <rgbColor rgb="FF77933C"/>
      <rgbColor rgb="FF9B54A6"/>
      <rgbColor rgb="FF1B8751"/>
      <rgbColor rgb="FFC0C0C0"/>
      <rgbColor rgb="FF808080"/>
      <rgbColor rgb="FFB2B2B2"/>
      <rgbColor rgb="FF7C4385"/>
      <rgbColor rgb="FFF8F8F8"/>
      <rgbColor rgb="FFEEEEEE"/>
      <rgbColor rgb="FF878787"/>
      <rgbColor rgb="FFE67E21"/>
      <rgbColor rgb="FF047ABA"/>
      <rgbColor rgb="FFC6D9F1"/>
      <rgbColor rgb="FFFBFBFB"/>
      <rgbColor rgb="FFE46C0A"/>
      <rgbColor rgb="FFD9D9D9"/>
      <rgbColor rgb="FF608C3C"/>
      <rgbColor rgb="FF7F7F7F"/>
      <rgbColor rgb="FFC00000"/>
      <rgbColor rgb="FF047FC4"/>
      <rgbColor rgb="FF047EC4"/>
      <rgbColor rgb="FF00B050"/>
      <rgbColor rgb="FFF2F2F2"/>
      <rgbColor rgb="FFC5E0B4"/>
      <rgbColor rgb="FFFBE5D6"/>
      <rgbColor rgb="FFBFBFBF"/>
      <rgbColor rgb="FFD0CECE"/>
      <rgbColor rgb="FFCCCCCC"/>
      <rgbColor rgb="FFDDD9C3"/>
      <rgbColor rgb="FF4F81BD"/>
      <rgbColor rgb="FF00CC99"/>
      <rgbColor rgb="FF80B343"/>
      <rgbColor rgb="FFF6A842"/>
      <rgbColor rgb="FFF79646"/>
      <rgbColor rgb="FFFF6600"/>
      <rgbColor rgb="FF8064A2"/>
      <rgbColor rgb="FF999999"/>
      <rgbColor rgb="FF595959"/>
      <rgbColor rgb="FF1E975A"/>
      <rgbColor rgb="FF385724"/>
      <rgbColor rgb="FF3F4041"/>
      <rgbColor rgb="FFCE181E"/>
      <rgbColor rgb="FF884993"/>
      <rgbColor rgb="FF7030A0"/>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externalLink" Target="externalLinks/externalLink1.xml"/><Relationship Id="rId19"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layoutTarget val="inner"/>
          <c:xMode val="edge"/>
          <c:yMode val="edge"/>
          <c:x val="0.0442185104494473"/>
          <c:y val="0.301557570977918"/>
          <c:w val="0.919793431776002"/>
          <c:h val="0.590496845425868"/>
        </c:manualLayout>
      </c:layout>
      <c:barChart>
        <c:barDir val="col"/>
        <c:grouping val="clustered"/>
        <c:varyColors val="0"/>
        <c:ser>
          <c:idx val="0"/>
          <c:order val="0"/>
          <c:tx>
            <c:strRef>
              <c:f>Results!$E$11</c:f>
              <c:strCache>
                <c:ptCount val="1"/>
                <c:pt idx="0">
                  <c:v>Automated Score</c:v>
                </c:pt>
              </c:strCache>
            </c:strRef>
          </c:tx>
          <c:spPr>
            <a:solidFill>
              <a:srgbClr val="1f497d"/>
            </a:solidFill>
            <a:ln>
              <a:noFill/>
            </a:ln>
          </c:spPr>
          <c:invertIfNegative val="0"/>
          <c:dLbls>
            <c:numFmt formatCode="0%" sourceLinked="1"/>
            <c:txPr>
              <a:bodyPr rot="-5400000"/>
              <a:lstStyle/>
              <a:p>
                <a:pPr>
                  <a:defRPr b="0" sz="1000" spc="-1" strike="noStrike">
                    <a:solidFill>
                      <a:srgbClr val="000000"/>
                    </a:solidFill>
                    <a:latin typeface="Calibri"/>
                  </a:defRPr>
                </a:pPr>
              </a:p>
            </c:txPr>
            <c:dLblPos val="outEnd"/>
            <c:showLegendKey val="0"/>
            <c:showVal val="1"/>
            <c:showCatName val="0"/>
            <c:showSerName val="0"/>
            <c:showPercent val="0"/>
            <c:separator>; </c:separator>
            <c:showLeaderLines val="0"/>
          </c:dLbls>
          <c:val>
            <c:numRef>
              <c:f>Results!$E$12;Results!$E$14;Results!$E$16;Results!$E$18;Results!$E$21</c:f>
              <c:numCache>
                <c:formatCode>General</c:formatCode>
                <c:ptCount val="5"/>
                <c:pt idx="0">
                  <c:v>0</c:v>
                </c:pt>
                <c:pt idx="1">
                  <c:v>0</c:v>
                </c:pt>
                <c:pt idx="2">
                  <c:v>1</c:v>
                </c:pt>
                <c:pt idx="3">
                  <c:v>0</c:v>
                </c:pt>
                <c:pt idx="4">
                  <c:v>0.25</c:v>
                </c:pt>
              </c:numCache>
            </c:numRef>
          </c:val>
        </c:ser>
        <c:ser>
          <c:idx val="1"/>
          <c:order val="1"/>
          <c:tx>
            <c:strRef>
              <c:f>Results!$G$11</c:f>
              <c:strCache>
                <c:ptCount val="1"/>
                <c:pt idx="0">
                  <c:v>CAMSS Assessment Strength</c:v>
                </c:pt>
              </c:strCache>
            </c:strRef>
          </c:tx>
          <c:spPr>
            <a:solidFill>
              <a:srgbClr val="c6d9f1"/>
            </a:solidFill>
            <a:ln>
              <a:noFill/>
            </a:ln>
          </c:spPr>
          <c:invertIfNegative val="0"/>
          <c:dLbls>
            <c:numFmt formatCode="0%" sourceLinked="1"/>
            <c:txPr>
              <a:bodyPr rot="-5400000"/>
              <a:lstStyle/>
              <a:p>
                <a:pPr>
                  <a:defRPr b="0" sz="1000" spc="-1" strike="noStrike">
                    <a:solidFill>
                      <a:srgbClr val="000000"/>
                    </a:solidFill>
                    <a:latin typeface="Calibri"/>
                  </a:defRPr>
                </a:pPr>
              </a:p>
            </c:txPr>
            <c:dLblPos val="outEnd"/>
            <c:showLegendKey val="0"/>
            <c:showVal val="1"/>
            <c:showCatName val="0"/>
            <c:showSerName val="0"/>
            <c:showPercent val="0"/>
            <c:separator>; </c:separator>
            <c:showLeaderLines val="0"/>
          </c:dLbls>
          <c:val>
            <c:numRef>
              <c:f>Results!$G$12;Results!$G$14;Results!$G$16;Results!$G$18;Results!$G$21</c:f>
              <c:numCache>
                <c:formatCode>General</c:formatCode>
                <c:ptCount val="5"/>
                <c:pt idx="0">
                  <c:v>0</c:v>
                </c:pt>
                <c:pt idx="1">
                  <c:v>0</c:v>
                </c:pt>
                <c:pt idx="2">
                  <c:v>0.5</c:v>
                </c:pt>
                <c:pt idx="3">
                  <c:v>0</c:v>
                </c:pt>
                <c:pt idx="4">
                  <c:v>0.125</c:v>
                </c:pt>
              </c:numCache>
            </c:numRef>
          </c:val>
        </c:ser>
        <c:gapWidth val="200"/>
        <c:overlap val="-75"/>
        <c:axId val="2602582"/>
        <c:axId val="88839761"/>
      </c:barChart>
      <c:catAx>
        <c:axId val="2602582"/>
        <c:scaling>
          <c:orientation val="minMax"/>
        </c:scaling>
        <c:delete val="0"/>
        <c:axPos val="b"/>
        <c:majorGridlines>
          <c:spPr>
            <a:ln w="9360">
              <a:solidFill>
                <a:srgbClr val="d9d9d9"/>
              </a:solidFill>
              <a:round/>
            </a:ln>
          </c:spPr>
        </c:majorGridlines>
        <c:numFmt formatCode="General" sourceLinked="1"/>
        <c:majorTickMark val="none"/>
        <c:minorTickMark val="none"/>
        <c:tickLblPos val="nextTo"/>
        <c:spPr>
          <a:ln w="9360">
            <a:solidFill>
              <a:srgbClr val="d9d9d9"/>
            </a:solidFill>
            <a:round/>
          </a:ln>
        </c:spPr>
        <c:txPr>
          <a:bodyPr/>
          <a:lstStyle/>
          <a:p>
            <a:pPr>
              <a:defRPr b="1" sz="1000" spc="117" strike="noStrike">
                <a:solidFill>
                  <a:srgbClr val="000000"/>
                </a:solidFill>
                <a:latin typeface="Calibri"/>
              </a:defRPr>
            </a:pPr>
          </a:p>
        </c:txPr>
        <c:crossAx val="88839761"/>
        <c:crosses val="autoZero"/>
        <c:auto val="1"/>
        <c:lblAlgn val="ctr"/>
        <c:lblOffset val="100"/>
        <c:noMultiLvlLbl val="0"/>
      </c:catAx>
      <c:valAx>
        <c:axId val="88839761"/>
        <c:scaling>
          <c:orientation val="minMax"/>
          <c:max val="1"/>
          <c:min val="0"/>
        </c:scaling>
        <c:delete val="1"/>
        <c:axPos val="l"/>
        <c:numFmt formatCode="0%"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602582"/>
        <c:crossBetween val="between"/>
      </c:valAx>
      <c:spPr>
        <a:noFill/>
        <a:ln>
          <a:noFill/>
        </a:ln>
      </c:spPr>
    </c:plotArea>
    <c:legend>
      <c:legendPos val="t"/>
      <c:layout>
        <c:manualLayout>
          <c:xMode val="edge"/>
          <c:yMode val="edge"/>
          <c:x val="0.302363582504943"/>
          <c:y val="0.0507936507936508"/>
          <c:w val="0.338648475160553"/>
          <c:h val="0.0557828136647774"/>
        </c:manualLayout>
      </c:layout>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GB" sz="1400" spc="-1" strike="noStrike">
                <a:solidFill>
                  <a:srgbClr val="4f81bd"/>
                </a:solidFill>
                <a:latin typeface="Calibri"/>
              </a:defRPr>
            </a:pPr>
            <a:r>
              <a:rPr b="1" lang="en-GB" sz="1400" spc="-1" strike="noStrike">
                <a:solidFill>
                  <a:srgbClr val="4f81bd"/>
                </a:solidFill>
                <a:latin typeface="Calibri"/>
              </a:rPr>
              <a:t>INTEROPERABILITY PRINCIPLES</a:t>
            </a:r>
          </a:p>
        </c:rich>
      </c:tx>
      <c:layout>
        <c:manualLayout>
          <c:xMode val="edge"/>
          <c:yMode val="edge"/>
          <c:x val="0.029202336186895"/>
          <c:y val="0.0479800837388254"/>
        </c:manualLayout>
      </c:layout>
      <c:overlay val="0"/>
      <c:spPr>
        <a:noFill/>
        <a:ln>
          <a:noFill/>
        </a:ln>
      </c:spPr>
    </c:title>
    <c:autoTitleDeleted val="0"/>
    <c:plotArea>
      <c:layout>
        <c:manualLayout>
          <c:layoutTarget val="inner"/>
          <c:xMode val="edge"/>
          <c:yMode val="edge"/>
          <c:x val="0.361188895111609"/>
          <c:y val="0.208441778884237"/>
          <c:w val="0.285622849827986"/>
          <c:h val="0.659386669684282"/>
        </c:manualLayout>
      </c:layout>
      <c:radarChart>
        <c:radarStyle val="marker"/>
        <c:varyColors val="0"/>
        <c:ser>
          <c:idx val="0"/>
          <c:order val="0"/>
          <c:tx>
            <c:strRef>
              <c:f>'Results '!$E$12</c:f>
              <c:strCache>
                <c:ptCount val="1"/>
                <c:pt idx="0">
                  <c:v>Automated Score</c:v>
                </c:pt>
              </c:strCache>
            </c:strRef>
          </c:tx>
          <c:spPr>
            <a:solidFill>
              <a:srgbClr val="4f81bd">
                <a:alpha val="40000"/>
              </a:srgbClr>
            </a:solidFill>
            <a:ln w="50760">
              <a:solidFill>
                <a:srgbClr val="4f81bd">
                  <a:alpha val="40000"/>
                </a:srgbClr>
              </a:solidFill>
              <a:round/>
            </a:ln>
          </c:spPr>
          <c:marker>
            <c:symbol val="circle"/>
            <c:size val="6"/>
            <c:spPr>
              <a:solidFill>
                <a:srgbClr val="4f81bd"/>
              </a:solidFill>
            </c:spPr>
          </c:marker>
          <c:dPt>
            <c:idx val="0"/>
            <c:marker>
              <c:symbol val="circle"/>
              <c:size val="6"/>
              <c:spPr>
                <a:solidFill>
                  <a:srgbClr val="4f81bd"/>
                </a:solidFill>
              </c:spPr>
            </c:marker>
          </c:dPt>
          <c:dPt>
            <c:idx val="1"/>
            <c:marker>
              <c:symbol val="circle"/>
              <c:size val="6"/>
              <c:spPr>
                <a:solidFill>
                  <a:srgbClr val="4f81bd"/>
                </a:solidFill>
              </c:spPr>
            </c:marker>
          </c:dPt>
          <c:dPt>
            <c:idx val="2"/>
            <c:marker>
              <c:symbol val="circle"/>
              <c:size val="6"/>
              <c:spPr>
                <a:solidFill>
                  <a:srgbClr val="4f81bd"/>
                </a:solidFill>
              </c:spPr>
            </c:marker>
          </c:dPt>
          <c:dPt>
            <c:idx val="3"/>
            <c:marker>
              <c:symbol val="circle"/>
              <c:size val="6"/>
              <c:spPr>
                <a:solidFill>
                  <a:srgbClr val="4f81bd"/>
                </a:solidFill>
              </c:spPr>
            </c:marker>
          </c:dPt>
          <c:dLbls>
            <c:numFmt formatCode="0%" sourceLinked="1"/>
            <c:dLbl>
              <c:idx val="0"/>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1"/>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2"/>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3"/>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txPr>
              <a:bodyPr/>
              <a:lstStyle/>
              <a:p>
                <a:pPr>
                  <a:defRPr b="0" sz="900" spc="-1" strike="noStrike">
                    <a:solidFill>
                      <a:srgbClr val="4f81bd"/>
                    </a:solidFill>
                    <a:latin typeface="Calibri"/>
                  </a:defRPr>
                </a:pPr>
              </a:p>
            </c:txPr>
            <c:showLegendKey val="0"/>
            <c:showVal val="1"/>
            <c:showCatName val="0"/>
            <c:showSerName val="0"/>
            <c:showPercent val="0"/>
            <c:separator>; </c:separator>
            <c:showLeaderLines val="0"/>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'!$E$17;'Results '!$E$28;'Results '!$E$39;'Results '!$E$48</c:f>
              <c:numCache>
                <c:formatCode>General</c:formatCode>
                <c:ptCount val="4"/>
                <c:pt idx="0">
                  <c:v>0</c:v>
                </c:pt>
                <c:pt idx="1">
                  <c:v>0.8125</c:v>
                </c:pt>
                <c:pt idx="2">
                  <c:v>1</c:v>
                </c:pt>
                <c:pt idx="3">
                  <c:v>0.5</c:v>
                </c:pt>
              </c:numCache>
            </c:numRef>
          </c:val>
        </c:ser>
        <c:ser>
          <c:idx val="1"/>
          <c:order val="1"/>
          <c:tx>
            <c:strRef>
              <c:f>'Results '!$G$12</c:f>
              <c:strCache>
                <c:ptCount val="1"/>
                <c:pt idx="0">
                  <c:v>Assessment Strength</c:v>
                </c:pt>
              </c:strCache>
            </c:strRef>
          </c:tx>
          <c:spPr>
            <a:solidFill>
              <a:srgbClr val="8064a2">
                <a:alpha val="40000"/>
              </a:srgbClr>
            </a:solidFill>
            <a:ln w="50760">
              <a:solidFill>
                <a:srgbClr val="8064a2">
                  <a:alpha val="40000"/>
                </a:srgbClr>
              </a:solidFill>
              <a:round/>
            </a:ln>
          </c:spPr>
          <c:marker>
            <c:symbol val="circle"/>
            <c:size val="6"/>
            <c:spPr>
              <a:solidFill>
                <a:srgbClr val="8064a2"/>
              </a:solidFill>
            </c:spPr>
          </c:marker>
          <c:dPt>
            <c:idx val="0"/>
            <c:marker>
              <c:symbol val="circle"/>
              <c:size val="6"/>
              <c:spPr>
                <a:solidFill>
                  <a:srgbClr val="8064a2"/>
                </a:solidFill>
              </c:spPr>
            </c:marker>
          </c:dPt>
          <c:dPt>
            <c:idx val="1"/>
            <c:marker>
              <c:symbol val="circle"/>
              <c:size val="6"/>
              <c:spPr>
                <a:solidFill>
                  <a:srgbClr val="8064a2"/>
                </a:solidFill>
              </c:spPr>
            </c:marker>
          </c:dPt>
          <c:dPt>
            <c:idx val="2"/>
            <c:marker>
              <c:symbol val="circle"/>
              <c:size val="6"/>
              <c:spPr>
                <a:solidFill>
                  <a:srgbClr val="8064a2"/>
                </a:solidFill>
              </c:spPr>
            </c:marker>
          </c:dPt>
          <c:dPt>
            <c:idx val="3"/>
            <c:marker>
              <c:symbol val="circle"/>
              <c:size val="6"/>
              <c:spPr>
                <a:solidFill>
                  <a:srgbClr val="8064a2"/>
                </a:solidFill>
              </c:spPr>
            </c:marker>
          </c:dPt>
          <c:dLbls>
            <c:numFmt formatCode="0%" sourceLinked="1"/>
            <c:dLbl>
              <c:idx val="0"/>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1"/>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2"/>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3"/>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txPr>
              <a:bodyPr/>
              <a:lstStyle/>
              <a:p>
                <a:pPr>
                  <a:defRPr b="0" sz="900" spc="-1" strike="noStrike">
                    <a:solidFill>
                      <a:srgbClr val="8064a2"/>
                    </a:solidFill>
                    <a:latin typeface="Calibri"/>
                  </a:defRPr>
                </a:pPr>
              </a:p>
            </c:txPr>
            <c:showLegendKey val="0"/>
            <c:showVal val="1"/>
            <c:showCatName val="0"/>
            <c:showSerName val="0"/>
            <c:showPercent val="0"/>
            <c:separator>; </c:separator>
            <c:showLeaderLines val="0"/>
          </c:dLbls>
          <c:cat>
            <c:multiLvlStrRef>
              <c:f>'Results '!$C$17:$D$17;'Results '!$C$28:$D$28;'Results '!$C$39:$D$39;'Results '!$C$48:$D$48</c:f>
              <c:multiLvlStrCache>
                <c:ptCount val="4"/>
                <c:lvl/>
                <c:lvl>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lvl>
              </c:multiLvlStrCache>
            </c:multiLvlStrRef>
          </c:cat>
          <c:val>
            <c:numRef>
              <c:f>'Results '!$G$17;'Results '!$G$28;'Results '!$G$39;'Results '!$G$48</c:f>
              <c:numCache>
                <c:formatCode>General</c:formatCode>
                <c:ptCount val="4"/>
                <c:pt idx="0">
                  <c:v>1</c:v>
                </c:pt>
                <c:pt idx="1">
                  <c:v>1</c:v>
                </c:pt>
                <c:pt idx="2">
                  <c:v>0.5</c:v>
                </c:pt>
                <c:pt idx="3">
                  <c:v>0.666666666666667</c:v>
                </c:pt>
              </c:numCache>
            </c:numRef>
          </c:val>
        </c:ser>
        <c:axId val="92849555"/>
        <c:axId val="38073978"/>
      </c:radarChart>
      <c:catAx>
        <c:axId val="92849555"/>
        <c:scaling>
          <c:orientation val="maxMin"/>
        </c:scaling>
        <c:delete val="0"/>
        <c:axPos val="b"/>
        <c:numFmt formatCode="General" sourceLinked="1"/>
        <c:majorTickMark val="none"/>
        <c:minorTickMark val="none"/>
        <c:tickLblPos val="nextTo"/>
        <c:spPr>
          <a:ln w="9360">
            <a:noFill/>
          </a:ln>
        </c:spPr>
        <c:txPr>
          <a:bodyPr/>
          <a:lstStyle/>
          <a:p>
            <a:pPr>
              <a:defRPr b="0" sz="900" spc="-1" strike="noStrike">
                <a:solidFill>
                  <a:srgbClr val="595959"/>
                </a:solidFill>
                <a:latin typeface="Calibri"/>
              </a:defRPr>
            </a:pPr>
          </a:p>
        </c:txPr>
        <c:crossAx val="38073978"/>
        <c:crosses val="autoZero"/>
        <c:auto val="1"/>
        <c:lblAlgn val="ctr"/>
        <c:lblOffset val="100"/>
        <c:noMultiLvlLbl val="0"/>
      </c:catAx>
      <c:valAx>
        <c:axId val="38073978"/>
        <c:scaling>
          <c:orientation val="minMax"/>
          <c:min val="0"/>
        </c:scaling>
        <c:delete val="1"/>
        <c:axPos val="l"/>
        <c:majorGridlines>
          <c:spPr>
            <a:ln w="12600">
              <a:solidFill>
                <a:srgbClr val="d9d9d9"/>
              </a:solidFill>
              <a:round/>
            </a:ln>
          </c:spPr>
        </c:majorGridlines>
        <c:numFmt formatCode="0%" sourceLinked="0"/>
        <c:majorTickMark val="out"/>
        <c:minorTickMark val="in"/>
        <c:tickLblPos val="nextTo"/>
        <c:spPr>
          <a:ln w="9360">
            <a:solidFill>
              <a:srgbClr val="878787"/>
            </a:solidFill>
            <a:round/>
          </a:ln>
        </c:spPr>
        <c:txPr>
          <a:bodyPr/>
          <a:lstStyle/>
          <a:p>
            <a:pPr>
              <a:defRPr b="0" sz="1000" spc="-1" strike="noStrike">
                <a:solidFill>
                  <a:srgbClr val="000000"/>
                </a:solidFill>
                <a:latin typeface="Calibri"/>
              </a:defRPr>
            </a:pPr>
          </a:p>
        </c:txPr>
        <c:crossAx val="92849555"/>
        <c:crossBetween val="midCat"/>
      </c:valAx>
      <c:spPr>
        <a:noFill/>
        <a:ln>
          <a:noFill/>
        </a:ln>
      </c:spPr>
    </c:plotArea>
    <c:legend>
      <c:legendPos val="t"/>
      <c:layout>
        <c:manualLayout>
          <c:xMode val="edge"/>
          <c:yMode val="edge"/>
          <c:x val="0.838413303637602"/>
          <c:y val="0.040734579024017"/>
          <c:w val="0.150661593750353"/>
          <c:h val="0.183091326182652"/>
        </c:manualLayout>
      </c:layout>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GB" sz="1400" spc="-1" strike="noStrike">
                <a:solidFill>
                  <a:srgbClr val="f6a842"/>
                </a:solidFill>
                <a:latin typeface="Calibri"/>
              </a:defRPr>
            </a:pPr>
            <a:r>
              <a:rPr b="1" lang="en-GB" sz="1400" spc="-1" strike="noStrike">
                <a:solidFill>
                  <a:srgbClr val="f6a842"/>
                </a:solidFill>
                <a:latin typeface="Calibri"/>
              </a:rPr>
              <a:t>INTEROPERABILITY LAYERS</a:t>
            </a:r>
          </a:p>
        </c:rich>
      </c:tx>
      <c:layout>
        <c:manualLayout>
          <c:xMode val="edge"/>
          <c:yMode val="edge"/>
          <c:x val="0.0290546226906584"/>
          <c:y val="0.0572122052704577"/>
        </c:manualLayout>
      </c:layout>
      <c:overlay val="0"/>
      <c:spPr>
        <a:noFill/>
        <a:ln>
          <a:noFill/>
        </a:ln>
      </c:spPr>
    </c:title>
    <c:autoTitleDeleted val="0"/>
    <c:plotArea>
      <c:layout>
        <c:manualLayout>
          <c:layoutTarget val="inner"/>
          <c:xMode val="edge"/>
          <c:yMode val="edge"/>
          <c:x val="0.361199054221937"/>
          <c:y val="0.208391123439667"/>
          <c:w val="0.285616959884583"/>
          <c:h val="0.659385113268608"/>
        </c:manualLayout>
      </c:layout>
      <c:radarChart>
        <c:radarStyle val="marker"/>
        <c:varyColors val="0"/>
        <c:ser>
          <c:idx val="0"/>
          <c:order val="0"/>
          <c:tx>
            <c:strRef>
              <c:f>'Results '!$E$12</c:f>
              <c:strCache>
                <c:ptCount val="1"/>
                <c:pt idx="0">
                  <c:v>Automated Score</c:v>
                </c:pt>
              </c:strCache>
            </c:strRef>
          </c:tx>
          <c:spPr>
            <a:solidFill>
              <a:srgbClr val="e46c0a">
                <a:alpha val="40000"/>
              </a:srgbClr>
            </a:solidFill>
            <a:ln w="50760">
              <a:solidFill>
                <a:srgbClr val="e46c0a">
                  <a:alpha val="40000"/>
                </a:srgbClr>
              </a:solidFill>
              <a:round/>
            </a:ln>
          </c:spPr>
          <c:marker>
            <c:symbol val="circle"/>
            <c:size val="6"/>
            <c:spPr>
              <a:solidFill>
                <a:srgbClr val="e46c0a"/>
              </a:solidFill>
            </c:spPr>
          </c:marker>
          <c:dPt>
            <c:idx val="0"/>
            <c:marker>
              <c:symbol val="circle"/>
              <c:size val="6"/>
              <c:spPr>
                <a:solidFill>
                  <a:srgbClr val="e46c0a"/>
                </a:solidFill>
              </c:spPr>
            </c:marker>
          </c:dPt>
          <c:dPt>
            <c:idx val="1"/>
            <c:marker>
              <c:symbol val="circle"/>
              <c:size val="6"/>
              <c:spPr>
                <a:solidFill>
                  <a:srgbClr val="e46c0a"/>
                </a:solidFill>
              </c:spPr>
            </c:marker>
          </c:dPt>
          <c:dPt>
            <c:idx val="2"/>
            <c:marker>
              <c:symbol val="circle"/>
              <c:size val="6"/>
              <c:spPr>
                <a:solidFill>
                  <a:srgbClr val="e46c0a"/>
                </a:solidFill>
              </c:spPr>
            </c:marker>
          </c:dPt>
          <c:dPt>
            <c:idx val="3"/>
            <c:marker>
              <c:symbol val="circle"/>
              <c:size val="6"/>
              <c:spPr>
                <a:solidFill>
                  <a:srgbClr val="e46c0a"/>
                </a:solidFill>
              </c:spPr>
            </c:marker>
          </c:dPt>
          <c:dPt>
            <c:idx val="4"/>
            <c:marker>
              <c:symbol val="circle"/>
              <c:size val="6"/>
              <c:spPr>
                <a:solidFill>
                  <a:srgbClr val="e46c0a"/>
                </a:solidFill>
              </c:spPr>
            </c:marker>
          </c:dPt>
          <c:dPt>
            <c:idx val="5"/>
            <c:marker>
              <c:symbol val="circle"/>
              <c:size val="6"/>
              <c:spPr>
                <a:solidFill>
                  <a:srgbClr val="e46c0a"/>
                </a:solidFill>
              </c:spPr>
            </c:marker>
          </c:dPt>
          <c:dLbls>
            <c:numFmt formatCode="0%" sourceLinked="1"/>
            <c:dLbl>
              <c:idx val="0"/>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1"/>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2"/>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3"/>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4"/>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5"/>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txPr>
              <a:bodyPr/>
              <a:lstStyle/>
              <a:p>
                <a:pPr>
                  <a:defRPr b="0" sz="900" spc="-1" strike="noStrike">
                    <a:solidFill>
                      <a:srgbClr val="f79646"/>
                    </a:solidFill>
                    <a:latin typeface="Calibri"/>
                  </a:defRPr>
                </a:pPr>
              </a:p>
            </c:txPr>
            <c:showLegendKey val="0"/>
            <c:showVal val="1"/>
            <c:showCatName val="0"/>
            <c:showSerName val="0"/>
            <c:showPercent val="0"/>
            <c:separator>; </c:separator>
            <c:showLeaderLines val="0"/>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General</c:formatCode>
                <c:ptCount val="6"/>
                <c:pt idx="0">
                  <c:v>0.666666666666667</c:v>
                </c:pt>
                <c:pt idx="1">
                  <c:v>1</c:v>
                </c:pt>
                <c:pt idx="2">
                  <c:v>1</c:v>
                </c:pt>
                <c:pt idx="3">
                  <c:v>0</c:v>
                </c:pt>
                <c:pt idx="4">
                  <c:v>0.666666666666667</c:v>
                </c:pt>
                <c:pt idx="5">
                  <c:v>1</c:v>
                </c:pt>
              </c:numCache>
            </c:numRef>
          </c:val>
        </c:ser>
        <c:ser>
          <c:idx val="1"/>
          <c:order val="1"/>
          <c:tx>
            <c:strRef>
              <c:f>'Results '!$G$12</c:f>
              <c:strCache>
                <c:ptCount val="1"/>
                <c:pt idx="0">
                  <c:v>Assessment Strength</c:v>
                </c:pt>
              </c:strCache>
            </c:strRef>
          </c:tx>
          <c:spPr>
            <a:solidFill>
              <a:srgbClr val="7030a0">
                <a:alpha val="40000"/>
              </a:srgbClr>
            </a:solidFill>
            <a:ln w="50760">
              <a:solidFill>
                <a:srgbClr val="7030a0">
                  <a:alpha val="40000"/>
                </a:srgbClr>
              </a:solidFill>
              <a:round/>
            </a:ln>
          </c:spPr>
          <c:marker>
            <c:symbol val="circle"/>
            <c:size val="5"/>
            <c:spPr>
              <a:solidFill>
                <a:srgbClr val="7030a0"/>
              </a:solidFill>
            </c:spPr>
          </c:marker>
          <c:dPt>
            <c:idx val="0"/>
            <c:marker>
              <c:symbol val="circle"/>
              <c:size val="5"/>
              <c:spPr>
                <a:solidFill>
                  <a:srgbClr val="7030a0"/>
                </a:solidFill>
              </c:spPr>
            </c:marker>
          </c:dPt>
          <c:dPt>
            <c:idx val="1"/>
            <c:marker>
              <c:symbol val="circle"/>
              <c:size val="5"/>
              <c:spPr>
                <a:solidFill>
                  <a:srgbClr val="7030a0"/>
                </a:solidFill>
              </c:spPr>
            </c:marker>
          </c:dPt>
          <c:dPt>
            <c:idx val="2"/>
            <c:marker>
              <c:symbol val="circle"/>
              <c:size val="5"/>
              <c:spPr>
                <a:solidFill>
                  <a:srgbClr val="7030a0"/>
                </a:solidFill>
              </c:spPr>
            </c:marker>
          </c:dPt>
          <c:dPt>
            <c:idx val="3"/>
            <c:marker>
              <c:symbol val="circle"/>
              <c:size val="5"/>
              <c:spPr>
                <a:solidFill>
                  <a:srgbClr val="7030a0"/>
                </a:solidFill>
              </c:spPr>
            </c:marker>
          </c:dPt>
          <c:dPt>
            <c:idx val="4"/>
            <c:marker>
              <c:symbol val="circle"/>
              <c:size val="5"/>
              <c:spPr>
                <a:solidFill>
                  <a:srgbClr val="7030a0"/>
                </a:solidFill>
              </c:spPr>
            </c:marker>
          </c:dPt>
          <c:dPt>
            <c:idx val="5"/>
            <c:marker>
              <c:symbol val="circle"/>
              <c:size val="5"/>
              <c:spPr>
                <a:solidFill>
                  <a:srgbClr val="7030a0"/>
                </a:solidFill>
              </c:spPr>
            </c:marker>
          </c:dPt>
          <c:dLbls>
            <c:numFmt formatCode="0%" sourceLinked="1"/>
            <c:dLbl>
              <c:idx val="0"/>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1"/>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2"/>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3"/>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4"/>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dLbl>
              <c:idx val="5"/>
              <c:numFmt formatCode="0%" sourceLinked="1"/>
              <c:txPr>
                <a:bodyPr/>
                <a:lstStyle/>
                <a:p>
                  <a:pPr>
                    <a:defRPr b="0" sz="1000" spc="-1" strike="noStrike">
                      <a:solidFill>
                        <a:srgbClr val="000000"/>
                      </a:solidFill>
                      <a:latin typeface="Calibri"/>
                    </a:defRPr>
                  </a:pPr>
                </a:p>
              </c:txPr>
              <c:showLegendKey val="0"/>
              <c:showVal val="1"/>
              <c:showCatName val="0"/>
              <c:showSerName val="0"/>
              <c:showPercent val="0"/>
              <c:separator>; </c:separator>
            </c:dLbl>
            <c:txPr>
              <a:bodyPr/>
              <a:lstStyle/>
              <a:p>
                <a:pPr>
                  <a:defRPr b="0" sz="900" spc="-1" strike="noStrike">
                    <a:solidFill>
                      <a:srgbClr val="8064a2"/>
                    </a:solidFill>
                    <a:latin typeface="Calibri"/>
                  </a:defRPr>
                </a:pPr>
              </a:p>
            </c:txPr>
            <c:showLegendKey val="0"/>
            <c:showVal val="1"/>
            <c:showCatName val="0"/>
            <c:showSerName val="0"/>
            <c:showPercent val="0"/>
            <c:separator>; </c:separator>
            <c:showLeaderLines val="0"/>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General</c:formatCode>
                <c:ptCount val="6"/>
                <c:pt idx="0">
                  <c:v>1</c:v>
                </c:pt>
                <c:pt idx="1">
                  <c:v>1</c:v>
                </c:pt>
                <c:pt idx="2">
                  <c:v>1</c:v>
                </c:pt>
                <c:pt idx="3">
                  <c:v>1</c:v>
                </c:pt>
                <c:pt idx="4">
                  <c:v>1</c:v>
                </c:pt>
                <c:pt idx="5">
                  <c:v>1</c:v>
                </c:pt>
              </c:numCache>
            </c:numRef>
          </c:val>
        </c:ser>
        <c:axId val="85283478"/>
        <c:axId val="12982888"/>
      </c:radarChart>
      <c:catAx>
        <c:axId val="85283478"/>
        <c:scaling>
          <c:orientation val="maxMin"/>
        </c:scaling>
        <c:delete val="0"/>
        <c:axPos val="b"/>
        <c:numFmt formatCode="General" sourceLinked="1"/>
        <c:majorTickMark val="none"/>
        <c:minorTickMark val="none"/>
        <c:tickLblPos val="nextTo"/>
        <c:spPr>
          <a:ln w="9360">
            <a:noFill/>
          </a:ln>
        </c:spPr>
        <c:txPr>
          <a:bodyPr/>
          <a:lstStyle/>
          <a:p>
            <a:pPr>
              <a:defRPr b="0" sz="900" spc="-1" strike="noStrike">
                <a:solidFill>
                  <a:srgbClr val="595959"/>
                </a:solidFill>
                <a:latin typeface="Calibri"/>
              </a:defRPr>
            </a:pPr>
          </a:p>
        </c:txPr>
        <c:crossAx val="12982888"/>
        <c:crosses val="autoZero"/>
        <c:auto val="1"/>
        <c:lblAlgn val="ctr"/>
        <c:lblOffset val="100"/>
        <c:noMultiLvlLbl val="0"/>
      </c:catAx>
      <c:valAx>
        <c:axId val="12982888"/>
        <c:scaling>
          <c:orientation val="minMax"/>
          <c:min val="0"/>
        </c:scaling>
        <c:delete val="1"/>
        <c:axPos val="l"/>
        <c:majorGridlines>
          <c:spPr>
            <a:ln w="12600">
              <a:solidFill>
                <a:srgbClr val="d9d9d9"/>
              </a:solidFill>
              <a:round/>
            </a:ln>
          </c:spPr>
        </c:majorGridlines>
        <c:numFmt formatCode="0%" sourceLinked="0"/>
        <c:majorTickMark val="out"/>
        <c:minorTickMark val="in"/>
        <c:tickLblPos val="nextTo"/>
        <c:spPr>
          <a:ln w="9360">
            <a:solidFill>
              <a:srgbClr val="878787"/>
            </a:solidFill>
            <a:round/>
          </a:ln>
        </c:spPr>
        <c:txPr>
          <a:bodyPr/>
          <a:lstStyle/>
          <a:p>
            <a:pPr>
              <a:defRPr b="0" sz="1000" spc="-1" strike="noStrike">
                <a:solidFill>
                  <a:srgbClr val="000000"/>
                </a:solidFill>
                <a:latin typeface="Calibri"/>
              </a:defRPr>
            </a:pPr>
          </a:p>
        </c:txPr>
        <c:crossAx val="85283478"/>
        <c:crossBetween val="midCat"/>
      </c:valAx>
      <c:spPr>
        <a:noFill/>
        <a:ln>
          <a:noFill/>
        </a:ln>
      </c:spPr>
    </c:plotArea>
    <c:legend>
      <c:legendPos val="t"/>
      <c:layout>
        <c:manualLayout>
          <c:xMode val="edge"/>
          <c:yMode val="edge"/>
          <c:x val="0.838413303637602"/>
          <c:y val="0.040734579024017"/>
          <c:w val="0.150661593750353"/>
          <c:h val="0.183091326182652"/>
        </c:manualLayout>
      </c:layout>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hyperlink" Target="mailto:CAMSS@everis.com?subject=CAMSS%25CHANGE%20REQUEST%20" TargetMode="External"/><Relationship Id="rId2" Type="http://schemas.openxmlformats.org/officeDocument/2006/relationships/hyperlink" Target="https://ec.europa.eu/isa2/solutions/camss_en" TargetMode="External"/><Relationship Id="rId3" Type="http://schemas.openxmlformats.org/officeDocument/2006/relationships/image" Target="../media/image1.png"/><Relationship Id="rId4" Type="http://schemas.openxmlformats.org/officeDocument/2006/relationships/image" Target="../media/image2.png"/>
</Relationships>
</file>

<file path=xl/drawings/_rels/drawing2.xml.rels><?xml version="1.0" encoding="UTF-8"?>
<Relationships xmlns="http://schemas.openxmlformats.org/package/2006/relationships"><Relationship Id="rId1" Type="http://schemas.openxmlformats.org/officeDocument/2006/relationships/hyperlink" Target="#Assessment_MSP!A1"/><Relationship Id="rId2" Type="http://schemas.openxmlformats.org/officeDocument/2006/relationships/hyperlink" Target="#Cover!A1"/>
</Relationships>
</file>

<file path=xl/drawings/_rels/drawing3.xml.rels><?xml version="1.0" encoding="UTF-8"?>
<Relationships xmlns="http://schemas.openxmlformats.org/package/2006/relationships"><Relationship Id="rId1" Type="http://schemas.openxmlformats.org/officeDocument/2006/relationships/hyperlink" Target="#Assessment_TS!A1"/>
</Relationships>
</file>

<file path=xl/drawings/_rels/drawing4.xml.rels><?xml version="1.0" encoding="UTF-8"?>
<Relationships xmlns="http://schemas.openxmlformats.org/package/2006/relationships"><Relationship Id="rId1" Type="http://schemas.openxmlformats.org/officeDocument/2006/relationships/hyperlink" Target="#Results!A1"/><Relationship Id="rId2" Type="http://schemas.openxmlformats.org/officeDocument/2006/relationships/hyperlink" Target="#Setup_MSP!A1"/>
</Relationships>
</file>

<file path=xl/drawings/_rels/drawing5.xml.rels><?xml version="1.0" encoding="UTF-8"?>
<Relationships xmlns="http://schemas.openxmlformats.org/package/2006/relationships"><Relationship Id="rId1" Type="http://schemas.openxmlformats.org/officeDocument/2006/relationships/hyperlink" Target="#Assessment_EIF!A1"/><Relationship Id="rId2" Type="http://schemas.openxmlformats.org/officeDocument/2006/relationships/hyperlink" Target="#Cover!A1"/>
</Relationships>
</file>

<file path=xl/drawings/_rels/drawing6.xml.rels><?xml version="1.0" encoding="UTF-8"?>
<Relationships xmlns="http://schemas.openxmlformats.org/package/2006/relationships"><Relationship Id="rId1" Type="http://schemas.openxmlformats.org/officeDocument/2006/relationships/hyperlink" Target="#&apos;Results &apos;!A1"/><Relationship Id="rId2" Type="http://schemas.openxmlformats.org/officeDocument/2006/relationships/hyperlink" Target="#Setup_EIF!A1"/>
</Relationships>
</file>

<file path=xl/drawings/_rels/drawing7.xml.rels><?xml version="1.0" encoding="UTF-8"?>
<Relationships xmlns="http://schemas.openxmlformats.org/package/2006/relationships"><Relationship Id="rId1" Type="http://schemas.openxmlformats.org/officeDocument/2006/relationships/hyperlink" Target="#Results!A1"/>
</Relationships>
</file>

<file path=xl/drawings/_rels/drawing8.xml.rels><?xml version="1.0" encoding="UTF-8"?>
<Relationships xmlns="http://schemas.openxmlformats.org/package/2006/relationships"><Relationship Id="rId1" Type="http://schemas.openxmlformats.org/officeDocument/2006/relationships/image" Target="../media/image3.jpeg"/><Relationship Id="rId2" Type="http://schemas.openxmlformats.org/officeDocument/2006/relationships/image" Target="../media/image4.jpeg"/><Relationship Id="rId3" Type="http://schemas.openxmlformats.org/officeDocument/2006/relationships/chart" Target="../charts/chart1.xml"/>
</Relationships>
</file>

<file path=xl/drawings/_rels/drawing9.xml.rels><?xml version="1.0" encoding="UTF-8"?>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0</xdr:colOff>
      <xdr:row>41</xdr:row>
      <xdr:rowOff>9360</xdr:rowOff>
    </xdr:from>
    <xdr:to>
      <xdr:col>11</xdr:col>
      <xdr:colOff>573840</xdr:colOff>
      <xdr:row>41</xdr:row>
      <xdr:rowOff>266040</xdr:rowOff>
    </xdr:to>
    <xdr:sp>
      <xdr:nvSpPr>
        <xdr:cNvPr id="0" name="CustomShape 1">
          <a:hlinkClick r:id="rId1"/>
        </xdr:cNvPr>
        <xdr:cNvSpPr/>
      </xdr:nvSpPr>
      <xdr:spPr>
        <a:xfrm>
          <a:off x="6451560" y="6619680"/>
          <a:ext cx="1218960" cy="256680"/>
        </a:xfrm>
        <a:prstGeom prst="rect">
          <a:avLst/>
        </a:prstGeom>
        <a:solidFill>
          <a:schemeClr val="bg1">
            <a:lumMod val="95000"/>
          </a:schemeClr>
        </a:solidFill>
        <a:ln>
          <a:noFill/>
        </a:ln>
      </xdr:spPr>
      <xdr:style>
        <a:lnRef idx="0"/>
        <a:fillRef idx="0"/>
        <a:effectRef idx="0"/>
        <a:fontRef idx="minor"/>
      </xdr:style>
      <xdr:txBody>
        <a:bodyPr wrap="none" lIns="90000" rIns="90000" tIns="45000" bIns="45000" anchor="ctr">
          <a:noAutofit/>
        </a:bodyPr>
        <a:p>
          <a:pPr>
            <a:lnSpc>
              <a:spcPct val="100000"/>
            </a:lnSpc>
          </a:pPr>
          <a:r>
            <a:rPr b="1" i="1" lang="en-US" sz="800" spc="-1" strike="noStrike">
              <a:solidFill>
                <a:srgbClr val="000000"/>
              </a:solidFill>
              <a:latin typeface="Verdana"/>
            </a:rPr>
            <a:t>Send an email</a:t>
          </a:r>
          <a:r>
            <a:rPr b="1" i="1" lang="en-US" sz="800" spc="-1" strike="noStrike">
              <a:solidFill>
                <a:srgbClr val="000000"/>
              </a:solidFill>
              <a:latin typeface="Verdana"/>
            </a:rPr>
            <a:t>	</a:t>
          </a:r>
          <a:r>
            <a:rPr b="1" i="1" lang="en-US" sz="800" spc="-1" strike="noStrike">
              <a:solidFill>
                <a:srgbClr val="000000"/>
              </a:solidFill>
              <a:latin typeface="Verdana"/>
            </a:rPr>
            <a:t>&gt;</a:t>
          </a:r>
          <a:endParaRPr b="0" lang="ca-ES" sz="800" spc="-1" strike="noStrike">
            <a:latin typeface="Times New Roman"/>
          </a:endParaRPr>
        </a:p>
      </xdr:txBody>
    </xdr:sp>
    <xdr:clientData/>
  </xdr:twoCellAnchor>
  <xdr:twoCellAnchor editAs="oneCell">
    <xdr:from>
      <xdr:col>5</xdr:col>
      <xdr:colOff>514440</xdr:colOff>
      <xdr:row>16</xdr:row>
      <xdr:rowOff>237960</xdr:rowOff>
    </xdr:from>
    <xdr:to>
      <xdr:col>6</xdr:col>
      <xdr:colOff>289080</xdr:colOff>
      <xdr:row>17</xdr:row>
      <xdr:rowOff>1800</xdr:rowOff>
    </xdr:to>
    <xdr:pic>
      <xdr:nvPicPr>
        <xdr:cNvPr id="1" name="Picture 3" descr="">
          <a:hlinkClick r:id="rId2"/>
        </xdr:cNvPr>
        <xdr:cNvPicPr/>
      </xdr:nvPicPr>
      <xdr:blipFill>
        <a:blip r:embed="rId3"/>
        <a:stretch/>
      </xdr:blipFill>
      <xdr:spPr>
        <a:xfrm>
          <a:off x="3740040" y="3609720"/>
          <a:ext cx="419760" cy="306720"/>
        </a:xfrm>
        <a:prstGeom prst="rect">
          <a:avLst/>
        </a:prstGeom>
        <a:ln>
          <a:noFill/>
        </a:ln>
      </xdr:spPr>
    </xdr:pic>
    <xdr:clientData/>
  </xdr:twoCellAnchor>
  <xdr:twoCellAnchor editAs="twoCell">
    <xdr:from>
      <xdr:col>9</xdr:col>
      <xdr:colOff>0</xdr:colOff>
      <xdr:row>19</xdr:row>
      <xdr:rowOff>0</xdr:rowOff>
    </xdr:from>
    <xdr:to>
      <xdr:col>10</xdr:col>
      <xdr:colOff>2160</xdr:colOff>
      <xdr:row>20</xdr:row>
      <xdr:rowOff>9360</xdr:rowOff>
    </xdr:to>
    <xdr:sp>
      <xdr:nvSpPr>
        <xdr:cNvPr id="2" name="CustomShape 1"/>
        <xdr:cNvSpPr/>
      </xdr:nvSpPr>
      <xdr:spPr>
        <a:xfrm>
          <a:off x="5806440" y="4533840"/>
          <a:ext cx="647280" cy="29484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lang="en-US" sz="1050" spc="-1" strike="noStrike">
              <a:solidFill>
                <a:srgbClr val="000000"/>
              </a:solidFill>
              <a:latin typeface="Arial Bold"/>
            </a:rPr>
            <a:t>Start &gt;</a:t>
          </a:r>
          <a:endParaRPr b="0" lang="ca-ES" sz="1050" spc="-1" strike="noStrike">
            <a:latin typeface="Times New Roman"/>
          </a:endParaRPr>
        </a:p>
      </xdr:txBody>
    </xdr:sp>
    <xdr:clientData/>
  </xdr:twoCellAnchor>
  <xdr:twoCellAnchor editAs="oneCell">
    <xdr:from>
      <xdr:col>4</xdr:col>
      <xdr:colOff>228600</xdr:colOff>
      <xdr:row>2</xdr:row>
      <xdr:rowOff>162000</xdr:rowOff>
    </xdr:from>
    <xdr:to>
      <xdr:col>7</xdr:col>
      <xdr:colOff>523440</xdr:colOff>
      <xdr:row>8</xdr:row>
      <xdr:rowOff>29160</xdr:rowOff>
    </xdr:to>
    <xdr:pic>
      <xdr:nvPicPr>
        <xdr:cNvPr id="3" name="Picture 14" descr=""/>
        <xdr:cNvPicPr/>
      </xdr:nvPicPr>
      <xdr:blipFill>
        <a:blip r:embed="rId4"/>
        <a:stretch/>
      </xdr:blipFill>
      <xdr:spPr>
        <a:xfrm>
          <a:off x="2809080" y="476280"/>
          <a:ext cx="2230200" cy="14385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15</xdr:col>
      <xdr:colOff>504720</xdr:colOff>
      <xdr:row>60</xdr:row>
      <xdr:rowOff>0</xdr:rowOff>
    </xdr:from>
    <xdr:to>
      <xdr:col>17</xdr:col>
      <xdr:colOff>166680</xdr:colOff>
      <xdr:row>60</xdr:row>
      <xdr:rowOff>237600</xdr:rowOff>
    </xdr:to>
    <xdr:sp>
      <xdr:nvSpPr>
        <xdr:cNvPr id="4" name="CustomShape 1">
          <a:hlinkClick r:id="rId1"/>
        </xdr:cNvPr>
        <xdr:cNvSpPr/>
      </xdr:nvSpPr>
      <xdr:spPr>
        <a:xfrm>
          <a:off x="8124480" y="17173440"/>
          <a:ext cx="952200" cy="23760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lang="en-US" sz="800" spc="-1" strike="noStrike">
              <a:solidFill>
                <a:srgbClr val="000000"/>
              </a:solidFill>
              <a:latin typeface="Verdana"/>
            </a:rPr>
            <a:t>Assessment &gt;</a:t>
          </a:r>
          <a:endParaRPr b="0" lang="ca-ES" sz="800" spc="-1" strike="noStrike">
            <a:latin typeface="Times New Roman"/>
          </a:endParaRPr>
        </a:p>
      </xdr:txBody>
    </xdr:sp>
    <xdr:clientData/>
  </xdr:twoCellAnchor>
  <xdr:twoCellAnchor editAs="twoCell">
    <xdr:from>
      <xdr:col>1</xdr:col>
      <xdr:colOff>0</xdr:colOff>
      <xdr:row>60</xdr:row>
      <xdr:rowOff>0</xdr:rowOff>
    </xdr:from>
    <xdr:to>
      <xdr:col>3</xdr:col>
      <xdr:colOff>377640</xdr:colOff>
      <xdr:row>60</xdr:row>
      <xdr:rowOff>237600</xdr:rowOff>
    </xdr:to>
    <xdr:sp>
      <xdr:nvSpPr>
        <xdr:cNvPr id="5" name="CustomShape 1">
          <a:hlinkClick r:id="rId2"/>
        </xdr:cNvPr>
        <xdr:cNvSpPr/>
      </xdr:nvSpPr>
      <xdr:spPr>
        <a:xfrm>
          <a:off x="0" y="17173440"/>
          <a:ext cx="952200" cy="23760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&lt; Cover</a:t>
          </a:r>
          <a:endParaRPr b="0" lang="ca-ES" sz="800" spc="-1" strike="noStrike">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16</xdr:col>
      <xdr:colOff>2171520</xdr:colOff>
      <xdr:row>106</xdr:row>
      <xdr:rowOff>9360</xdr:rowOff>
    </xdr:from>
    <xdr:to>
      <xdr:col>17</xdr:col>
      <xdr:colOff>9000</xdr:colOff>
      <xdr:row>106</xdr:row>
      <xdr:rowOff>266040</xdr:rowOff>
    </xdr:to>
    <xdr:sp>
      <xdr:nvSpPr>
        <xdr:cNvPr id="6" name="CustomShape 1">
          <a:hlinkClick r:id="rId1"/>
        </xdr:cNvPr>
        <xdr:cNvSpPr/>
      </xdr:nvSpPr>
      <xdr:spPr>
        <a:xfrm>
          <a:off x="8007120" y="18316080"/>
          <a:ext cx="952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i="1" lang="en-US" sz="800" spc="-1" strike="noStrike">
              <a:solidFill>
                <a:srgbClr val="000000"/>
              </a:solidFill>
              <a:latin typeface="Verdana"/>
            </a:rPr>
            <a:t>Assessment &gt;</a:t>
          </a:r>
          <a:endParaRPr b="0" lang="ca-ES" sz="800" spc="-1" strike="noStrike">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3467160</xdr:colOff>
      <xdr:row>83</xdr:row>
      <xdr:rowOff>0</xdr:rowOff>
    </xdr:from>
    <xdr:to>
      <xdr:col>10</xdr:col>
      <xdr:colOff>4466880</xdr:colOff>
      <xdr:row>83</xdr:row>
      <xdr:rowOff>237600</xdr:rowOff>
    </xdr:to>
    <xdr:sp>
      <xdr:nvSpPr>
        <xdr:cNvPr id="7" name="CustomShape 1">
          <a:hlinkClick r:id="rId1"/>
        </xdr:cNvPr>
        <xdr:cNvSpPr/>
      </xdr:nvSpPr>
      <xdr:spPr>
        <a:xfrm>
          <a:off x="11740320" y="18417240"/>
          <a:ext cx="999720" cy="23760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Results &gt;</a:t>
          </a:r>
          <a:endParaRPr b="0" lang="ca-ES" sz="800" spc="-1" strike="noStrike">
            <a:latin typeface="Times New Roman"/>
          </a:endParaRPr>
        </a:p>
      </xdr:txBody>
    </xdr:sp>
    <xdr:clientData/>
  </xdr:twoCellAnchor>
  <xdr:twoCellAnchor editAs="twoCell">
    <xdr:from>
      <xdr:col>1</xdr:col>
      <xdr:colOff>0</xdr:colOff>
      <xdr:row>83</xdr:row>
      <xdr:rowOff>0</xdr:rowOff>
    </xdr:from>
    <xdr:to>
      <xdr:col>4</xdr:col>
      <xdr:colOff>207360</xdr:colOff>
      <xdr:row>83</xdr:row>
      <xdr:rowOff>237600</xdr:rowOff>
    </xdr:to>
    <xdr:sp>
      <xdr:nvSpPr>
        <xdr:cNvPr id="8" name="CustomShape 1">
          <a:hlinkClick r:id="rId2"/>
        </xdr:cNvPr>
        <xdr:cNvSpPr/>
      </xdr:nvSpPr>
      <xdr:spPr>
        <a:xfrm>
          <a:off x="0" y="18417240"/>
          <a:ext cx="942480" cy="23760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&lt; Setup</a:t>
          </a:r>
          <a:endParaRPr b="0" lang="ca-ES" sz="800" spc="-1" strike="noStrike">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twoCell">
    <xdr:from>
      <xdr:col>16</xdr:col>
      <xdr:colOff>2457720</xdr:colOff>
      <xdr:row>101</xdr:row>
      <xdr:rowOff>0</xdr:rowOff>
    </xdr:from>
    <xdr:to>
      <xdr:col>16</xdr:col>
      <xdr:colOff>3409920</xdr:colOff>
      <xdr:row>101</xdr:row>
      <xdr:rowOff>256680</xdr:rowOff>
    </xdr:to>
    <xdr:sp>
      <xdr:nvSpPr>
        <xdr:cNvPr id="9" name="CustomShape 1">
          <a:hlinkClick r:id="rId1"/>
        </xdr:cNvPr>
        <xdr:cNvSpPr/>
      </xdr:nvSpPr>
      <xdr:spPr>
        <a:xfrm>
          <a:off x="8313480" y="11079360"/>
          <a:ext cx="952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lang="en-US" sz="800" spc="-1" strike="noStrike">
              <a:solidFill>
                <a:srgbClr val="000000"/>
              </a:solidFill>
              <a:latin typeface="Verdana"/>
            </a:rPr>
            <a:t>Assessment &gt;</a:t>
          </a:r>
          <a:endParaRPr b="0" lang="ca-ES" sz="800" spc="-1" strike="noStrike">
            <a:latin typeface="Times New Roman"/>
          </a:endParaRPr>
        </a:p>
      </xdr:txBody>
    </xdr:sp>
    <xdr:clientData/>
  </xdr:twoCellAnchor>
  <xdr:twoCellAnchor editAs="twoCell">
    <xdr:from>
      <xdr:col>1</xdr:col>
      <xdr:colOff>0</xdr:colOff>
      <xdr:row>101</xdr:row>
      <xdr:rowOff>0</xdr:rowOff>
    </xdr:from>
    <xdr:to>
      <xdr:col>3</xdr:col>
      <xdr:colOff>388440</xdr:colOff>
      <xdr:row>101</xdr:row>
      <xdr:rowOff>256680</xdr:rowOff>
    </xdr:to>
    <xdr:sp>
      <xdr:nvSpPr>
        <xdr:cNvPr id="10" name="CustomShape 1">
          <a:hlinkClick r:id="rId2"/>
        </xdr:cNvPr>
        <xdr:cNvSpPr/>
      </xdr:nvSpPr>
      <xdr:spPr>
        <a:xfrm>
          <a:off x="0" y="11079360"/>
          <a:ext cx="952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&lt; Cover</a:t>
          </a:r>
          <a:endParaRPr b="0" lang="ca-ES" sz="8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twoCell">
    <xdr:from>
      <xdr:col>8</xdr:col>
      <xdr:colOff>3800520</xdr:colOff>
      <xdr:row>138</xdr:row>
      <xdr:rowOff>0</xdr:rowOff>
    </xdr:from>
    <xdr:to>
      <xdr:col>8</xdr:col>
      <xdr:colOff>4590720</xdr:colOff>
      <xdr:row>138</xdr:row>
      <xdr:rowOff>256680</xdr:rowOff>
    </xdr:to>
    <xdr:sp>
      <xdr:nvSpPr>
        <xdr:cNvPr id="11" name="CustomShape 1">
          <a:hlinkClick r:id="rId1"/>
        </xdr:cNvPr>
        <xdr:cNvSpPr/>
      </xdr:nvSpPr>
      <xdr:spPr>
        <a:xfrm>
          <a:off x="11559240" y="54191520"/>
          <a:ext cx="790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lang="en-US" sz="800" spc="-1" strike="noStrike">
              <a:solidFill>
                <a:srgbClr val="000000"/>
              </a:solidFill>
              <a:latin typeface="Verdana"/>
            </a:rPr>
            <a:t>Results &gt;</a:t>
          </a:r>
          <a:endParaRPr b="0" lang="ca-ES" sz="800" spc="-1" strike="noStrike">
            <a:latin typeface="Times New Roman"/>
          </a:endParaRPr>
        </a:p>
      </xdr:txBody>
    </xdr:sp>
    <xdr:clientData/>
  </xdr:twoCellAnchor>
  <xdr:twoCellAnchor editAs="twoCell">
    <xdr:from>
      <xdr:col>0</xdr:col>
      <xdr:colOff>0</xdr:colOff>
      <xdr:row>138</xdr:row>
      <xdr:rowOff>0</xdr:rowOff>
    </xdr:from>
    <xdr:to>
      <xdr:col>2</xdr:col>
      <xdr:colOff>387720</xdr:colOff>
      <xdr:row>138</xdr:row>
      <xdr:rowOff>256680</xdr:rowOff>
    </xdr:to>
    <xdr:sp>
      <xdr:nvSpPr>
        <xdr:cNvPr id="12" name="CustomShape 1">
          <a:hlinkClick r:id="rId2"/>
        </xdr:cNvPr>
        <xdr:cNvSpPr/>
      </xdr:nvSpPr>
      <xdr:spPr>
        <a:xfrm>
          <a:off x="0" y="54191520"/>
          <a:ext cx="952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&lt; Setup</a:t>
          </a:r>
          <a:endParaRPr b="0" lang="ca-ES" sz="8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twoCell">
    <xdr:from>
      <xdr:col>9</xdr:col>
      <xdr:colOff>3676680</xdr:colOff>
      <xdr:row>146</xdr:row>
      <xdr:rowOff>0</xdr:rowOff>
    </xdr:from>
    <xdr:to>
      <xdr:col>9</xdr:col>
      <xdr:colOff>4466880</xdr:colOff>
      <xdr:row>146</xdr:row>
      <xdr:rowOff>256680</xdr:rowOff>
    </xdr:to>
    <xdr:sp>
      <xdr:nvSpPr>
        <xdr:cNvPr id="13" name="CustomShape 1">
          <a:hlinkClick r:id="rId1"/>
        </xdr:cNvPr>
        <xdr:cNvSpPr/>
      </xdr:nvSpPr>
      <xdr:spPr>
        <a:xfrm>
          <a:off x="11617920" y="35636760"/>
          <a:ext cx="790200" cy="25668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nSpc>
              <a:spcPct val="100000"/>
            </a:lnSpc>
          </a:pPr>
          <a:r>
            <a:rPr b="1" i="1" lang="en-US" sz="800" spc="-1" strike="noStrike">
              <a:solidFill>
                <a:srgbClr val="000000"/>
              </a:solidFill>
              <a:latin typeface="Verdana"/>
            </a:rPr>
            <a:t>Results &gt;</a:t>
          </a:r>
          <a:endParaRPr b="0" lang="ca-ES" sz="800" spc="-1" strike="noStrike">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0</xdr:colOff>
      <xdr:row>1</xdr:row>
      <xdr:rowOff>6120</xdr:rowOff>
    </xdr:from>
    <xdr:to>
      <xdr:col>11</xdr:col>
      <xdr:colOff>360</xdr:colOff>
      <xdr:row>1</xdr:row>
      <xdr:rowOff>6480</xdr:rowOff>
    </xdr:to>
    <xdr:pic>
      <xdr:nvPicPr>
        <xdr:cNvPr id="14" name="Picture 550" descr=""/>
        <xdr:cNvPicPr/>
      </xdr:nvPicPr>
      <xdr:blipFill>
        <a:blip r:embed="rId1"/>
        <a:stretch/>
      </xdr:blipFill>
      <xdr:spPr>
        <a:xfrm>
          <a:off x="7585560" y="196560"/>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37800</xdr:rowOff>
    </xdr:to>
    <xdr:pic>
      <xdr:nvPicPr>
        <xdr:cNvPr id="15" name="Picture 550" descr=""/>
        <xdr:cNvPicPr/>
      </xdr:nvPicPr>
      <xdr:blipFill>
        <a:blip r:embed="rId2"/>
        <a:stretch/>
      </xdr:blipFill>
      <xdr:spPr>
        <a:xfrm>
          <a:off x="7585560" y="637200"/>
          <a:ext cx="360" cy="568080"/>
        </a:xfrm>
        <a:prstGeom prst="rect">
          <a:avLst/>
        </a:prstGeom>
        <a:ln>
          <a:noFill/>
        </a:ln>
      </xdr:spPr>
    </xdr:pic>
    <xdr:clientData/>
  </xdr:twoCellAnchor>
  <xdr:twoCellAnchor editAs="oneCell">
    <xdr:from>
      <xdr:col>0</xdr:col>
      <xdr:colOff>0</xdr:colOff>
      <xdr:row>26</xdr:row>
      <xdr:rowOff>181080</xdr:rowOff>
    </xdr:from>
    <xdr:to>
      <xdr:col>1022</xdr:col>
      <xdr:colOff>178920</xdr:colOff>
      <xdr:row>44</xdr:row>
      <xdr:rowOff>22320</xdr:rowOff>
    </xdr:to>
    <xdr:graphicFrame>
      <xdr:nvGraphicFramePr>
        <xdr:cNvPr id="16" name="Chart 3"/>
        <xdr:cNvGraphicFramePr/>
      </xdr:nvGraphicFramePr>
      <xdr:xfrm>
        <a:off x="0" y="6509160"/>
        <a:ext cx="8922600" cy="36514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twoCell">
    <xdr:from>
      <xdr:col>0</xdr:col>
      <xdr:colOff>0</xdr:colOff>
      <xdr:row>46</xdr:row>
      <xdr:rowOff>0</xdr:rowOff>
    </xdr:from>
    <xdr:to>
      <xdr:col>2</xdr:col>
      <xdr:colOff>630360</xdr:colOff>
      <xdr:row>46</xdr:row>
      <xdr:rowOff>275760</xdr:rowOff>
    </xdr:to>
    <xdr:sp>
      <xdr:nvSpPr>
        <xdr:cNvPr id="17" name="CustomShape 1"/>
        <xdr:cNvSpPr/>
      </xdr:nvSpPr>
      <xdr:spPr>
        <a:xfrm>
          <a:off x="0" y="11414520"/>
          <a:ext cx="952200" cy="275760"/>
        </a:xfrm>
        <a:prstGeom prst="rect">
          <a:avLst/>
        </a:prstGeom>
        <a:solidFill>
          <a:schemeClr val="bg1">
            <a:lumMod val="95000"/>
          </a:schemeClr>
        </a:solidFill>
        <a:ln>
          <a:solidFill>
            <a:schemeClr val="bg1">
              <a:lumMod val="85000"/>
            </a:schemeClr>
          </a:solidFill>
        </a:ln>
      </xdr:spPr>
      <xdr:style>
        <a:lnRef idx="0"/>
        <a:fillRef idx="0"/>
        <a:effectRef idx="0"/>
        <a:fontRef idx="minor"/>
      </xdr:style>
      <xdr:txBody>
        <a:bodyPr wrap="none" lIns="90000" rIns="90000" tIns="45000" bIns="45000" anchor="ctr">
          <a:noAutofit/>
        </a:bodyPr>
        <a:p>
          <a:pPr algn="ctr">
            <a:lnSpc>
              <a:spcPct val="100000"/>
            </a:lnSpc>
          </a:pPr>
          <a:r>
            <a:rPr b="1" lang="en-US" sz="800" spc="-1" strike="noStrike">
              <a:solidFill>
                <a:srgbClr val="000000"/>
              </a:solidFill>
              <a:latin typeface="Verdana"/>
            </a:rPr>
            <a:t>&lt; Assessment </a:t>
          </a:r>
          <a:endParaRPr b="0" lang="ca-ES" sz="8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69</xdr:row>
      <xdr:rowOff>0</xdr:rowOff>
    </xdr:from>
    <xdr:to>
      <xdr:col>13</xdr:col>
      <xdr:colOff>291960</xdr:colOff>
      <xdr:row>85</xdr:row>
      <xdr:rowOff>132840</xdr:rowOff>
    </xdr:to>
    <xdr:graphicFrame>
      <xdr:nvGraphicFramePr>
        <xdr:cNvPr id="18" name="Chart 3"/>
        <xdr:cNvGraphicFramePr/>
      </xdr:nvGraphicFramePr>
      <xdr:xfrm>
        <a:off x="9360" y="16055640"/>
        <a:ext cx="8998920" cy="3180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9360</xdr:colOff>
      <xdr:row>85</xdr:row>
      <xdr:rowOff>133200</xdr:rowOff>
    </xdr:from>
    <xdr:to>
      <xdr:col>13</xdr:col>
      <xdr:colOff>275760</xdr:colOff>
      <xdr:row>100</xdr:row>
      <xdr:rowOff>389880</xdr:rowOff>
    </xdr:to>
    <xdr:graphicFrame>
      <xdr:nvGraphicFramePr>
        <xdr:cNvPr id="19" name="Chart 2"/>
        <xdr:cNvGraphicFramePr/>
      </xdr:nvGraphicFramePr>
      <xdr:xfrm>
        <a:off x="9360" y="19236960"/>
        <a:ext cx="8982720" cy="31143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Users/maanjade/Downloads/IQAT_excel_tool_v1.1%20(1).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sheetData sheetId="1"/>
      <sheetData sheetId="2"/>
      <sheetData sheetId="3"/>
      <sheetData sheetId="4"/>
    </sheetDataSet>
  </externalBook>
</externalLink>
</file>

<file path=xl/worksheets/_rels/sheet1.xml.rels><?xml version="1.0" encoding="UTF-8"?>
<Relationships xmlns="http://schemas.openxmlformats.org/package/2006/relationships"><Relationship Id="rId1" Type="http://schemas.openxmlformats.org/officeDocument/2006/relationships/hyperlink" Target="https://joinup.ec.europa.eu/collection/common-assessment-method-standards-and-specifications-camss" TargetMode="External"/><Relationship Id="rId2"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5.xml.rels><?xml version="1.0" encoding="UTF-8"?>
<Relationships xmlns="http://schemas.openxmlformats.org/package/2006/relationships"><Relationship Id="rId1" Type="http://schemas.openxmlformats.org/officeDocument/2006/relationships/drawing" Target="../drawings/drawing4.xml"/>
</Relationships>
</file>

<file path=xl/worksheets/_rels/sheet6.xml.rels><?xml version="1.0" encoding="UTF-8"?>
<Relationships xmlns="http://schemas.openxmlformats.org/package/2006/relationships"><Relationship Id="rId1" Type="http://schemas.openxmlformats.org/officeDocument/2006/relationships/hyperlink" Target="mailto:CAMSS@everis.com" TargetMode="External"/><Relationship Id="rId2" Type="http://schemas.openxmlformats.org/officeDocument/2006/relationships/hyperlink" Target="https://www.w3.org/TR/2017/REC-shacl-20170720/" TargetMode="External"/><Relationship Id="rId3"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4.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6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9.15625" defaultRowHeight="15" zeroHeight="true" outlineLevelRow="0" outlineLevelCol="0"/>
  <cols>
    <col collapsed="false" customWidth="false" hidden="false" outlineLevel="0" max="12" min="1" style="1" width="9.14"/>
    <col collapsed="false" customWidth="true" hidden="false" outlineLevel="0" max="13" min="13" style="1" width="0.14"/>
    <col collapsed="false" customWidth="false" hidden="true" outlineLevel="0" max="1024" min="14" style="1" width="9.14"/>
  </cols>
  <sheetData>
    <row r="1" customFormat="false" ht="24.75" hidden="false" customHeight="false" outlineLevel="0" collapsed="false">
      <c r="A1" s="2"/>
      <c r="B1" s="2"/>
      <c r="C1" s="2"/>
      <c r="D1" s="2"/>
      <c r="E1" s="2"/>
      <c r="F1" s="2"/>
      <c r="G1" s="2"/>
      <c r="H1" s="2"/>
      <c r="I1" s="2"/>
      <c r="J1" s="3"/>
      <c r="K1" s="4"/>
      <c r="L1" s="5" t="s">
        <v>0</v>
      </c>
      <c r="M1" s="6"/>
    </row>
    <row r="2" customFormat="false" ht="24.75" hidden="true" customHeight="false" outlineLevel="0" collapsed="false">
      <c r="A2" s="2"/>
      <c r="B2" s="2"/>
      <c r="C2" s="2"/>
      <c r="D2" s="2"/>
      <c r="E2" s="2"/>
      <c r="F2" s="2"/>
      <c r="G2" s="2"/>
      <c r="H2" s="2"/>
      <c r="I2" s="2"/>
      <c r="J2" s="3"/>
      <c r="K2" s="7"/>
      <c r="L2" s="8"/>
      <c r="M2" s="6"/>
    </row>
    <row r="3" customFormat="false" ht="24.75" hidden="false" customHeight="false" outlineLevel="0" collapsed="false">
      <c r="A3" s="2"/>
      <c r="B3" s="2"/>
      <c r="C3" s="2"/>
      <c r="D3" s="2"/>
      <c r="E3" s="2"/>
      <c r="F3" s="2"/>
      <c r="G3" s="2"/>
      <c r="H3" s="2"/>
      <c r="I3" s="2"/>
      <c r="J3" s="3"/>
      <c r="K3" s="9"/>
      <c r="L3" s="10"/>
      <c r="M3" s="6"/>
    </row>
    <row r="4" customFormat="false" ht="24.75" hidden="true" customHeight="false" outlineLevel="0" collapsed="false">
      <c r="A4" s="2"/>
      <c r="B4" s="2"/>
      <c r="C4" s="2"/>
      <c r="D4" s="2"/>
      <c r="E4" s="2"/>
      <c r="F4" s="2"/>
      <c r="G4" s="2"/>
      <c r="H4" s="2"/>
      <c r="I4" s="2"/>
      <c r="J4" s="3"/>
      <c r="K4" s="3"/>
      <c r="L4" s="8"/>
      <c r="M4" s="6"/>
    </row>
    <row r="5" customFormat="false" ht="24.75" hidden="false" customHeight="false" outlineLevel="0" collapsed="false">
      <c r="A5" s="2"/>
      <c r="B5" s="2"/>
      <c r="C5" s="2"/>
      <c r="D5" s="2"/>
      <c r="E5" s="2"/>
      <c r="F5" s="2"/>
      <c r="G5" s="2"/>
      <c r="H5" s="2"/>
      <c r="I5" s="2"/>
      <c r="J5" s="3"/>
      <c r="K5" s="3"/>
      <c r="L5" s="8"/>
      <c r="M5" s="6"/>
    </row>
    <row r="6" customFormat="false" ht="24.75" hidden="false" customHeight="false" outlineLevel="0" collapsed="false">
      <c r="A6" s="2"/>
      <c r="B6" s="2"/>
      <c r="C6" s="2"/>
      <c r="D6" s="2"/>
      <c r="E6" s="2"/>
      <c r="F6" s="2"/>
      <c r="G6" s="2"/>
      <c r="H6" s="2"/>
      <c r="I6" s="2"/>
      <c r="J6" s="3"/>
      <c r="K6" s="3"/>
      <c r="L6" s="8"/>
      <c r="M6" s="6"/>
    </row>
    <row r="7" customFormat="false" ht="24.75" hidden="false" customHeight="false" outlineLevel="0" collapsed="false">
      <c r="A7" s="11"/>
      <c r="B7" s="11"/>
      <c r="C7" s="11"/>
      <c r="D7" s="2"/>
      <c r="E7" s="2"/>
      <c r="F7" s="2"/>
      <c r="G7" s="2"/>
      <c r="H7" s="2"/>
      <c r="I7" s="2"/>
      <c r="J7" s="3"/>
      <c r="K7" s="3"/>
      <c r="L7" s="8"/>
      <c r="M7" s="6"/>
    </row>
    <row r="8" customFormat="false" ht="24.75" hidden="false" customHeight="false" outlineLevel="0" collapsed="false">
      <c r="A8" s="12"/>
      <c r="B8" s="12"/>
      <c r="C8" s="12"/>
      <c r="D8" s="12"/>
      <c r="E8" s="12"/>
      <c r="F8" s="12"/>
      <c r="G8" s="12"/>
      <c r="H8" s="12"/>
      <c r="I8" s="12"/>
      <c r="J8" s="3"/>
      <c r="K8" s="3"/>
      <c r="L8" s="8"/>
      <c r="M8" s="6"/>
    </row>
    <row r="9" customFormat="false" ht="24.75" hidden="false" customHeight="false" outlineLevel="0" collapsed="false">
      <c r="A9" s="12"/>
      <c r="B9" s="6"/>
      <c r="C9" s="12"/>
      <c r="D9" s="12"/>
      <c r="E9" s="12"/>
      <c r="F9" s="12"/>
      <c r="G9" s="12"/>
      <c r="H9" s="12"/>
      <c r="I9" s="12"/>
      <c r="J9" s="3"/>
      <c r="K9" s="3"/>
      <c r="L9" s="8"/>
      <c r="M9" s="6"/>
    </row>
    <row r="10" customFormat="false" ht="24.75" hidden="true" customHeight="false" outlineLevel="0" collapsed="false">
      <c r="A10" s="13"/>
      <c r="B10" s="13"/>
      <c r="C10" s="13"/>
      <c r="D10" s="13"/>
      <c r="E10" s="13"/>
      <c r="F10" s="3"/>
      <c r="G10" s="3"/>
      <c r="H10" s="3"/>
      <c r="I10" s="3"/>
      <c r="J10" s="3"/>
      <c r="K10" s="3"/>
      <c r="L10" s="8"/>
      <c r="M10" s="6"/>
    </row>
    <row r="11" customFormat="false" ht="24.75" hidden="true" customHeight="false" outlineLevel="0" collapsed="false">
      <c r="A11" s="3"/>
      <c r="B11" s="3"/>
      <c r="C11" s="3"/>
      <c r="D11" s="3"/>
      <c r="E11" s="3"/>
      <c r="F11" s="3"/>
      <c r="G11" s="3"/>
      <c r="H11" s="3"/>
      <c r="I11" s="3"/>
      <c r="J11" s="3"/>
      <c r="K11" s="3"/>
      <c r="L11" s="8"/>
      <c r="M11" s="6"/>
    </row>
    <row r="12" customFormat="false" ht="24.75" hidden="false" customHeight="false" outlineLevel="0" collapsed="false">
      <c r="A12" s="14" t="s">
        <v>1</v>
      </c>
      <c r="B12" s="14"/>
      <c r="C12" s="14"/>
      <c r="D12" s="14"/>
      <c r="E12" s="14"/>
      <c r="F12" s="14"/>
      <c r="G12" s="14"/>
      <c r="H12" s="14"/>
      <c r="I12" s="14"/>
      <c r="J12" s="14"/>
      <c r="K12" s="14"/>
      <c r="L12" s="14"/>
      <c r="M12" s="6"/>
    </row>
    <row r="13" customFormat="false" ht="17.25" hidden="false" customHeight="true" outlineLevel="0" collapsed="false">
      <c r="A13" s="15" t="s">
        <v>2</v>
      </c>
      <c r="B13" s="15"/>
      <c r="C13" s="15"/>
      <c r="D13" s="15"/>
      <c r="E13" s="15"/>
      <c r="F13" s="15"/>
      <c r="G13" s="15"/>
      <c r="H13" s="15"/>
      <c r="I13" s="15"/>
      <c r="J13" s="15"/>
      <c r="K13" s="15"/>
      <c r="L13" s="15"/>
      <c r="M13" s="6"/>
    </row>
    <row r="14" customFormat="false" ht="16.5" hidden="false" customHeight="true" outlineLevel="0" collapsed="false">
      <c r="A14" s="16"/>
      <c r="B14" s="16"/>
      <c r="C14" s="16"/>
      <c r="D14" s="16"/>
      <c r="E14" s="16"/>
      <c r="F14" s="16"/>
      <c r="G14" s="16"/>
      <c r="H14" s="16"/>
      <c r="I14" s="16"/>
      <c r="J14" s="16"/>
      <c r="K14" s="16"/>
      <c r="L14" s="17"/>
      <c r="M14" s="6"/>
    </row>
    <row r="15" customFormat="false" ht="17.25" hidden="false" customHeight="true" outlineLevel="0" collapsed="false">
      <c r="A15" s="18"/>
      <c r="B15" s="19"/>
      <c r="C15" s="19"/>
      <c r="D15" s="19"/>
      <c r="E15" s="20" t="s">
        <v>3</v>
      </c>
      <c r="F15" s="20"/>
      <c r="G15" s="20"/>
      <c r="H15" s="20"/>
      <c r="I15" s="20"/>
      <c r="J15" s="19"/>
      <c r="K15" s="19"/>
      <c r="L15" s="21"/>
      <c r="M15" s="6"/>
    </row>
    <row r="16" customFormat="false" ht="16.5" hidden="false" customHeight="true" outlineLevel="0" collapsed="false">
      <c r="A16" s="22"/>
      <c r="B16" s="22"/>
      <c r="C16" s="22"/>
      <c r="D16" s="22"/>
      <c r="E16" s="23" t="s">
        <v>4</v>
      </c>
      <c r="F16" s="23"/>
      <c r="G16" s="23"/>
      <c r="H16" s="23"/>
      <c r="I16" s="24"/>
      <c r="J16" s="22"/>
      <c r="K16" s="22"/>
      <c r="L16" s="25"/>
      <c r="M16" s="6"/>
    </row>
    <row r="17" customFormat="false" ht="42.75" hidden="false" customHeight="true" outlineLevel="0" collapsed="false">
      <c r="A17" s="16"/>
      <c r="B17" s="16"/>
      <c r="C17" s="16"/>
      <c r="D17" s="16"/>
      <c r="E17" s="16"/>
      <c r="F17" s="16"/>
      <c r="G17" s="16"/>
      <c r="H17" s="16"/>
      <c r="I17" s="16"/>
      <c r="J17" s="16"/>
      <c r="K17" s="19"/>
      <c r="L17" s="17"/>
      <c r="M17" s="6"/>
    </row>
    <row r="18" customFormat="false" ht="24" hidden="false" customHeight="true" outlineLevel="0" collapsed="false">
      <c r="A18" s="26"/>
      <c r="B18" s="26"/>
      <c r="C18" s="26"/>
      <c r="D18" s="26"/>
      <c r="E18" s="26"/>
      <c r="F18" s="26"/>
      <c r="G18" s="26"/>
      <c r="H18" s="26"/>
      <c r="I18" s="26"/>
      <c r="J18" s="26"/>
      <c r="K18" s="26"/>
      <c r="L18" s="27"/>
      <c r="M18" s="6"/>
    </row>
    <row r="19" customFormat="false" ht="24.75" hidden="false" customHeight="false" outlineLevel="0" collapsed="false">
      <c r="A19" s="28"/>
      <c r="B19" s="29"/>
      <c r="C19" s="28"/>
      <c r="D19" s="28"/>
      <c r="E19" s="9" t="s">
        <v>5</v>
      </c>
      <c r="F19" s="9"/>
      <c r="G19" s="9"/>
      <c r="H19" s="9"/>
      <c r="I19" s="28"/>
      <c r="J19" s="28"/>
      <c r="K19" s="28"/>
      <c r="L19" s="30"/>
      <c r="M19" s="6"/>
    </row>
    <row r="20" customFormat="false" ht="22.5" hidden="false" customHeight="true" outlineLevel="0" collapsed="false">
      <c r="A20" s="3"/>
      <c r="B20" s="28"/>
      <c r="C20" s="3"/>
      <c r="D20" s="3"/>
      <c r="E20" s="31" t="s">
        <v>6</v>
      </c>
      <c r="F20" s="31"/>
      <c r="G20" s="31"/>
      <c r="H20" s="31"/>
      <c r="I20" s="32"/>
      <c r="J20" s="33"/>
      <c r="K20" s="3"/>
      <c r="L20" s="8"/>
      <c r="M20" s="6"/>
    </row>
    <row r="21" customFormat="false" ht="24.75" hidden="false" customHeight="false" outlineLevel="0" collapsed="false">
      <c r="A21" s="3"/>
      <c r="B21" s="18"/>
      <c r="C21" s="3"/>
      <c r="D21" s="33"/>
      <c r="E21" s="33"/>
      <c r="F21" s="33"/>
      <c r="G21" s="28"/>
      <c r="H21" s="28"/>
      <c r="I21" s="33"/>
      <c r="J21" s="33"/>
      <c r="K21" s="3"/>
      <c r="L21" s="8"/>
      <c r="M21" s="6"/>
    </row>
    <row r="22" customFormat="false" ht="16.5" hidden="true" customHeight="true" outlineLevel="0" collapsed="false">
      <c r="A22" s="28"/>
      <c r="B22" s="34"/>
      <c r="C22" s="35"/>
      <c r="D22" s="35"/>
      <c r="E22" s="35"/>
      <c r="F22" s="35"/>
      <c r="G22" s="35"/>
      <c r="H22" s="35"/>
      <c r="I22" s="35"/>
      <c r="J22" s="35"/>
      <c r="K22" s="35"/>
      <c r="L22" s="8"/>
      <c r="M22" s="6"/>
    </row>
    <row r="23" customFormat="false" ht="24.75" hidden="true" customHeight="true" outlineLevel="0" collapsed="false">
      <c r="A23" s="3"/>
      <c r="B23" s="36" t="s">
        <v>7</v>
      </c>
      <c r="C23" s="36"/>
      <c r="D23" s="36"/>
      <c r="E23" s="36"/>
      <c r="F23" s="36"/>
      <c r="G23" s="36"/>
      <c r="H23" s="36"/>
      <c r="I23" s="36"/>
      <c r="J23" s="36"/>
      <c r="K23" s="36"/>
      <c r="L23" s="8"/>
      <c r="M23" s="6"/>
    </row>
    <row r="24" customFormat="false" ht="26.25" hidden="true" customHeight="true" outlineLevel="0" collapsed="false">
      <c r="A24" s="3"/>
      <c r="B24" s="36"/>
      <c r="C24" s="36"/>
      <c r="D24" s="36"/>
      <c r="E24" s="36"/>
      <c r="F24" s="36"/>
      <c r="G24" s="36"/>
      <c r="H24" s="36"/>
      <c r="I24" s="36"/>
      <c r="J24" s="36"/>
      <c r="K24" s="36"/>
      <c r="L24" s="8"/>
      <c r="M24" s="6"/>
    </row>
    <row r="25" customFormat="false" ht="24.75" hidden="true" customHeight="false" outlineLevel="0" collapsed="false">
      <c r="A25" s="3"/>
      <c r="B25" s="33"/>
      <c r="C25" s="37"/>
      <c r="D25" s="37"/>
      <c r="E25" s="37"/>
      <c r="F25" s="37"/>
      <c r="G25" s="37"/>
      <c r="H25" s="37"/>
      <c r="I25" s="37"/>
      <c r="J25" s="37"/>
      <c r="K25" s="38"/>
      <c r="L25" s="8"/>
      <c r="M25" s="6"/>
    </row>
    <row r="26" customFormat="false" ht="16.5" hidden="true" customHeight="true" outlineLevel="0" collapsed="false">
      <c r="A26" s="3"/>
      <c r="B26" s="39" t="s">
        <v>8</v>
      </c>
      <c r="C26" s="39"/>
      <c r="D26" s="39"/>
      <c r="E26" s="39"/>
      <c r="F26" s="39"/>
      <c r="G26" s="39"/>
      <c r="H26" s="39"/>
      <c r="I26" s="39"/>
      <c r="J26" s="39"/>
      <c r="K26" s="39"/>
      <c r="L26" s="8"/>
      <c r="M26" s="6"/>
    </row>
    <row r="27" customFormat="false" ht="12.75" hidden="true" customHeight="true" outlineLevel="0" collapsed="false">
      <c r="A27" s="3"/>
      <c r="B27" s="39"/>
      <c r="C27" s="39"/>
      <c r="D27" s="39"/>
      <c r="E27" s="39"/>
      <c r="F27" s="39"/>
      <c r="G27" s="39"/>
      <c r="H27" s="39"/>
      <c r="I27" s="39"/>
      <c r="J27" s="39"/>
      <c r="K27" s="39"/>
      <c r="L27" s="8"/>
      <c r="M27" s="6"/>
    </row>
    <row r="28" customFormat="false" ht="24.75" hidden="true" customHeight="false" outlineLevel="0" collapsed="false">
      <c r="A28" s="3"/>
      <c r="B28" s="39"/>
      <c r="C28" s="39"/>
      <c r="D28" s="39"/>
      <c r="E28" s="39"/>
      <c r="F28" s="39"/>
      <c r="G28" s="39"/>
      <c r="H28" s="39"/>
      <c r="I28" s="39"/>
      <c r="J28" s="39"/>
      <c r="K28" s="39"/>
      <c r="L28" s="8"/>
      <c r="M28" s="6"/>
    </row>
    <row r="29" customFormat="false" ht="24.75" hidden="true" customHeight="false" outlineLevel="0" collapsed="false">
      <c r="A29" s="3"/>
      <c r="B29" s="33"/>
      <c r="C29" s="37"/>
      <c r="D29" s="37"/>
      <c r="E29" s="37"/>
      <c r="F29" s="37"/>
      <c r="G29" s="37"/>
      <c r="H29" s="37"/>
      <c r="I29" s="37"/>
      <c r="J29" s="37"/>
      <c r="K29" s="38"/>
      <c r="L29" s="8"/>
      <c r="M29" s="6"/>
    </row>
    <row r="30" s="43" customFormat="true" ht="16.5" hidden="false" customHeight="true" outlineLevel="0" collapsed="false">
      <c r="A30" s="40"/>
      <c r="B30" s="39" t="s">
        <v>9</v>
      </c>
      <c r="C30" s="39"/>
      <c r="D30" s="39"/>
      <c r="E30" s="39"/>
      <c r="F30" s="39"/>
      <c r="G30" s="39"/>
      <c r="H30" s="39"/>
      <c r="I30" s="39"/>
      <c r="J30" s="39"/>
      <c r="K30" s="39"/>
      <c r="L30" s="41"/>
      <c r="M30" s="42"/>
    </row>
    <row r="31" s="43" customFormat="true" ht="24.75" hidden="false" customHeight="false" outlineLevel="0" collapsed="false">
      <c r="A31" s="40"/>
      <c r="B31" s="39"/>
      <c r="C31" s="39"/>
      <c r="D31" s="39"/>
      <c r="E31" s="39"/>
      <c r="F31" s="39"/>
      <c r="G31" s="39"/>
      <c r="H31" s="39"/>
      <c r="I31" s="39"/>
      <c r="J31" s="39"/>
      <c r="K31" s="39"/>
      <c r="L31" s="41"/>
      <c r="M31" s="42"/>
    </row>
    <row r="32" s="43" customFormat="true" ht="31.5" hidden="false" customHeight="true" outlineLevel="0" collapsed="false">
      <c r="A32" s="40"/>
      <c r="B32" s="39"/>
      <c r="C32" s="39"/>
      <c r="D32" s="39"/>
      <c r="E32" s="39"/>
      <c r="F32" s="39"/>
      <c r="G32" s="39"/>
      <c r="H32" s="39"/>
      <c r="I32" s="39"/>
      <c r="J32" s="39"/>
      <c r="K32" s="39"/>
      <c r="L32" s="41"/>
      <c r="M32" s="42"/>
    </row>
    <row r="33" s="43" customFormat="true" ht="18.75" hidden="false" customHeight="true" outlineLevel="0" collapsed="false">
      <c r="A33" s="40"/>
      <c r="B33" s="39"/>
      <c r="C33" s="39"/>
      <c r="D33" s="39"/>
      <c r="E33" s="39"/>
      <c r="F33" s="39"/>
      <c r="G33" s="39"/>
      <c r="H33" s="39"/>
      <c r="I33" s="39"/>
      <c r="J33" s="39"/>
      <c r="K33" s="39"/>
      <c r="L33" s="41"/>
      <c r="M33" s="42"/>
    </row>
    <row r="34" s="43" customFormat="true" ht="14.25" hidden="true" customHeight="true" outlineLevel="0" collapsed="false">
      <c r="A34" s="40"/>
      <c r="B34" s="44"/>
      <c r="C34" s="44"/>
      <c r="D34" s="44"/>
      <c r="E34" s="44"/>
      <c r="F34" s="44"/>
      <c r="G34" s="44"/>
      <c r="H34" s="44"/>
      <c r="I34" s="44"/>
      <c r="J34" s="44"/>
      <c r="K34" s="44"/>
      <c r="L34" s="41"/>
      <c r="M34" s="42"/>
    </row>
    <row r="35" s="43" customFormat="true" ht="24.75" hidden="true" customHeight="false" outlineLevel="0" collapsed="false">
      <c r="A35" s="40"/>
      <c r="B35" s="44"/>
      <c r="C35" s="44"/>
      <c r="D35" s="44"/>
      <c r="E35" s="44"/>
      <c r="F35" s="44"/>
      <c r="G35" s="44"/>
      <c r="H35" s="44"/>
      <c r="I35" s="44"/>
      <c r="J35" s="44"/>
      <c r="K35" s="44"/>
      <c r="L35" s="41"/>
      <c r="M35" s="42"/>
    </row>
    <row r="36" s="43" customFormat="true" ht="24.75" hidden="true" customHeight="false" outlineLevel="0" collapsed="false">
      <c r="A36" s="40"/>
      <c r="B36" s="44"/>
      <c r="C36" s="44"/>
      <c r="D36" s="44"/>
      <c r="E36" s="44"/>
      <c r="F36" s="44"/>
      <c r="G36" s="44"/>
      <c r="H36" s="44"/>
      <c r="I36" s="44"/>
      <c r="J36" s="44"/>
      <c r="K36" s="44"/>
      <c r="L36" s="41"/>
      <c r="M36" s="42"/>
    </row>
    <row r="37" s="43" customFormat="true" ht="16.5" hidden="true" customHeight="true" outlineLevel="0" collapsed="false">
      <c r="A37" s="40"/>
      <c r="B37" s="45" t="s">
        <v>10</v>
      </c>
      <c r="C37" s="45"/>
      <c r="D37" s="45"/>
      <c r="E37" s="45"/>
      <c r="F37" s="45"/>
      <c r="G37" s="45"/>
      <c r="H37" s="45"/>
      <c r="I37" s="45"/>
      <c r="J37" s="45"/>
      <c r="K37" s="45"/>
      <c r="L37" s="41"/>
      <c r="M37" s="42"/>
    </row>
    <row r="38" s="43" customFormat="true" ht="24.75" hidden="true" customHeight="false" outlineLevel="0" collapsed="false">
      <c r="A38" s="40"/>
      <c r="B38" s="45"/>
      <c r="C38" s="45"/>
      <c r="D38" s="45"/>
      <c r="E38" s="45"/>
      <c r="F38" s="45"/>
      <c r="G38" s="45"/>
      <c r="H38" s="45"/>
      <c r="I38" s="45"/>
      <c r="J38" s="45"/>
      <c r="K38" s="45"/>
      <c r="L38" s="41"/>
      <c r="M38" s="42"/>
    </row>
    <row r="39" s="43" customFormat="true" ht="24.75" hidden="true" customHeight="false" outlineLevel="0" collapsed="false">
      <c r="A39" s="40"/>
      <c r="B39" s="45"/>
      <c r="C39" s="45"/>
      <c r="D39" s="45"/>
      <c r="E39" s="45"/>
      <c r="F39" s="45"/>
      <c r="G39" s="45"/>
      <c r="H39" s="45"/>
      <c r="I39" s="45"/>
      <c r="J39" s="45"/>
      <c r="K39" s="45"/>
      <c r="L39" s="41"/>
      <c r="M39" s="42"/>
    </row>
    <row r="40" s="43" customFormat="true" ht="24.75" hidden="true" customHeight="false" outlineLevel="0" collapsed="false">
      <c r="A40" s="40"/>
      <c r="B40" s="45"/>
      <c r="C40" s="45"/>
      <c r="D40" s="45"/>
      <c r="E40" s="45"/>
      <c r="F40" s="45"/>
      <c r="G40" s="45"/>
      <c r="H40" s="45"/>
      <c r="I40" s="45"/>
      <c r="J40" s="45"/>
      <c r="K40" s="45"/>
      <c r="L40" s="41"/>
      <c r="M40" s="42"/>
    </row>
    <row r="41" s="43" customFormat="true" ht="24.75" hidden="false" customHeight="false" outlineLevel="0" collapsed="false">
      <c r="A41" s="46"/>
      <c r="B41" s="47"/>
      <c r="C41" s="48"/>
      <c r="D41" s="48"/>
      <c r="E41" s="48"/>
      <c r="F41" s="48"/>
      <c r="G41" s="48"/>
      <c r="H41" s="48"/>
      <c r="I41" s="48"/>
      <c r="J41" s="48"/>
      <c r="K41" s="49"/>
      <c r="L41" s="50"/>
      <c r="M41" s="42"/>
    </row>
    <row r="42" customFormat="false" ht="21" hidden="false" customHeight="true" outlineLevel="0" collapsed="false">
      <c r="A42" s="51"/>
      <c r="B42" s="52" t="s">
        <v>11</v>
      </c>
      <c r="C42" s="52"/>
      <c r="D42" s="52"/>
      <c r="E42" s="52"/>
      <c r="F42" s="52"/>
      <c r="G42" s="52"/>
      <c r="H42" s="52"/>
      <c r="I42" s="52"/>
      <c r="J42" s="53"/>
      <c r="K42" s="53"/>
      <c r="L42" s="54"/>
      <c r="M42" s="6"/>
    </row>
    <row r="45" customFormat="false" ht="15" hidden="true" customHeight="false" outlineLevel="0" collapsed="false">
      <c r="E45" s="1" t="s">
        <v>12</v>
      </c>
    </row>
    <row r="46" customFormat="false" ht="15" hidden="true" customHeight="false" outlineLevel="0" collapsed="false">
      <c r="E46" s="1" t="s">
        <v>13</v>
      </c>
    </row>
    <row r="47" customFormat="false" ht="15" hidden="true" customHeight="false" outlineLevel="0" collapsed="false">
      <c r="E47" s="1" t="s">
        <v>6</v>
      </c>
    </row>
    <row r="57" customFormat="false" ht="15" hidden="true" customHeight="false" outlineLevel="0" collapsed="false">
      <c r="A57" s="4"/>
      <c r="B57" s="4"/>
      <c r="C57" s="4"/>
      <c r="D57" s="4"/>
      <c r="E57" s="4"/>
      <c r="F57" s="4"/>
      <c r="G57" s="4"/>
      <c r="H57" s="4"/>
      <c r="I57" s="4"/>
      <c r="J57" s="4"/>
      <c r="K57" s="4"/>
      <c r="L57" s="4"/>
    </row>
    <row r="58" customFormat="false" ht="15" hidden="true" customHeight="false" outlineLevel="0" collapsed="false">
      <c r="A58" s="4"/>
      <c r="B58" s="4"/>
      <c r="C58" s="4"/>
      <c r="D58" s="4"/>
      <c r="E58" s="4"/>
      <c r="F58" s="4"/>
      <c r="G58" s="4"/>
      <c r="H58" s="4"/>
      <c r="I58" s="4"/>
      <c r="J58" s="4"/>
      <c r="K58" s="4"/>
      <c r="L58" s="4"/>
    </row>
    <row r="59" customFormat="false" ht="15" hidden="true" customHeight="false" outlineLevel="0" collapsed="false">
      <c r="A59" s="4"/>
      <c r="B59" s="4"/>
      <c r="C59" s="4"/>
      <c r="D59" s="4"/>
      <c r="E59" s="4"/>
      <c r="F59" s="4"/>
      <c r="G59" s="4"/>
      <c r="H59" s="4"/>
      <c r="I59" s="4"/>
      <c r="J59" s="4"/>
      <c r="K59" s="4"/>
      <c r="L59" s="4"/>
    </row>
    <row r="60" customFormat="false" ht="15" hidden="true" customHeight="false" outlineLevel="0" collapsed="false">
      <c r="A60" s="4"/>
      <c r="B60" s="4"/>
      <c r="C60" s="4"/>
      <c r="D60" s="4"/>
      <c r="E60" s="4"/>
      <c r="F60" s="4"/>
      <c r="G60" s="4"/>
      <c r="H60" s="4"/>
      <c r="I60" s="4"/>
      <c r="J60" s="4"/>
      <c r="K60" s="4"/>
      <c r="L60" s="4"/>
    </row>
    <row r="61" customFormat="false" ht="15" hidden="true" customHeight="false" outlineLevel="0" collapsed="false">
      <c r="A61" s="4"/>
      <c r="B61" s="4"/>
      <c r="C61" s="4"/>
      <c r="D61" s="4"/>
      <c r="E61" s="4"/>
      <c r="F61" s="4"/>
      <c r="G61" s="4"/>
      <c r="H61" s="4"/>
      <c r="I61" s="4"/>
      <c r="J61" s="4"/>
      <c r="K61" s="4"/>
      <c r="L61" s="4"/>
    </row>
    <row r="62" customFormat="false" ht="15" hidden="true" customHeight="false" outlineLevel="0" collapsed="false">
      <c r="A62" s="4"/>
      <c r="B62" s="4"/>
      <c r="C62" s="4"/>
      <c r="D62" s="4"/>
      <c r="E62" s="4"/>
      <c r="F62" s="4"/>
      <c r="G62" s="4"/>
      <c r="H62" s="4"/>
      <c r="I62" s="4"/>
      <c r="J62" s="4"/>
      <c r="K62" s="4"/>
      <c r="L62" s="4"/>
    </row>
  </sheetData>
  <sheetProtection algorithmName="SHA-512" hashValue="EczpCKI9X8Z+gStmwRQQZ2dXMuSnyio80zy0JgG2WvOf4/NEYj8pKN8CMHtJ73qMD0aa2Z80XJ/KSc7EcgEGMw==" saltValue="FT8rWMKzCXnhZ7zBUXI5LA==" spinCount="100000" sheet="true" objects="true" scenarios="true"/>
  <mergeCells count="12">
    <mergeCell ref="A7:C7"/>
    <mergeCell ref="A12:L12"/>
    <mergeCell ref="A13:L13"/>
    <mergeCell ref="E15:I15"/>
    <mergeCell ref="E16:H16"/>
    <mergeCell ref="E19:H19"/>
    <mergeCell ref="E20:H20"/>
    <mergeCell ref="B23:K24"/>
    <mergeCell ref="B26:K28"/>
    <mergeCell ref="B30:K33"/>
    <mergeCell ref="B37:K40"/>
    <mergeCell ref="B42:I42"/>
  </mergeCells>
  <dataValidations count="1">
    <dataValidation allowBlank="true" operator="between" showDropDown="false" showErrorMessage="true" showInputMessage="true" sqref="E20:H20" type="list">
      <formula1>$E$45:$E$47</formula1>
      <formula2>0</formula2>
    </dataValidation>
  </dataValidations>
  <hyperlinks>
    <hyperlink ref="L1" r:id="rId1" display="joinup"/>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T61"/>
  <sheetViews>
    <sheetView showFormulas="false" showGridLines="true" showRowColHeaders="true" showZeros="true" rightToLeft="false" tabSelected="false" showOutlineSymbols="true" defaultGridColor="true" view="normal" topLeftCell="B50" colorId="64" zoomScale="100" zoomScaleNormal="100" zoomScalePageLayoutView="100" workbookViewId="0">
      <selection pane="topLeft" activeCell="H25" activeCellId="0" sqref="H25"/>
    </sheetView>
  </sheetViews>
  <sheetFormatPr defaultColWidth="9.15625" defaultRowHeight="15" zeroHeight="true" outlineLevelRow="0" outlineLevelCol="0"/>
  <cols>
    <col collapsed="false" customWidth="false" hidden="true" outlineLevel="0" max="1" min="1" style="0" width="9.14"/>
    <col collapsed="false" customWidth="true" hidden="false" outlineLevel="0" max="2" min="2" style="0" width="3.14"/>
    <col collapsed="false" customWidth="true" hidden="false" outlineLevel="0" max="3" min="3" style="0" width="5.01"/>
    <col collapsed="false" customWidth="true" hidden="false" outlineLevel="0" max="6" min="6" style="0" width="16.86"/>
    <col collapsed="false" customWidth="true" hidden="false" outlineLevel="0" max="7" min="7" style="55" width="3.42"/>
    <col collapsed="false" customWidth="true" hidden="false" outlineLevel="0" max="9" min="9" style="0" width="11.57"/>
    <col collapsed="false" customWidth="true" hidden="false" outlineLevel="0" max="11" min="11" style="0" width="2.99"/>
    <col collapsed="false" customWidth="true" hidden="false" outlineLevel="0" max="13" min="13" style="0" width="2.85"/>
    <col collapsed="false" customWidth="true" hidden="false" outlineLevel="0" max="15" min="15" style="0" width="7.29"/>
    <col collapsed="false" customWidth="true" hidden="false" outlineLevel="0" max="18" min="18" style="0" width="3.57"/>
    <col collapsed="false" customWidth="false" hidden="true" outlineLevel="0" max="1024" min="19" style="0" width="9.14"/>
  </cols>
  <sheetData>
    <row r="1" customFormat="false" ht="15" hidden="true" customHeight="false" outlineLevel="0" collapsed="false">
      <c r="A1" s="56"/>
      <c r="B1" s="57"/>
      <c r="C1" s="58"/>
      <c r="D1" s="58"/>
      <c r="E1" s="59"/>
      <c r="F1" s="56"/>
      <c r="G1" s="60"/>
      <c r="H1" s="56"/>
      <c r="I1" s="56"/>
      <c r="J1" s="56"/>
      <c r="K1" s="56"/>
      <c r="L1" s="56"/>
      <c r="M1" s="56"/>
      <c r="N1" s="58"/>
      <c r="O1" s="61"/>
      <c r="P1" s="61"/>
      <c r="Q1" s="61"/>
      <c r="R1" s="58"/>
    </row>
    <row r="2" customFormat="false" ht="9.75" hidden="false" customHeight="true" outlineLevel="0" collapsed="false">
      <c r="A2" s="58"/>
      <c r="B2" s="58"/>
      <c r="C2" s="58"/>
      <c r="D2" s="58"/>
      <c r="E2" s="58"/>
      <c r="F2" s="58"/>
      <c r="G2" s="62"/>
      <c r="H2" s="58"/>
      <c r="I2" s="58"/>
      <c r="J2" s="58"/>
      <c r="K2" s="58"/>
      <c r="L2" s="58"/>
      <c r="M2" s="58"/>
      <c r="N2" s="58"/>
      <c r="O2" s="58"/>
      <c r="P2" s="58"/>
      <c r="Q2" s="58"/>
      <c r="R2" s="58"/>
    </row>
    <row r="3" customFormat="false" ht="15" hidden="false" customHeight="false" outlineLevel="0" collapsed="false">
      <c r="A3" s="63" t="s">
        <v>14</v>
      </c>
      <c r="B3" s="63" t="s">
        <v>15</v>
      </c>
      <c r="C3" s="63" t="s">
        <v>15</v>
      </c>
      <c r="D3" s="63" t="s">
        <v>15</v>
      </c>
      <c r="E3" s="63" t="s">
        <v>15</v>
      </c>
      <c r="F3" s="63" t="s">
        <v>15</v>
      </c>
      <c r="G3" s="63" t="s">
        <v>15</v>
      </c>
      <c r="H3" s="63" t="s">
        <v>15</v>
      </c>
      <c r="I3" s="63" t="s">
        <v>15</v>
      </c>
      <c r="J3" s="63" t="s">
        <v>15</v>
      </c>
      <c r="K3" s="63" t="s">
        <v>15</v>
      </c>
      <c r="L3" s="63" t="s">
        <v>15</v>
      </c>
      <c r="M3" s="63" t="s">
        <v>15</v>
      </c>
      <c r="N3" s="63"/>
      <c r="O3" s="63"/>
      <c r="P3" s="63"/>
      <c r="Q3" s="63"/>
      <c r="R3" s="63"/>
    </row>
    <row r="4" customFormat="false" ht="8.25" hidden="false" customHeight="true" outlineLevel="0" collapsed="false">
      <c r="A4" s="56"/>
      <c r="B4" s="58"/>
      <c r="C4" s="58"/>
      <c r="D4" s="58"/>
      <c r="E4" s="64"/>
      <c r="F4" s="56"/>
      <c r="G4" s="60"/>
      <c r="H4" s="56"/>
      <c r="I4" s="56"/>
      <c r="J4" s="56"/>
      <c r="K4" s="56"/>
      <c r="L4" s="56"/>
      <c r="M4" s="56"/>
      <c r="N4" s="56"/>
      <c r="O4" s="58"/>
      <c r="P4" s="58"/>
      <c r="Q4" s="58"/>
      <c r="R4" s="58"/>
    </row>
    <row r="5" customFormat="false" ht="15" hidden="false" customHeight="false" outlineLevel="0" collapsed="false">
      <c r="A5" s="58"/>
      <c r="B5" s="65"/>
      <c r="C5" s="65"/>
      <c r="D5" s="66" t="s">
        <v>16</v>
      </c>
      <c r="E5" s="67"/>
      <c r="F5" s="68"/>
      <c r="G5" s="69"/>
      <c r="H5" s="68"/>
      <c r="I5" s="68"/>
      <c r="J5" s="68"/>
      <c r="K5" s="68"/>
      <c r="L5" s="68"/>
      <c r="M5" s="68"/>
      <c r="N5" s="65"/>
      <c r="O5" s="65"/>
      <c r="P5" s="65"/>
      <c r="Q5" s="65"/>
      <c r="R5" s="65"/>
    </row>
    <row r="6" customFormat="false" ht="15" hidden="false" customHeight="false" outlineLevel="0" collapsed="false">
      <c r="A6" s="70"/>
      <c r="B6" s="61"/>
      <c r="C6" s="61"/>
      <c r="D6" s="61"/>
      <c r="E6" s="61"/>
      <c r="F6" s="70"/>
      <c r="G6" s="71"/>
      <c r="H6" s="70"/>
      <c r="I6" s="70"/>
      <c r="J6" s="70"/>
      <c r="K6" s="70"/>
      <c r="L6" s="70"/>
      <c r="M6" s="70"/>
      <c r="N6" s="70"/>
      <c r="O6" s="61"/>
      <c r="P6" s="61"/>
      <c r="Q6" s="61"/>
      <c r="R6" s="58"/>
    </row>
    <row r="7" customFormat="false" ht="15" hidden="false" customHeight="false" outlineLevel="0" collapsed="false">
      <c r="A7" s="70"/>
      <c r="B7" s="70"/>
      <c r="C7" s="72" t="s">
        <v>17</v>
      </c>
      <c r="D7" s="73" t="s">
        <v>18</v>
      </c>
      <c r="E7" s="73"/>
      <c r="F7" s="73"/>
      <c r="G7" s="71"/>
      <c r="H7" s="74"/>
      <c r="I7" s="74"/>
      <c r="J7" s="74"/>
      <c r="K7" s="74"/>
      <c r="L7" s="74"/>
      <c r="M7" s="74"/>
      <c r="N7" s="74"/>
      <c r="O7" s="74"/>
      <c r="P7" s="74"/>
      <c r="Q7" s="74"/>
      <c r="R7" s="58"/>
    </row>
    <row r="8" customFormat="false" ht="15" hidden="false" customHeight="false" outlineLevel="0" collapsed="false">
      <c r="A8" s="70"/>
      <c r="B8" s="70"/>
      <c r="C8" s="72"/>
      <c r="D8" s="62"/>
      <c r="E8" s="75"/>
      <c r="F8" s="71"/>
      <c r="G8" s="71"/>
      <c r="H8" s="71"/>
      <c r="I8" s="71"/>
      <c r="J8" s="71"/>
      <c r="K8" s="71"/>
      <c r="L8" s="71"/>
      <c r="M8" s="71"/>
      <c r="N8" s="71"/>
      <c r="O8" s="76"/>
      <c r="P8" s="76"/>
      <c r="Q8" s="76"/>
      <c r="R8" s="58"/>
    </row>
    <row r="9" customFormat="false" ht="15" hidden="false" customHeight="false" outlineLevel="0" collapsed="false">
      <c r="A9" s="70"/>
      <c r="B9" s="70"/>
      <c r="C9" s="72" t="s">
        <v>19</v>
      </c>
      <c r="D9" s="73" t="s">
        <v>20</v>
      </c>
      <c r="E9" s="73"/>
      <c r="F9" s="73"/>
      <c r="G9" s="71"/>
      <c r="H9" s="74"/>
      <c r="I9" s="74"/>
      <c r="J9" s="74"/>
      <c r="K9" s="74"/>
      <c r="L9" s="74"/>
      <c r="M9" s="74"/>
      <c r="N9" s="74"/>
      <c r="O9" s="74"/>
      <c r="P9" s="74"/>
      <c r="Q9" s="74"/>
      <c r="R9" s="58"/>
    </row>
    <row r="10" customFormat="false" ht="15" hidden="false" customHeight="false" outlineLevel="0" collapsed="false">
      <c r="A10" s="70"/>
      <c r="B10" s="70"/>
      <c r="C10" s="72"/>
      <c r="D10" s="62"/>
      <c r="E10" s="75"/>
      <c r="F10" s="71"/>
      <c r="G10" s="71"/>
      <c r="H10" s="71"/>
      <c r="I10" s="71"/>
      <c r="J10" s="71"/>
      <c r="K10" s="71"/>
      <c r="L10" s="71"/>
      <c r="M10" s="71"/>
      <c r="N10" s="71"/>
      <c r="O10" s="71"/>
      <c r="P10" s="71"/>
      <c r="Q10" s="71"/>
      <c r="R10" s="58"/>
    </row>
    <row r="11" customFormat="false" ht="15" hidden="false" customHeight="false" outlineLevel="0" collapsed="false">
      <c r="A11" s="70"/>
      <c r="B11" s="70"/>
      <c r="C11" s="72" t="s">
        <v>21</v>
      </c>
      <c r="D11" s="73" t="s">
        <v>22</v>
      </c>
      <c r="E11" s="73"/>
      <c r="F11" s="73"/>
      <c r="G11" s="71"/>
      <c r="H11" s="74"/>
      <c r="I11" s="74"/>
      <c r="J11" s="74"/>
      <c r="K11" s="74"/>
      <c r="L11" s="74"/>
      <c r="M11" s="74"/>
      <c r="N11" s="74"/>
      <c r="O11" s="74"/>
      <c r="P11" s="74"/>
      <c r="Q11" s="74"/>
      <c r="R11" s="58"/>
    </row>
    <row r="12" customFormat="false" ht="15" hidden="false" customHeight="false" outlineLevel="0" collapsed="false">
      <c r="A12" s="70"/>
      <c r="B12" s="70"/>
      <c r="C12" s="72"/>
      <c r="D12" s="62"/>
      <c r="E12" s="75"/>
      <c r="F12" s="71"/>
      <c r="G12" s="71"/>
      <c r="H12" s="71"/>
      <c r="I12" s="71"/>
      <c r="J12" s="71"/>
      <c r="K12" s="71"/>
      <c r="L12" s="71"/>
      <c r="M12" s="71"/>
      <c r="N12" s="71"/>
      <c r="O12" s="71"/>
      <c r="P12" s="71"/>
      <c r="Q12" s="71"/>
      <c r="R12" s="58"/>
    </row>
    <row r="13" customFormat="false" ht="15" hidden="false" customHeight="false" outlineLevel="0" collapsed="false">
      <c r="A13" s="70"/>
      <c r="B13" s="70"/>
      <c r="C13" s="72" t="s">
        <v>23</v>
      </c>
      <c r="D13" s="73" t="s">
        <v>24</v>
      </c>
      <c r="E13" s="73"/>
      <c r="F13" s="73"/>
      <c r="G13" s="71"/>
      <c r="H13" s="74"/>
      <c r="I13" s="74"/>
      <c r="J13" s="74"/>
      <c r="K13" s="74"/>
      <c r="L13" s="74"/>
      <c r="M13" s="74"/>
      <c r="N13" s="74"/>
      <c r="O13" s="74"/>
      <c r="P13" s="74"/>
      <c r="Q13" s="74"/>
      <c r="R13" s="58"/>
    </row>
    <row r="14" customFormat="false" ht="15" hidden="false" customHeight="false" outlineLevel="0" collapsed="false">
      <c r="A14" s="70"/>
      <c r="B14" s="70"/>
      <c r="C14" s="72"/>
      <c r="D14" s="62"/>
      <c r="E14" s="75"/>
      <c r="F14" s="71"/>
      <c r="G14" s="71"/>
      <c r="H14" s="71"/>
      <c r="I14" s="71"/>
      <c r="J14" s="71"/>
      <c r="K14" s="71"/>
      <c r="L14" s="71"/>
      <c r="M14" s="71"/>
      <c r="N14" s="71"/>
      <c r="O14" s="71"/>
      <c r="P14" s="71"/>
      <c r="Q14" s="71"/>
      <c r="R14" s="58"/>
    </row>
    <row r="15" customFormat="false" ht="15" hidden="false" customHeight="false" outlineLevel="0" collapsed="false">
      <c r="A15" s="70"/>
      <c r="B15" s="70"/>
      <c r="C15" s="72" t="s">
        <v>25</v>
      </c>
      <c r="D15" s="73" t="s">
        <v>26</v>
      </c>
      <c r="E15" s="73"/>
      <c r="F15" s="73"/>
      <c r="G15" s="71"/>
      <c r="H15" s="74"/>
      <c r="I15" s="74"/>
      <c r="J15" s="74"/>
      <c r="K15" s="74"/>
      <c r="L15" s="74"/>
      <c r="M15" s="74"/>
      <c r="N15" s="74"/>
      <c r="O15" s="74"/>
      <c r="P15" s="74"/>
      <c r="Q15" s="74"/>
      <c r="R15" s="58"/>
    </row>
    <row r="16" customFormat="false" ht="15" hidden="false" customHeight="false" outlineLevel="0" collapsed="false">
      <c r="A16" s="70"/>
      <c r="B16" s="70"/>
      <c r="C16" s="72"/>
      <c r="D16" s="62"/>
      <c r="E16" s="75"/>
      <c r="F16" s="71"/>
      <c r="G16" s="71"/>
      <c r="H16" s="71"/>
      <c r="I16" s="71"/>
      <c r="J16" s="71"/>
      <c r="K16" s="71"/>
      <c r="L16" s="71"/>
      <c r="M16" s="71"/>
      <c r="N16" s="71"/>
      <c r="O16" s="71"/>
      <c r="P16" s="71"/>
      <c r="Q16" s="71"/>
      <c r="R16" s="58"/>
    </row>
    <row r="17" customFormat="false" ht="15" hidden="false" customHeight="false" outlineLevel="0" collapsed="false">
      <c r="A17" s="70"/>
      <c r="B17" s="70"/>
      <c r="C17" s="72" t="s">
        <v>27</v>
      </c>
      <c r="D17" s="73" t="s">
        <v>28</v>
      </c>
      <c r="E17" s="73"/>
      <c r="F17" s="73"/>
      <c r="G17" s="71"/>
      <c r="H17" s="74"/>
      <c r="I17" s="74"/>
      <c r="J17" s="74"/>
      <c r="K17" s="74"/>
      <c r="L17" s="74"/>
      <c r="M17" s="74"/>
      <c r="N17" s="74"/>
      <c r="O17" s="74"/>
      <c r="P17" s="74"/>
      <c r="Q17" s="74"/>
      <c r="R17" s="58"/>
    </row>
    <row r="18" customFormat="false" ht="15" hidden="false" customHeight="false" outlineLevel="0" collapsed="false">
      <c r="A18" s="70"/>
      <c r="B18" s="70"/>
      <c r="C18" s="70"/>
      <c r="D18" s="71"/>
      <c r="E18" s="77"/>
      <c r="F18" s="71"/>
      <c r="G18" s="71"/>
      <c r="H18" s="71"/>
      <c r="I18" s="71"/>
      <c r="J18" s="71"/>
      <c r="K18" s="71"/>
      <c r="L18" s="71"/>
      <c r="M18" s="71"/>
      <c r="N18" s="71"/>
      <c r="O18" s="71"/>
      <c r="P18" s="71"/>
      <c r="Q18" s="71"/>
      <c r="R18" s="56"/>
    </row>
    <row r="19" customFormat="false" ht="15" hidden="false" customHeight="false" outlineLevel="0" collapsed="false">
      <c r="A19" s="70"/>
      <c r="B19" s="78"/>
      <c r="C19" s="72" t="s">
        <v>29</v>
      </c>
      <c r="D19" s="73" t="s">
        <v>30</v>
      </c>
      <c r="E19" s="73"/>
      <c r="F19" s="73"/>
      <c r="G19" s="79" t="s">
        <v>31</v>
      </c>
      <c r="H19" s="80"/>
      <c r="I19" s="80"/>
      <c r="J19" s="80"/>
      <c r="K19" s="80"/>
      <c r="L19" s="80"/>
      <c r="M19" s="80"/>
      <c r="N19" s="80"/>
      <c r="O19" s="80"/>
      <c r="P19" s="80"/>
      <c r="Q19" s="80"/>
      <c r="R19" s="58"/>
    </row>
    <row r="20" customFormat="false" ht="15" hidden="false" customHeight="false" outlineLevel="0" collapsed="false">
      <c r="A20" s="70"/>
      <c r="B20" s="70"/>
      <c r="C20" s="70"/>
      <c r="D20" s="71"/>
      <c r="E20" s="77"/>
      <c r="F20" s="71"/>
      <c r="G20" s="71"/>
      <c r="H20" s="71"/>
      <c r="I20" s="71"/>
      <c r="J20" s="71"/>
      <c r="K20" s="71"/>
      <c r="L20" s="71"/>
      <c r="M20" s="71"/>
      <c r="N20" s="71"/>
      <c r="O20" s="71"/>
      <c r="P20" s="71"/>
      <c r="Q20" s="71"/>
      <c r="R20" s="56"/>
    </row>
    <row r="21" customFormat="false" ht="15" hidden="false" customHeight="false" outlineLevel="0" collapsed="false">
      <c r="A21" s="81"/>
      <c r="B21" s="81"/>
      <c r="C21" s="81"/>
      <c r="D21" s="82" t="s">
        <v>32</v>
      </c>
      <c r="E21" s="83"/>
      <c r="F21" s="84"/>
      <c r="G21" s="81"/>
      <c r="H21" s="81"/>
      <c r="I21" s="81"/>
      <c r="J21" s="81"/>
      <c r="K21" s="81"/>
      <c r="L21" s="81"/>
      <c r="M21" s="81"/>
      <c r="N21" s="81"/>
      <c r="O21" s="81"/>
      <c r="P21" s="81"/>
      <c r="Q21" s="81"/>
      <c r="R21" s="81"/>
    </row>
    <row r="22" customFormat="false" ht="15" hidden="false" customHeight="false" outlineLevel="0" collapsed="false">
      <c r="A22" s="70"/>
      <c r="B22" s="70"/>
      <c r="C22" s="70"/>
      <c r="D22" s="70"/>
      <c r="E22" s="85"/>
      <c r="F22" s="70"/>
      <c r="G22" s="71"/>
      <c r="H22" s="71"/>
      <c r="I22" s="71"/>
      <c r="J22" s="71"/>
      <c r="K22" s="71"/>
      <c r="L22" s="71"/>
      <c r="M22" s="71"/>
      <c r="N22" s="71"/>
      <c r="O22" s="71"/>
      <c r="P22" s="71"/>
      <c r="Q22" s="71"/>
      <c r="R22" s="56"/>
    </row>
    <row r="23" customFormat="false" ht="15" hidden="false" customHeight="false" outlineLevel="0" collapsed="false">
      <c r="A23" s="70"/>
      <c r="B23" s="78"/>
      <c r="C23" s="72" t="s">
        <v>33</v>
      </c>
      <c r="D23" s="73" t="s">
        <v>34</v>
      </c>
      <c r="E23" s="73"/>
      <c r="F23" s="73"/>
      <c r="G23" s="79" t="s">
        <v>31</v>
      </c>
      <c r="H23" s="74"/>
      <c r="I23" s="74"/>
      <c r="J23" s="74"/>
      <c r="K23" s="74"/>
      <c r="L23" s="74"/>
      <c r="M23" s="74"/>
      <c r="N23" s="74"/>
      <c r="O23" s="74"/>
      <c r="P23" s="74"/>
      <c r="Q23" s="74"/>
      <c r="R23" s="72"/>
    </row>
    <row r="24" customFormat="false" ht="15" hidden="false" customHeight="false" outlineLevel="0" collapsed="false">
      <c r="A24" s="70"/>
      <c r="B24" s="78"/>
      <c r="C24" s="78"/>
      <c r="D24" s="77"/>
      <c r="E24" s="77"/>
      <c r="F24" s="77"/>
      <c r="G24" s="76"/>
      <c r="H24" s="71"/>
      <c r="I24" s="71"/>
      <c r="J24" s="71"/>
      <c r="K24" s="71"/>
      <c r="L24" s="71"/>
      <c r="M24" s="71"/>
      <c r="N24" s="71"/>
      <c r="O24" s="71"/>
      <c r="P24" s="71"/>
      <c r="Q24" s="71"/>
      <c r="R24" s="72"/>
    </row>
    <row r="25" customFormat="false" ht="33.75" hidden="false" customHeight="true" outlineLevel="0" collapsed="false">
      <c r="A25" s="70"/>
      <c r="B25" s="70"/>
      <c r="C25" s="78" t="s">
        <v>35</v>
      </c>
      <c r="D25" s="86" t="s">
        <v>36</v>
      </c>
      <c r="E25" s="86"/>
      <c r="F25" s="86"/>
      <c r="G25" s="71"/>
      <c r="H25" s="74"/>
      <c r="I25" s="74"/>
      <c r="J25" s="74"/>
      <c r="K25" s="74"/>
      <c r="L25" s="74"/>
      <c r="M25" s="74"/>
      <c r="N25" s="74"/>
      <c r="O25" s="74"/>
      <c r="P25" s="74"/>
      <c r="Q25" s="74"/>
      <c r="R25" s="56"/>
      <c r="T25" s="87" t="s">
        <v>37</v>
      </c>
    </row>
    <row r="26" customFormat="false" ht="15" hidden="false" customHeight="false" outlineLevel="0" collapsed="false">
      <c r="A26" s="70"/>
      <c r="B26" s="78"/>
      <c r="C26" s="72"/>
      <c r="D26" s="77"/>
      <c r="E26" s="77"/>
      <c r="F26" s="77"/>
      <c r="G26" s="76"/>
      <c r="H26" s="88"/>
      <c r="I26" s="71"/>
      <c r="J26" s="71"/>
      <c r="K26" s="71"/>
      <c r="L26" s="71"/>
      <c r="M26" s="71"/>
      <c r="N26" s="71"/>
      <c r="O26" s="71"/>
      <c r="P26" s="71"/>
      <c r="Q26" s="71"/>
      <c r="R26" s="72"/>
    </row>
    <row r="27" customFormat="false" ht="66.75" hidden="false" customHeight="true" outlineLevel="0" collapsed="false">
      <c r="A27" s="70"/>
      <c r="B27" s="78"/>
      <c r="C27" s="78" t="s">
        <v>38</v>
      </c>
      <c r="D27" s="86" t="s">
        <v>39</v>
      </c>
      <c r="E27" s="86"/>
      <c r="F27" s="86"/>
      <c r="G27" s="89" t="s">
        <v>31</v>
      </c>
      <c r="H27" s="74"/>
      <c r="I27" s="74"/>
      <c r="J27" s="74"/>
      <c r="K27" s="74"/>
      <c r="L27" s="74"/>
      <c r="M27" s="74"/>
      <c r="N27" s="74"/>
      <c r="O27" s="74"/>
      <c r="P27" s="74"/>
      <c r="Q27" s="74"/>
      <c r="R27" s="72"/>
      <c r="T27" s="90" t="s">
        <v>37</v>
      </c>
    </row>
    <row r="28" customFormat="false" ht="15" hidden="false" customHeight="false" outlineLevel="0" collapsed="false">
      <c r="A28" s="70"/>
      <c r="B28" s="70"/>
      <c r="C28" s="78"/>
      <c r="D28" s="77"/>
      <c r="E28" s="77"/>
      <c r="F28" s="77"/>
      <c r="G28" s="71"/>
      <c r="H28" s="71"/>
      <c r="I28" s="71"/>
      <c r="J28" s="71"/>
      <c r="K28" s="71"/>
      <c r="L28" s="71"/>
      <c r="M28" s="71"/>
      <c r="N28" s="71"/>
      <c r="O28" s="71"/>
      <c r="P28" s="71"/>
      <c r="Q28" s="71"/>
      <c r="R28" s="56"/>
    </row>
    <row r="29" customFormat="false" ht="51" hidden="false" customHeight="true" outlineLevel="0" collapsed="false">
      <c r="A29" s="70"/>
      <c r="B29" s="70"/>
      <c r="C29" s="72" t="s">
        <v>40</v>
      </c>
      <c r="D29" s="86" t="s">
        <v>41</v>
      </c>
      <c r="E29" s="86"/>
      <c r="F29" s="86"/>
      <c r="G29" s="71"/>
      <c r="H29" s="74"/>
      <c r="I29" s="74"/>
      <c r="J29" s="74"/>
      <c r="K29" s="74"/>
      <c r="L29" s="74"/>
      <c r="M29" s="74"/>
      <c r="N29" s="74"/>
      <c r="O29" s="74"/>
      <c r="P29" s="74"/>
      <c r="Q29" s="74"/>
      <c r="R29" s="56"/>
      <c r="T29" s="91" t="s">
        <v>37</v>
      </c>
    </row>
    <row r="30" customFormat="false" ht="15" hidden="false" customHeight="false" outlineLevel="0" collapsed="false">
      <c r="A30" s="70"/>
      <c r="B30" s="70"/>
      <c r="C30" s="78"/>
      <c r="D30" s="77"/>
      <c r="E30" s="77"/>
      <c r="F30" s="77"/>
      <c r="G30" s="71"/>
      <c r="H30" s="71"/>
      <c r="I30" s="71"/>
      <c r="J30" s="71"/>
      <c r="K30" s="71"/>
      <c r="L30" s="71"/>
      <c r="M30" s="71"/>
      <c r="N30" s="71"/>
      <c r="O30" s="71"/>
      <c r="P30" s="71"/>
      <c r="Q30" s="71"/>
      <c r="R30" s="56"/>
    </row>
    <row r="31" customFormat="false" ht="33.75" hidden="false" customHeight="true" outlineLevel="0" collapsed="false">
      <c r="A31" s="70"/>
      <c r="B31" s="70"/>
      <c r="C31" s="78" t="s">
        <v>42</v>
      </c>
      <c r="D31" s="86" t="s">
        <v>43</v>
      </c>
      <c r="E31" s="86"/>
      <c r="F31" s="86"/>
      <c r="G31" s="71"/>
      <c r="H31" s="92"/>
      <c r="I31" s="92"/>
      <c r="J31" s="92"/>
      <c r="K31" s="92"/>
      <c r="L31" s="92"/>
      <c r="M31" s="92"/>
      <c r="N31" s="92"/>
      <c r="O31" s="92"/>
      <c r="P31" s="92"/>
      <c r="Q31" s="92"/>
      <c r="R31" s="56"/>
      <c r="T31" s="87" t="s">
        <v>37</v>
      </c>
    </row>
    <row r="32" customFormat="false" ht="15" hidden="false" customHeight="false" outlineLevel="0" collapsed="false">
      <c r="A32" s="70"/>
      <c r="B32" s="70"/>
      <c r="C32" s="72"/>
      <c r="D32" s="77"/>
      <c r="E32" s="77"/>
      <c r="F32" s="77"/>
      <c r="G32" s="71"/>
      <c r="H32" s="71"/>
      <c r="I32" s="71"/>
      <c r="J32" s="71"/>
      <c r="K32" s="71"/>
      <c r="L32" s="71"/>
      <c r="M32" s="71"/>
      <c r="N32" s="71"/>
      <c r="O32" s="71"/>
      <c r="P32" s="71"/>
      <c r="Q32" s="71"/>
      <c r="R32" s="56"/>
    </row>
    <row r="33" customFormat="false" ht="76.5" hidden="false" customHeight="true" outlineLevel="0" collapsed="false">
      <c r="A33" s="70"/>
      <c r="B33" s="70"/>
      <c r="C33" s="78" t="s">
        <v>44</v>
      </c>
      <c r="D33" s="86" t="s">
        <v>45</v>
      </c>
      <c r="E33" s="86"/>
      <c r="F33" s="86"/>
      <c r="G33" s="71"/>
      <c r="H33" s="92"/>
      <c r="I33" s="92"/>
      <c r="J33" s="92"/>
      <c r="K33" s="92"/>
      <c r="L33" s="92"/>
      <c r="M33" s="92"/>
      <c r="N33" s="92"/>
      <c r="O33" s="92"/>
      <c r="P33" s="92"/>
      <c r="Q33" s="92"/>
      <c r="R33" s="56"/>
      <c r="T33" s="93" t="s">
        <v>37</v>
      </c>
    </row>
    <row r="34" customFormat="false" ht="15" hidden="false" customHeight="false" outlineLevel="0" collapsed="false">
      <c r="A34" s="70"/>
      <c r="B34" s="70"/>
      <c r="C34" s="78"/>
      <c r="D34" s="85"/>
      <c r="E34" s="85"/>
      <c r="F34" s="85"/>
      <c r="G34" s="71"/>
      <c r="H34" s="71"/>
      <c r="I34" s="71"/>
      <c r="J34" s="71"/>
      <c r="K34" s="71"/>
      <c r="L34" s="71"/>
      <c r="M34" s="71"/>
      <c r="N34" s="71"/>
      <c r="O34" s="71"/>
      <c r="P34" s="71"/>
      <c r="Q34" s="71"/>
      <c r="R34" s="56"/>
    </row>
    <row r="35" customFormat="false" ht="127.5" hidden="false" customHeight="true" outlineLevel="0" collapsed="false">
      <c r="A35" s="70"/>
      <c r="B35" s="70"/>
      <c r="C35" s="72" t="s">
        <v>46</v>
      </c>
      <c r="D35" s="86" t="s">
        <v>47</v>
      </c>
      <c r="E35" s="86"/>
      <c r="F35" s="86"/>
      <c r="G35" s="71"/>
      <c r="H35" s="74"/>
      <c r="I35" s="74"/>
      <c r="J35" s="74"/>
      <c r="K35" s="74"/>
      <c r="L35" s="74"/>
      <c r="M35" s="74"/>
      <c r="N35" s="74"/>
      <c r="O35" s="74"/>
      <c r="P35" s="74"/>
      <c r="Q35" s="74"/>
      <c r="R35" s="56"/>
      <c r="T35" s="94" t="s">
        <v>37</v>
      </c>
    </row>
    <row r="36" customFormat="false" ht="15" hidden="false" customHeight="false" outlineLevel="0" collapsed="false">
      <c r="A36" s="70"/>
      <c r="B36" s="70"/>
      <c r="C36" s="70"/>
      <c r="D36" s="85"/>
      <c r="E36" s="85"/>
      <c r="F36" s="85"/>
      <c r="G36" s="71"/>
      <c r="H36" s="71"/>
      <c r="I36" s="71"/>
      <c r="J36" s="71"/>
      <c r="K36" s="71"/>
      <c r="L36" s="71"/>
      <c r="M36" s="71"/>
      <c r="N36" s="71"/>
      <c r="O36" s="71"/>
      <c r="P36" s="71"/>
      <c r="Q36" s="71"/>
      <c r="R36" s="56"/>
    </row>
    <row r="37" customFormat="false" ht="66.75" hidden="false" customHeight="true" outlineLevel="0" collapsed="false">
      <c r="A37" s="70"/>
      <c r="B37" s="70"/>
      <c r="C37" s="78" t="s">
        <v>48</v>
      </c>
      <c r="D37" s="86" t="s">
        <v>49</v>
      </c>
      <c r="E37" s="86"/>
      <c r="F37" s="86"/>
      <c r="G37" s="71"/>
      <c r="H37" s="74"/>
      <c r="I37" s="74"/>
      <c r="J37" s="74"/>
      <c r="K37" s="74"/>
      <c r="L37" s="74"/>
      <c r="M37" s="74"/>
      <c r="N37" s="74"/>
      <c r="O37" s="74"/>
      <c r="P37" s="74"/>
      <c r="Q37" s="74"/>
      <c r="R37" s="56"/>
      <c r="T37" s="90" t="s">
        <v>37</v>
      </c>
    </row>
    <row r="38" customFormat="false" ht="15" hidden="false" customHeight="false" outlineLevel="0" collapsed="false">
      <c r="A38" s="70"/>
      <c r="B38" s="70"/>
      <c r="C38" s="72"/>
      <c r="D38" s="85"/>
      <c r="E38" s="85"/>
      <c r="F38" s="85"/>
      <c r="G38" s="71"/>
      <c r="H38" s="71"/>
      <c r="I38" s="71"/>
      <c r="J38" s="71"/>
      <c r="K38" s="71"/>
      <c r="L38" s="71"/>
      <c r="M38" s="71"/>
      <c r="N38" s="71"/>
      <c r="O38" s="71"/>
      <c r="P38" s="71"/>
      <c r="Q38" s="71"/>
      <c r="R38" s="56"/>
    </row>
    <row r="39" customFormat="false" ht="83.25" hidden="false" customHeight="true" outlineLevel="0" collapsed="false">
      <c r="A39" s="70"/>
      <c r="B39" s="70"/>
      <c r="C39" s="78" t="s">
        <v>50</v>
      </c>
      <c r="D39" s="86" t="s">
        <v>51</v>
      </c>
      <c r="E39" s="86"/>
      <c r="F39" s="86"/>
      <c r="G39" s="71"/>
      <c r="H39" s="74"/>
      <c r="I39" s="74"/>
      <c r="J39" s="74"/>
      <c r="K39" s="74"/>
      <c r="L39" s="74"/>
      <c r="M39" s="74"/>
      <c r="N39" s="74"/>
      <c r="O39" s="74"/>
      <c r="P39" s="74"/>
      <c r="Q39" s="74"/>
      <c r="R39" s="56"/>
      <c r="T39" s="95" t="s">
        <v>37</v>
      </c>
    </row>
    <row r="40" customFormat="false" ht="15" hidden="false" customHeight="false" outlineLevel="0" collapsed="false">
      <c r="A40" s="70"/>
      <c r="B40" s="70"/>
      <c r="C40" s="78"/>
      <c r="D40" s="85"/>
      <c r="E40" s="85"/>
      <c r="F40" s="85"/>
      <c r="G40" s="71"/>
      <c r="H40" s="71"/>
      <c r="I40" s="71"/>
      <c r="J40" s="71"/>
      <c r="K40" s="71"/>
      <c r="L40" s="71"/>
      <c r="M40" s="71"/>
      <c r="N40" s="71"/>
      <c r="O40" s="71"/>
      <c r="P40" s="71"/>
      <c r="Q40" s="71"/>
      <c r="R40" s="56"/>
    </row>
    <row r="41" customFormat="false" ht="127.5" hidden="false" customHeight="true" outlineLevel="0" collapsed="false">
      <c r="A41" s="70"/>
      <c r="B41" s="70"/>
      <c r="C41" s="78" t="s">
        <v>52</v>
      </c>
      <c r="D41" s="86" t="s">
        <v>53</v>
      </c>
      <c r="E41" s="86"/>
      <c r="F41" s="86"/>
      <c r="G41" s="71"/>
      <c r="H41" s="74"/>
      <c r="I41" s="74"/>
      <c r="J41" s="74"/>
      <c r="K41" s="74"/>
      <c r="L41" s="74"/>
      <c r="M41" s="74"/>
      <c r="N41" s="74"/>
      <c r="O41" s="74"/>
      <c r="P41" s="74"/>
      <c r="Q41" s="74"/>
      <c r="R41" s="56"/>
      <c r="T41" s="94" t="s">
        <v>37</v>
      </c>
    </row>
    <row r="42" customFormat="false" ht="15" hidden="false" customHeight="false" outlineLevel="0" collapsed="false">
      <c r="A42" s="70"/>
      <c r="B42" s="70"/>
      <c r="C42" s="70"/>
      <c r="D42" s="70"/>
      <c r="E42" s="85"/>
      <c r="F42" s="70"/>
      <c r="G42" s="71"/>
      <c r="H42" s="78"/>
      <c r="I42" s="70"/>
      <c r="J42" s="70"/>
      <c r="K42" s="70"/>
      <c r="L42" s="70"/>
      <c r="M42" s="70"/>
      <c r="N42" s="78"/>
      <c r="O42" s="70"/>
      <c r="P42" s="70"/>
      <c r="Q42" s="70"/>
      <c r="R42" s="56"/>
    </row>
    <row r="43" customFormat="false" ht="15" hidden="false" customHeight="false" outlineLevel="0" collapsed="false">
      <c r="A43" s="96"/>
      <c r="B43" s="96"/>
      <c r="C43" s="96"/>
      <c r="D43" s="97" t="s">
        <v>54</v>
      </c>
      <c r="E43" s="98"/>
      <c r="F43" s="96"/>
      <c r="G43" s="96"/>
      <c r="H43" s="96"/>
      <c r="I43" s="96"/>
      <c r="J43" s="96"/>
      <c r="K43" s="96"/>
      <c r="L43" s="96"/>
      <c r="M43" s="96"/>
      <c r="N43" s="96"/>
      <c r="O43" s="96"/>
      <c r="P43" s="96"/>
      <c r="Q43" s="96"/>
      <c r="R43" s="96"/>
    </row>
    <row r="44" customFormat="false" ht="15" hidden="false" customHeight="false" outlineLevel="0" collapsed="false">
      <c r="A44" s="70"/>
      <c r="B44" s="70"/>
      <c r="C44" s="78"/>
      <c r="D44" s="78"/>
      <c r="E44" s="78"/>
      <c r="F44" s="78"/>
      <c r="G44" s="76"/>
      <c r="H44" s="78"/>
      <c r="I44" s="78"/>
      <c r="J44" s="78"/>
      <c r="K44" s="70"/>
      <c r="L44" s="76"/>
      <c r="M44" s="70"/>
      <c r="N44" s="62"/>
      <c r="O44" s="62"/>
      <c r="P44" s="62"/>
      <c r="Q44" s="62"/>
      <c r="R44" s="56"/>
    </row>
    <row r="45" customFormat="false" ht="15" hidden="true" customHeight="false" outlineLevel="0" collapsed="false">
      <c r="A45" s="70"/>
      <c r="B45" s="70"/>
      <c r="C45" s="99"/>
      <c r="D45" s="100" t="s">
        <v>55</v>
      </c>
      <c r="E45" s="99"/>
      <c r="F45" s="99"/>
      <c r="G45" s="101"/>
      <c r="H45" s="99"/>
      <c r="I45" s="99"/>
      <c r="J45" s="99"/>
      <c r="K45" s="99"/>
      <c r="L45" s="99"/>
      <c r="M45" s="99"/>
      <c r="N45" s="99"/>
      <c r="O45" s="99"/>
      <c r="P45" s="99"/>
      <c r="Q45" s="99"/>
      <c r="R45" s="56"/>
    </row>
    <row r="46" customFormat="false" ht="15" hidden="true" customHeight="false" outlineLevel="0" collapsed="false">
      <c r="A46" s="70"/>
      <c r="B46" s="70"/>
      <c r="C46" s="61"/>
      <c r="D46" s="61"/>
      <c r="E46" s="85"/>
      <c r="F46" s="70"/>
      <c r="G46" s="71"/>
      <c r="H46" s="61"/>
      <c r="I46" s="70"/>
      <c r="J46" s="70"/>
      <c r="K46" s="70"/>
      <c r="L46" s="61"/>
      <c r="M46" s="70"/>
      <c r="N46" s="61"/>
      <c r="O46" s="70"/>
      <c r="P46" s="70"/>
      <c r="Q46" s="70"/>
      <c r="R46" s="56"/>
    </row>
    <row r="47" customFormat="false" ht="15" hidden="false" customHeight="true" outlineLevel="0" collapsed="false">
      <c r="A47" s="70"/>
      <c r="B47" s="70"/>
      <c r="C47" s="72" t="s">
        <v>56</v>
      </c>
      <c r="D47" s="86" t="s">
        <v>57</v>
      </c>
      <c r="E47" s="86"/>
      <c r="F47" s="86"/>
      <c r="G47" s="86"/>
      <c r="H47" s="86"/>
      <c r="I47" s="86"/>
      <c r="J47" s="86"/>
      <c r="K47" s="70"/>
      <c r="L47" s="102"/>
      <c r="M47" s="70"/>
      <c r="N47" s="103"/>
      <c r="O47" s="103"/>
      <c r="P47" s="103"/>
      <c r="Q47" s="103"/>
      <c r="R47" s="56"/>
    </row>
    <row r="48" customFormat="false" ht="15" hidden="false" customHeight="false" outlineLevel="0" collapsed="false">
      <c r="A48" s="70"/>
      <c r="B48" s="70"/>
      <c r="C48" s="85"/>
      <c r="D48" s="70"/>
      <c r="E48" s="70"/>
      <c r="F48" s="71"/>
      <c r="G48" s="71"/>
      <c r="H48" s="71"/>
      <c r="I48" s="70"/>
      <c r="J48" s="70"/>
      <c r="K48" s="70"/>
      <c r="L48" s="70"/>
      <c r="M48" s="70"/>
      <c r="N48" s="70"/>
      <c r="O48" s="70"/>
      <c r="P48" s="56"/>
      <c r="Q48" s="70"/>
      <c r="R48" s="56"/>
    </row>
    <row r="49" customFormat="false" ht="15" hidden="false" customHeight="true" outlineLevel="0" collapsed="false">
      <c r="A49" s="70"/>
      <c r="B49" s="70"/>
      <c r="C49" s="78" t="s">
        <v>58</v>
      </c>
      <c r="D49" s="86" t="s">
        <v>59</v>
      </c>
      <c r="E49" s="86"/>
      <c r="F49" s="86"/>
      <c r="G49" s="86"/>
      <c r="H49" s="86"/>
      <c r="I49" s="86"/>
      <c r="J49" s="86"/>
      <c r="K49" s="70"/>
      <c r="L49" s="102"/>
      <c r="M49" s="70"/>
      <c r="N49" s="103"/>
      <c r="O49" s="103"/>
      <c r="P49" s="103"/>
      <c r="Q49" s="103"/>
      <c r="R49" s="56"/>
    </row>
    <row r="50" customFormat="false" ht="15" hidden="false" customHeight="false" outlineLevel="0" collapsed="false">
      <c r="A50" s="70"/>
      <c r="B50" s="70"/>
      <c r="C50" s="104"/>
      <c r="D50" s="104"/>
      <c r="E50" s="85"/>
      <c r="F50" s="70"/>
      <c r="G50" s="71"/>
      <c r="H50" s="71"/>
      <c r="I50" s="71"/>
      <c r="J50" s="71"/>
      <c r="K50" s="70"/>
      <c r="L50" s="70"/>
      <c r="M50" s="70"/>
      <c r="N50" s="70"/>
      <c r="O50" s="70"/>
      <c r="P50" s="70"/>
      <c r="Q50" s="70"/>
      <c r="R50" s="56"/>
    </row>
    <row r="51" customFormat="false" ht="15" hidden="true" customHeight="false" outlineLevel="0" collapsed="false">
      <c r="A51" s="70"/>
      <c r="B51" s="70"/>
      <c r="C51" s="105"/>
      <c r="D51" s="98" t="s">
        <v>60</v>
      </c>
      <c r="E51" s="105"/>
      <c r="F51" s="105"/>
      <c r="G51" s="96"/>
      <c r="H51" s="105"/>
      <c r="I51" s="105"/>
      <c r="J51" s="105"/>
      <c r="K51" s="105"/>
      <c r="L51" s="105"/>
      <c r="M51" s="105"/>
      <c r="N51" s="105"/>
      <c r="O51" s="105"/>
      <c r="P51" s="105"/>
      <c r="Q51" s="105"/>
      <c r="R51" s="56"/>
    </row>
    <row r="52" customFormat="false" ht="15" hidden="true" customHeight="false" outlineLevel="0" collapsed="false">
      <c r="A52" s="70"/>
      <c r="B52" s="70"/>
      <c r="C52" s="104"/>
      <c r="D52" s="104"/>
      <c r="E52" s="85"/>
      <c r="F52" s="70"/>
      <c r="G52" s="71"/>
      <c r="H52" s="71"/>
      <c r="I52" s="71"/>
      <c r="J52" s="71"/>
      <c r="K52" s="70"/>
      <c r="L52" s="70"/>
      <c r="M52" s="70"/>
      <c r="N52" s="70"/>
      <c r="O52" s="70"/>
      <c r="P52" s="70"/>
      <c r="Q52" s="70"/>
      <c r="R52" s="56"/>
    </row>
    <row r="53" customFormat="false" ht="33.75" hidden="false" customHeight="true" outlineLevel="0" collapsed="false">
      <c r="A53" s="70"/>
      <c r="B53" s="70"/>
      <c r="C53" s="78" t="s">
        <v>61</v>
      </c>
      <c r="D53" s="86" t="s">
        <v>62</v>
      </c>
      <c r="E53" s="86"/>
      <c r="F53" s="86"/>
      <c r="G53" s="86"/>
      <c r="H53" s="86"/>
      <c r="I53" s="86"/>
      <c r="J53" s="86"/>
      <c r="K53" s="70"/>
      <c r="L53" s="102"/>
      <c r="M53" s="70"/>
      <c r="N53" s="103"/>
      <c r="O53" s="103"/>
      <c r="P53" s="103"/>
      <c r="Q53" s="103"/>
      <c r="R53" s="56"/>
      <c r="T53" s="87" t="s">
        <v>37</v>
      </c>
    </row>
    <row r="54" customFormat="false" ht="15" hidden="false" customHeight="false" outlineLevel="0" collapsed="false">
      <c r="A54" s="70"/>
      <c r="B54" s="70"/>
      <c r="C54" s="104"/>
      <c r="D54" s="104"/>
      <c r="E54" s="85"/>
      <c r="F54" s="70"/>
      <c r="G54" s="71"/>
      <c r="H54" s="71"/>
      <c r="I54" s="71"/>
      <c r="J54" s="71"/>
      <c r="K54" s="70"/>
      <c r="L54" s="70"/>
      <c r="M54" s="70"/>
      <c r="N54" s="70"/>
      <c r="O54" s="70"/>
      <c r="P54" s="70"/>
      <c r="Q54" s="70"/>
      <c r="R54" s="56"/>
    </row>
    <row r="55" customFormat="false" ht="15" hidden="false" customHeight="true" outlineLevel="0" collapsed="false">
      <c r="A55" s="70"/>
      <c r="B55" s="78"/>
      <c r="C55" s="78" t="s">
        <v>63</v>
      </c>
      <c r="D55" s="86" t="s">
        <v>64</v>
      </c>
      <c r="E55" s="86"/>
      <c r="F55" s="86"/>
      <c r="G55" s="86"/>
      <c r="H55" s="86"/>
      <c r="I55" s="86"/>
      <c r="J55" s="86"/>
      <c r="K55" s="70"/>
      <c r="L55" s="102"/>
      <c r="M55" s="70"/>
      <c r="N55" s="103"/>
      <c r="O55" s="103"/>
      <c r="P55" s="103"/>
      <c r="Q55" s="103"/>
      <c r="R55" s="56"/>
    </row>
    <row r="56" customFormat="false" ht="15" hidden="false" customHeight="false" outlineLevel="0" collapsed="false">
      <c r="A56" s="70"/>
      <c r="B56" s="78"/>
      <c r="C56" s="78"/>
      <c r="D56" s="75"/>
      <c r="E56" s="75"/>
      <c r="F56" s="75"/>
      <c r="G56" s="75"/>
      <c r="H56" s="75"/>
      <c r="I56" s="75"/>
      <c r="J56" s="75"/>
      <c r="K56" s="70"/>
      <c r="L56" s="106"/>
      <c r="M56" s="70"/>
      <c r="N56" s="107"/>
      <c r="O56" s="107"/>
      <c r="P56" s="107"/>
      <c r="Q56" s="107"/>
      <c r="R56" s="56"/>
    </row>
    <row r="57" customFormat="false" ht="15" hidden="true" customHeight="false" outlineLevel="0" collapsed="false">
      <c r="A57" s="70"/>
      <c r="B57" s="78"/>
      <c r="C57" s="105"/>
      <c r="D57" s="98" t="s">
        <v>65</v>
      </c>
      <c r="E57" s="105"/>
      <c r="F57" s="105"/>
      <c r="G57" s="96"/>
      <c r="H57" s="105"/>
      <c r="I57" s="105"/>
      <c r="J57" s="105"/>
      <c r="K57" s="105"/>
      <c r="L57" s="105"/>
      <c r="M57" s="105"/>
      <c r="N57" s="105"/>
      <c r="O57" s="105"/>
      <c r="P57" s="105"/>
      <c r="Q57" s="105"/>
      <c r="R57" s="56"/>
    </row>
    <row r="58" customFormat="false" ht="15" hidden="true" customHeight="false" outlineLevel="0" collapsed="false">
      <c r="A58" s="70"/>
      <c r="B58" s="70"/>
      <c r="C58" s="104"/>
      <c r="D58" s="104"/>
      <c r="E58" s="85"/>
      <c r="F58" s="70"/>
      <c r="G58" s="71"/>
      <c r="H58" s="71"/>
      <c r="I58" s="71"/>
      <c r="J58" s="71"/>
      <c r="K58" s="70"/>
      <c r="L58" s="70"/>
      <c r="M58" s="70"/>
      <c r="N58" s="70"/>
      <c r="O58" s="70"/>
      <c r="P58" s="70"/>
      <c r="Q58" s="70"/>
      <c r="R58" s="56"/>
    </row>
    <row r="59" customFormat="false" ht="33.75" hidden="false" customHeight="true" outlineLevel="0" collapsed="false">
      <c r="A59" s="70"/>
      <c r="B59" s="56"/>
      <c r="C59" s="78" t="s">
        <v>66</v>
      </c>
      <c r="D59" s="86" t="s">
        <v>67</v>
      </c>
      <c r="E59" s="86"/>
      <c r="F59" s="86"/>
      <c r="G59" s="86"/>
      <c r="H59" s="86"/>
      <c r="I59" s="86"/>
      <c r="J59" s="86"/>
      <c r="K59" s="70"/>
      <c r="L59" s="102"/>
      <c r="M59" s="70"/>
      <c r="N59" s="103"/>
      <c r="O59" s="103"/>
      <c r="P59" s="103"/>
      <c r="Q59" s="103"/>
      <c r="R59" s="56"/>
      <c r="T59" s="87" t="s">
        <v>37</v>
      </c>
    </row>
    <row r="60" customFormat="false" ht="15" hidden="false" customHeight="false" outlineLevel="0" collapsed="false">
      <c r="A60" s="70"/>
      <c r="B60" s="78"/>
      <c r="C60" s="78"/>
      <c r="D60" s="78"/>
      <c r="E60" s="78"/>
      <c r="F60" s="78"/>
      <c r="G60" s="76"/>
      <c r="H60" s="78"/>
      <c r="I60" s="78"/>
      <c r="J60" s="78"/>
      <c r="K60" s="78"/>
      <c r="L60" s="78"/>
      <c r="M60" s="78"/>
      <c r="N60" s="78"/>
      <c r="O60" s="78"/>
      <c r="P60" s="78"/>
      <c r="Q60" s="78"/>
      <c r="R60" s="78"/>
    </row>
    <row r="61" customFormat="false" ht="18.75" hidden="false" customHeight="true" outlineLevel="0" collapsed="false">
      <c r="A61" s="108" t="s">
        <v>68</v>
      </c>
      <c r="B61" s="108"/>
      <c r="C61" s="108"/>
      <c r="D61" s="108"/>
      <c r="E61" s="108"/>
      <c r="F61" s="108"/>
      <c r="G61" s="108"/>
      <c r="H61" s="108"/>
      <c r="I61" s="108"/>
      <c r="J61" s="108"/>
      <c r="K61" s="108"/>
      <c r="L61" s="108"/>
      <c r="M61" s="108"/>
      <c r="N61" s="108"/>
      <c r="O61" s="108"/>
      <c r="P61" s="108"/>
      <c r="Q61" s="108"/>
      <c r="R61" s="109"/>
    </row>
  </sheetData>
  <sheetProtection algorithmName="SHA-512" hashValue="uXQSvHdDCaIlPir20MsYTlwe7XTrJyuu5bO9Ii7JVp3mWm/26BVf6scGdQGlFiXtsaRfc1Ksb3JgT5WCy4hkRQ==" saltValue="ECg/pq2gn1xNNaZKbIZs1A==" spinCount="100000" sheet="true" objects="true" scenarios="true" formatCells="false" formatColumns="false" formatRows="false" insertColumns="false" insertRows="false" insertHyperlinks="false" deleteColumns="false" deleteRows="false" sort="false" autoFilter="false" pivotTables="false"/>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31:F31"/>
    <mergeCell ref="H31:Q31"/>
    <mergeCell ref="D33:F33"/>
    <mergeCell ref="H33:Q33"/>
    <mergeCell ref="D35:F35"/>
    <mergeCell ref="H35:Q35"/>
    <mergeCell ref="D37:F37"/>
    <mergeCell ref="H37:Q37"/>
    <mergeCell ref="D39:F39"/>
    <mergeCell ref="H39:Q39"/>
    <mergeCell ref="D41:F41"/>
    <mergeCell ref="H41:Q41"/>
    <mergeCell ref="N44:Q44"/>
    <mergeCell ref="D47:J47"/>
    <mergeCell ref="N47:Q47"/>
    <mergeCell ref="D49:J49"/>
    <mergeCell ref="N49:Q49"/>
    <mergeCell ref="D53:J53"/>
    <mergeCell ref="N53:Q53"/>
    <mergeCell ref="D55:J55"/>
    <mergeCell ref="N55:Q55"/>
    <mergeCell ref="D59:J59"/>
    <mergeCell ref="N59:Q59"/>
    <mergeCell ref="A61:Q61"/>
  </mergeCells>
  <dataValidations count="3">
    <dataValidation allowBlank="true" operator="between" showDropDown="false" showErrorMessage="true" showInputMessage="true" sqref="H27:Q27" type="list">
      <formula1>"W3C (http://www.w3.org),OASIS (https://www.oasis-open.org/),IEEE (http://standards.ieee.org/),ETSI (http://www.etsi.org/),Gs1 (http://www.gs1.fr/),OpenEHR (http://www.OpenEHR.org/),IETF (https://www.ietf.org/),Other SDO/SSO"</formula1>
      <formula2>0</formula2>
    </dataValidation>
    <dataValidation allowBlank="true" operator="between" showDropDown="false" showErrorMessage="true" showInputMessage="true" sqref="L49 L53 L55:L56 L59" type="list">
      <formula1>"Yes,No,N/A"</formula1>
      <formula2>0</formula2>
    </dataValidation>
    <dataValidation allowBlank="true" operator="between" showDropDown="false" showErrorMessage="true" showInputMessage="true" sqref="L47"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R107"/>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H19" activeCellId="0" sqref="H19"/>
    </sheetView>
  </sheetViews>
  <sheetFormatPr defaultColWidth="9.15625" defaultRowHeight="15" zeroHeight="true" outlineLevelRow="0" outlineLevelCol="0"/>
  <cols>
    <col collapsed="false" customWidth="false" hidden="true" outlineLevel="0" max="1" min="1" style="0" width="9.14"/>
    <col collapsed="false" customWidth="true" hidden="false" outlineLevel="0" max="2" min="2" style="0" width="2.71"/>
    <col collapsed="false" customWidth="true" hidden="false" outlineLevel="0" max="3" min="3" style="0" width="5.28"/>
    <col collapsed="false" customWidth="false" hidden="false" outlineLevel="0" max="5" min="4" style="110" width="9.14"/>
    <col collapsed="false" customWidth="true" hidden="false" outlineLevel="0" max="6" min="6" style="110" width="14.43"/>
    <col collapsed="false" customWidth="true" hidden="false" outlineLevel="0" max="7" min="7" style="110" width="2.71"/>
    <col collapsed="false" customWidth="true" hidden="false" outlineLevel="0" max="11" min="11" style="0" width="1.58"/>
    <col collapsed="false" customWidth="true" hidden="false" outlineLevel="0" max="12" min="12" style="0" width="9"/>
    <col collapsed="false" customWidth="true" hidden="false" outlineLevel="0" max="13" min="13" style="0" width="1.29"/>
    <col collapsed="false" customWidth="false" hidden="true" outlineLevel="0" max="15" min="14" style="0" width="9.14"/>
    <col collapsed="false" customWidth="true" hidden="true" outlineLevel="0" max="16" min="16" style="0" width="7.29"/>
    <col collapsed="false" customWidth="true" hidden="false" outlineLevel="0" max="17" min="17" style="0" width="44.14"/>
    <col collapsed="false" customWidth="true" hidden="false" outlineLevel="0" max="18" min="18" style="0" width="2.71"/>
    <col collapsed="false" customWidth="false" hidden="true" outlineLevel="0" max="1024" min="19" style="0" width="9.14"/>
  </cols>
  <sheetData>
    <row r="1" s="111" customFormat="true" ht="15" hidden="false" customHeight="false" outlineLevel="0" collapsed="false">
      <c r="B1" s="57"/>
      <c r="C1" s="58"/>
      <c r="D1" s="112" t="s">
        <v>68</v>
      </c>
      <c r="E1" s="112"/>
      <c r="F1" s="112"/>
      <c r="G1" s="112"/>
      <c r="H1" s="112"/>
      <c r="I1" s="112"/>
      <c r="J1" s="112"/>
      <c r="K1" s="112"/>
      <c r="L1" s="112"/>
      <c r="M1" s="112"/>
      <c r="N1" s="112"/>
      <c r="O1" s="112"/>
      <c r="P1" s="112"/>
      <c r="Q1" s="112"/>
    </row>
    <row r="2" s="113" customFormat="true" ht="15" hidden="false" customHeight="false" outlineLevel="0" collapsed="false">
      <c r="B2" s="114"/>
      <c r="C2" s="58"/>
      <c r="D2" s="112"/>
      <c r="E2" s="112"/>
      <c r="F2" s="112"/>
      <c r="G2" s="112"/>
      <c r="H2" s="112"/>
      <c r="I2" s="112"/>
      <c r="J2" s="112"/>
      <c r="K2" s="112"/>
      <c r="L2" s="112"/>
      <c r="M2" s="112"/>
      <c r="N2" s="112"/>
      <c r="O2" s="112"/>
      <c r="P2" s="112"/>
      <c r="Q2" s="112"/>
      <c r="R2" s="58"/>
    </row>
    <row r="3" s="115" customFormat="true" ht="7.5" hidden="false" customHeight="true" outlineLevel="0" collapsed="false">
      <c r="B3" s="116"/>
      <c r="C3" s="117"/>
      <c r="D3" s="112"/>
      <c r="E3" s="112"/>
      <c r="F3" s="112"/>
      <c r="G3" s="112"/>
      <c r="H3" s="112"/>
      <c r="I3" s="112"/>
      <c r="J3" s="112"/>
      <c r="K3" s="112"/>
      <c r="L3" s="112"/>
      <c r="M3" s="112"/>
      <c r="N3" s="112"/>
      <c r="O3" s="112"/>
      <c r="P3" s="112"/>
      <c r="Q3" s="112"/>
      <c r="R3" s="117"/>
    </row>
    <row r="4" customFormat="false" ht="15" hidden="true" customHeight="false" outlineLevel="0" collapsed="false">
      <c r="B4" s="58"/>
      <c r="C4" s="58"/>
      <c r="D4" s="58"/>
      <c r="E4" s="58"/>
      <c r="F4" s="56"/>
      <c r="G4" s="56"/>
      <c r="H4" s="56"/>
      <c r="I4" s="56"/>
      <c r="J4" s="56"/>
      <c r="K4" s="56"/>
      <c r="L4" s="70"/>
      <c r="M4" s="70"/>
      <c r="N4" s="56"/>
      <c r="O4" s="58"/>
      <c r="P4" s="58"/>
      <c r="Q4" s="58"/>
      <c r="R4" s="58"/>
    </row>
    <row r="5" customFormat="false" ht="15" hidden="false" customHeight="false" outlineLevel="0" collapsed="false">
      <c r="B5" s="118"/>
      <c r="C5" s="119"/>
      <c r="D5" s="120" t="s">
        <v>16</v>
      </c>
      <c r="E5" s="121"/>
      <c r="F5" s="122"/>
      <c r="G5" s="122"/>
      <c r="H5" s="122"/>
      <c r="I5" s="122"/>
      <c r="J5" s="122"/>
      <c r="K5" s="122"/>
      <c r="L5" s="122"/>
      <c r="M5" s="122"/>
      <c r="N5" s="123"/>
      <c r="O5" s="123"/>
      <c r="P5" s="123"/>
      <c r="Q5" s="124"/>
      <c r="R5" s="125"/>
    </row>
    <row r="6" customFormat="false" ht="15" hidden="false" customHeight="false" outlineLevel="0" collapsed="false">
      <c r="B6" s="61"/>
      <c r="C6" s="61"/>
      <c r="D6" s="61"/>
      <c r="E6" s="61"/>
      <c r="F6" s="70"/>
      <c r="G6" s="70"/>
      <c r="H6" s="56"/>
      <c r="I6" s="70"/>
      <c r="J6" s="70"/>
      <c r="K6" s="70"/>
      <c r="L6" s="70"/>
      <c r="M6" s="70"/>
      <c r="N6" s="70"/>
      <c r="O6" s="61"/>
      <c r="P6" s="61"/>
      <c r="Q6" s="61"/>
      <c r="R6" s="58"/>
    </row>
    <row r="7" customFormat="false" ht="15" hidden="false" customHeight="false" outlineLevel="0" collapsed="false">
      <c r="B7" s="70"/>
      <c r="C7" s="72" t="s">
        <v>17</v>
      </c>
      <c r="D7" s="73" t="s">
        <v>69</v>
      </c>
      <c r="E7" s="73"/>
      <c r="F7" s="73"/>
      <c r="G7" s="70"/>
      <c r="H7" s="74"/>
      <c r="I7" s="74"/>
      <c r="J7" s="74"/>
      <c r="K7" s="74"/>
      <c r="L7" s="74"/>
      <c r="M7" s="74"/>
      <c r="N7" s="74"/>
      <c r="O7" s="74"/>
      <c r="P7" s="74"/>
      <c r="Q7" s="74"/>
      <c r="R7" s="58"/>
    </row>
    <row r="8" customFormat="false" ht="15" hidden="false" customHeight="false" outlineLevel="0" collapsed="false">
      <c r="B8" s="70"/>
      <c r="C8" s="72"/>
      <c r="D8" s="62"/>
      <c r="E8" s="60"/>
      <c r="F8" s="71"/>
      <c r="G8" s="70"/>
      <c r="H8" s="71"/>
      <c r="I8" s="71"/>
      <c r="J8" s="71"/>
      <c r="K8" s="71"/>
      <c r="L8" s="71"/>
      <c r="M8" s="71"/>
      <c r="N8" s="71"/>
      <c r="O8" s="76"/>
      <c r="P8" s="76"/>
      <c r="Q8" s="76"/>
      <c r="R8" s="58"/>
    </row>
    <row r="9" customFormat="false" ht="15" hidden="false" customHeight="false" outlineLevel="0" collapsed="false">
      <c r="B9" s="70"/>
      <c r="C9" s="72" t="s">
        <v>19</v>
      </c>
      <c r="D9" s="73" t="s">
        <v>20</v>
      </c>
      <c r="E9" s="73"/>
      <c r="F9" s="73"/>
      <c r="G9" s="70"/>
      <c r="H9" s="74"/>
      <c r="I9" s="74"/>
      <c r="J9" s="74"/>
      <c r="K9" s="74"/>
      <c r="L9" s="74"/>
      <c r="M9" s="74"/>
      <c r="N9" s="74"/>
      <c r="O9" s="74"/>
      <c r="P9" s="74"/>
      <c r="Q9" s="74"/>
      <c r="R9" s="58"/>
    </row>
    <row r="10" customFormat="false" ht="15" hidden="false" customHeight="false" outlineLevel="0" collapsed="false">
      <c r="B10" s="70"/>
      <c r="C10" s="72"/>
      <c r="D10" s="62"/>
      <c r="E10" s="60"/>
      <c r="F10" s="71"/>
      <c r="G10" s="70"/>
      <c r="H10" s="71"/>
      <c r="I10" s="71"/>
      <c r="J10" s="71"/>
      <c r="K10" s="71"/>
      <c r="L10" s="71"/>
      <c r="M10" s="71"/>
      <c r="N10" s="71"/>
      <c r="O10" s="71"/>
      <c r="P10" s="71"/>
      <c r="Q10" s="71"/>
      <c r="R10" s="58"/>
    </row>
    <row r="11" customFormat="false" ht="15" hidden="false" customHeight="false" outlineLevel="0" collapsed="false">
      <c r="B11" s="70"/>
      <c r="C11" s="72" t="s">
        <v>21</v>
      </c>
      <c r="D11" s="73" t="s">
        <v>70</v>
      </c>
      <c r="E11" s="73"/>
      <c r="F11" s="73"/>
      <c r="G11" s="70"/>
      <c r="H11" s="74"/>
      <c r="I11" s="74"/>
      <c r="J11" s="74"/>
      <c r="K11" s="74"/>
      <c r="L11" s="74"/>
      <c r="M11" s="74"/>
      <c r="N11" s="74"/>
      <c r="O11" s="74"/>
      <c r="P11" s="74"/>
      <c r="Q11" s="74"/>
      <c r="R11" s="58"/>
    </row>
    <row r="12" customFormat="false" ht="15" hidden="false" customHeight="false" outlineLevel="0" collapsed="false">
      <c r="B12" s="70"/>
      <c r="C12" s="72"/>
      <c r="D12" s="62"/>
      <c r="E12" s="60"/>
      <c r="F12" s="71"/>
      <c r="G12" s="70"/>
      <c r="H12" s="71"/>
      <c r="I12" s="71"/>
      <c r="J12" s="71"/>
      <c r="K12" s="71"/>
      <c r="L12" s="71"/>
      <c r="M12" s="71"/>
      <c r="N12" s="71"/>
      <c r="O12" s="71"/>
      <c r="P12" s="71"/>
      <c r="Q12" s="71"/>
      <c r="R12" s="58"/>
    </row>
    <row r="13" customFormat="false" ht="15" hidden="false" customHeight="false" outlineLevel="0" collapsed="false">
      <c r="B13" s="70"/>
      <c r="C13" s="72" t="s">
        <v>23</v>
      </c>
      <c r="D13" s="73" t="s">
        <v>24</v>
      </c>
      <c r="E13" s="73"/>
      <c r="F13" s="73"/>
      <c r="G13" s="70"/>
      <c r="H13" s="74"/>
      <c r="I13" s="74"/>
      <c r="J13" s="74"/>
      <c r="K13" s="74"/>
      <c r="L13" s="74"/>
      <c r="M13" s="74"/>
      <c r="N13" s="74"/>
      <c r="O13" s="74"/>
      <c r="P13" s="74"/>
      <c r="Q13" s="74"/>
      <c r="R13" s="58"/>
    </row>
    <row r="14" customFormat="false" ht="15" hidden="false" customHeight="false" outlineLevel="0" collapsed="false">
      <c r="B14" s="70"/>
      <c r="C14" s="72"/>
      <c r="D14" s="62"/>
      <c r="E14" s="60"/>
      <c r="F14" s="71"/>
      <c r="G14" s="70"/>
      <c r="H14" s="71"/>
      <c r="I14" s="71"/>
      <c r="J14" s="71"/>
      <c r="K14" s="71"/>
      <c r="L14" s="71"/>
      <c r="M14" s="71"/>
      <c r="N14" s="71"/>
      <c r="O14" s="71"/>
      <c r="P14" s="71"/>
      <c r="Q14" s="71"/>
      <c r="R14" s="58"/>
    </row>
    <row r="15" customFormat="false" ht="15" hidden="false" customHeight="false" outlineLevel="0" collapsed="false">
      <c r="B15" s="70"/>
      <c r="C15" s="72" t="s">
        <v>25</v>
      </c>
      <c r="D15" s="73" t="s">
        <v>26</v>
      </c>
      <c r="E15" s="73"/>
      <c r="F15" s="73"/>
      <c r="G15" s="70"/>
      <c r="H15" s="74"/>
      <c r="I15" s="74"/>
      <c r="J15" s="74"/>
      <c r="K15" s="74"/>
      <c r="L15" s="74"/>
      <c r="M15" s="74"/>
      <c r="N15" s="74"/>
      <c r="O15" s="74"/>
      <c r="P15" s="74"/>
      <c r="Q15" s="74"/>
      <c r="R15" s="58"/>
    </row>
    <row r="16" customFormat="false" ht="15" hidden="false" customHeight="false" outlineLevel="0" collapsed="false">
      <c r="B16" s="70"/>
      <c r="C16" s="72"/>
      <c r="D16" s="62"/>
      <c r="E16" s="60"/>
      <c r="F16" s="71"/>
      <c r="G16" s="70"/>
      <c r="H16" s="71"/>
      <c r="I16" s="71"/>
      <c r="J16" s="71"/>
      <c r="K16" s="71"/>
      <c r="L16" s="71"/>
      <c r="M16" s="71"/>
      <c r="N16" s="71"/>
      <c r="O16" s="71"/>
      <c r="P16" s="71"/>
      <c r="Q16" s="71"/>
      <c r="R16" s="58"/>
    </row>
    <row r="17" customFormat="false" ht="15" hidden="false" customHeight="false" outlineLevel="0" collapsed="false">
      <c r="B17" s="70"/>
      <c r="C17" s="72" t="s">
        <v>27</v>
      </c>
      <c r="D17" s="73" t="s">
        <v>28</v>
      </c>
      <c r="E17" s="73"/>
      <c r="F17" s="73"/>
      <c r="G17" s="70"/>
      <c r="H17" s="74"/>
      <c r="I17" s="74"/>
      <c r="J17" s="74"/>
      <c r="K17" s="74"/>
      <c r="L17" s="74"/>
      <c r="M17" s="74"/>
      <c r="N17" s="74"/>
      <c r="O17" s="74"/>
      <c r="P17" s="74"/>
      <c r="Q17" s="74"/>
      <c r="R17" s="58"/>
    </row>
    <row r="18" customFormat="false" ht="15" hidden="false" customHeight="false" outlineLevel="0" collapsed="false">
      <c r="B18" s="70"/>
      <c r="C18" s="70"/>
      <c r="D18" s="71"/>
      <c r="E18" s="71"/>
      <c r="F18" s="71"/>
      <c r="G18" s="70"/>
      <c r="H18" s="71"/>
      <c r="I18" s="71"/>
      <c r="J18" s="71"/>
      <c r="K18" s="71"/>
      <c r="L18" s="71"/>
      <c r="M18" s="71"/>
      <c r="N18" s="71"/>
      <c r="O18" s="71"/>
      <c r="P18" s="71"/>
      <c r="Q18" s="71"/>
      <c r="R18" s="56"/>
    </row>
    <row r="19" customFormat="false" ht="15" hidden="false" customHeight="false" outlineLevel="0" collapsed="false">
      <c r="B19" s="72"/>
      <c r="C19" s="72" t="s">
        <v>29</v>
      </c>
      <c r="D19" s="73" t="s">
        <v>30</v>
      </c>
      <c r="E19" s="73"/>
      <c r="F19" s="73"/>
      <c r="G19" s="126" t="s">
        <v>31</v>
      </c>
      <c r="H19" s="80"/>
      <c r="I19" s="80"/>
      <c r="J19" s="80"/>
      <c r="K19" s="80"/>
      <c r="L19" s="80"/>
      <c r="M19" s="80"/>
      <c r="N19" s="80"/>
      <c r="O19" s="80"/>
      <c r="P19" s="80"/>
      <c r="Q19" s="80"/>
      <c r="R19" s="58"/>
    </row>
    <row r="20" customFormat="false" ht="15" hidden="false" customHeight="false" outlineLevel="0" collapsed="false">
      <c r="B20" s="70"/>
      <c r="C20" s="70"/>
      <c r="D20" s="71"/>
      <c r="E20" s="71"/>
      <c r="F20" s="71"/>
      <c r="G20" s="70"/>
      <c r="H20" s="71"/>
      <c r="I20" s="71"/>
      <c r="J20" s="71"/>
      <c r="K20" s="71"/>
      <c r="L20" s="71"/>
      <c r="M20" s="71"/>
      <c r="N20" s="71"/>
      <c r="O20" s="71"/>
      <c r="P20" s="71"/>
      <c r="Q20" s="71"/>
      <c r="R20" s="56"/>
    </row>
    <row r="21" customFormat="false" ht="15" hidden="false" customHeight="false" outlineLevel="0" collapsed="false">
      <c r="B21" s="78"/>
      <c r="C21" s="72" t="s">
        <v>71</v>
      </c>
      <c r="D21" s="73" t="s">
        <v>72</v>
      </c>
      <c r="E21" s="73"/>
      <c r="F21" s="73"/>
      <c r="G21" s="127" t="s">
        <v>31</v>
      </c>
      <c r="H21" s="128" t="s">
        <v>73</v>
      </c>
      <c r="I21" s="128"/>
      <c r="J21" s="128"/>
      <c r="K21" s="128"/>
      <c r="L21" s="128"/>
      <c r="M21" s="128"/>
      <c r="N21" s="128"/>
      <c r="O21" s="128"/>
      <c r="P21" s="128"/>
      <c r="Q21" s="128"/>
      <c r="R21" s="58"/>
    </row>
    <row r="22" customFormat="false" ht="15" hidden="false" customHeight="false" outlineLevel="0" collapsed="false">
      <c r="B22" s="70"/>
      <c r="C22" s="72"/>
      <c r="D22" s="62"/>
      <c r="E22" s="60"/>
      <c r="F22" s="71"/>
      <c r="G22" s="70"/>
      <c r="H22" s="88"/>
      <c r="I22" s="71"/>
      <c r="J22" s="71"/>
      <c r="K22" s="71"/>
      <c r="L22" s="71"/>
      <c r="M22" s="71"/>
      <c r="N22" s="71"/>
      <c r="O22" s="71"/>
      <c r="P22" s="71"/>
      <c r="Q22" s="71"/>
      <c r="R22" s="56"/>
    </row>
    <row r="23" customFormat="false" ht="15" hidden="false" customHeight="false" outlineLevel="0" collapsed="false">
      <c r="B23" s="70"/>
      <c r="C23" s="72" t="s">
        <v>74</v>
      </c>
      <c r="D23" s="73" t="s">
        <v>75</v>
      </c>
      <c r="E23" s="73"/>
      <c r="F23" s="73"/>
      <c r="G23" s="70"/>
      <c r="H23" s="74"/>
      <c r="I23" s="74"/>
      <c r="J23" s="74"/>
      <c r="K23" s="74"/>
      <c r="L23" s="74"/>
      <c r="M23" s="74"/>
      <c r="N23" s="74"/>
      <c r="O23" s="74"/>
      <c r="P23" s="74"/>
      <c r="Q23" s="74"/>
      <c r="R23" s="56"/>
    </row>
    <row r="24" customFormat="false" ht="15" hidden="false" customHeight="false" outlineLevel="0" collapsed="false">
      <c r="B24" s="70"/>
      <c r="C24" s="72"/>
      <c r="D24" s="62"/>
      <c r="E24" s="60"/>
      <c r="F24" s="71"/>
      <c r="G24" s="70"/>
      <c r="H24" s="71"/>
      <c r="I24" s="71"/>
      <c r="J24" s="71"/>
      <c r="K24" s="71"/>
      <c r="L24" s="71"/>
      <c r="M24" s="71"/>
      <c r="N24" s="71"/>
      <c r="O24" s="71"/>
      <c r="P24" s="71"/>
      <c r="Q24" s="71"/>
      <c r="R24" s="56"/>
    </row>
    <row r="25" customFormat="false" ht="15" hidden="false" customHeight="false" outlineLevel="0" collapsed="false">
      <c r="B25" s="70"/>
      <c r="C25" s="72" t="s">
        <v>76</v>
      </c>
      <c r="D25" s="73" t="s">
        <v>77</v>
      </c>
      <c r="E25" s="73"/>
      <c r="F25" s="73"/>
      <c r="G25" s="70"/>
      <c r="H25" s="74"/>
      <c r="I25" s="74"/>
      <c r="J25" s="74"/>
      <c r="K25" s="74"/>
      <c r="L25" s="74"/>
      <c r="M25" s="74"/>
      <c r="N25" s="74"/>
      <c r="O25" s="74"/>
      <c r="P25" s="74"/>
      <c r="Q25" s="74"/>
      <c r="R25" s="56"/>
    </row>
    <row r="26" customFormat="false" ht="15" hidden="false" customHeight="false" outlineLevel="0" collapsed="false">
      <c r="B26" s="129"/>
      <c r="C26" s="129"/>
      <c r="D26" s="130"/>
      <c r="E26" s="130"/>
      <c r="F26" s="130"/>
      <c r="G26" s="129"/>
      <c r="H26" s="130"/>
      <c r="I26" s="130"/>
      <c r="J26" s="130"/>
      <c r="K26" s="130"/>
      <c r="L26" s="130"/>
      <c r="M26" s="130"/>
      <c r="N26" s="130"/>
      <c r="O26" s="130"/>
      <c r="P26" s="130"/>
      <c r="Q26" s="130"/>
      <c r="R26" s="129"/>
    </row>
    <row r="27" customFormat="false" ht="15" hidden="true" customHeight="false" outlineLevel="0" collapsed="false">
      <c r="B27" s="70"/>
      <c r="C27" s="72" t="s">
        <v>78</v>
      </c>
      <c r="D27" s="73" t="s">
        <v>79</v>
      </c>
      <c r="E27" s="73"/>
      <c r="F27" s="73"/>
      <c r="G27" s="70"/>
      <c r="H27" s="74"/>
      <c r="I27" s="74"/>
      <c r="J27" s="74"/>
      <c r="K27" s="74"/>
      <c r="L27" s="74"/>
      <c r="M27" s="74"/>
      <c r="N27" s="74"/>
      <c r="O27" s="74"/>
      <c r="P27" s="74"/>
      <c r="Q27" s="74"/>
      <c r="R27" s="56"/>
    </row>
    <row r="28" customFormat="false" ht="15" hidden="true" customHeight="false" outlineLevel="0" collapsed="false">
      <c r="B28" s="70"/>
      <c r="C28" s="70"/>
      <c r="D28" s="71"/>
      <c r="E28" s="71"/>
      <c r="F28" s="71"/>
      <c r="G28" s="70"/>
      <c r="H28" s="71"/>
      <c r="I28" s="71"/>
      <c r="J28" s="71"/>
      <c r="K28" s="71"/>
      <c r="L28" s="71"/>
      <c r="M28" s="71"/>
      <c r="N28" s="71"/>
      <c r="O28" s="71"/>
      <c r="P28" s="71"/>
      <c r="Q28" s="71"/>
      <c r="R28" s="56"/>
    </row>
    <row r="29" customFormat="false" ht="15" hidden="true" customHeight="true" outlineLevel="0" collapsed="false">
      <c r="B29" s="70"/>
      <c r="C29" s="72" t="s">
        <v>80</v>
      </c>
      <c r="D29" s="86" t="s">
        <v>81</v>
      </c>
      <c r="E29" s="86"/>
      <c r="F29" s="86"/>
      <c r="G29" s="70"/>
      <c r="H29" s="74"/>
      <c r="I29" s="74"/>
      <c r="J29" s="74"/>
      <c r="K29" s="74"/>
      <c r="L29" s="74"/>
      <c r="M29" s="74"/>
      <c r="N29" s="74"/>
      <c r="O29" s="74"/>
      <c r="P29" s="74"/>
      <c r="Q29" s="74"/>
      <c r="R29" s="56"/>
    </row>
    <row r="30" customFormat="false" ht="15" hidden="true" customHeight="false" outlineLevel="0" collapsed="false">
      <c r="B30" s="70"/>
      <c r="C30" s="70"/>
      <c r="D30" s="71"/>
      <c r="E30" s="71"/>
      <c r="F30" s="71"/>
      <c r="G30" s="70"/>
      <c r="H30" s="71"/>
      <c r="I30" s="71"/>
      <c r="J30" s="71"/>
      <c r="K30" s="71"/>
      <c r="L30" s="71"/>
      <c r="M30" s="71"/>
      <c r="N30" s="71"/>
      <c r="O30" s="71"/>
      <c r="P30" s="71"/>
      <c r="Q30" s="71"/>
      <c r="R30" s="56"/>
    </row>
    <row r="31" customFormat="false" ht="15" hidden="true" customHeight="true" outlineLevel="0" collapsed="false">
      <c r="B31" s="70"/>
      <c r="C31" s="72" t="s">
        <v>82</v>
      </c>
      <c r="D31" s="86" t="s">
        <v>83</v>
      </c>
      <c r="E31" s="86"/>
      <c r="F31" s="86"/>
      <c r="G31" s="70"/>
      <c r="H31" s="74"/>
      <c r="I31" s="74"/>
      <c r="J31" s="74"/>
      <c r="K31" s="74"/>
      <c r="L31" s="74"/>
      <c r="M31" s="74"/>
      <c r="N31" s="74"/>
      <c r="O31" s="74"/>
      <c r="P31" s="74"/>
      <c r="Q31" s="74"/>
      <c r="R31" s="56"/>
    </row>
    <row r="32" customFormat="false" ht="15" hidden="true" customHeight="false" outlineLevel="0" collapsed="false">
      <c r="B32" s="70"/>
      <c r="C32" s="72"/>
      <c r="D32" s="62"/>
      <c r="E32" s="71"/>
      <c r="F32" s="71"/>
      <c r="G32" s="70"/>
      <c r="H32" s="71"/>
      <c r="I32" s="71"/>
      <c r="J32" s="71"/>
      <c r="K32" s="71"/>
      <c r="L32" s="71"/>
      <c r="M32" s="71"/>
      <c r="N32" s="131"/>
      <c r="O32" s="71"/>
      <c r="P32" s="71"/>
      <c r="Q32" s="71"/>
      <c r="R32" s="56"/>
    </row>
    <row r="33" customFormat="false" ht="20.25" hidden="true" customHeight="true" outlineLevel="0" collapsed="false">
      <c r="B33" s="70"/>
      <c r="C33" s="72" t="s">
        <v>84</v>
      </c>
      <c r="D33" s="86" t="s">
        <v>85</v>
      </c>
      <c r="E33" s="86"/>
      <c r="F33" s="86"/>
      <c r="G33" s="70"/>
      <c r="H33" s="74"/>
      <c r="I33" s="74"/>
      <c r="J33" s="74"/>
      <c r="K33" s="74"/>
      <c r="L33" s="74"/>
      <c r="M33" s="74"/>
      <c r="N33" s="74"/>
      <c r="O33" s="74"/>
      <c r="P33" s="74"/>
      <c r="Q33" s="74"/>
      <c r="R33" s="56"/>
    </row>
    <row r="34" customFormat="false" ht="15" hidden="true" customHeight="false" outlineLevel="0" collapsed="false">
      <c r="B34" s="70"/>
      <c r="C34" s="70"/>
      <c r="D34" s="70"/>
      <c r="E34" s="70"/>
      <c r="F34" s="70"/>
      <c r="G34" s="70"/>
      <c r="H34" s="71"/>
      <c r="I34" s="71"/>
      <c r="J34" s="71"/>
      <c r="K34" s="71"/>
      <c r="L34" s="71"/>
      <c r="M34" s="71"/>
      <c r="N34" s="71"/>
      <c r="O34" s="71"/>
      <c r="P34" s="71"/>
      <c r="Q34" s="71"/>
      <c r="R34" s="56"/>
    </row>
    <row r="35" customFormat="false" ht="15" hidden="false" customHeight="false" outlineLevel="0" collapsed="false">
      <c r="A35" s="81"/>
      <c r="B35" s="81"/>
      <c r="C35" s="81"/>
      <c r="D35" s="82" t="s">
        <v>32</v>
      </c>
      <c r="E35" s="84"/>
      <c r="F35" s="84"/>
      <c r="G35" s="84"/>
      <c r="H35" s="81"/>
      <c r="I35" s="81"/>
      <c r="J35" s="81"/>
      <c r="K35" s="81"/>
      <c r="L35" s="81"/>
      <c r="M35" s="81"/>
      <c r="N35" s="81"/>
      <c r="O35" s="81"/>
      <c r="P35" s="81"/>
      <c r="Q35" s="81"/>
      <c r="R35" s="81"/>
    </row>
    <row r="36" customFormat="false" ht="15" hidden="false" customHeight="false" outlineLevel="0" collapsed="false">
      <c r="B36" s="70"/>
      <c r="C36" s="70"/>
      <c r="D36" s="70"/>
      <c r="E36" s="70"/>
      <c r="F36" s="70"/>
      <c r="G36" s="70"/>
      <c r="H36" s="71"/>
      <c r="I36" s="71"/>
      <c r="J36" s="71"/>
      <c r="K36" s="71"/>
      <c r="L36" s="71"/>
      <c r="M36" s="71"/>
      <c r="N36" s="71"/>
      <c r="O36" s="71"/>
      <c r="P36" s="71"/>
      <c r="Q36" s="71"/>
      <c r="R36" s="56"/>
    </row>
    <row r="37" customFormat="false" ht="15" hidden="false" customHeight="false" outlineLevel="0" collapsed="false">
      <c r="B37" s="78"/>
      <c r="C37" s="72" t="s">
        <v>33</v>
      </c>
      <c r="D37" s="73" t="s">
        <v>34</v>
      </c>
      <c r="E37" s="73"/>
      <c r="F37" s="73"/>
      <c r="G37" s="127" t="s">
        <v>31</v>
      </c>
      <c r="H37" s="74"/>
      <c r="I37" s="74"/>
      <c r="J37" s="74"/>
      <c r="K37" s="74"/>
      <c r="L37" s="74"/>
      <c r="M37" s="74"/>
      <c r="N37" s="74"/>
      <c r="O37" s="74"/>
      <c r="P37" s="74"/>
      <c r="Q37" s="74"/>
      <c r="R37" s="72"/>
    </row>
    <row r="38" customFormat="false" ht="15" hidden="false" customHeight="false" outlineLevel="0" collapsed="false">
      <c r="B38" s="70"/>
      <c r="C38" s="78"/>
      <c r="D38" s="71"/>
      <c r="E38" s="71"/>
      <c r="F38" s="71"/>
      <c r="G38" s="70"/>
      <c r="H38" s="71"/>
      <c r="I38" s="71"/>
      <c r="J38" s="71"/>
      <c r="K38" s="71"/>
      <c r="L38" s="71"/>
      <c r="M38" s="71"/>
      <c r="N38" s="71"/>
      <c r="O38" s="71"/>
      <c r="P38" s="71"/>
      <c r="Q38" s="71"/>
      <c r="R38" s="56"/>
    </row>
    <row r="39" customFormat="false" ht="27.75" hidden="false" customHeight="true" outlineLevel="0" collapsed="false">
      <c r="B39" s="70"/>
      <c r="C39" s="78" t="s">
        <v>35</v>
      </c>
      <c r="D39" s="86" t="s">
        <v>36</v>
      </c>
      <c r="E39" s="86"/>
      <c r="F39" s="86"/>
      <c r="G39" s="70"/>
      <c r="H39" s="74"/>
      <c r="I39" s="74"/>
      <c r="J39" s="74"/>
      <c r="K39" s="74"/>
      <c r="L39" s="74"/>
      <c r="M39" s="74"/>
      <c r="N39" s="74"/>
      <c r="O39" s="74"/>
      <c r="P39" s="74"/>
      <c r="Q39" s="74"/>
      <c r="R39" s="56"/>
    </row>
    <row r="40" customFormat="false" ht="15" hidden="false" customHeight="false" outlineLevel="0" collapsed="false">
      <c r="B40" s="70"/>
      <c r="C40" s="72"/>
      <c r="D40" s="71"/>
      <c r="E40" s="71"/>
      <c r="F40" s="71"/>
      <c r="G40" s="70"/>
      <c r="H40" s="71"/>
      <c r="I40" s="71"/>
      <c r="J40" s="71"/>
      <c r="K40" s="71"/>
      <c r="L40" s="71"/>
      <c r="M40" s="71"/>
      <c r="N40" s="71"/>
      <c r="O40" s="71"/>
      <c r="P40" s="71"/>
      <c r="Q40" s="71"/>
      <c r="R40" s="56"/>
    </row>
    <row r="41" customFormat="false" ht="57" hidden="false" customHeight="true" outlineLevel="0" collapsed="false">
      <c r="B41" s="78"/>
      <c r="C41" s="78" t="s">
        <v>38</v>
      </c>
      <c r="D41" s="86" t="s">
        <v>86</v>
      </c>
      <c r="E41" s="86"/>
      <c r="F41" s="86"/>
      <c r="G41" s="132" t="s">
        <v>31</v>
      </c>
      <c r="H41" s="74"/>
      <c r="I41" s="74"/>
      <c r="J41" s="74"/>
      <c r="K41" s="74"/>
      <c r="L41" s="74"/>
      <c r="M41" s="74"/>
      <c r="N41" s="74"/>
      <c r="O41" s="74"/>
      <c r="P41" s="74"/>
      <c r="Q41" s="74"/>
      <c r="R41" s="72"/>
    </row>
    <row r="42" customFormat="false" ht="15" hidden="false" customHeight="false" outlineLevel="0" collapsed="false">
      <c r="B42" s="70"/>
      <c r="C42" s="78"/>
      <c r="D42" s="71"/>
      <c r="E42" s="71"/>
      <c r="F42" s="71"/>
      <c r="G42" s="70"/>
      <c r="H42" s="71"/>
      <c r="I42" s="71"/>
      <c r="J42" s="71"/>
      <c r="K42" s="71"/>
      <c r="L42" s="71"/>
      <c r="M42" s="71"/>
      <c r="N42" s="71"/>
      <c r="O42" s="71"/>
      <c r="P42" s="71"/>
      <c r="Q42" s="71"/>
      <c r="R42" s="56"/>
    </row>
    <row r="43" customFormat="false" ht="57.75" hidden="false" customHeight="true" outlineLevel="0" collapsed="false">
      <c r="B43" s="70"/>
      <c r="C43" s="72" t="s">
        <v>40</v>
      </c>
      <c r="D43" s="86" t="s">
        <v>41</v>
      </c>
      <c r="E43" s="86"/>
      <c r="F43" s="86"/>
      <c r="G43" s="70"/>
      <c r="H43" s="74"/>
      <c r="I43" s="74"/>
      <c r="J43" s="74"/>
      <c r="K43" s="74"/>
      <c r="L43" s="74"/>
      <c r="M43" s="74"/>
      <c r="N43" s="74"/>
      <c r="O43" s="74"/>
      <c r="P43" s="74"/>
      <c r="Q43" s="74"/>
      <c r="R43" s="56"/>
    </row>
    <row r="44" customFormat="false" ht="15" hidden="false" customHeight="false" outlineLevel="0" collapsed="false">
      <c r="B44" s="78"/>
      <c r="C44" s="78"/>
      <c r="D44" s="78"/>
      <c r="E44" s="78"/>
      <c r="F44" s="78"/>
      <c r="G44" s="78"/>
      <c r="H44" s="78"/>
      <c r="I44" s="78"/>
      <c r="J44" s="78"/>
      <c r="K44" s="78"/>
      <c r="L44" s="78"/>
      <c r="M44" s="78"/>
      <c r="N44" s="78"/>
      <c r="O44" s="78"/>
      <c r="P44" s="78"/>
      <c r="Q44" s="78"/>
      <c r="R44" s="78"/>
    </row>
    <row r="45" customFormat="false" ht="54" hidden="false" customHeight="true" outlineLevel="0" collapsed="false">
      <c r="B45" s="70"/>
      <c r="C45" s="78" t="s">
        <v>42</v>
      </c>
      <c r="D45" s="86" t="s">
        <v>43</v>
      </c>
      <c r="E45" s="86"/>
      <c r="F45" s="86"/>
      <c r="G45" s="70"/>
      <c r="H45" s="74"/>
      <c r="I45" s="74"/>
      <c r="J45" s="74"/>
      <c r="K45" s="74"/>
      <c r="L45" s="74"/>
      <c r="M45" s="74"/>
      <c r="N45" s="74"/>
      <c r="O45" s="74"/>
      <c r="P45" s="74"/>
      <c r="Q45" s="74"/>
      <c r="R45" s="56"/>
    </row>
    <row r="46" customFormat="false" ht="15" hidden="false" customHeight="false" outlineLevel="0" collapsed="false">
      <c r="B46" s="78"/>
      <c r="C46" s="78"/>
      <c r="D46" s="78"/>
      <c r="E46" s="78"/>
      <c r="F46" s="78"/>
      <c r="G46" s="78"/>
      <c r="H46" s="78"/>
      <c r="I46" s="78"/>
      <c r="J46" s="78"/>
      <c r="K46" s="78"/>
      <c r="L46" s="78"/>
      <c r="M46" s="78"/>
      <c r="N46" s="78"/>
      <c r="O46" s="78"/>
      <c r="P46" s="78"/>
      <c r="Q46" s="78"/>
      <c r="R46" s="78"/>
    </row>
    <row r="47" customFormat="false" ht="82.5" hidden="false" customHeight="true" outlineLevel="0" collapsed="false">
      <c r="B47" s="70"/>
      <c r="C47" s="78" t="s">
        <v>44</v>
      </c>
      <c r="D47" s="86" t="s">
        <v>45</v>
      </c>
      <c r="E47" s="86"/>
      <c r="F47" s="86"/>
      <c r="G47" s="70"/>
      <c r="H47" s="74"/>
      <c r="I47" s="74"/>
      <c r="J47" s="74"/>
      <c r="K47" s="74"/>
      <c r="L47" s="74"/>
      <c r="M47" s="74"/>
      <c r="N47" s="74"/>
      <c r="O47" s="74"/>
      <c r="P47" s="74"/>
      <c r="Q47" s="74"/>
      <c r="R47" s="56"/>
    </row>
    <row r="48" customFormat="false" ht="15" hidden="true" customHeight="false" outlineLevel="0" collapsed="false">
      <c r="B48" s="78"/>
      <c r="C48" s="78"/>
      <c r="D48" s="78"/>
      <c r="E48" s="78"/>
      <c r="F48" s="78"/>
      <c r="G48" s="78"/>
      <c r="H48" s="78"/>
      <c r="I48" s="78"/>
      <c r="J48" s="78"/>
      <c r="K48" s="78"/>
      <c r="L48" s="78"/>
      <c r="M48" s="78"/>
      <c r="N48" s="78"/>
      <c r="O48" s="78"/>
      <c r="P48" s="78"/>
      <c r="Q48" s="78"/>
      <c r="R48" s="78"/>
    </row>
    <row r="49" customFormat="false" ht="145.5" hidden="true" customHeight="true" outlineLevel="0" collapsed="false">
      <c r="B49" s="70"/>
      <c r="C49" s="72" t="s">
        <v>46</v>
      </c>
      <c r="D49" s="86" t="s">
        <v>47</v>
      </c>
      <c r="E49" s="86"/>
      <c r="F49" s="86"/>
      <c r="G49" s="70"/>
      <c r="H49" s="74"/>
      <c r="I49" s="74"/>
      <c r="J49" s="74"/>
      <c r="K49" s="74"/>
      <c r="L49" s="74"/>
      <c r="M49" s="74"/>
      <c r="N49" s="74"/>
      <c r="O49" s="74"/>
      <c r="P49" s="74"/>
      <c r="Q49" s="74"/>
      <c r="R49" s="56"/>
    </row>
    <row r="50" customFormat="false" ht="15" hidden="true" customHeight="false" outlineLevel="0" collapsed="false">
      <c r="B50" s="70"/>
      <c r="C50" s="70"/>
      <c r="D50" s="70"/>
      <c r="E50" s="70"/>
      <c r="F50" s="70"/>
      <c r="G50" s="70"/>
      <c r="H50" s="78"/>
      <c r="I50" s="78"/>
      <c r="J50" s="78"/>
      <c r="K50" s="78"/>
      <c r="L50" s="78"/>
      <c r="M50" s="78"/>
      <c r="N50" s="78"/>
      <c r="O50" s="78"/>
      <c r="P50" s="78"/>
      <c r="Q50" s="78"/>
      <c r="R50" s="56"/>
    </row>
    <row r="51" customFormat="false" ht="75" hidden="true" customHeight="true" outlineLevel="0" collapsed="false">
      <c r="B51" s="70"/>
      <c r="C51" s="78" t="s">
        <v>48</v>
      </c>
      <c r="D51" s="86" t="s">
        <v>49</v>
      </c>
      <c r="E51" s="86"/>
      <c r="F51" s="86"/>
      <c r="G51" s="70"/>
      <c r="H51" s="74"/>
      <c r="I51" s="74"/>
      <c r="J51" s="74"/>
      <c r="K51" s="74"/>
      <c r="L51" s="74"/>
      <c r="M51" s="74"/>
      <c r="N51" s="74"/>
      <c r="O51" s="74"/>
      <c r="P51" s="74"/>
      <c r="Q51" s="74"/>
      <c r="R51" s="56"/>
    </row>
    <row r="52" customFormat="false" ht="15" hidden="true" customHeight="false" outlineLevel="0" collapsed="false">
      <c r="B52" s="70"/>
      <c r="C52" s="72"/>
      <c r="D52" s="70"/>
      <c r="E52" s="70"/>
      <c r="F52" s="70"/>
      <c r="G52" s="70"/>
      <c r="H52" s="78"/>
      <c r="I52" s="78"/>
      <c r="J52" s="78"/>
      <c r="K52" s="78"/>
      <c r="L52" s="78"/>
      <c r="M52" s="78"/>
      <c r="N52" s="78"/>
      <c r="O52" s="78"/>
      <c r="P52" s="78"/>
      <c r="Q52" s="78"/>
      <c r="R52" s="56"/>
    </row>
    <row r="53" customFormat="false" ht="88.5" hidden="true" customHeight="true" outlineLevel="0" collapsed="false">
      <c r="B53" s="70"/>
      <c r="C53" s="78" t="s">
        <v>50</v>
      </c>
      <c r="D53" s="86" t="s">
        <v>51</v>
      </c>
      <c r="E53" s="86"/>
      <c r="F53" s="86"/>
      <c r="G53" s="70"/>
      <c r="H53" s="74"/>
      <c r="I53" s="74"/>
      <c r="J53" s="74"/>
      <c r="K53" s="74"/>
      <c r="L53" s="74"/>
      <c r="M53" s="74"/>
      <c r="N53" s="74"/>
      <c r="O53" s="74"/>
      <c r="P53" s="74"/>
      <c r="Q53" s="74"/>
      <c r="R53" s="56"/>
    </row>
    <row r="54" customFormat="false" ht="15" hidden="true" customHeight="false" outlineLevel="0" collapsed="false">
      <c r="B54" s="70"/>
      <c r="C54" s="78"/>
      <c r="D54" s="70"/>
      <c r="E54" s="70"/>
      <c r="F54" s="70"/>
      <c r="G54" s="70"/>
      <c r="H54" s="78"/>
      <c r="I54" s="78"/>
      <c r="J54" s="78"/>
      <c r="K54" s="78"/>
      <c r="L54" s="78"/>
      <c r="M54" s="78"/>
      <c r="N54" s="78"/>
      <c r="O54" s="78"/>
      <c r="P54" s="78"/>
      <c r="Q54" s="78"/>
      <c r="R54" s="56"/>
    </row>
    <row r="55" customFormat="false" ht="170.25" hidden="true" customHeight="true" outlineLevel="0" collapsed="false">
      <c r="B55" s="70"/>
      <c r="C55" s="78" t="s">
        <v>52</v>
      </c>
      <c r="D55" s="86" t="s">
        <v>87</v>
      </c>
      <c r="E55" s="86"/>
      <c r="F55" s="86"/>
      <c r="G55" s="70"/>
      <c r="H55" s="74"/>
      <c r="I55" s="74"/>
      <c r="J55" s="74"/>
      <c r="K55" s="74"/>
      <c r="L55" s="74"/>
      <c r="M55" s="74"/>
      <c r="N55" s="74"/>
      <c r="O55" s="74"/>
      <c r="P55" s="74"/>
      <c r="Q55" s="74"/>
      <c r="R55" s="56"/>
    </row>
    <row r="56" customFormat="false" ht="15" hidden="false" customHeight="false" outlineLevel="0" collapsed="false">
      <c r="B56" s="70"/>
      <c r="C56" s="70"/>
      <c r="D56" s="70"/>
      <c r="E56" s="70"/>
      <c r="F56" s="70"/>
      <c r="G56" s="70"/>
      <c r="H56" s="78"/>
      <c r="I56" s="78"/>
      <c r="J56" s="78"/>
      <c r="K56" s="78"/>
      <c r="L56" s="78"/>
      <c r="M56" s="78"/>
      <c r="N56" s="78"/>
      <c r="O56" s="78"/>
      <c r="P56" s="78"/>
      <c r="Q56" s="78"/>
      <c r="R56" s="56"/>
    </row>
    <row r="57" customFormat="false" ht="15" hidden="false" customHeight="false" outlineLevel="0" collapsed="false">
      <c r="B57" s="70"/>
      <c r="C57" s="78" t="s">
        <v>88</v>
      </c>
      <c r="D57" s="73" t="s">
        <v>89</v>
      </c>
      <c r="E57" s="73"/>
      <c r="F57" s="73"/>
      <c r="G57" s="70"/>
      <c r="H57" s="74"/>
      <c r="I57" s="74"/>
      <c r="J57" s="74"/>
      <c r="K57" s="74"/>
      <c r="L57" s="74"/>
      <c r="M57" s="74"/>
      <c r="N57" s="74"/>
      <c r="O57" s="74"/>
      <c r="P57" s="74"/>
      <c r="Q57" s="74"/>
      <c r="R57" s="56"/>
    </row>
    <row r="58" customFormat="false" ht="15" hidden="false" customHeight="false" outlineLevel="0" collapsed="false">
      <c r="B58" s="70"/>
      <c r="C58" s="70"/>
      <c r="D58" s="70"/>
      <c r="E58" s="70"/>
      <c r="F58" s="70"/>
      <c r="G58" s="70"/>
      <c r="H58" s="78"/>
      <c r="I58" s="78"/>
      <c r="J58" s="78"/>
      <c r="K58" s="78"/>
      <c r="L58" s="78"/>
      <c r="M58" s="78"/>
      <c r="N58" s="78"/>
      <c r="O58" s="78"/>
      <c r="P58" s="78"/>
      <c r="Q58" s="78"/>
      <c r="R58" s="56"/>
    </row>
    <row r="59" customFormat="false" ht="15" hidden="false" customHeight="false" outlineLevel="0" collapsed="false">
      <c r="B59" s="70"/>
      <c r="C59" s="78" t="s">
        <v>90</v>
      </c>
      <c r="D59" s="73" t="s">
        <v>91</v>
      </c>
      <c r="E59" s="73"/>
      <c r="F59" s="73"/>
      <c r="G59" s="70"/>
      <c r="H59" s="74"/>
      <c r="I59" s="74"/>
      <c r="J59" s="74"/>
      <c r="K59" s="74"/>
      <c r="L59" s="74"/>
      <c r="M59" s="74"/>
      <c r="N59" s="74"/>
      <c r="O59" s="74"/>
      <c r="P59" s="74"/>
      <c r="Q59" s="74"/>
      <c r="R59" s="56"/>
    </row>
    <row r="60" customFormat="false" ht="15" hidden="false" customHeight="false" outlineLevel="0" collapsed="false">
      <c r="B60" s="70"/>
      <c r="C60" s="70"/>
      <c r="D60" s="70"/>
      <c r="E60" s="70"/>
      <c r="F60" s="70"/>
      <c r="G60" s="70"/>
      <c r="H60" s="78"/>
      <c r="I60" s="78"/>
      <c r="J60" s="78"/>
      <c r="K60" s="78"/>
      <c r="L60" s="78"/>
      <c r="M60" s="78"/>
      <c r="N60" s="78"/>
      <c r="O60" s="78"/>
      <c r="P60" s="78"/>
      <c r="Q60" s="78"/>
      <c r="R60" s="56"/>
    </row>
    <row r="61" customFormat="false" ht="15" hidden="false" customHeight="false" outlineLevel="0" collapsed="false">
      <c r="B61" s="70"/>
      <c r="C61" s="78" t="s">
        <v>92</v>
      </c>
      <c r="D61" s="73" t="s">
        <v>93</v>
      </c>
      <c r="E61" s="73"/>
      <c r="F61" s="73"/>
      <c r="G61" s="70"/>
      <c r="H61" s="74"/>
      <c r="I61" s="74"/>
      <c r="J61" s="74"/>
      <c r="K61" s="74"/>
      <c r="L61" s="74"/>
      <c r="M61" s="74"/>
      <c r="N61" s="74"/>
      <c r="O61" s="74"/>
      <c r="P61" s="74"/>
      <c r="Q61" s="74"/>
      <c r="R61" s="56"/>
    </row>
    <row r="62" customFormat="false" ht="15" hidden="true" customHeight="false" outlineLevel="0" collapsed="false">
      <c r="B62" s="70"/>
      <c r="C62" s="70"/>
      <c r="D62" s="70"/>
      <c r="E62" s="70"/>
      <c r="F62" s="70"/>
      <c r="G62" s="70"/>
      <c r="H62" s="78"/>
      <c r="I62" s="78"/>
      <c r="J62" s="78"/>
      <c r="K62" s="78"/>
      <c r="L62" s="78"/>
      <c r="M62" s="78"/>
      <c r="N62" s="78"/>
      <c r="O62" s="78"/>
      <c r="P62" s="78"/>
      <c r="Q62" s="78"/>
      <c r="R62" s="56"/>
    </row>
    <row r="63" customFormat="false" ht="15" hidden="true" customHeight="false" outlineLevel="0" collapsed="false">
      <c r="B63" s="70"/>
      <c r="C63" s="78" t="s">
        <v>94</v>
      </c>
      <c r="D63" s="73" t="s">
        <v>95</v>
      </c>
      <c r="E63" s="73"/>
      <c r="F63" s="73"/>
      <c r="G63" s="70"/>
      <c r="H63" s="74"/>
      <c r="I63" s="74"/>
      <c r="J63" s="74"/>
      <c r="K63" s="74"/>
      <c r="L63" s="74"/>
      <c r="M63" s="74"/>
      <c r="N63" s="74"/>
      <c r="O63" s="74"/>
      <c r="P63" s="74"/>
      <c r="Q63" s="74"/>
      <c r="R63" s="56"/>
    </row>
    <row r="64" customFormat="false" ht="15" hidden="false" customHeight="false" outlineLevel="0" collapsed="false">
      <c r="B64" s="70"/>
      <c r="C64" s="70"/>
      <c r="D64" s="70"/>
      <c r="E64" s="70"/>
      <c r="F64" s="70"/>
      <c r="G64" s="70"/>
      <c r="H64" s="78"/>
      <c r="I64" s="78"/>
      <c r="J64" s="78"/>
      <c r="K64" s="78"/>
      <c r="L64" s="78"/>
      <c r="M64" s="78"/>
      <c r="N64" s="78"/>
      <c r="O64" s="78"/>
      <c r="P64" s="78"/>
      <c r="Q64" s="78"/>
      <c r="R64" s="56"/>
    </row>
    <row r="65" customFormat="false" ht="15" hidden="false" customHeight="false" outlineLevel="0" collapsed="false">
      <c r="B65" s="70"/>
      <c r="C65" s="78" t="s">
        <v>96</v>
      </c>
      <c r="D65" s="73" t="s">
        <v>97</v>
      </c>
      <c r="E65" s="73"/>
      <c r="F65" s="73"/>
      <c r="G65" s="70"/>
      <c r="H65" s="74"/>
      <c r="I65" s="74"/>
      <c r="J65" s="74"/>
      <c r="K65" s="74"/>
      <c r="L65" s="74"/>
      <c r="M65" s="74"/>
      <c r="N65" s="74"/>
      <c r="O65" s="74"/>
      <c r="P65" s="74"/>
      <c r="Q65" s="74"/>
      <c r="R65" s="56"/>
    </row>
    <row r="66" customFormat="false" ht="15" hidden="false" customHeight="false" outlineLevel="0" collapsed="false">
      <c r="B66" s="70"/>
      <c r="C66" s="70"/>
      <c r="D66" s="70"/>
      <c r="E66" s="70"/>
      <c r="F66" s="70"/>
      <c r="G66" s="70"/>
      <c r="H66" s="78"/>
      <c r="I66" s="78"/>
      <c r="J66" s="78"/>
      <c r="K66" s="78"/>
      <c r="L66" s="78"/>
      <c r="M66" s="78"/>
      <c r="N66" s="78"/>
      <c r="O66" s="78"/>
      <c r="P66" s="78"/>
      <c r="Q66" s="78"/>
      <c r="R66" s="56"/>
    </row>
    <row r="67" customFormat="false" ht="15" hidden="false" customHeight="false" outlineLevel="0" collapsed="false">
      <c r="B67" s="70"/>
      <c r="C67" s="78" t="s">
        <v>98</v>
      </c>
      <c r="D67" s="73" t="s">
        <v>99</v>
      </c>
      <c r="E67" s="73"/>
      <c r="F67" s="73"/>
      <c r="G67" s="70"/>
      <c r="H67" s="74"/>
      <c r="I67" s="74"/>
      <c r="J67" s="74"/>
      <c r="K67" s="74"/>
      <c r="L67" s="74"/>
      <c r="M67" s="74"/>
      <c r="N67" s="74"/>
      <c r="O67" s="74"/>
      <c r="P67" s="74"/>
      <c r="Q67" s="74"/>
      <c r="R67" s="56"/>
    </row>
    <row r="68" customFormat="false" ht="15" hidden="false" customHeight="false" outlineLevel="0" collapsed="false">
      <c r="B68" s="70"/>
      <c r="C68" s="70"/>
      <c r="D68" s="70"/>
      <c r="E68" s="70"/>
      <c r="F68" s="70"/>
      <c r="G68" s="70"/>
      <c r="H68" s="78"/>
      <c r="I68" s="78"/>
      <c r="J68" s="78"/>
      <c r="K68" s="78"/>
      <c r="L68" s="78"/>
      <c r="M68" s="78"/>
      <c r="N68" s="78"/>
      <c r="O68" s="78"/>
      <c r="P68" s="78"/>
      <c r="Q68" s="78"/>
      <c r="R68" s="56"/>
    </row>
    <row r="69" customFormat="false" ht="15" hidden="false" customHeight="false" outlineLevel="0" collapsed="false">
      <c r="B69" s="70"/>
      <c r="C69" s="78" t="s">
        <v>100</v>
      </c>
      <c r="D69" s="73" t="s">
        <v>101</v>
      </c>
      <c r="E69" s="73"/>
      <c r="F69" s="73"/>
      <c r="G69" s="70"/>
      <c r="H69" s="74"/>
      <c r="I69" s="74"/>
      <c r="J69" s="74"/>
      <c r="K69" s="74"/>
      <c r="L69" s="74"/>
      <c r="M69" s="74"/>
      <c r="N69" s="74"/>
      <c r="O69" s="74"/>
      <c r="P69" s="74"/>
      <c r="Q69" s="74"/>
      <c r="R69" s="56"/>
    </row>
    <row r="70" customFormat="false" ht="15" hidden="false" customHeight="false" outlineLevel="0" collapsed="false">
      <c r="B70" s="70"/>
      <c r="C70" s="70"/>
      <c r="D70" s="70"/>
      <c r="E70" s="70"/>
      <c r="F70" s="70"/>
      <c r="G70" s="70"/>
      <c r="H70" s="78"/>
      <c r="I70" s="78"/>
      <c r="J70" s="78"/>
      <c r="K70" s="78"/>
      <c r="L70" s="78"/>
      <c r="M70" s="78"/>
      <c r="N70" s="78"/>
      <c r="O70" s="78"/>
      <c r="P70" s="78"/>
      <c r="Q70" s="78"/>
      <c r="R70" s="56"/>
    </row>
    <row r="71" customFormat="false" ht="15" hidden="false" customHeight="false" outlineLevel="0" collapsed="false">
      <c r="B71" s="70"/>
      <c r="C71" s="78" t="s">
        <v>102</v>
      </c>
      <c r="D71" s="73" t="s">
        <v>103</v>
      </c>
      <c r="E71" s="73"/>
      <c r="F71" s="73"/>
      <c r="G71" s="70"/>
      <c r="H71" s="74"/>
      <c r="I71" s="74"/>
      <c r="J71" s="74"/>
      <c r="K71" s="74"/>
      <c r="L71" s="74"/>
      <c r="M71" s="74"/>
      <c r="N71" s="74"/>
      <c r="O71" s="74"/>
      <c r="P71" s="74"/>
      <c r="Q71" s="74"/>
      <c r="R71" s="56"/>
    </row>
    <row r="72" customFormat="false" ht="15" hidden="false" customHeight="false" outlineLevel="0" collapsed="false">
      <c r="B72" s="70"/>
      <c r="C72" s="70"/>
      <c r="D72" s="70"/>
      <c r="E72" s="70"/>
      <c r="F72" s="70"/>
      <c r="G72" s="70"/>
      <c r="H72" s="78"/>
      <c r="I72" s="78"/>
      <c r="J72" s="78"/>
      <c r="K72" s="78"/>
      <c r="L72" s="78"/>
      <c r="M72" s="78"/>
      <c r="N72" s="78"/>
      <c r="O72" s="78"/>
      <c r="P72" s="78"/>
      <c r="Q72" s="78"/>
      <c r="R72" s="56"/>
    </row>
    <row r="73" customFormat="false" ht="15" hidden="false" customHeight="false" outlineLevel="0" collapsed="false">
      <c r="B73" s="70"/>
      <c r="C73" s="78" t="s">
        <v>104</v>
      </c>
      <c r="D73" s="73" t="s">
        <v>105</v>
      </c>
      <c r="E73" s="73"/>
      <c r="F73" s="73"/>
      <c r="G73" s="70"/>
      <c r="H73" s="74"/>
      <c r="I73" s="74"/>
      <c r="J73" s="74"/>
      <c r="K73" s="74"/>
      <c r="L73" s="74"/>
      <c r="M73" s="74"/>
      <c r="N73" s="74"/>
      <c r="O73" s="74"/>
      <c r="P73" s="74"/>
      <c r="Q73" s="74"/>
      <c r="R73" s="56"/>
    </row>
    <row r="74" customFormat="false" ht="15" hidden="true" customHeight="false" outlineLevel="0" collapsed="false">
      <c r="B74" s="70"/>
      <c r="C74" s="70"/>
      <c r="D74" s="70"/>
      <c r="E74" s="70"/>
      <c r="F74" s="70"/>
      <c r="G74" s="70"/>
      <c r="H74" s="78"/>
      <c r="I74" s="78"/>
      <c r="J74" s="78"/>
      <c r="K74" s="78"/>
      <c r="L74" s="78"/>
      <c r="M74" s="78"/>
      <c r="N74" s="78"/>
      <c r="O74" s="78"/>
      <c r="P74" s="78"/>
      <c r="Q74" s="78"/>
      <c r="R74" s="56"/>
    </row>
    <row r="75" customFormat="false" ht="15" hidden="true" customHeight="false" outlineLevel="0" collapsed="false">
      <c r="B75" s="70"/>
      <c r="C75" s="78" t="s">
        <v>106</v>
      </c>
      <c r="D75" s="73" t="s">
        <v>107</v>
      </c>
      <c r="E75" s="73"/>
      <c r="F75" s="73"/>
      <c r="G75" s="70"/>
      <c r="H75" s="74"/>
      <c r="I75" s="74"/>
      <c r="J75" s="74"/>
      <c r="K75" s="74"/>
      <c r="L75" s="74"/>
      <c r="M75" s="74"/>
      <c r="N75" s="74"/>
      <c r="O75" s="74"/>
      <c r="P75" s="74"/>
      <c r="Q75" s="74"/>
      <c r="R75" s="56"/>
    </row>
    <row r="76" customFormat="false" ht="15" hidden="false" customHeight="false" outlineLevel="0" collapsed="false">
      <c r="B76" s="70"/>
      <c r="C76" s="70"/>
      <c r="D76" s="70"/>
      <c r="E76" s="70"/>
      <c r="F76" s="70"/>
      <c r="G76" s="70"/>
      <c r="H76" s="78"/>
      <c r="I76" s="78"/>
      <c r="J76" s="78"/>
      <c r="K76" s="78"/>
      <c r="L76" s="78"/>
      <c r="M76" s="78"/>
      <c r="N76" s="78"/>
      <c r="O76" s="78"/>
      <c r="P76" s="78"/>
      <c r="Q76" s="78"/>
      <c r="R76" s="56"/>
    </row>
    <row r="77" customFormat="false" ht="15" hidden="false" customHeight="false" outlineLevel="0" collapsed="false">
      <c r="B77" s="70"/>
      <c r="C77" s="78" t="s">
        <v>108</v>
      </c>
      <c r="D77" s="73" t="s">
        <v>109</v>
      </c>
      <c r="E77" s="73"/>
      <c r="F77" s="73"/>
      <c r="G77" s="70"/>
      <c r="H77" s="74"/>
      <c r="I77" s="74"/>
      <c r="J77" s="74"/>
      <c r="K77" s="74"/>
      <c r="L77" s="74"/>
      <c r="M77" s="74"/>
      <c r="N77" s="74"/>
      <c r="O77" s="74"/>
      <c r="P77" s="74"/>
      <c r="Q77" s="74"/>
      <c r="R77" s="56"/>
    </row>
    <row r="78" customFormat="false" ht="15" hidden="false" customHeight="false" outlineLevel="0" collapsed="false">
      <c r="B78" s="70"/>
      <c r="C78" s="70"/>
      <c r="D78" s="70"/>
      <c r="E78" s="70"/>
      <c r="F78" s="70"/>
      <c r="G78" s="70"/>
      <c r="H78" s="78"/>
      <c r="I78" s="78"/>
      <c r="J78" s="78"/>
      <c r="K78" s="78"/>
      <c r="L78" s="78"/>
      <c r="M78" s="78"/>
      <c r="N78" s="78"/>
      <c r="O78" s="78"/>
      <c r="P78" s="78"/>
      <c r="Q78" s="78"/>
      <c r="R78" s="56"/>
    </row>
    <row r="79" customFormat="false" ht="15" hidden="false" customHeight="false" outlineLevel="0" collapsed="false">
      <c r="B79" s="70"/>
      <c r="C79" s="78" t="s">
        <v>110</v>
      </c>
      <c r="D79" s="73" t="s">
        <v>111</v>
      </c>
      <c r="E79" s="73"/>
      <c r="F79" s="73"/>
      <c r="G79" s="70"/>
      <c r="H79" s="74"/>
      <c r="I79" s="74"/>
      <c r="J79" s="74"/>
      <c r="K79" s="74"/>
      <c r="L79" s="74"/>
      <c r="M79" s="74"/>
      <c r="N79" s="74"/>
      <c r="O79" s="74"/>
      <c r="P79" s="74"/>
      <c r="Q79" s="74"/>
      <c r="R79" s="56"/>
    </row>
    <row r="80" customFormat="false" ht="15" hidden="false" customHeight="false" outlineLevel="0" collapsed="false">
      <c r="B80" s="70"/>
      <c r="C80" s="70"/>
      <c r="D80" s="70"/>
      <c r="E80" s="70"/>
      <c r="F80" s="70"/>
      <c r="G80" s="70"/>
      <c r="H80" s="78"/>
      <c r="I80" s="78"/>
      <c r="J80" s="78"/>
      <c r="K80" s="78"/>
      <c r="L80" s="78"/>
      <c r="M80" s="78"/>
      <c r="N80" s="78"/>
      <c r="O80" s="78"/>
      <c r="P80" s="78"/>
      <c r="Q80" s="78"/>
      <c r="R80" s="56"/>
    </row>
    <row r="81" customFormat="false" ht="15" hidden="false" customHeight="false" outlineLevel="0" collapsed="false">
      <c r="B81" s="70"/>
      <c r="C81" s="78" t="s">
        <v>112</v>
      </c>
      <c r="D81" s="73" t="s">
        <v>113</v>
      </c>
      <c r="E81" s="73"/>
      <c r="F81" s="73"/>
      <c r="G81" s="70"/>
      <c r="H81" s="74"/>
      <c r="I81" s="74"/>
      <c r="J81" s="74"/>
      <c r="K81" s="74"/>
      <c r="L81" s="74"/>
      <c r="M81" s="74"/>
      <c r="N81" s="74"/>
      <c r="O81" s="74"/>
      <c r="P81" s="74"/>
      <c r="Q81" s="74"/>
      <c r="R81" s="56"/>
    </row>
    <row r="82" customFormat="false" ht="15" hidden="false" customHeight="false" outlineLevel="0" collapsed="false">
      <c r="B82" s="70"/>
      <c r="C82" s="70"/>
      <c r="D82" s="70"/>
      <c r="E82" s="70"/>
      <c r="F82" s="70"/>
      <c r="G82" s="70"/>
      <c r="H82" s="78"/>
      <c r="I82" s="78"/>
      <c r="J82" s="78"/>
      <c r="K82" s="78"/>
      <c r="L82" s="78"/>
      <c r="M82" s="78"/>
      <c r="N82" s="78"/>
      <c r="O82" s="78"/>
      <c r="P82" s="78"/>
      <c r="Q82" s="78"/>
      <c r="R82" s="56"/>
    </row>
    <row r="83" customFormat="false" ht="15" hidden="false" customHeight="false" outlineLevel="0" collapsed="false">
      <c r="B83" s="70"/>
      <c r="C83" s="78" t="s">
        <v>114</v>
      </c>
      <c r="D83" s="73" t="s">
        <v>115</v>
      </c>
      <c r="E83" s="73"/>
      <c r="F83" s="73"/>
      <c r="G83" s="70"/>
      <c r="H83" s="74"/>
      <c r="I83" s="74"/>
      <c r="J83" s="74"/>
      <c r="K83" s="74"/>
      <c r="L83" s="74"/>
      <c r="M83" s="74"/>
      <c r="N83" s="74"/>
      <c r="O83" s="74"/>
      <c r="P83" s="74"/>
      <c r="Q83" s="74"/>
      <c r="R83" s="56"/>
    </row>
    <row r="84" customFormat="false" ht="15" hidden="false" customHeight="false" outlineLevel="0" collapsed="false">
      <c r="B84" s="70"/>
      <c r="C84" s="70"/>
      <c r="D84" s="70"/>
      <c r="E84" s="70"/>
      <c r="F84" s="70"/>
      <c r="G84" s="70"/>
      <c r="H84" s="78"/>
      <c r="I84" s="78"/>
      <c r="J84" s="78"/>
      <c r="K84" s="78"/>
      <c r="L84" s="78"/>
      <c r="M84" s="78"/>
      <c r="N84" s="78"/>
      <c r="O84" s="78"/>
      <c r="P84" s="78"/>
      <c r="Q84" s="78"/>
      <c r="R84" s="56"/>
    </row>
    <row r="85" customFormat="false" ht="15" hidden="false" customHeight="false" outlineLevel="0" collapsed="false">
      <c r="B85" s="70"/>
      <c r="C85" s="78" t="s">
        <v>116</v>
      </c>
      <c r="D85" s="73" t="s">
        <v>117</v>
      </c>
      <c r="E85" s="73"/>
      <c r="F85" s="73"/>
      <c r="G85" s="70"/>
      <c r="H85" s="74"/>
      <c r="I85" s="74"/>
      <c r="J85" s="74"/>
      <c r="K85" s="74"/>
      <c r="L85" s="74"/>
      <c r="M85" s="74"/>
      <c r="N85" s="74"/>
      <c r="O85" s="74"/>
      <c r="P85" s="74"/>
      <c r="Q85" s="74"/>
      <c r="R85" s="56"/>
    </row>
    <row r="86" customFormat="false" ht="15" hidden="false" customHeight="false" outlineLevel="0" collapsed="false">
      <c r="B86" s="70"/>
      <c r="C86" s="70"/>
      <c r="D86" s="70"/>
      <c r="E86" s="70"/>
      <c r="F86" s="70"/>
      <c r="G86" s="70"/>
      <c r="H86" s="78"/>
      <c r="I86" s="78"/>
      <c r="J86" s="78"/>
      <c r="K86" s="78"/>
      <c r="L86" s="78"/>
      <c r="M86" s="78"/>
      <c r="N86" s="78"/>
      <c r="O86" s="78"/>
      <c r="P86" s="78"/>
      <c r="Q86" s="78"/>
      <c r="R86" s="56"/>
    </row>
    <row r="87" customFormat="false" ht="15" hidden="false" customHeight="false" outlineLevel="0" collapsed="false">
      <c r="B87" s="70"/>
      <c r="C87" s="78" t="s">
        <v>118</v>
      </c>
      <c r="D87" s="73" t="s">
        <v>119</v>
      </c>
      <c r="E87" s="73"/>
      <c r="F87" s="73"/>
      <c r="G87" s="70"/>
      <c r="H87" s="74"/>
      <c r="I87" s="74"/>
      <c r="J87" s="74"/>
      <c r="K87" s="74"/>
      <c r="L87" s="74"/>
      <c r="M87" s="74"/>
      <c r="N87" s="74"/>
      <c r="O87" s="74"/>
      <c r="P87" s="74"/>
      <c r="Q87" s="74"/>
      <c r="R87" s="56"/>
    </row>
    <row r="88" customFormat="false" ht="15" hidden="false" customHeight="false" outlineLevel="0" collapsed="false">
      <c r="B88" s="70"/>
      <c r="C88" s="70"/>
      <c r="D88" s="70"/>
      <c r="E88" s="70"/>
      <c r="F88" s="70"/>
      <c r="G88" s="70"/>
      <c r="H88" s="78"/>
      <c r="I88" s="78"/>
      <c r="J88" s="78"/>
      <c r="K88" s="78"/>
      <c r="L88" s="78"/>
      <c r="M88" s="78"/>
      <c r="N88" s="78"/>
      <c r="O88" s="78"/>
      <c r="P88" s="78"/>
      <c r="Q88" s="78"/>
      <c r="R88" s="56"/>
    </row>
    <row r="89" customFormat="false" ht="15" hidden="false" customHeight="false" outlineLevel="0" collapsed="false">
      <c r="B89" s="70"/>
      <c r="C89" s="78" t="s">
        <v>120</v>
      </c>
      <c r="D89" s="73" t="s">
        <v>121</v>
      </c>
      <c r="E89" s="73"/>
      <c r="F89" s="73"/>
      <c r="G89" s="70"/>
      <c r="H89" s="74"/>
      <c r="I89" s="74"/>
      <c r="J89" s="74"/>
      <c r="K89" s="74"/>
      <c r="L89" s="74"/>
      <c r="M89" s="74"/>
      <c r="N89" s="74"/>
      <c r="O89" s="74"/>
      <c r="P89" s="74"/>
      <c r="Q89" s="74"/>
      <c r="R89" s="56"/>
    </row>
    <row r="90" customFormat="false" ht="15" hidden="false" customHeight="false" outlineLevel="0" collapsed="false">
      <c r="B90" s="70"/>
      <c r="C90" s="70"/>
      <c r="D90" s="70"/>
      <c r="E90" s="70"/>
      <c r="F90" s="70"/>
      <c r="G90" s="70"/>
      <c r="H90" s="78"/>
      <c r="I90" s="78"/>
      <c r="J90" s="78"/>
      <c r="K90" s="78"/>
      <c r="L90" s="78"/>
      <c r="M90" s="78"/>
      <c r="N90" s="78"/>
      <c r="O90" s="78"/>
      <c r="P90" s="78"/>
      <c r="Q90" s="78"/>
      <c r="R90" s="56"/>
    </row>
    <row r="91" customFormat="false" ht="15" hidden="false" customHeight="false" outlineLevel="0" collapsed="false">
      <c r="A91" s="96"/>
      <c r="B91" s="96"/>
      <c r="C91" s="96"/>
      <c r="D91" s="97" t="s">
        <v>54</v>
      </c>
      <c r="E91" s="133"/>
      <c r="F91" s="96"/>
      <c r="G91" s="134"/>
      <c r="H91" s="96"/>
      <c r="I91" s="96"/>
      <c r="J91" s="96"/>
      <c r="K91" s="96"/>
      <c r="L91" s="96"/>
      <c r="M91" s="96"/>
      <c r="N91" s="96"/>
      <c r="O91" s="96"/>
      <c r="P91" s="96"/>
      <c r="Q91" s="96"/>
      <c r="R91" s="96"/>
    </row>
    <row r="92" customFormat="false" ht="15" hidden="true" customHeight="false" outlineLevel="0" collapsed="false">
      <c r="B92" s="70"/>
      <c r="C92" s="78" t="s">
        <v>122</v>
      </c>
      <c r="D92" s="78" t="s">
        <v>123</v>
      </c>
      <c r="E92" s="78"/>
      <c r="F92" s="78"/>
      <c r="G92" s="78"/>
      <c r="H92" s="78"/>
      <c r="I92" s="78"/>
      <c r="J92" s="78"/>
      <c r="K92" s="70"/>
      <c r="L92" s="76" t="s">
        <v>124</v>
      </c>
      <c r="M92" s="70"/>
      <c r="N92" s="76" t="s">
        <v>125</v>
      </c>
      <c r="O92" s="76"/>
      <c r="P92" s="76"/>
      <c r="Q92" s="76"/>
      <c r="R92" s="56"/>
    </row>
    <row r="93" customFormat="false" ht="15" hidden="true" customHeight="false" outlineLevel="0" collapsed="false">
      <c r="B93" s="135"/>
      <c r="C93" s="105"/>
      <c r="D93" s="100" t="s">
        <v>55</v>
      </c>
      <c r="E93" s="99"/>
      <c r="F93" s="99"/>
      <c r="G93" s="99"/>
      <c r="H93" s="99"/>
      <c r="I93" s="99"/>
      <c r="J93" s="99"/>
      <c r="K93" s="99"/>
      <c r="L93" s="99"/>
      <c r="M93" s="99"/>
      <c r="N93" s="99"/>
      <c r="O93" s="99"/>
      <c r="P93" s="99"/>
      <c r="Q93" s="99"/>
      <c r="R93" s="61"/>
    </row>
    <row r="94" customFormat="false" ht="15" hidden="false" customHeight="false" outlineLevel="0" collapsed="false">
      <c r="B94" s="70"/>
      <c r="C94" s="61"/>
      <c r="D94" s="61"/>
      <c r="E94" s="70"/>
      <c r="F94" s="70"/>
      <c r="G94" s="70"/>
      <c r="H94" s="61"/>
      <c r="I94" s="70"/>
      <c r="J94" s="70"/>
      <c r="K94" s="70"/>
      <c r="L94" s="61"/>
      <c r="M94" s="70"/>
      <c r="N94" s="61"/>
      <c r="O94" s="70"/>
      <c r="P94" s="70"/>
      <c r="Q94" s="70"/>
      <c r="R94" s="56"/>
    </row>
    <row r="95" customFormat="false" ht="15" hidden="false" customHeight="true" outlineLevel="0" collapsed="false">
      <c r="B95" s="70"/>
      <c r="C95" s="72" t="s">
        <v>56</v>
      </c>
      <c r="D95" s="136" t="s">
        <v>57</v>
      </c>
      <c r="E95" s="136"/>
      <c r="F95" s="136"/>
      <c r="G95" s="136"/>
      <c r="H95" s="136"/>
      <c r="I95" s="136"/>
      <c r="J95" s="136"/>
      <c r="K95" s="70"/>
      <c r="L95" s="102"/>
      <c r="M95" s="70"/>
      <c r="N95" s="102"/>
      <c r="O95" s="102"/>
      <c r="P95" s="102"/>
      <c r="Q95" s="102"/>
      <c r="R95" s="70"/>
    </row>
    <row r="96" customFormat="false" ht="15" hidden="false" customHeight="false" outlineLevel="0" collapsed="false">
      <c r="B96" s="70"/>
      <c r="C96" s="85"/>
      <c r="D96" s="70"/>
      <c r="E96" s="70"/>
      <c r="F96" s="71"/>
      <c r="G96" s="70"/>
      <c r="H96" s="71"/>
      <c r="I96" s="70"/>
      <c r="J96" s="70"/>
      <c r="K96" s="70"/>
      <c r="L96" s="70"/>
      <c r="M96" s="70"/>
      <c r="N96" s="70"/>
      <c r="O96" s="70"/>
      <c r="P96" s="56"/>
      <c r="Q96" s="70"/>
      <c r="R96" s="70"/>
    </row>
    <row r="97" customFormat="false" ht="15" hidden="false" customHeight="true" outlineLevel="0" collapsed="false">
      <c r="B97" s="70"/>
      <c r="C97" s="78" t="s">
        <v>58</v>
      </c>
      <c r="D97" s="136" t="s">
        <v>59</v>
      </c>
      <c r="E97" s="136"/>
      <c r="F97" s="136"/>
      <c r="G97" s="136"/>
      <c r="H97" s="136"/>
      <c r="I97" s="136"/>
      <c r="J97" s="136"/>
      <c r="K97" s="70"/>
      <c r="L97" s="102"/>
      <c r="M97" s="70"/>
      <c r="N97" s="102"/>
      <c r="O97" s="102"/>
      <c r="P97" s="102"/>
      <c r="Q97" s="102"/>
      <c r="R97" s="70"/>
    </row>
    <row r="98" customFormat="false" ht="15" hidden="false" customHeight="false" outlineLevel="0" collapsed="false">
      <c r="B98" s="70"/>
      <c r="C98" s="104"/>
      <c r="D98" s="137"/>
      <c r="E98" s="70"/>
      <c r="F98" s="70"/>
      <c r="G98" s="70"/>
      <c r="H98" s="71"/>
      <c r="I98" s="71"/>
      <c r="J98" s="71"/>
      <c r="K98" s="70"/>
      <c r="L98" s="70"/>
      <c r="M98" s="70"/>
      <c r="N98" s="70"/>
      <c r="O98" s="70"/>
      <c r="P98" s="70"/>
      <c r="Q98" s="70"/>
      <c r="R98" s="56"/>
    </row>
    <row r="99" customFormat="false" ht="15" hidden="false" customHeight="true" outlineLevel="0" collapsed="false">
      <c r="B99" s="70"/>
      <c r="C99" s="78" t="s">
        <v>61</v>
      </c>
      <c r="D99" s="136" t="s">
        <v>126</v>
      </c>
      <c r="E99" s="136"/>
      <c r="F99" s="136"/>
      <c r="G99" s="136"/>
      <c r="H99" s="136"/>
      <c r="I99" s="136"/>
      <c r="J99" s="136"/>
      <c r="K99" s="70"/>
      <c r="L99" s="102"/>
      <c r="M99" s="70"/>
      <c r="N99" s="102"/>
      <c r="O99" s="102"/>
      <c r="P99" s="102"/>
      <c r="Q99" s="102"/>
      <c r="R99" s="70"/>
    </row>
    <row r="100" customFormat="false" ht="15" hidden="false" customHeight="false" outlineLevel="0" collapsed="false">
      <c r="B100" s="70"/>
      <c r="C100" s="104"/>
      <c r="D100" s="137"/>
      <c r="E100" s="70"/>
      <c r="F100" s="70"/>
      <c r="G100" s="70"/>
      <c r="H100" s="71"/>
      <c r="I100" s="71"/>
      <c r="J100" s="71"/>
      <c r="K100" s="70"/>
      <c r="L100" s="70"/>
      <c r="M100" s="70"/>
      <c r="N100" s="70"/>
      <c r="O100" s="70"/>
      <c r="P100" s="70"/>
      <c r="Q100" s="70"/>
      <c r="R100" s="56"/>
    </row>
    <row r="101" customFormat="false" ht="15" hidden="true" customHeight="false" outlineLevel="0" collapsed="false">
      <c r="B101" s="135"/>
      <c r="C101" s="105"/>
      <c r="D101" s="100" t="s">
        <v>127</v>
      </c>
      <c r="E101" s="134"/>
      <c r="F101" s="134"/>
      <c r="G101" s="134"/>
      <c r="H101" s="105"/>
      <c r="I101" s="105"/>
      <c r="J101" s="105"/>
      <c r="K101" s="105"/>
      <c r="L101" s="105"/>
      <c r="M101" s="105"/>
      <c r="N101" s="105"/>
      <c r="O101" s="105"/>
      <c r="P101" s="105"/>
      <c r="Q101" s="105"/>
      <c r="R101" s="61"/>
    </row>
    <row r="102" customFormat="false" ht="15" hidden="true" customHeight="false" outlineLevel="0" collapsed="false">
      <c r="B102" s="70"/>
      <c r="C102" s="104"/>
      <c r="D102" s="137"/>
      <c r="E102" s="70"/>
      <c r="F102" s="70"/>
      <c r="G102" s="70"/>
      <c r="H102" s="71"/>
      <c r="I102" s="71"/>
      <c r="J102" s="71"/>
      <c r="K102" s="70"/>
      <c r="L102" s="70"/>
      <c r="M102" s="70"/>
      <c r="N102" s="70"/>
      <c r="O102" s="70"/>
      <c r="P102" s="70"/>
      <c r="Q102" s="70"/>
      <c r="R102" s="56"/>
    </row>
    <row r="103" customFormat="false" ht="31.5" hidden="false" customHeight="true" outlineLevel="0" collapsed="false">
      <c r="B103" s="70"/>
      <c r="C103" s="78" t="s">
        <v>63</v>
      </c>
      <c r="D103" s="136" t="s">
        <v>128</v>
      </c>
      <c r="E103" s="136"/>
      <c r="F103" s="136"/>
      <c r="G103" s="136"/>
      <c r="H103" s="136"/>
      <c r="I103" s="136"/>
      <c r="J103" s="136"/>
      <c r="K103" s="70"/>
      <c r="L103" s="102"/>
      <c r="M103" s="70"/>
      <c r="N103" s="102"/>
      <c r="O103" s="102"/>
      <c r="P103" s="102"/>
      <c r="Q103" s="102"/>
      <c r="R103" s="56"/>
    </row>
    <row r="104" customFormat="false" ht="15" hidden="false" customHeight="false" outlineLevel="0" collapsed="false">
      <c r="B104" s="70"/>
      <c r="C104" s="104"/>
      <c r="D104" s="137"/>
      <c r="E104" s="70"/>
      <c r="F104" s="70"/>
      <c r="G104" s="70"/>
      <c r="H104" s="71"/>
      <c r="I104" s="71"/>
      <c r="J104" s="71"/>
      <c r="K104" s="70"/>
      <c r="L104" s="70"/>
      <c r="M104" s="70"/>
      <c r="N104" s="70"/>
      <c r="O104" s="70"/>
      <c r="P104" s="70"/>
      <c r="Q104" s="70"/>
      <c r="R104" s="56"/>
    </row>
    <row r="105" customFormat="false" ht="28.5" hidden="false" customHeight="true" outlineLevel="0" collapsed="false">
      <c r="B105" s="70"/>
      <c r="C105" s="78" t="s">
        <v>66</v>
      </c>
      <c r="D105" s="136" t="s">
        <v>67</v>
      </c>
      <c r="E105" s="136"/>
      <c r="F105" s="136"/>
      <c r="G105" s="136"/>
      <c r="H105" s="136"/>
      <c r="I105" s="136"/>
      <c r="J105" s="136"/>
      <c r="K105" s="70"/>
      <c r="L105" s="102"/>
      <c r="M105" s="70"/>
      <c r="N105" s="102"/>
      <c r="O105" s="102"/>
      <c r="P105" s="102"/>
      <c r="Q105" s="102"/>
      <c r="R105" s="56"/>
    </row>
    <row r="106" customFormat="false" ht="15" hidden="false" customHeight="false" outlineLevel="0" collapsed="false">
      <c r="B106" s="70"/>
      <c r="C106" s="70"/>
      <c r="D106" s="70"/>
      <c r="E106" s="70"/>
      <c r="F106" s="70"/>
      <c r="G106" s="70"/>
      <c r="H106" s="70"/>
      <c r="I106" s="70"/>
      <c r="J106" s="70"/>
      <c r="K106" s="70"/>
      <c r="L106" s="70"/>
      <c r="M106" s="70"/>
      <c r="N106" s="70"/>
      <c r="O106" s="70"/>
      <c r="P106" s="70"/>
      <c r="Q106" s="70"/>
      <c r="R106" s="56"/>
    </row>
    <row r="107" customFormat="false" ht="21" hidden="false" customHeight="true" outlineLevel="0" collapsed="false">
      <c r="B107" s="138" t="s">
        <v>129</v>
      </c>
      <c r="C107" s="138"/>
      <c r="D107" s="138"/>
      <c r="E107" s="138"/>
      <c r="F107" s="138"/>
      <c r="G107" s="138"/>
      <c r="H107" s="138"/>
      <c r="I107" s="138"/>
      <c r="J107" s="138"/>
      <c r="K107" s="138"/>
      <c r="L107" s="138"/>
      <c r="M107" s="138"/>
      <c r="N107" s="138"/>
      <c r="O107" s="138"/>
      <c r="P107" s="138"/>
      <c r="Q107" s="138"/>
      <c r="R107" s="138"/>
    </row>
  </sheetData>
  <sheetProtection algorithmName="SHA-512" hashValue="FCbvDd4iUpzR2JcOyovq9OmS4xSaQlgTBULkih4m5EuCPsvNn85l068ZhAKOLmwY6UcuoTvzpYiLVT7YkSxq7A==" saltValue="RaajaFCam3QIUHuhA2hBSA==" spinCount="100000" sheet="true" objects="true" scenarios="true" formatCells="false" formatColumns="false" formatRows="false" insertColumns="false" insertRows="false" insertHyperlinks="false" deleteColumns="false" deleteRows="false" sort="false" autoFilter="false" pivotTables="false"/>
  <mergeCells count="89">
    <mergeCell ref="D1: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87:F87"/>
    <mergeCell ref="H87:Q87"/>
    <mergeCell ref="D89:F89"/>
    <mergeCell ref="H89:Q89"/>
    <mergeCell ref="D95:J95"/>
    <mergeCell ref="D97:J97"/>
    <mergeCell ref="D99:J99"/>
    <mergeCell ref="D103:J103"/>
    <mergeCell ref="D105:J105"/>
    <mergeCell ref="B107:R107"/>
  </mergeCells>
  <dataValidations count="2">
    <dataValidation allowBlank="true" operator="between" showDropDown="false" showErrorMessage="true" showInputMessage="true" sqref="H41:Q41" type="list">
      <formula1>"W3C (http://www.w3.org),OASIS (https://www.oasis-open.org/),IEEE (http://standards.ieee.org/),ETSI (http://www.etsi.org/),Gs1 (http://www.gs1.fr/),OpenEHR (http://www.OpenEHR.org/),IETF (https://www.ietf.org/),Other SDO/SSO"</formula1>
      <formula2>0</formula2>
    </dataValidation>
    <dataValidation allowBlank="true" operator="greaterThan" showDropDown="false" showErrorMessage="true" showInputMessage="true" sqref="H19:Q19"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875" defaultRowHeight="15" zeroHeight="false" outlineLevelRow="0" outlineLevelCol="0"/>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84"/>
  <sheetViews>
    <sheetView showFormulas="false" showGridLines="true" showRowColHeaders="true" showZeros="true" rightToLeft="false" tabSelected="false" showOutlineSymbols="true" defaultGridColor="true" view="normal" topLeftCell="B62" colorId="64" zoomScale="100" zoomScaleNormal="100" zoomScalePageLayoutView="100" workbookViewId="0">
      <selection pane="topLeft" activeCell="C70" activeCellId="0" sqref="C70"/>
    </sheetView>
  </sheetViews>
  <sheetFormatPr defaultColWidth="8.6875" defaultRowHeight="15" zeroHeight="true" outlineLevelRow="0" outlineLevelCol="0"/>
  <cols>
    <col collapsed="false" customWidth="true" hidden="true" outlineLevel="0" max="1" min="1" style="0" width="9.14"/>
    <col collapsed="false" customWidth="true" hidden="false" outlineLevel="0" max="2" min="2" style="0" width="3.29"/>
    <col collapsed="false" customWidth="true" hidden="false" outlineLevel="0" max="3" min="3" style="0" width="4.14"/>
    <col collapsed="false" customWidth="true" hidden="false" outlineLevel="0" max="4" min="4" style="0" width="2.99"/>
    <col collapsed="false" customWidth="true" hidden="false" outlineLevel="0" max="5" min="5" style="0" width="37.14"/>
    <col collapsed="false" customWidth="true" hidden="false" outlineLevel="0" max="6" min="6" style="0" width="2.71"/>
    <col collapsed="false" customWidth="true" hidden="false" outlineLevel="0" max="7" min="7" style="0" width="52.42"/>
    <col collapsed="false" customWidth="true" hidden="false" outlineLevel="0" max="8" min="8" style="0" width="2.71"/>
    <col collapsed="false" customWidth="true" hidden="false" outlineLevel="0" max="9" min="9" style="0" width="9.14"/>
    <col collapsed="false" customWidth="true" hidden="false" outlineLevel="0" max="10" min="10" style="0" width="2.71"/>
    <col collapsed="false" customWidth="true" hidden="false" outlineLevel="0" max="11" min="11" style="0" width="64.28"/>
    <col collapsed="false" customWidth="true" hidden="false" outlineLevel="0" max="12" min="12" style="0" width="2.71"/>
    <col collapsed="false" customWidth="true" hidden="true" outlineLevel="0" max="14" min="13" style="0" width="9.14"/>
  </cols>
  <sheetData>
    <row r="1" customFormat="false" ht="15" hidden="false" customHeight="false" outlineLevel="0" collapsed="false">
      <c r="A1" s="139"/>
      <c r="B1" s="64"/>
      <c r="C1" s="140"/>
      <c r="D1" s="64"/>
      <c r="E1" s="59"/>
      <c r="F1" s="139"/>
      <c r="G1" s="139"/>
      <c r="H1" s="139"/>
      <c r="I1" s="64"/>
      <c r="J1" s="64"/>
      <c r="K1" s="64"/>
      <c r="L1" s="64"/>
    </row>
    <row r="2" customFormat="false" ht="15" hidden="false" customHeight="false" outlineLevel="0" collapsed="false">
      <c r="A2" s="141"/>
      <c r="B2" s="64"/>
      <c r="C2" s="140"/>
      <c r="D2" s="64"/>
      <c r="E2" s="142" t="s">
        <v>130</v>
      </c>
      <c r="F2" s="141"/>
      <c r="G2" s="143" t="s">
        <v>131</v>
      </c>
      <c r="H2" s="139"/>
      <c r="I2" s="64"/>
      <c r="J2" s="64"/>
      <c r="K2" s="64"/>
      <c r="L2" s="64"/>
    </row>
    <row r="3" customFormat="false" ht="5.1" hidden="false" customHeight="true" outlineLevel="0" collapsed="false">
      <c r="A3" s="141"/>
      <c r="B3" s="64"/>
      <c r="C3" s="140"/>
      <c r="D3" s="64"/>
      <c r="E3" s="141"/>
      <c r="F3" s="141"/>
      <c r="G3" s="64"/>
      <c r="H3" s="139"/>
      <c r="I3" s="64"/>
      <c r="J3" s="64"/>
      <c r="K3" s="64"/>
      <c r="L3" s="64"/>
    </row>
    <row r="4" customFormat="false" ht="15" hidden="false" customHeight="false" outlineLevel="0" collapsed="false">
      <c r="A4" s="141"/>
      <c r="B4" s="64"/>
      <c r="C4" s="140"/>
      <c r="D4" s="64"/>
      <c r="E4" s="142" t="s">
        <v>132</v>
      </c>
      <c r="F4" s="141"/>
      <c r="G4" s="144" t="s">
        <v>133</v>
      </c>
      <c r="H4" s="139"/>
      <c r="I4" s="64"/>
      <c r="J4" s="64"/>
      <c r="K4" s="64"/>
      <c r="L4" s="64"/>
    </row>
    <row r="5" customFormat="false" ht="15" hidden="true" customHeight="false" outlineLevel="0" collapsed="false">
      <c r="A5" s="141"/>
      <c r="B5" s="64"/>
      <c r="C5" s="140"/>
      <c r="D5" s="64"/>
      <c r="E5" s="141"/>
      <c r="F5" s="141"/>
      <c r="G5" s="64"/>
      <c r="H5" s="139"/>
      <c r="I5" s="64"/>
      <c r="J5" s="64"/>
      <c r="K5" s="64"/>
      <c r="L5" s="64"/>
    </row>
    <row r="6" customFormat="false" ht="15" hidden="true" customHeight="false" outlineLevel="0" collapsed="false">
      <c r="A6" s="141"/>
      <c r="B6" s="64"/>
      <c r="C6" s="140"/>
      <c r="D6" s="64"/>
      <c r="E6" s="64"/>
      <c r="F6" s="141"/>
      <c r="G6" s="145"/>
      <c r="H6" s="139"/>
      <c r="I6" s="64"/>
      <c r="J6" s="64"/>
      <c r="K6" s="64"/>
      <c r="L6" s="64"/>
    </row>
    <row r="7" customFormat="false" ht="5.1" hidden="false" customHeight="true" outlineLevel="0" collapsed="false">
      <c r="A7" s="141"/>
      <c r="B7" s="64"/>
      <c r="C7" s="140"/>
      <c r="D7" s="64"/>
      <c r="E7" s="141"/>
      <c r="F7" s="141"/>
      <c r="G7" s="64"/>
      <c r="H7" s="139"/>
      <c r="I7" s="64"/>
      <c r="J7" s="64"/>
      <c r="K7" s="64"/>
      <c r="L7" s="64"/>
    </row>
    <row r="8" customFormat="false" ht="15" hidden="false" customHeight="false" outlineLevel="0" collapsed="false">
      <c r="A8" s="141"/>
      <c r="B8" s="64"/>
      <c r="C8" s="140"/>
      <c r="D8" s="64"/>
      <c r="E8" s="142" t="s">
        <v>12</v>
      </c>
      <c r="F8" s="141"/>
      <c r="G8" s="143" t="s">
        <v>131</v>
      </c>
      <c r="H8" s="139"/>
      <c r="I8" s="64"/>
      <c r="J8" s="64"/>
      <c r="K8" s="64"/>
      <c r="L8" s="64"/>
    </row>
    <row r="9" customFormat="false" ht="15" hidden="true" customHeight="false" outlineLevel="0" collapsed="false">
      <c r="A9" s="141"/>
      <c r="B9" s="64"/>
      <c r="C9" s="140"/>
      <c r="D9" s="64"/>
      <c r="E9" s="139"/>
      <c r="F9" s="139"/>
      <c r="G9" s="146"/>
      <c r="H9" s="139"/>
      <c r="I9" s="64"/>
      <c r="J9" s="64"/>
      <c r="K9" s="64"/>
      <c r="L9" s="64"/>
    </row>
    <row r="10" customFormat="false" ht="15" hidden="true" customHeight="false" outlineLevel="0" collapsed="false">
      <c r="A10" s="141"/>
      <c r="B10" s="64"/>
      <c r="C10" s="140"/>
      <c r="D10" s="64"/>
      <c r="E10" s="64"/>
      <c r="F10" s="139"/>
      <c r="G10" s="64"/>
      <c r="H10" s="139"/>
      <c r="I10" s="64"/>
      <c r="J10" s="64"/>
      <c r="K10" s="64"/>
      <c r="L10" s="64"/>
    </row>
    <row r="11" customFormat="false" ht="15" hidden="true" customHeight="false" outlineLevel="0" collapsed="false">
      <c r="A11" s="139"/>
      <c r="B11" s="64"/>
      <c r="C11" s="140"/>
      <c r="D11" s="64"/>
      <c r="E11" s="64"/>
      <c r="F11" s="139"/>
      <c r="G11" s="139"/>
      <c r="H11" s="139"/>
      <c r="I11" s="147"/>
      <c r="J11" s="64"/>
      <c r="K11" s="148"/>
      <c r="L11" s="64"/>
    </row>
    <row r="12" customFormat="false" ht="15" hidden="false" customHeight="false" outlineLevel="0" collapsed="false">
      <c r="A12" s="149"/>
      <c r="B12" s="149"/>
      <c r="C12" s="150"/>
      <c r="D12" s="150"/>
      <c r="E12" s="150"/>
      <c r="F12" s="150"/>
      <c r="G12" s="150"/>
      <c r="H12" s="150"/>
      <c r="I12" s="150"/>
      <c r="J12" s="150"/>
      <c r="K12" s="150"/>
      <c r="L12" s="151"/>
    </row>
    <row r="13" customFormat="false" ht="15" hidden="false" customHeight="false" outlineLevel="0" collapsed="false">
      <c r="A13" s="152"/>
      <c r="B13" s="153"/>
      <c r="C13" s="154" t="s">
        <v>95</v>
      </c>
      <c r="D13" s="153"/>
      <c r="E13" s="155" t="s">
        <v>123</v>
      </c>
      <c r="F13" s="152"/>
      <c r="G13" s="152"/>
      <c r="H13" s="152"/>
      <c r="I13" s="155" t="s">
        <v>124</v>
      </c>
      <c r="J13" s="152"/>
      <c r="K13" s="155" t="s">
        <v>125</v>
      </c>
      <c r="L13" s="156"/>
    </row>
    <row r="14" customFormat="false" ht="15" hidden="false" customHeight="false" outlineLevel="0" collapsed="false">
      <c r="A14" s="157"/>
      <c r="B14" s="157"/>
      <c r="C14" s="157"/>
      <c r="D14" s="157"/>
      <c r="E14" s="158" t="s">
        <v>134</v>
      </c>
      <c r="F14" s="159"/>
      <c r="G14" s="159"/>
      <c r="H14" s="159"/>
      <c r="I14" s="159"/>
      <c r="J14" s="159"/>
      <c r="K14" s="157"/>
      <c r="L14" s="157"/>
    </row>
    <row r="15" customFormat="false" ht="15" hidden="false" customHeight="false" outlineLevel="0" collapsed="false">
      <c r="A15" s="64"/>
      <c r="B15" s="64"/>
      <c r="C15" s="160"/>
      <c r="D15" s="161"/>
      <c r="E15" s="161"/>
      <c r="F15" s="85"/>
      <c r="G15" s="85"/>
      <c r="H15" s="85"/>
      <c r="I15" s="85"/>
      <c r="J15" s="85"/>
      <c r="K15" s="85"/>
      <c r="L15" s="161"/>
    </row>
    <row r="16" customFormat="false" ht="15" hidden="false" customHeight="true" outlineLevel="0" collapsed="false">
      <c r="A16" s="64"/>
      <c r="B16" s="64"/>
      <c r="C16" s="162" t="s">
        <v>135</v>
      </c>
      <c r="D16" s="85"/>
      <c r="E16" s="163" t="s">
        <v>136</v>
      </c>
      <c r="F16" s="163"/>
      <c r="G16" s="163"/>
      <c r="H16" s="85"/>
      <c r="I16" s="164"/>
      <c r="J16" s="85"/>
      <c r="K16" s="165"/>
      <c r="L16" s="161"/>
    </row>
    <row r="17" customFormat="false" ht="15" hidden="false" customHeight="false" outlineLevel="0" collapsed="false">
      <c r="A17" s="64"/>
      <c r="B17" s="64"/>
      <c r="C17" s="162"/>
      <c r="D17" s="141"/>
      <c r="E17" s="139"/>
      <c r="F17" s="85"/>
      <c r="G17" s="85"/>
      <c r="H17" s="85"/>
      <c r="I17" s="85"/>
      <c r="J17" s="85"/>
      <c r="K17" s="85"/>
      <c r="L17" s="161"/>
    </row>
    <row r="18" customFormat="false" ht="33.75" hidden="false" customHeight="true" outlineLevel="0" collapsed="false">
      <c r="A18" s="64"/>
      <c r="B18" s="64"/>
      <c r="C18" s="162" t="s">
        <v>137</v>
      </c>
      <c r="D18" s="141"/>
      <c r="E18" s="163" t="s">
        <v>138</v>
      </c>
      <c r="F18" s="163"/>
      <c r="G18" s="163"/>
      <c r="H18" s="85"/>
      <c r="I18" s="164"/>
      <c r="J18" s="85"/>
      <c r="K18" s="165"/>
      <c r="L18" s="161"/>
      <c r="N18" s="87" t="s">
        <v>37</v>
      </c>
    </row>
    <row r="19" customFormat="false" ht="15" hidden="false" customHeight="false" outlineLevel="0" collapsed="false">
      <c r="A19" s="64"/>
      <c r="B19" s="64"/>
      <c r="C19" s="162"/>
      <c r="D19" s="141"/>
      <c r="E19" s="139"/>
      <c r="F19" s="85"/>
      <c r="G19" s="85"/>
      <c r="H19" s="85"/>
      <c r="I19" s="85"/>
      <c r="J19" s="85"/>
      <c r="K19" s="85"/>
      <c r="L19" s="85"/>
    </row>
    <row r="20" customFormat="false" ht="33.75" hidden="false" customHeight="true" outlineLevel="0" collapsed="false">
      <c r="A20" s="64"/>
      <c r="B20" s="64"/>
      <c r="C20" s="162" t="s">
        <v>139</v>
      </c>
      <c r="D20" s="141"/>
      <c r="E20" s="163" t="s">
        <v>140</v>
      </c>
      <c r="F20" s="163"/>
      <c r="G20" s="163"/>
      <c r="H20" s="85"/>
      <c r="I20" s="164"/>
      <c r="J20" s="85"/>
      <c r="K20" s="165"/>
      <c r="L20" s="85"/>
      <c r="N20" s="87" t="s">
        <v>37</v>
      </c>
    </row>
    <row r="21" customFormat="false" ht="15" hidden="false" customHeight="false" outlineLevel="0" collapsed="false">
      <c r="A21" s="64"/>
      <c r="B21" s="64"/>
      <c r="C21" s="162"/>
      <c r="D21" s="141"/>
      <c r="E21" s="139"/>
      <c r="F21" s="85"/>
      <c r="G21" s="85"/>
      <c r="H21" s="85"/>
      <c r="I21" s="85"/>
      <c r="J21" s="85"/>
      <c r="K21" s="85"/>
      <c r="L21" s="85"/>
    </row>
    <row r="22" customFormat="false" ht="15" hidden="false" customHeight="false" outlineLevel="0" collapsed="false">
      <c r="A22" s="166"/>
      <c r="B22" s="166"/>
      <c r="C22" s="166"/>
      <c r="D22" s="166"/>
      <c r="E22" s="167" t="s">
        <v>141</v>
      </c>
      <c r="F22" s="166"/>
      <c r="G22" s="166"/>
      <c r="H22" s="166"/>
      <c r="I22" s="166"/>
      <c r="J22" s="166"/>
      <c r="K22" s="166"/>
      <c r="L22" s="166"/>
    </row>
    <row r="23" customFormat="false" ht="15" hidden="false" customHeight="false" outlineLevel="0" collapsed="false">
      <c r="A23" s="64"/>
      <c r="B23" s="64"/>
      <c r="C23" s="168"/>
      <c r="D23" s="85"/>
      <c r="E23" s="85"/>
      <c r="F23" s="85"/>
      <c r="G23" s="85"/>
      <c r="H23" s="85"/>
      <c r="I23" s="85"/>
      <c r="J23" s="85"/>
      <c r="K23" s="85"/>
      <c r="L23" s="85"/>
    </row>
    <row r="24" customFormat="false" ht="76.5" hidden="false" customHeight="true" outlineLevel="0" collapsed="false">
      <c r="A24" s="64"/>
      <c r="B24" s="64"/>
      <c r="C24" s="162" t="s">
        <v>142</v>
      </c>
      <c r="D24" s="141"/>
      <c r="E24" s="163" t="s">
        <v>143</v>
      </c>
      <c r="F24" s="163"/>
      <c r="G24" s="163"/>
      <c r="H24" s="85"/>
      <c r="I24" s="164"/>
      <c r="J24" s="85"/>
      <c r="K24" s="165"/>
      <c r="L24" s="85"/>
      <c r="N24" s="93" t="s">
        <v>37</v>
      </c>
    </row>
    <row r="25" customFormat="false" ht="15" hidden="false" customHeight="false" outlineLevel="0" collapsed="false">
      <c r="A25" s="64"/>
      <c r="B25" s="64"/>
      <c r="C25" s="162"/>
      <c r="D25" s="141"/>
      <c r="E25" s="169"/>
      <c r="F25" s="85"/>
      <c r="G25" s="85"/>
      <c r="H25" s="85"/>
      <c r="I25" s="85"/>
      <c r="J25" s="85"/>
      <c r="K25" s="85"/>
      <c r="L25" s="85"/>
    </row>
    <row r="26" customFormat="false" ht="33.75" hidden="false" customHeight="true" outlineLevel="0" collapsed="false">
      <c r="A26" s="64"/>
      <c r="B26" s="64"/>
      <c r="C26" s="162" t="s">
        <v>144</v>
      </c>
      <c r="D26" s="141" t="s">
        <v>145</v>
      </c>
      <c r="E26" s="163" t="s">
        <v>146</v>
      </c>
      <c r="F26" s="163"/>
      <c r="G26" s="163"/>
      <c r="H26" s="85"/>
      <c r="I26" s="164"/>
      <c r="J26" s="85"/>
      <c r="K26" s="165"/>
      <c r="L26" s="85"/>
      <c r="N26" s="87" t="s">
        <v>37</v>
      </c>
    </row>
    <row r="27" customFormat="false" ht="15" hidden="false" customHeight="false" outlineLevel="0" collapsed="false">
      <c r="A27" s="64"/>
      <c r="B27" s="64"/>
      <c r="C27" s="162"/>
      <c r="D27" s="141"/>
      <c r="E27" s="139"/>
      <c r="F27" s="85"/>
      <c r="G27" s="85"/>
      <c r="H27" s="85"/>
      <c r="I27" s="85"/>
      <c r="J27" s="85"/>
      <c r="K27" s="85"/>
      <c r="L27" s="85"/>
    </row>
    <row r="28" customFormat="false" ht="33.75" hidden="false" customHeight="true" outlineLevel="0" collapsed="false">
      <c r="A28" s="64"/>
      <c r="B28" s="64"/>
      <c r="C28" s="162"/>
      <c r="D28" s="141" t="s">
        <v>147</v>
      </c>
      <c r="E28" s="163" t="s">
        <v>148</v>
      </c>
      <c r="F28" s="163"/>
      <c r="G28" s="163"/>
      <c r="H28" s="85"/>
      <c r="I28" s="164"/>
      <c r="J28" s="85"/>
      <c r="K28" s="165"/>
      <c r="L28" s="85"/>
      <c r="N28" s="87" t="s">
        <v>37</v>
      </c>
    </row>
    <row r="29" customFormat="false" ht="15" hidden="false" customHeight="false" outlineLevel="0" collapsed="false">
      <c r="A29" s="64"/>
      <c r="B29" s="64"/>
      <c r="C29" s="162"/>
      <c r="D29" s="141"/>
      <c r="E29" s="139"/>
      <c r="F29" s="85"/>
      <c r="G29" s="85"/>
      <c r="H29" s="85"/>
      <c r="I29" s="85"/>
      <c r="J29" s="85"/>
      <c r="K29" s="85"/>
      <c r="L29" s="85"/>
    </row>
    <row r="30" customFormat="false" ht="15" hidden="true" customHeight="true" outlineLevel="0" collapsed="false">
      <c r="A30" s="64"/>
      <c r="B30" s="64"/>
      <c r="C30" s="162"/>
      <c r="D30" s="141" t="s">
        <v>149</v>
      </c>
      <c r="E30" s="163" t="s">
        <v>150</v>
      </c>
      <c r="F30" s="163"/>
      <c r="G30" s="163"/>
      <c r="H30" s="85"/>
      <c r="I30" s="164"/>
      <c r="J30" s="85"/>
      <c r="K30" s="165"/>
      <c r="L30" s="85"/>
    </row>
    <row r="31" customFormat="false" ht="15" hidden="true" customHeight="false" outlineLevel="0" collapsed="false">
      <c r="A31" s="64"/>
      <c r="B31" s="64"/>
      <c r="C31" s="162"/>
      <c r="D31" s="141"/>
      <c r="E31" s="139"/>
      <c r="F31" s="85"/>
      <c r="G31" s="85"/>
      <c r="H31" s="85"/>
      <c r="I31" s="85"/>
      <c r="J31" s="85"/>
      <c r="K31" s="85"/>
      <c r="L31" s="85"/>
    </row>
    <row r="32" customFormat="false" ht="15" hidden="false" customHeight="false" outlineLevel="0" collapsed="false">
      <c r="A32" s="170"/>
      <c r="B32" s="170"/>
      <c r="C32" s="170"/>
      <c r="D32" s="170"/>
      <c r="E32" s="171" t="s">
        <v>151</v>
      </c>
      <c r="F32" s="170"/>
      <c r="G32" s="170"/>
      <c r="H32" s="170"/>
      <c r="I32" s="170"/>
      <c r="J32" s="170"/>
      <c r="K32" s="170"/>
      <c r="L32" s="170"/>
    </row>
    <row r="33" customFormat="false" ht="15" hidden="false" customHeight="false" outlineLevel="0" collapsed="false">
      <c r="A33" s="64"/>
      <c r="B33" s="64"/>
      <c r="C33" s="168"/>
      <c r="D33" s="85"/>
      <c r="E33" s="85"/>
      <c r="F33" s="85"/>
      <c r="G33" s="85"/>
      <c r="H33" s="85"/>
      <c r="I33" s="85"/>
      <c r="J33" s="85"/>
      <c r="K33" s="85"/>
      <c r="L33" s="85"/>
    </row>
    <row r="34" customFormat="false" ht="15" hidden="false" customHeight="true" outlineLevel="0" collapsed="false">
      <c r="A34" s="64"/>
      <c r="B34" s="64"/>
      <c r="C34" s="162" t="s">
        <v>152</v>
      </c>
      <c r="D34" s="141"/>
      <c r="E34" s="163" t="s">
        <v>153</v>
      </c>
      <c r="F34" s="163"/>
      <c r="G34" s="163"/>
      <c r="H34" s="85"/>
      <c r="I34" s="164"/>
      <c r="J34" s="85"/>
      <c r="K34" s="165"/>
      <c r="L34" s="85"/>
    </row>
    <row r="35" customFormat="false" ht="15" hidden="false" customHeight="false" outlineLevel="0" collapsed="false">
      <c r="A35" s="64"/>
      <c r="B35" s="64"/>
      <c r="C35" s="168"/>
      <c r="D35" s="85"/>
      <c r="E35" s="85"/>
      <c r="F35" s="85"/>
      <c r="G35" s="85"/>
      <c r="H35" s="85"/>
      <c r="I35" s="85"/>
      <c r="J35" s="85"/>
      <c r="K35" s="85"/>
      <c r="L35" s="85"/>
    </row>
    <row r="36" customFormat="false" ht="15" hidden="false" customHeight="false" outlineLevel="0" collapsed="false">
      <c r="A36" s="64"/>
      <c r="B36" s="64"/>
      <c r="C36" s="170"/>
      <c r="D36" s="170"/>
      <c r="E36" s="172" t="s">
        <v>154</v>
      </c>
      <c r="F36" s="170"/>
      <c r="G36" s="170"/>
      <c r="H36" s="170"/>
      <c r="I36" s="170"/>
      <c r="J36" s="170"/>
      <c r="K36" s="170"/>
      <c r="L36" s="85"/>
    </row>
    <row r="37" customFormat="false" ht="15" hidden="false" customHeight="false" outlineLevel="0" collapsed="false">
      <c r="A37" s="64"/>
      <c r="B37" s="64"/>
      <c r="C37" s="168"/>
      <c r="D37" s="85"/>
      <c r="E37" s="85"/>
      <c r="F37" s="85"/>
      <c r="G37" s="85"/>
      <c r="H37" s="85"/>
      <c r="I37" s="85"/>
      <c r="J37" s="85"/>
      <c r="K37" s="85"/>
      <c r="L37" s="85"/>
    </row>
    <row r="38" customFormat="false" ht="60" hidden="false" customHeight="true" outlineLevel="0" collapsed="false">
      <c r="A38" s="64"/>
      <c r="B38" s="64"/>
      <c r="C38" s="162" t="s">
        <v>155</v>
      </c>
      <c r="D38" s="141"/>
      <c r="E38" s="163" t="s">
        <v>156</v>
      </c>
      <c r="F38" s="163"/>
      <c r="G38" s="163"/>
      <c r="H38" s="85"/>
      <c r="I38" s="164" t="s">
        <v>157</v>
      </c>
      <c r="J38" s="85"/>
      <c r="K38" s="165" t="s">
        <v>158</v>
      </c>
      <c r="L38" s="85"/>
      <c r="N38" s="87" t="s">
        <v>37</v>
      </c>
    </row>
    <row r="39" customFormat="false" ht="15" hidden="false" customHeight="false" outlineLevel="0" collapsed="false">
      <c r="A39" s="64"/>
      <c r="B39" s="64"/>
      <c r="C39" s="168"/>
      <c r="D39" s="85"/>
      <c r="E39" s="85"/>
      <c r="F39" s="85"/>
      <c r="G39" s="85"/>
      <c r="H39" s="85"/>
      <c r="I39" s="85"/>
      <c r="J39" s="85"/>
      <c r="K39" s="85"/>
      <c r="L39" s="85"/>
    </row>
    <row r="40" customFormat="false" ht="15" hidden="false" customHeight="false" outlineLevel="0" collapsed="false">
      <c r="A40" s="64"/>
      <c r="B40" s="64"/>
      <c r="C40" s="170"/>
      <c r="D40" s="170"/>
      <c r="E40" s="172" t="s">
        <v>159</v>
      </c>
      <c r="F40" s="170"/>
      <c r="G40" s="170"/>
      <c r="H40" s="170"/>
      <c r="I40" s="170"/>
      <c r="J40" s="170"/>
      <c r="K40" s="170"/>
      <c r="L40" s="85"/>
    </row>
    <row r="41" customFormat="false" ht="15" hidden="false" customHeight="false" outlineLevel="0" collapsed="false">
      <c r="A41" s="64"/>
      <c r="B41" s="64"/>
      <c r="C41" s="168"/>
      <c r="D41" s="85"/>
      <c r="E41" s="85"/>
      <c r="F41" s="85"/>
      <c r="G41" s="85"/>
      <c r="H41" s="85"/>
      <c r="I41" s="85"/>
      <c r="J41" s="85"/>
      <c r="K41" s="85"/>
      <c r="L41" s="85"/>
    </row>
    <row r="42" customFormat="false" ht="45" hidden="false" customHeight="true" outlineLevel="0" collapsed="false">
      <c r="A42" s="64"/>
      <c r="B42" s="64"/>
      <c r="C42" s="173" t="s">
        <v>160</v>
      </c>
      <c r="D42" s="174"/>
      <c r="E42" s="163" t="s">
        <v>161</v>
      </c>
      <c r="F42" s="163"/>
      <c r="G42" s="163"/>
      <c r="H42" s="85"/>
      <c r="I42" s="164" t="s">
        <v>157</v>
      </c>
      <c r="J42" s="85"/>
      <c r="K42" s="165" t="s">
        <v>162</v>
      </c>
      <c r="L42" s="85"/>
    </row>
    <row r="43" customFormat="false" ht="15" hidden="false" customHeight="false" outlineLevel="0" collapsed="false">
      <c r="A43" s="64"/>
      <c r="B43" s="64"/>
      <c r="C43" s="168"/>
      <c r="D43" s="85"/>
      <c r="E43" s="85"/>
      <c r="F43" s="85"/>
      <c r="G43" s="85"/>
      <c r="H43" s="85"/>
      <c r="I43" s="85"/>
      <c r="J43" s="85"/>
      <c r="K43" s="85"/>
      <c r="L43" s="85"/>
    </row>
    <row r="44" customFormat="false" ht="15" hidden="false" customHeight="false" outlineLevel="0" collapsed="false">
      <c r="A44" s="64"/>
      <c r="B44" s="64"/>
      <c r="C44" s="170"/>
      <c r="D44" s="170"/>
      <c r="E44" s="172" t="s">
        <v>163</v>
      </c>
      <c r="F44" s="175"/>
      <c r="G44" s="175"/>
      <c r="H44" s="175"/>
      <c r="I44" s="175"/>
      <c r="J44" s="175"/>
      <c r="K44" s="175"/>
      <c r="L44" s="85"/>
    </row>
    <row r="45" customFormat="false" ht="15" hidden="false" customHeight="false" outlineLevel="0" collapsed="false">
      <c r="A45" s="64"/>
      <c r="B45" s="64"/>
      <c r="C45" s="168"/>
      <c r="D45" s="85"/>
      <c r="E45" s="85"/>
      <c r="F45" s="85"/>
      <c r="G45" s="85"/>
      <c r="H45" s="85"/>
      <c r="I45" s="85"/>
      <c r="J45" s="85"/>
      <c r="K45" s="85"/>
      <c r="L45" s="85"/>
    </row>
    <row r="46" customFormat="false" ht="33.75" hidden="false" customHeight="true" outlineLevel="0" collapsed="false">
      <c r="A46" s="64"/>
      <c r="B46" s="64"/>
      <c r="C46" s="173" t="s">
        <v>164</v>
      </c>
      <c r="D46" s="174"/>
      <c r="E46" s="163" t="s">
        <v>165</v>
      </c>
      <c r="F46" s="163"/>
      <c r="G46" s="163"/>
      <c r="H46" s="85"/>
      <c r="I46" s="164"/>
      <c r="J46" s="85"/>
      <c r="K46" s="165"/>
      <c r="L46" s="85"/>
      <c r="N46" s="87" t="s">
        <v>37</v>
      </c>
    </row>
    <row r="47" customFormat="false" ht="15" hidden="false" customHeight="false" outlineLevel="0" collapsed="false">
      <c r="A47" s="64"/>
      <c r="B47" s="64"/>
      <c r="C47" s="168"/>
      <c r="D47" s="85"/>
      <c r="E47" s="85"/>
      <c r="F47" s="85"/>
      <c r="G47" s="85"/>
      <c r="H47" s="85"/>
      <c r="I47" s="85"/>
      <c r="J47" s="85"/>
      <c r="K47" s="85"/>
      <c r="L47" s="85"/>
    </row>
    <row r="48" customFormat="false" ht="33.75" hidden="false" customHeight="true" outlineLevel="0" collapsed="false">
      <c r="A48" s="64"/>
      <c r="B48" s="64"/>
      <c r="C48" s="173" t="s">
        <v>166</v>
      </c>
      <c r="D48" s="174"/>
      <c r="E48" s="163" t="s">
        <v>167</v>
      </c>
      <c r="F48" s="163"/>
      <c r="G48" s="163"/>
      <c r="H48" s="85"/>
      <c r="I48" s="164"/>
      <c r="J48" s="85"/>
      <c r="K48" s="165"/>
      <c r="L48" s="85"/>
      <c r="N48" s="87" t="s">
        <v>37</v>
      </c>
    </row>
    <row r="49" customFormat="false" ht="15" hidden="false" customHeight="false" outlineLevel="0" collapsed="false">
      <c r="A49" s="64"/>
      <c r="B49" s="64"/>
      <c r="C49" s="168"/>
      <c r="D49" s="85"/>
      <c r="E49" s="85"/>
      <c r="F49" s="85"/>
      <c r="G49" s="85"/>
      <c r="H49" s="85"/>
      <c r="I49" s="85"/>
      <c r="J49" s="85"/>
      <c r="K49" s="85"/>
      <c r="L49" s="85"/>
    </row>
    <row r="50" customFormat="false" ht="45" hidden="false" customHeight="true" outlineLevel="0" collapsed="false">
      <c r="A50" s="64"/>
      <c r="B50" s="64"/>
      <c r="C50" s="173" t="s">
        <v>168</v>
      </c>
      <c r="D50" s="174"/>
      <c r="E50" s="163" t="s">
        <v>169</v>
      </c>
      <c r="F50" s="163"/>
      <c r="G50" s="163"/>
      <c r="H50" s="85"/>
      <c r="I50" s="164" t="s">
        <v>157</v>
      </c>
      <c r="J50" s="85"/>
      <c r="K50" s="165" t="s">
        <v>170</v>
      </c>
      <c r="L50" s="85"/>
    </row>
    <row r="51" customFormat="false" ht="15" hidden="false" customHeight="false" outlineLevel="0" collapsed="false">
      <c r="A51" s="64"/>
      <c r="B51" s="64"/>
      <c r="C51" s="168"/>
      <c r="D51" s="85"/>
      <c r="E51" s="85"/>
      <c r="F51" s="85"/>
      <c r="G51" s="85"/>
      <c r="H51" s="85"/>
      <c r="I51" s="85"/>
      <c r="J51" s="85"/>
      <c r="K51" s="85"/>
      <c r="L51" s="85"/>
    </row>
    <row r="52" customFormat="false" ht="15" hidden="false" customHeight="false" outlineLevel="0" collapsed="false">
      <c r="A52" s="64"/>
      <c r="B52" s="176"/>
      <c r="C52" s="176"/>
      <c r="D52" s="176"/>
      <c r="E52" s="177" t="s">
        <v>171</v>
      </c>
      <c r="F52" s="176"/>
      <c r="G52" s="176"/>
      <c r="H52" s="176"/>
      <c r="I52" s="176"/>
      <c r="J52" s="176"/>
      <c r="K52" s="176"/>
      <c r="L52" s="176"/>
    </row>
    <row r="53" customFormat="false" ht="15" hidden="false" customHeight="false" outlineLevel="0" collapsed="false">
      <c r="A53" s="64"/>
      <c r="B53" s="64"/>
      <c r="C53" s="168"/>
      <c r="D53" s="85"/>
      <c r="E53" s="85"/>
      <c r="F53" s="85"/>
      <c r="G53" s="85"/>
      <c r="H53" s="85"/>
      <c r="I53" s="85"/>
      <c r="J53" s="85"/>
      <c r="K53" s="85"/>
      <c r="L53" s="85"/>
    </row>
    <row r="54" customFormat="false" ht="15" hidden="false" customHeight="false" outlineLevel="0" collapsed="false">
      <c r="A54" s="64"/>
      <c r="B54" s="64"/>
      <c r="C54" s="176"/>
      <c r="D54" s="176"/>
      <c r="E54" s="178" t="s">
        <v>172</v>
      </c>
      <c r="F54" s="176"/>
      <c r="G54" s="176"/>
      <c r="H54" s="176"/>
      <c r="I54" s="176"/>
      <c r="J54" s="176"/>
      <c r="K54" s="176"/>
      <c r="L54" s="85"/>
    </row>
    <row r="55" customFormat="false" ht="15" hidden="false" customHeight="false" outlineLevel="0" collapsed="false">
      <c r="A55" s="64"/>
      <c r="B55" s="64"/>
      <c r="C55" s="168"/>
      <c r="D55" s="85"/>
      <c r="E55" s="85"/>
      <c r="F55" s="85"/>
      <c r="G55" s="85"/>
      <c r="H55" s="85"/>
      <c r="I55" s="85"/>
      <c r="J55" s="85"/>
      <c r="K55" s="85"/>
      <c r="L55" s="85"/>
    </row>
    <row r="56" customFormat="false" ht="15" hidden="false" customHeight="true" outlineLevel="0" collapsed="false">
      <c r="A56" s="64"/>
      <c r="B56" s="64"/>
      <c r="C56" s="173" t="s">
        <v>173</v>
      </c>
      <c r="D56" s="174"/>
      <c r="E56" s="163" t="s">
        <v>174</v>
      </c>
      <c r="F56" s="163"/>
      <c r="G56" s="163"/>
      <c r="H56" s="85"/>
      <c r="I56" s="164"/>
      <c r="J56" s="85"/>
      <c r="K56" s="165"/>
      <c r="L56" s="85"/>
    </row>
    <row r="57" customFormat="false" ht="15" hidden="false" customHeight="false" outlineLevel="0" collapsed="false">
      <c r="A57" s="64"/>
      <c r="B57" s="64"/>
      <c r="C57" s="168"/>
      <c r="D57" s="85"/>
      <c r="E57" s="85"/>
      <c r="F57" s="85"/>
      <c r="G57" s="85"/>
      <c r="H57" s="85"/>
      <c r="I57" s="85"/>
      <c r="J57" s="85"/>
      <c r="K57" s="85"/>
      <c r="L57" s="85"/>
    </row>
    <row r="58" customFormat="false" ht="15" hidden="false" customHeight="false" outlineLevel="0" collapsed="false">
      <c r="A58" s="64"/>
      <c r="B58" s="64"/>
      <c r="C58" s="176"/>
      <c r="D58" s="176"/>
      <c r="E58" s="178" t="s">
        <v>175</v>
      </c>
      <c r="F58" s="176"/>
      <c r="G58" s="176"/>
      <c r="H58" s="176"/>
      <c r="I58" s="176"/>
      <c r="J58" s="176"/>
      <c r="K58" s="176"/>
      <c r="L58" s="85"/>
    </row>
    <row r="59" customFormat="false" ht="15" hidden="false" customHeight="false" outlineLevel="0" collapsed="false">
      <c r="A59" s="64"/>
      <c r="B59" s="64"/>
      <c r="C59" s="168"/>
      <c r="D59" s="85"/>
      <c r="E59" s="85"/>
      <c r="F59" s="85"/>
      <c r="G59" s="85"/>
      <c r="H59" s="85"/>
      <c r="I59" s="85"/>
      <c r="J59" s="85"/>
      <c r="K59" s="85"/>
      <c r="L59" s="85"/>
    </row>
    <row r="60" customFormat="false" ht="15" hidden="false" customHeight="true" outlineLevel="0" collapsed="false">
      <c r="A60" s="64"/>
      <c r="B60" s="64"/>
      <c r="C60" s="173" t="s">
        <v>176</v>
      </c>
      <c r="D60" s="174"/>
      <c r="E60" s="163" t="s">
        <v>177</v>
      </c>
      <c r="F60" s="163"/>
      <c r="G60" s="163"/>
      <c r="H60" s="85"/>
      <c r="I60" s="164"/>
      <c r="J60" s="85"/>
      <c r="K60" s="165"/>
      <c r="L60" s="85"/>
    </row>
    <row r="61" customFormat="false" ht="15" hidden="false" customHeight="false" outlineLevel="0" collapsed="false">
      <c r="A61" s="64"/>
      <c r="B61" s="64"/>
      <c r="C61" s="168"/>
      <c r="D61" s="85"/>
      <c r="E61" s="139"/>
      <c r="F61" s="85"/>
      <c r="G61" s="85"/>
      <c r="H61" s="85"/>
      <c r="I61" s="85"/>
      <c r="J61" s="85"/>
      <c r="K61" s="85"/>
      <c r="L61" s="85"/>
    </row>
    <row r="62" customFormat="false" ht="15" hidden="false" customHeight="false" outlineLevel="0" collapsed="false">
      <c r="A62" s="64"/>
      <c r="B62" s="64"/>
      <c r="C62" s="176"/>
      <c r="D62" s="176"/>
      <c r="E62" s="178" t="s">
        <v>178</v>
      </c>
      <c r="F62" s="176"/>
      <c r="G62" s="176"/>
      <c r="H62" s="176"/>
      <c r="I62" s="176"/>
      <c r="J62" s="176"/>
      <c r="K62" s="176"/>
      <c r="L62" s="85"/>
    </row>
    <row r="63" customFormat="false" ht="15" hidden="false" customHeight="false" outlineLevel="0" collapsed="false">
      <c r="A63" s="64"/>
      <c r="B63" s="64"/>
      <c r="C63" s="162"/>
      <c r="D63" s="141"/>
      <c r="E63" s="139"/>
      <c r="F63" s="85"/>
      <c r="G63" s="85"/>
      <c r="H63" s="85"/>
      <c r="I63" s="85"/>
      <c r="J63" s="85"/>
      <c r="K63" s="85"/>
      <c r="L63" s="85"/>
    </row>
    <row r="64" customFormat="false" ht="15" hidden="false" customHeight="true" outlineLevel="0" collapsed="false">
      <c r="A64" s="64"/>
      <c r="B64" s="64"/>
      <c r="C64" s="162" t="s">
        <v>179</v>
      </c>
      <c r="D64" s="141" t="s">
        <v>145</v>
      </c>
      <c r="E64" s="163" t="s">
        <v>180</v>
      </c>
      <c r="F64" s="163"/>
      <c r="G64" s="163"/>
      <c r="H64" s="85"/>
      <c r="I64" s="164"/>
      <c r="J64" s="85"/>
      <c r="K64" s="165"/>
      <c r="L64" s="85"/>
    </row>
    <row r="65" customFormat="false" ht="15" hidden="false" customHeight="false" outlineLevel="0" collapsed="false">
      <c r="A65" s="64"/>
      <c r="B65" s="64"/>
      <c r="C65" s="162"/>
      <c r="D65" s="141"/>
      <c r="E65" s="139"/>
      <c r="F65" s="85"/>
      <c r="G65" s="85"/>
      <c r="H65" s="85"/>
      <c r="I65" s="85"/>
      <c r="J65" s="85"/>
      <c r="K65" s="85"/>
      <c r="L65" s="85"/>
    </row>
    <row r="66" customFormat="false" ht="15" hidden="false" customHeight="true" outlineLevel="0" collapsed="false">
      <c r="A66" s="64"/>
      <c r="B66" s="64"/>
      <c r="C66" s="162"/>
      <c r="D66" s="141" t="s">
        <v>147</v>
      </c>
      <c r="E66" s="163" t="s">
        <v>181</v>
      </c>
      <c r="F66" s="163"/>
      <c r="G66" s="163"/>
      <c r="H66" s="85"/>
      <c r="I66" s="164"/>
      <c r="J66" s="85"/>
      <c r="K66" s="165"/>
      <c r="L66" s="85"/>
    </row>
    <row r="67" customFormat="false" ht="15" hidden="false" customHeight="false" outlineLevel="0" collapsed="false">
      <c r="A67" s="64"/>
      <c r="B67" s="64"/>
      <c r="C67" s="168"/>
      <c r="D67" s="85"/>
      <c r="E67" s="85"/>
      <c r="F67" s="85"/>
      <c r="G67" s="85"/>
      <c r="H67" s="85"/>
      <c r="I67" s="85"/>
      <c r="J67" s="85"/>
      <c r="K67" s="85"/>
      <c r="L67" s="85"/>
    </row>
    <row r="68" customFormat="false" ht="15" hidden="false" customHeight="false" outlineLevel="0" collapsed="false">
      <c r="A68" s="64"/>
      <c r="B68" s="64"/>
      <c r="C68" s="176"/>
      <c r="D68" s="176"/>
      <c r="E68" s="178" t="s">
        <v>182</v>
      </c>
      <c r="F68" s="176"/>
      <c r="G68" s="176"/>
      <c r="H68" s="176"/>
      <c r="I68" s="176"/>
      <c r="J68" s="176"/>
      <c r="K68" s="176"/>
      <c r="L68" s="85"/>
    </row>
    <row r="69" customFormat="false" ht="15" hidden="false" customHeight="false" outlineLevel="0" collapsed="false">
      <c r="A69" s="64"/>
      <c r="B69" s="64"/>
      <c r="C69" s="162"/>
      <c r="D69" s="141"/>
      <c r="E69" s="139"/>
      <c r="F69" s="85"/>
      <c r="G69" s="85"/>
      <c r="H69" s="85"/>
      <c r="I69" s="85"/>
      <c r="J69" s="85"/>
      <c r="K69" s="85"/>
      <c r="L69" s="85"/>
    </row>
    <row r="70" customFormat="false" ht="15" hidden="false" customHeight="true" outlineLevel="0" collapsed="false">
      <c r="A70" s="64"/>
      <c r="B70" s="64"/>
      <c r="C70" s="162" t="s">
        <v>183</v>
      </c>
      <c r="D70" s="141" t="s">
        <v>145</v>
      </c>
      <c r="E70" s="163" t="s">
        <v>184</v>
      </c>
      <c r="F70" s="163"/>
      <c r="G70" s="163"/>
      <c r="H70" s="85"/>
      <c r="I70" s="164"/>
      <c r="J70" s="85"/>
      <c r="K70" s="165"/>
      <c r="L70" s="85"/>
    </row>
    <row r="71" customFormat="false" ht="15" hidden="false" customHeight="false" outlineLevel="0" collapsed="false">
      <c r="A71" s="64"/>
      <c r="B71" s="64"/>
      <c r="C71" s="162"/>
      <c r="D71" s="141"/>
      <c r="E71" s="139"/>
      <c r="F71" s="85"/>
      <c r="G71" s="85"/>
      <c r="H71" s="85"/>
      <c r="I71" s="85"/>
      <c r="J71" s="85"/>
      <c r="K71" s="85"/>
      <c r="L71" s="85"/>
    </row>
    <row r="72" customFormat="false" ht="51" hidden="false" customHeight="true" outlineLevel="0" collapsed="false">
      <c r="A72" s="64"/>
      <c r="B72" s="64"/>
      <c r="C72" s="162"/>
      <c r="D72" s="179" t="s">
        <v>147</v>
      </c>
      <c r="E72" s="163" t="s">
        <v>185</v>
      </c>
      <c r="F72" s="163"/>
      <c r="G72" s="163"/>
      <c r="H72" s="85"/>
      <c r="I72" s="164"/>
      <c r="J72" s="85"/>
      <c r="K72" s="165"/>
      <c r="L72" s="85"/>
      <c r="N72" s="91" t="s">
        <v>37</v>
      </c>
    </row>
    <row r="73" customFormat="false" ht="15" hidden="false" customHeight="false" outlineLevel="0" collapsed="false">
      <c r="A73" s="64"/>
      <c r="B73" s="64"/>
      <c r="C73" s="168"/>
      <c r="D73" s="85"/>
      <c r="E73" s="85"/>
      <c r="F73" s="85"/>
      <c r="G73" s="85"/>
      <c r="H73" s="85"/>
      <c r="I73" s="85"/>
      <c r="J73" s="85"/>
      <c r="K73" s="85"/>
      <c r="L73" s="85"/>
    </row>
    <row r="74" customFormat="false" ht="15" hidden="false" customHeight="false" outlineLevel="0" collapsed="false">
      <c r="A74" s="64"/>
      <c r="B74" s="64"/>
      <c r="C74" s="176"/>
      <c r="D74" s="176"/>
      <c r="E74" s="178" t="s">
        <v>186</v>
      </c>
      <c r="F74" s="176"/>
      <c r="G74" s="176"/>
      <c r="H74" s="176"/>
      <c r="I74" s="176"/>
      <c r="J74" s="176"/>
      <c r="K74" s="176"/>
      <c r="L74" s="85"/>
    </row>
    <row r="75" customFormat="false" ht="15" hidden="false" customHeight="false" outlineLevel="0" collapsed="false">
      <c r="A75" s="64"/>
      <c r="B75" s="64"/>
      <c r="C75" s="162"/>
      <c r="D75" s="141"/>
      <c r="E75" s="139"/>
      <c r="F75" s="85"/>
      <c r="G75" s="85"/>
      <c r="H75" s="85"/>
      <c r="I75" s="180"/>
      <c r="J75" s="161"/>
      <c r="K75" s="161"/>
      <c r="L75" s="85"/>
    </row>
    <row r="76" customFormat="false" ht="15" hidden="false" customHeight="true" outlineLevel="0" collapsed="false">
      <c r="A76" s="64"/>
      <c r="B76" s="64"/>
      <c r="C76" s="162" t="s">
        <v>187</v>
      </c>
      <c r="D76" s="141" t="s">
        <v>145</v>
      </c>
      <c r="E76" s="163" t="s">
        <v>188</v>
      </c>
      <c r="F76" s="163"/>
      <c r="G76" s="163"/>
      <c r="H76" s="85"/>
      <c r="I76" s="164"/>
      <c r="J76" s="85"/>
      <c r="K76" s="165"/>
      <c r="L76" s="85"/>
    </row>
    <row r="77" customFormat="false" ht="15" hidden="false" customHeight="false" outlineLevel="0" collapsed="false">
      <c r="A77" s="64"/>
      <c r="B77" s="64"/>
      <c r="C77" s="162"/>
      <c r="D77" s="141"/>
      <c r="E77" s="139"/>
      <c r="F77" s="85"/>
      <c r="G77" s="85"/>
      <c r="H77" s="85"/>
      <c r="I77" s="85"/>
      <c r="J77" s="85"/>
      <c r="K77" s="85"/>
      <c r="L77" s="85"/>
    </row>
    <row r="78" customFormat="false" ht="15" hidden="false" customHeight="true" outlineLevel="0" collapsed="false">
      <c r="A78" s="64"/>
      <c r="B78" s="64"/>
      <c r="C78" s="162"/>
      <c r="D78" s="141" t="s">
        <v>147</v>
      </c>
      <c r="E78" s="163" t="s">
        <v>189</v>
      </c>
      <c r="F78" s="163"/>
      <c r="G78" s="163"/>
      <c r="H78" s="85"/>
      <c r="I78" s="164"/>
      <c r="J78" s="85"/>
      <c r="K78" s="165"/>
      <c r="L78" s="85"/>
    </row>
    <row r="79" customFormat="false" ht="15" hidden="false" customHeight="false" outlineLevel="0" collapsed="false">
      <c r="A79" s="64"/>
      <c r="B79" s="64"/>
      <c r="C79" s="168"/>
      <c r="D79" s="85"/>
      <c r="E79" s="85"/>
      <c r="F79" s="85"/>
      <c r="G79" s="85"/>
      <c r="H79" s="85"/>
      <c r="I79" s="85"/>
      <c r="J79" s="85"/>
      <c r="K79" s="85"/>
      <c r="L79" s="85"/>
    </row>
    <row r="80" customFormat="false" ht="15" hidden="false" customHeight="false" outlineLevel="0" collapsed="false">
      <c r="A80" s="64"/>
      <c r="B80" s="64"/>
      <c r="C80" s="176"/>
      <c r="D80" s="176"/>
      <c r="E80" s="178" t="s">
        <v>190</v>
      </c>
      <c r="F80" s="176"/>
      <c r="G80" s="176"/>
      <c r="H80" s="176"/>
      <c r="I80" s="176"/>
      <c r="J80" s="176"/>
      <c r="K80" s="176"/>
      <c r="L80" s="85"/>
    </row>
    <row r="81" customFormat="false" ht="15" hidden="false" customHeight="false" outlineLevel="0" collapsed="false">
      <c r="A81" s="64"/>
      <c r="B81" s="64"/>
      <c r="C81" s="168"/>
      <c r="D81" s="85"/>
      <c r="E81" s="85"/>
      <c r="F81" s="85"/>
      <c r="G81" s="85"/>
      <c r="H81" s="85"/>
      <c r="I81" s="85"/>
      <c r="J81" s="85"/>
      <c r="K81" s="85"/>
      <c r="L81" s="85"/>
    </row>
    <row r="82" customFormat="false" ht="33.75" hidden="false" customHeight="true" outlineLevel="0" collapsed="false">
      <c r="A82" s="64"/>
      <c r="B82" s="64"/>
      <c r="C82" s="173" t="s">
        <v>191</v>
      </c>
      <c r="D82" s="174"/>
      <c r="E82" s="163" t="s">
        <v>192</v>
      </c>
      <c r="F82" s="163"/>
      <c r="G82" s="163"/>
      <c r="H82" s="85"/>
      <c r="I82" s="164"/>
      <c r="J82" s="85"/>
      <c r="K82" s="165"/>
      <c r="L82" s="85"/>
      <c r="N82" s="87" t="s">
        <v>37</v>
      </c>
    </row>
    <row r="83" customFormat="false" ht="11.25" hidden="false" customHeight="true" outlineLevel="0" collapsed="false">
      <c r="A83" s="85"/>
      <c r="B83" s="85"/>
      <c r="C83" s="168"/>
      <c r="D83" s="85"/>
      <c r="E83" s="85"/>
      <c r="F83" s="85"/>
      <c r="G83" s="85"/>
      <c r="H83" s="85"/>
      <c r="I83" s="85"/>
      <c r="J83" s="85"/>
      <c r="K83" s="161"/>
      <c r="L83" s="161"/>
    </row>
    <row r="84" customFormat="false" ht="18.75" hidden="false" customHeight="true" outlineLevel="0" collapsed="false">
      <c r="A84" s="181" t="s">
        <v>193</v>
      </c>
      <c r="B84" s="181"/>
      <c r="C84" s="181"/>
      <c r="D84" s="181"/>
      <c r="E84" s="181"/>
      <c r="F84" s="181"/>
      <c r="G84" s="181"/>
      <c r="H84" s="181"/>
      <c r="I84" s="181"/>
      <c r="J84" s="181"/>
      <c r="K84" s="181"/>
      <c r="L84" s="181"/>
    </row>
  </sheetData>
  <sheetProtection algorithmName="SHA-512" hashValue="RLSx4BentsECfh8kEHaWJ8oXTV+vKiz517K91xPyM1kbvtLjFQ6NOJDIzyo76YCRZvJLQF1F/8OTr1Q8OR/VrQ==" saltValue="n+cVpglxvMZ6v+w587PJfQ==" spinCount="100000" sheet="true" objects="true" scenarios="true"/>
  <mergeCells count="28">
    <mergeCell ref="I2:J2"/>
    <mergeCell ref="I4:J4"/>
    <mergeCell ref="I8:J8"/>
    <mergeCell ref="I10:J10"/>
    <mergeCell ref="C12:K12"/>
    <mergeCell ref="E16:G16"/>
    <mergeCell ref="E18:G18"/>
    <mergeCell ref="E20:G20"/>
    <mergeCell ref="E24:G24"/>
    <mergeCell ref="E26:G26"/>
    <mergeCell ref="E28:G28"/>
    <mergeCell ref="E30:G30"/>
    <mergeCell ref="E34:G34"/>
    <mergeCell ref="E38:G38"/>
    <mergeCell ref="E42:G42"/>
    <mergeCell ref="E46:G46"/>
    <mergeCell ref="E48:G48"/>
    <mergeCell ref="E50:G50"/>
    <mergeCell ref="E56:G56"/>
    <mergeCell ref="E60:G60"/>
    <mergeCell ref="E64:G64"/>
    <mergeCell ref="E66:G66"/>
    <mergeCell ref="E70:G70"/>
    <mergeCell ref="E72:G72"/>
    <mergeCell ref="E76:G76"/>
    <mergeCell ref="E78:G78"/>
    <mergeCell ref="E82:G82"/>
    <mergeCell ref="A84:L84"/>
  </mergeCells>
  <dataValidations count="1">
    <dataValidation allowBlank="true" operator="between" showDropDown="false" showErrorMessage="true" showInputMessage="true" sqref="I16 I18 I20 I24 I26 I28 I30 I34 I38 I42 I46 I48 I50 I56 I60 I64 I66 I70 I72 I76 I78 I82" type="list">
      <formula1>"Yes,No,N/A"</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T102"/>
  <sheetViews>
    <sheetView showFormulas="false" showGridLines="true" showRowColHeaders="true" showZeros="true" rightToLeft="false" tabSelected="true" showOutlineSymbols="true" defaultGridColor="true" view="normal" topLeftCell="B1" colorId="64" zoomScale="100" zoomScaleNormal="100" zoomScalePageLayoutView="100" workbookViewId="0">
      <selection pane="topLeft" activeCell="H19" activeCellId="0" sqref="H19"/>
    </sheetView>
  </sheetViews>
  <sheetFormatPr defaultColWidth="9.15625" defaultRowHeight="15" zeroHeight="true" outlineLevelRow="0" outlineLevelCol="0"/>
  <cols>
    <col collapsed="false" customWidth="false" hidden="true" outlineLevel="0" max="1" min="1" style="182" width="9.14"/>
    <col collapsed="false" customWidth="true" hidden="false" outlineLevel="0" max="2" min="2" style="182" width="2.71"/>
    <col collapsed="false" customWidth="true" hidden="false" outlineLevel="0" max="3" min="3" style="182" width="5.28"/>
    <col collapsed="false" customWidth="false" hidden="false" outlineLevel="0" max="5" min="4" style="183" width="9.14"/>
    <col collapsed="false" customWidth="true" hidden="false" outlineLevel="0" max="6" min="6" style="183" width="14.43"/>
    <col collapsed="false" customWidth="true" hidden="false" outlineLevel="0" max="7" min="7" style="183" width="2.71"/>
    <col collapsed="false" customWidth="false" hidden="false" outlineLevel="0" max="10" min="8" style="182" width="9.14"/>
    <col collapsed="false" customWidth="true" hidden="false" outlineLevel="0" max="11" min="11" style="182" width="1.58"/>
    <col collapsed="false" customWidth="true" hidden="false" outlineLevel="0" max="12" min="12" style="182" width="9.29"/>
    <col collapsed="false" customWidth="true" hidden="false" outlineLevel="0" max="13" min="13" style="182" width="1.29"/>
    <col collapsed="false" customWidth="false" hidden="true" outlineLevel="0" max="15" min="14" style="182" width="9.14"/>
    <col collapsed="false" customWidth="true" hidden="true" outlineLevel="0" max="16" min="16" style="182" width="7.29"/>
    <col collapsed="false" customWidth="true" hidden="false" outlineLevel="0" max="17" min="17" style="182" width="48.42"/>
    <col collapsed="false" customWidth="true" hidden="false" outlineLevel="0" max="18" min="18" style="182" width="2.71"/>
    <col collapsed="false" customWidth="false" hidden="true" outlineLevel="0" max="1024" min="19" style="182" width="9.14"/>
  </cols>
  <sheetData>
    <row r="1" s="185" customFormat="true" ht="11.25" hidden="false" customHeight="true" outlineLevel="0" collapsed="false">
      <c r="A1" s="182"/>
      <c r="B1" s="57"/>
      <c r="C1" s="184" t="s">
        <v>68</v>
      </c>
      <c r="D1" s="184"/>
      <c r="E1" s="184"/>
      <c r="F1" s="184"/>
      <c r="G1" s="184"/>
      <c r="H1" s="184"/>
      <c r="I1" s="184"/>
      <c r="J1" s="184"/>
      <c r="K1" s="184"/>
      <c r="L1" s="184"/>
      <c r="M1" s="184"/>
      <c r="N1" s="184"/>
      <c r="O1" s="184"/>
      <c r="P1" s="184"/>
      <c r="Q1" s="184"/>
    </row>
    <row r="2" s="188" customFormat="true" ht="15" hidden="false" customHeight="false" outlineLevel="0" collapsed="false">
      <c r="A2" s="182"/>
      <c r="B2" s="186"/>
      <c r="C2" s="184"/>
      <c r="D2" s="184"/>
      <c r="E2" s="184"/>
      <c r="F2" s="184"/>
      <c r="G2" s="184"/>
      <c r="H2" s="184"/>
      <c r="I2" s="184"/>
      <c r="J2" s="184"/>
      <c r="K2" s="184"/>
      <c r="L2" s="184"/>
      <c r="M2" s="184"/>
      <c r="N2" s="184"/>
      <c r="O2" s="184"/>
      <c r="P2" s="184"/>
      <c r="Q2" s="184"/>
      <c r="R2" s="187"/>
    </row>
    <row r="3" s="191" customFormat="true" ht="9.75" hidden="false" customHeight="true" outlineLevel="0" collapsed="false">
      <c r="A3" s="182"/>
      <c r="B3" s="189"/>
      <c r="C3" s="184"/>
      <c r="D3" s="184"/>
      <c r="E3" s="184"/>
      <c r="F3" s="184"/>
      <c r="G3" s="184"/>
      <c r="H3" s="184"/>
      <c r="I3" s="184"/>
      <c r="J3" s="184"/>
      <c r="K3" s="184"/>
      <c r="L3" s="184"/>
      <c r="M3" s="184"/>
      <c r="N3" s="184"/>
      <c r="O3" s="184"/>
      <c r="P3" s="184"/>
      <c r="Q3" s="184"/>
      <c r="R3" s="190"/>
    </row>
    <row r="4" customFormat="false" ht="15" hidden="true" customHeight="false" outlineLevel="0" collapsed="false">
      <c r="B4" s="187"/>
      <c r="C4" s="187"/>
      <c r="D4" s="187"/>
      <c r="E4" s="187"/>
      <c r="F4" s="192"/>
      <c r="G4" s="192"/>
      <c r="H4" s="192"/>
      <c r="I4" s="192"/>
      <c r="J4" s="192"/>
      <c r="K4" s="192"/>
      <c r="L4" s="193"/>
      <c r="M4" s="193"/>
      <c r="N4" s="192"/>
      <c r="O4" s="187"/>
      <c r="P4" s="187"/>
      <c r="Q4" s="187"/>
      <c r="R4" s="187"/>
    </row>
    <row r="5" customFormat="false" ht="15" hidden="false" customHeight="false" outlineLevel="0" collapsed="false">
      <c r="B5" s="194"/>
      <c r="C5" s="195"/>
      <c r="D5" s="196" t="s">
        <v>16</v>
      </c>
      <c r="E5" s="197"/>
      <c r="F5" s="198"/>
      <c r="G5" s="198"/>
      <c r="H5" s="198"/>
      <c r="I5" s="198"/>
      <c r="J5" s="198"/>
      <c r="K5" s="198"/>
      <c r="L5" s="198"/>
      <c r="M5" s="198"/>
      <c r="N5" s="199"/>
      <c r="O5" s="199"/>
      <c r="P5" s="199"/>
      <c r="Q5" s="200"/>
      <c r="R5" s="201"/>
    </row>
    <row r="6" customFormat="false" ht="15" hidden="false" customHeight="false" outlineLevel="0" collapsed="false">
      <c r="B6" s="202"/>
      <c r="C6" s="202"/>
      <c r="D6" s="202"/>
      <c r="E6" s="202"/>
      <c r="F6" s="193"/>
      <c r="G6" s="193"/>
      <c r="H6" s="192"/>
      <c r="I6" s="193"/>
      <c r="J6" s="193"/>
      <c r="K6" s="193"/>
      <c r="L6" s="193"/>
      <c r="M6" s="193"/>
      <c r="N6" s="193"/>
      <c r="O6" s="202"/>
      <c r="P6" s="202"/>
      <c r="Q6" s="202"/>
      <c r="R6" s="187"/>
    </row>
    <row r="7" customFormat="false" ht="13.8" hidden="false" customHeight="false" outlineLevel="0" collapsed="false">
      <c r="B7" s="193"/>
      <c r="C7" s="203" t="s">
        <v>17</v>
      </c>
      <c r="D7" s="128" t="s">
        <v>18</v>
      </c>
      <c r="E7" s="128"/>
      <c r="F7" s="128"/>
      <c r="G7" s="193"/>
      <c r="H7" s="204" t="s">
        <v>194</v>
      </c>
      <c r="I7" s="204"/>
      <c r="J7" s="204"/>
      <c r="K7" s="204"/>
      <c r="L7" s="204"/>
      <c r="M7" s="204"/>
      <c r="N7" s="204"/>
      <c r="O7" s="204"/>
      <c r="P7" s="204"/>
      <c r="Q7" s="204"/>
      <c r="R7" s="187"/>
    </row>
    <row r="8" customFormat="false" ht="15" hidden="false" customHeight="false" outlineLevel="0" collapsed="false">
      <c r="B8" s="193"/>
      <c r="C8" s="203"/>
      <c r="D8" s="205"/>
      <c r="E8" s="206"/>
      <c r="F8" s="207"/>
      <c r="G8" s="193"/>
      <c r="H8" s="207"/>
      <c r="I8" s="207"/>
      <c r="J8" s="207"/>
      <c r="K8" s="207"/>
      <c r="L8" s="207"/>
      <c r="M8" s="207"/>
      <c r="N8" s="207"/>
      <c r="O8" s="208"/>
      <c r="P8" s="208"/>
      <c r="Q8" s="208"/>
      <c r="R8" s="187"/>
    </row>
    <row r="9" customFormat="false" ht="13.8" hidden="false" customHeight="false" outlineLevel="0" collapsed="false">
      <c r="B9" s="193"/>
      <c r="C9" s="203" t="s">
        <v>19</v>
      </c>
      <c r="D9" s="128" t="s">
        <v>20</v>
      </c>
      <c r="E9" s="128"/>
      <c r="F9" s="128"/>
      <c r="G9" s="193"/>
      <c r="H9" s="204" t="s">
        <v>195</v>
      </c>
      <c r="I9" s="204"/>
      <c r="J9" s="204"/>
      <c r="K9" s="204"/>
      <c r="L9" s="204"/>
      <c r="M9" s="204"/>
      <c r="N9" s="204"/>
      <c r="O9" s="204"/>
      <c r="P9" s="204"/>
      <c r="Q9" s="204"/>
      <c r="R9" s="187"/>
    </row>
    <row r="10" customFormat="false" ht="15" hidden="false" customHeight="false" outlineLevel="0" collapsed="false">
      <c r="B10" s="193"/>
      <c r="C10" s="203"/>
      <c r="D10" s="205"/>
      <c r="E10" s="206"/>
      <c r="F10" s="207"/>
      <c r="G10" s="193"/>
      <c r="H10" s="207"/>
      <c r="I10" s="207"/>
      <c r="J10" s="207"/>
      <c r="K10" s="207"/>
      <c r="L10" s="207"/>
      <c r="M10" s="207"/>
      <c r="N10" s="207"/>
      <c r="O10" s="207"/>
      <c r="P10" s="207"/>
      <c r="Q10" s="207"/>
      <c r="R10" s="187"/>
    </row>
    <row r="11" customFormat="false" ht="15" hidden="false" customHeight="false" outlineLevel="0" collapsed="false">
      <c r="B11" s="193"/>
      <c r="C11" s="203" t="s">
        <v>21</v>
      </c>
      <c r="D11" s="128" t="s">
        <v>70</v>
      </c>
      <c r="E11" s="128"/>
      <c r="F11" s="128"/>
      <c r="G11" s="193"/>
      <c r="H11" s="74"/>
      <c r="I11" s="74"/>
      <c r="J11" s="74"/>
      <c r="K11" s="74"/>
      <c r="L11" s="74"/>
      <c r="M11" s="74"/>
      <c r="N11" s="74"/>
      <c r="O11" s="74"/>
      <c r="P11" s="74"/>
      <c r="Q11" s="74"/>
      <c r="R11" s="187"/>
    </row>
    <row r="12" customFormat="false" ht="15" hidden="false" customHeight="false" outlineLevel="0" collapsed="false">
      <c r="B12" s="193"/>
      <c r="C12" s="203"/>
      <c r="D12" s="205"/>
      <c r="E12" s="206"/>
      <c r="F12" s="207"/>
      <c r="G12" s="193"/>
      <c r="H12" s="207"/>
      <c r="I12" s="207"/>
      <c r="J12" s="207"/>
      <c r="K12" s="207"/>
      <c r="L12" s="207"/>
      <c r="M12" s="207"/>
      <c r="N12" s="207"/>
      <c r="O12" s="207"/>
      <c r="P12" s="207"/>
      <c r="Q12" s="207"/>
      <c r="R12" s="187"/>
    </row>
    <row r="13" customFormat="false" ht="15" hidden="false" customHeight="false" outlineLevel="0" collapsed="false">
      <c r="B13" s="193"/>
      <c r="C13" s="203" t="s">
        <v>23</v>
      </c>
      <c r="D13" s="128" t="s">
        <v>24</v>
      </c>
      <c r="E13" s="128"/>
      <c r="F13" s="128"/>
      <c r="G13" s="193"/>
      <c r="H13" s="74"/>
      <c r="I13" s="74"/>
      <c r="J13" s="74"/>
      <c r="K13" s="74"/>
      <c r="L13" s="74"/>
      <c r="M13" s="74"/>
      <c r="N13" s="74"/>
      <c r="O13" s="74"/>
      <c r="P13" s="74"/>
      <c r="Q13" s="74"/>
      <c r="R13" s="187"/>
    </row>
    <row r="14" customFormat="false" ht="15" hidden="false" customHeight="false" outlineLevel="0" collapsed="false">
      <c r="B14" s="193"/>
      <c r="C14" s="203"/>
      <c r="D14" s="205"/>
      <c r="E14" s="206"/>
      <c r="F14" s="207"/>
      <c r="G14" s="193"/>
      <c r="H14" s="207"/>
      <c r="I14" s="207"/>
      <c r="J14" s="207"/>
      <c r="K14" s="207"/>
      <c r="L14" s="207"/>
      <c r="M14" s="207"/>
      <c r="N14" s="207"/>
      <c r="O14" s="207"/>
      <c r="P14" s="207"/>
      <c r="Q14" s="207"/>
      <c r="R14" s="187"/>
    </row>
    <row r="15" customFormat="false" ht="15" hidden="false" customHeight="false" outlineLevel="0" collapsed="false">
      <c r="B15" s="193"/>
      <c r="C15" s="203" t="s">
        <v>25</v>
      </c>
      <c r="D15" s="128" t="s">
        <v>26</v>
      </c>
      <c r="E15" s="128"/>
      <c r="F15" s="128"/>
      <c r="G15" s="193"/>
      <c r="H15" s="74"/>
      <c r="I15" s="74"/>
      <c r="J15" s="74"/>
      <c r="K15" s="74"/>
      <c r="L15" s="74"/>
      <c r="M15" s="74"/>
      <c r="N15" s="74"/>
      <c r="O15" s="74"/>
      <c r="P15" s="74"/>
      <c r="Q15" s="74"/>
      <c r="R15" s="187"/>
    </row>
    <row r="16" customFormat="false" ht="15" hidden="false" customHeight="false" outlineLevel="0" collapsed="false">
      <c r="B16" s="193"/>
      <c r="C16" s="203"/>
      <c r="D16" s="205"/>
      <c r="E16" s="206"/>
      <c r="F16" s="207"/>
      <c r="G16" s="193"/>
      <c r="H16" s="207"/>
      <c r="I16" s="207"/>
      <c r="J16" s="207"/>
      <c r="K16" s="207"/>
      <c r="L16" s="207"/>
      <c r="M16" s="207"/>
      <c r="N16" s="207"/>
      <c r="O16" s="207"/>
      <c r="P16" s="207"/>
      <c r="Q16" s="207"/>
      <c r="R16" s="187"/>
    </row>
    <row r="17" customFormat="false" ht="13.8" hidden="false" customHeight="false" outlineLevel="0" collapsed="false">
      <c r="B17" s="193"/>
      <c r="C17" s="203" t="s">
        <v>27</v>
      </c>
      <c r="D17" s="128" t="s">
        <v>28</v>
      </c>
      <c r="E17" s="128"/>
      <c r="F17" s="128"/>
      <c r="G17" s="193"/>
      <c r="H17" s="209" t="s">
        <v>196</v>
      </c>
      <c r="I17" s="209"/>
      <c r="J17" s="209"/>
      <c r="K17" s="209"/>
      <c r="L17" s="209"/>
      <c r="M17" s="209"/>
      <c r="N17" s="209"/>
      <c r="O17" s="209"/>
      <c r="P17" s="209"/>
      <c r="Q17" s="209"/>
      <c r="R17" s="187"/>
    </row>
    <row r="18" customFormat="false" ht="15" hidden="false" customHeight="false" outlineLevel="0" collapsed="false">
      <c r="B18" s="193"/>
      <c r="C18" s="193"/>
      <c r="D18" s="207"/>
      <c r="E18" s="207"/>
      <c r="F18" s="207"/>
      <c r="G18" s="193"/>
      <c r="H18" s="207"/>
      <c r="I18" s="207"/>
      <c r="J18" s="207"/>
      <c r="K18" s="207"/>
      <c r="L18" s="207"/>
      <c r="M18" s="207"/>
      <c r="N18" s="207"/>
      <c r="O18" s="207"/>
      <c r="P18" s="207"/>
      <c r="Q18" s="207"/>
      <c r="R18" s="192"/>
    </row>
    <row r="19" customFormat="false" ht="15" hidden="false" customHeight="false" outlineLevel="0" collapsed="false">
      <c r="B19" s="203"/>
      <c r="C19" s="203" t="s">
        <v>29</v>
      </c>
      <c r="D19" s="128" t="s">
        <v>30</v>
      </c>
      <c r="E19" s="128"/>
      <c r="F19" s="128"/>
      <c r="G19" s="210" t="s">
        <v>31</v>
      </c>
      <c r="H19" s="80" t="n">
        <v>43581</v>
      </c>
      <c r="I19" s="80"/>
      <c r="J19" s="80"/>
      <c r="K19" s="80"/>
      <c r="L19" s="80"/>
      <c r="M19" s="80"/>
      <c r="N19" s="80"/>
      <c r="O19" s="80"/>
      <c r="P19" s="80"/>
      <c r="Q19" s="80"/>
      <c r="R19" s="187"/>
    </row>
    <row r="20" customFormat="false" ht="15" hidden="false" customHeight="false" outlineLevel="0" collapsed="false">
      <c r="B20" s="193"/>
      <c r="C20" s="193"/>
      <c r="D20" s="207"/>
      <c r="E20" s="207"/>
      <c r="F20" s="207"/>
      <c r="G20" s="193"/>
      <c r="H20" s="207"/>
      <c r="I20" s="207"/>
      <c r="J20" s="207"/>
      <c r="K20" s="207"/>
      <c r="L20" s="207"/>
      <c r="M20" s="207"/>
      <c r="N20" s="207"/>
      <c r="O20" s="207"/>
      <c r="P20" s="207"/>
      <c r="Q20" s="207"/>
      <c r="R20" s="192"/>
    </row>
    <row r="21" customFormat="false" ht="15" hidden="false" customHeight="false" outlineLevel="0" collapsed="false">
      <c r="B21" s="211"/>
      <c r="C21" s="203" t="s">
        <v>71</v>
      </c>
      <c r="D21" s="128" t="s">
        <v>72</v>
      </c>
      <c r="E21" s="128"/>
      <c r="F21" s="128"/>
      <c r="G21" s="212" t="s">
        <v>31</v>
      </c>
      <c r="H21" s="128" t="s">
        <v>197</v>
      </c>
      <c r="I21" s="128"/>
      <c r="J21" s="128"/>
      <c r="K21" s="128"/>
      <c r="L21" s="128"/>
      <c r="M21" s="128"/>
      <c r="N21" s="128"/>
      <c r="O21" s="128"/>
      <c r="P21" s="128"/>
      <c r="Q21" s="128"/>
      <c r="R21" s="187"/>
    </row>
    <row r="22" customFormat="false" ht="15" hidden="false" customHeight="false" outlineLevel="0" collapsed="false">
      <c r="B22" s="193"/>
      <c r="C22" s="203"/>
      <c r="D22" s="205"/>
      <c r="E22" s="206"/>
      <c r="F22" s="207"/>
      <c r="G22" s="193"/>
      <c r="H22" s="213"/>
      <c r="I22" s="207"/>
      <c r="J22" s="207"/>
      <c r="K22" s="207"/>
      <c r="L22" s="207"/>
      <c r="M22" s="207"/>
      <c r="N22" s="207"/>
      <c r="O22" s="207"/>
      <c r="P22" s="207"/>
      <c r="Q22" s="207"/>
      <c r="R22" s="192"/>
    </row>
    <row r="23" customFormat="false" ht="15" hidden="true" customHeight="false" outlineLevel="0" collapsed="false">
      <c r="B23" s="193"/>
      <c r="C23" s="203" t="s">
        <v>74</v>
      </c>
      <c r="D23" s="128" t="s">
        <v>75</v>
      </c>
      <c r="E23" s="128"/>
      <c r="F23" s="128"/>
      <c r="G23" s="193"/>
      <c r="H23" s="74"/>
      <c r="I23" s="74"/>
      <c r="J23" s="74"/>
      <c r="K23" s="74"/>
      <c r="L23" s="74"/>
      <c r="M23" s="74"/>
      <c r="N23" s="74"/>
      <c r="O23" s="74"/>
      <c r="P23" s="74"/>
      <c r="Q23" s="74"/>
      <c r="R23" s="192"/>
    </row>
    <row r="24" customFormat="false" ht="15" hidden="true" customHeight="false" outlineLevel="0" collapsed="false">
      <c r="B24" s="193"/>
      <c r="C24" s="203"/>
      <c r="D24" s="205"/>
      <c r="E24" s="206"/>
      <c r="F24" s="207"/>
      <c r="G24" s="193"/>
      <c r="H24" s="207"/>
      <c r="I24" s="207"/>
      <c r="J24" s="207"/>
      <c r="K24" s="207"/>
      <c r="L24" s="207"/>
      <c r="M24" s="207"/>
      <c r="N24" s="207"/>
      <c r="O24" s="207"/>
      <c r="P24" s="207"/>
      <c r="Q24" s="207"/>
      <c r="R24" s="192"/>
    </row>
    <row r="25" customFormat="false" ht="15" hidden="true" customHeight="false" outlineLevel="0" collapsed="false">
      <c r="B25" s="193"/>
      <c r="C25" s="203" t="s">
        <v>76</v>
      </c>
      <c r="D25" s="128" t="s">
        <v>77</v>
      </c>
      <c r="E25" s="128"/>
      <c r="F25" s="128"/>
      <c r="G25" s="193"/>
      <c r="H25" s="74"/>
      <c r="I25" s="74"/>
      <c r="J25" s="74"/>
      <c r="K25" s="74"/>
      <c r="L25" s="74"/>
      <c r="M25" s="74"/>
      <c r="N25" s="74"/>
      <c r="O25" s="74"/>
      <c r="P25" s="74"/>
      <c r="Q25" s="74"/>
      <c r="R25" s="192"/>
    </row>
    <row r="26" customFormat="false" ht="15" hidden="true" customHeight="false" outlineLevel="0" collapsed="false">
      <c r="B26" s="214"/>
      <c r="C26" s="214"/>
      <c r="D26" s="215"/>
      <c r="E26" s="215"/>
      <c r="F26" s="215"/>
      <c r="G26" s="214"/>
      <c r="H26" s="215"/>
      <c r="I26" s="215"/>
      <c r="J26" s="215"/>
      <c r="K26" s="215"/>
      <c r="L26" s="215"/>
      <c r="M26" s="215"/>
      <c r="N26" s="215"/>
      <c r="O26" s="215"/>
      <c r="P26" s="215"/>
      <c r="Q26" s="215"/>
      <c r="R26" s="214"/>
    </row>
    <row r="27" customFormat="false" ht="15" hidden="true" customHeight="false" outlineLevel="0" collapsed="false">
      <c r="B27" s="193"/>
      <c r="C27" s="203" t="s">
        <v>78</v>
      </c>
      <c r="D27" s="128" t="s">
        <v>79</v>
      </c>
      <c r="E27" s="128"/>
      <c r="F27" s="128"/>
      <c r="G27" s="193"/>
      <c r="H27" s="74"/>
      <c r="I27" s="74"/>
      <c r="J27" s="74"/>
      <c r="K27" s="74"/>
      <c r="L27" s="74"/>
      <c r="M27" s="74"/>
      <c r="N27" s="74"/>
      <c r="O27" s="74"/>
      <c r="P27" s="74"/>
      <c r="Q27" s="74"/>
      <c r="R27" s="192"/>
    </row>
    <row r="28" customFormat="false" ht="15" hidden="true" customHeight="false" outlineLevel="0" collapsed="false">
      <c r="B28" s="193"/>
      <c r="C28" s="193"/>
      <c r="D28" s="207"/>
      <c r="E28" s="207"/>
      <c r="F28" s="207"/>
      <c r="G28" s="193"/>
      <c r="H28" s="207"/>
      <c r="I28" s="207"/>
      <c r="J28" s="207"/>
      <c r="K28" s="207"/>
      <c r="L28" s="207"/>
      <c r="M28" s="207"/>
      <c r="N28" s="207"/>
      <c r="O28" s="207"/>
      <c r="P28" s="207"/>
      <c r="Q28" s="207"/>
      <c r="R28" s="192"/>
    </row>
    <row r="29" customFormat="false" ht="15" hidden="true" customHeight="true" outlineLevel="0" collapsed="false">
      <c r="B29" s="193"/>
      <c r="C29" s="203" t="s">
        <v>80</v>
      </c>
      <c r="D29" s="216" t="s">
        <v>81</v>
      </c>
      <c r="E29" s="216"/>
      <c r="F29" s="216"/>
      <c r="G29" s="193"/>
      <c r="H29" s="74"/>
      <c r="I29" s="74"/>
      <c r="J29" s="74"/>
      <c r="K29" s="74"/>
      <c r="L29" s="74"/>
      <c r="M29" s="74"/>
      <c r="N29" s="74"/>
      <c r="O29" s="74"/>
      <c r="P29" s="74"/>
      <c r="Q29" s="74"/>
      <c r="R29" s="192"/>
    </row>
    <row r="30" customFormat="false" ht="15" hidden="true" customHeight="false" outlineLevel="0" collapsed="false">
      <c r="B30" s="193"/>
      <c r="C30" s="193"/>
      <c r="D30" s="207"/>
      <c r="E30" s="207"/>
      <c r="F30" s="207"/>
      <c r="G30" s="193"/>
      <c r="H30" s="207"/>
      <c r="I30" s="207"/>
      <c r="J30" s="207"/>
      <c r="K30" s="207"/>
      <c r="L30" s="207"/>
      <c r="M30" s="207"/>
      <c r="N30" s="207"/>
      <c r="O30" s="207"/>
      <c r="P30" s="207"/>
      <c r="Q30" s="207"/>
      <c r="R30" s="192"/>
    </row>
    <row r="31" customFormat="false" ht="15" hidden="true" customHeight="true" outlineLevel="0" collapsed="false">
      <c r="B31" s="193"/>
      <c r="C31" s="203" t="s">
        <v>82</v>
      </c>
      <c r="D31" s="216" t="s">
        <v>83</v>
      </c>
      <c r="E31" s="216"/>
      <c r="F31" s="216"/>
      <c r="G31" s="193"/>
      <c r="H31" s="74"/>
      <c r="I31" s="74"/>
      <c r="J31" s="74"/>
      <c r="K31" s="74"/>
      <c r="L31" s="74"/>
      <c r="M31" s="74"/>
      <c r="N31" s="74"/>
      <c r="O31" s="74"/>
      <c r="P31" s="74"/>
      <c r="Q31" s="74"/>
      <c r="R31" s="192"/>
    </row>
    <row r="32" customFormat="false" ht="15" hidden="true" customHeight="false" outlineLevel="0" collapsed="false">
      <c r="B32" s="193"/>
      <c r="C32" s="203"/>
      <c r="D32" s="205"/>
      <c r="E32" s="207"/>
      <c r="F32" s="207"/>
      <c r="G32" s="193"/>
      <c r="H32" s="207"/>
      <c r="I32" s="207"/>
      <c r="J32" s="207"/>
      <c r="K32" s="207"/>
      <c r="L32" s="207"/>
      <c r="M32" s="207"/>
      <c r="N32" s="217"/>
      <c r="O32" s="207"/>
      <c r="P32" s="207"/>
      <c r="Q32" s="207"/>
      <c r="R32" s="192"/>
    </row>
    <row r="33" customFormat="false" ht="15" hidden="true" customHeight="true" outlineLevel="0" collapsed="false">
      <c r="B33" s="193"/>
      <c r="C33" s="203" t="s">
        <v>84</v>
      </c>
      <c r="D33" s="216" t="s">
        <v>85</v>
      </c>
      <c r="E33" s="216"/>
      <c r="F33" s="216"/>
      <c r="G33" s="193"/>
      <c r="H33" s="74"/>
      <c r="I33" s="74"/>
      <c r="J33" s="74"/>
      <c r="K33" s="74"/>
      <c r="L33" s="74"/>
      <c r="M33" s="74"/>
      <c r="N33" s="74"/>
      <c r="O33" s="74"/>
      <c r="P33" s="74"/>
      <c r="Q33" s="74"/>
      <c r="R33" s="192"/>
    </row>
    <row r="34" customFormat="false" ht="15" hidden="true" customHeight="false" outlineLevel="0" collapsed="false">
      <c r="B34" s="193"/>
      <c r="C34" s="193"/>
      <c r="D34" s="193"/>
      <c r="E34" s="193"/>
      <c r="F34" s="193"/>
      <c r="G34" s="193"/>
      <c r="H34" s="207"/>
      <c r="I34" s="207"/>
      <c r="J34" s="207"/>
      <c r="K34" s="207"/>
      <c r="L34" s="207"/>
      <c r="M34" s="207"/>
      <c r="N34" s="207"/>
      <c r="O34" s="207"/>
      <c r="P34" s="207"/>
      <c r="Q34" s="207"/>
      <c r="R34" s="192"/>
    </row>
    <row r="35" customFormat="false" ht="15" hidden="false" customHeight="false" outlineLevel="0" collapsed="false">
      <c r="A35" s="218"/>
      <c r="B35" s="218"/>
      <c r="C35" s="218"/>
      <c r="D35" s="219" t="s">
        <v>32</v>
      </c>
      <c r="E35" s="220"/>
      <c r="F35" s="221"/>
      <c r="G35" s="221"/>
      <c r="H35" s="218"/>
      <c r="I35" s="218"/>
      <c r="J35" s="218"/>
      <c r="K35" s="218"/>
      <c r="L35" s="218"/>
      <c r="M35" s="218"/>
      <c r="N35" s="218"/>
      <c r="O35" s="218"/>
      <c r="P35" s="218"/>
      <c r="Q35" s="218"/>
      <c r="R35" s="218" t="s">
        <v>198</v>
      </c>
    </row>
    <row r="36" customFormat="false" ht="15" hidden="false" customHeight="false" outlineLevel="0" collapsed="false">
      <c r="B36" s="193"/>
      <c r="C36" s="193"/>
      <c r="D36" s="193"/>
      <c r="E36" s="193"/>
      <c r="F36" s="193"/>
      <c r="G36" s="193"/>
      <c r="H36" s="207"/>
      <c r="I36" s="207"/>
      <c r="J36" s="207"/>
      <c r="K36" s="207"/>
      <c r="L36" s="207"/>
      <c r="M36" s="207"/>
      <c r="N36" s="207"/>
      <c r="O36" s="207"/>
      <c r="P36" s="207"/>
      <c r="Q36" s="207"/>
      <c r="R36" s="192"/>
    </row>
    <row r="37" customFormat="false" ht="15" hidden="false" customHeight="false" outlineLevel="0" collapsed="false">
      <c r="B37" s="211"/>
      <c r="C37" s="203" t="s">
        <v>33</v>
      </c>
      <c r="D37" s="128" t="s">
        <v>34</v>
      </c>
      <c r="E37" s="128"/>
      <c r="F37" s="128"/>
      <c r="G37" s="212" t="s">
        <v>31</v>
      </c>
      <c r="H37" s="74" t="s">
        <v>199</v>
      </c>
      <c r="I37" s="74"/>
      <c r="J37" s="74"/>
      <c r="K37" s="74"/>
      <c r="L37" s="74"/>
      <c r="M37" s="74"/>
      <c r="N37" s="74"/>
      <c r="O37" s="74"/>
      <c r="P37" s="74"/>
      <c r="Q37" s="74"/>
      <c r="R37" s="203"/>
    </row>
    <row r="38" customFormat="false" ht="15" hidden="false" customHeight="false" outlineLevel="0" collapsed="false">
      <c r="B38" s="193"/>
      <c r="C38" s="211"/>
      <c r="D38" s="207"/>
      <c r="E38" s="207"/>
      <c r="F38" s="207"/>
      <c r="G38" s="193"/>
      <c r="H38" s="207"/>
      <c r="I38" s="207"/>
      <c r="J38" s="207"/>
      <c r="K38" s="207"/>
      <c r="L38" s="207"/>
      <c r="M38" s="207"/>
      <c r="N38" s="207"/>
      <c r="O38" s="207"/>
      <c r="P38" s="207"/>
      <c r="Q38" s="207"/>
      <c r="R38" s="192"/>
    </row>
    <row r="39" customFormat="false" ht="33.75" hidden="false" customHeight="true" outlineLevel="0" collapsed="false">
      <c r="B39" s="193"/>
      <c r="C39" s="211" t="s">
        <v>35</v>
      </c>
      <c r="D39" s="216" t="s">
        <v>36</v>
      </c>
      <c r="E39" s="216"/>
      <c r="F39" s="216"/>
      <c r="G39" s="193"/>
      <c r="H39" s="222" t="s">
        <v>200</v>
      </c>
      <c r="I39" s="222"/>
      <c r="J39" s="222"/>
      <c r="K39" s="222"/>
      <c r="L39" s="222"/>
      <c r="M39" s="222"/>
      <c r="N39" s="222"/>
      <c r="O39" s="222"/>
      <c r="P39" s="222"/>
      <c r="Q39" s="222"/>
      <c r="R39" s="192"/>
      <c r="T39" s="223" t="s">
        <v>37</v>
      </c>
    </row>
    <row r="40" customFormat="false" ht="15" hidden="false" customHeight="false" outlineLevel="0" collapsed="false">
      <c r="B40" s="193"/>
      <c r="C40" s="203"/>
      <c r="D40" s="207"/>
      <c r="E40" s="207"/>
      <c r="F40" s="207"/>
      <c r="G40" s="193"/>
      <c r="H40" s="207"/>
      <c r="I40" s="207"/>
      <c r="J40" s="207"/>
      <c r="K40" s="207"/>
      <c r="L40" s="207"/>
      <c r="M40" s="207"/>
      <c r="N40" s="207"/>
      <c r="O40" s="207"/>
      <c r="P40" s="207"/>
      <c r="Q40" s="207"/>
      <c r="R40" s="192"/>
    </row>
    <row r="41" customFormat="false" ht="51" hidden="false" customHeight="true" outlineLevel="0" collapsed="false">
      <c r="B41" s="211"/>
      <c r="C41" s="211" t="s">
        <v>38</v>
      </c>
      <c r="D41" s="216" t="s">
        <v>86</v>
      </c>
      <c r="E41" s="216"/>
      <c r="F41" s="216"/>
      <c r="G41" s="224" t="s">
        <v>31</v>
      </c>
      <c r="H41" s="74" t="s">
        <v>201</v>
      </c>
      <c r="I41" s="74"/>
      <c r="J41" s="74"/>
      <c r="K41" s="74"/>
      <c r="L41" s="74"/>
      <c r="M41" s="74"/>
      <c r="N41" s="74"/>
      <c r="O41" s="74"/>
      <c r="P41" s="74"/>
      <c r="Q41" s="74"/>
      <c r="R41" s="203"/>
      <c r="T41" s="225" t="s">
        <v>37</v>
      </c>
    </row>
    <row r="42" customFormat="false" ht="15" hidden="false" customHeight="false" outlineLevel="0" collapsed="false">
      <c r="B42" s="193"/>
      <c r="C42" s="211"/>
      <c r="D42" s="207"/>
      <c r="E42" s="207"/>
      <c r="F42" s="207"/>
      <c r="G42" s="193"/>
      <c r="H42" s="207"/>
      <c r="I42" s="207"/>
      <c r="J42" s="207"/>
      <c r="K42" s="207"/>
      <c r="L42" s="207"/>
      <c r="M42" s="207"/>
      <c r="N42" s="207"/>
      <c r="O42" s="207"/>
      <c r="P42" s="207"/>
      <c r="Q42" s="207"/>
      <c r="R42" s="192"/>
    </row>
    <row r="43" customFormat="false" ht="58.5" hidden="false" customHeight="true" outlineLevel="0" collapsed="false">
      <c r="B43" s="193"/>
      <c r="C43" s="203" t="s">
        <v>40</v>
      </c>
      <c r="D43" s="216" t="s">
        <v>41</v>
      </c>
      <c r="E43" s="216"/>
      <c r="F43" s="216"/>
      <c r="G43" s="193"/>
      <c r="H43" s="74"/>
      <c r="I43" s="74"/>
      <c r="J43" s="74"/>
      <c r="K43" s="74"/>
      <c r="L43" s="74"/>
      <c r="M43" s="74"/>
      <c r="N43" s="74"/>
      <c r="O43" s="74"/>
      <c r="P43" s="74"/>
      <c r="Q43" s="74"/>
      <c r="R43" s="192"/>
      <c r="T43" s="225" t="s">
        <v>37</v>
      </c>
    </row>
    <row r="44" customFormat="false" ht="15" hidden="false" customHeight="false" outlineLevel="0" collapsed="false">
      <c r="B44" s="211"/>
      <c r="C44" s="211"/>
      <c r="D44" s="211"/>
      <c r="E44" s="211"/>
      <c r="F44" s="211"/>
      <c r="G44" s="211"/>
      <c r="H44" s="211"/>
      <c r="I44" s="211"/>
      <c r="J44" s="211"/>
      <c r="K44" s="211"/>
      <c r="L44" s="211"/>
      <c r="M44" s="211"/>
      <c r="N44" s="211"/>
      <c r="O44" s="211"/>
      <c r="P44" s="211"/>
      <c r="Q44" s="211"/>
      <c r="R44" s="211"/>
    </row>
    <row r="45" customFormat="false" ht="57" hidden="false" customHeight="true" outlineLevel="0" collapsed="false">
      <c r="B45" s="193"/>
      <c r="C45" s="211" t="s">
        <v>42</v>
      </c>
      <c r="D45" s="216" t="s">
        <v>43</v>
      </c>
      <c r="E45" s="216"/>
      <c r="F45" s="216"/>
      <c r="G45" s="193"/>
      <c r="H45" s="74"/>
      <c r="I45" s="74"/>
      <c r="J45" s="74"/>
      <c r="K45" s="74"/>
      <c r="L45" s="74"/>
      <c r="M45" s="74"/>
      <c r="N45" s="74"/>
      <c r="O45" s="74"/>
      <c r="P45" s="74"/>
      <c r="Q45" s="74"/>
      <c r="R45" s="192"/>
      <c r="T45" s="226" t="s">
        <v>37</v>
      </c>
    </row>
    <row r="46" customFormat="false" ht="15" hidden="false" customHeight="false" outlineLevel="0" collapsed="false">
      <c r="B46" s="211"/>
      <c r="C46" s="211"/>
      <c r="D46" s="211"/>
      <c r="E46" s="211"/>
      <c r="F46" s="211"/>
      <c r="G46" s="211"/>
      <c r="H46" s="211"/>
      <c r="I46" s="211"/>
      <c r="J46" s="211"/>
      <c r="K46" s="211"/>
      <c r="L46" s="211"/>
      <c r="M46" s="211"/>
      <c r="N46" s="211"/>
      <c r="O46" s="211"/>
      <c r="P46" s="211"/>
      <c r="Q46" s="211"/>
      <c r="R46" s="211"/>
    </row>
    <row r="47" customFormat="false" ht="81" hidden="false" customHeight="true" outlineLevel="0" collapsed="false">
      <c r="B47" s="193"/>
      <c r="C47" s="211" t="s">
        <v>44</v>
      </c>
      <c r="D47" s="216" t="s">
        <v>45</v>
      </c>
      <c r="E47" s="216"/>
      <c r="F47" s="216"/>
      <c r="G47" s="193"/>
      <c r="H47" s="74"/>
      <c r="I47" s="74"/>
      <c r="J47" s="74"/>
      <c r="K47" s="74"/>
      <c r="L47" s="74"/>
      <c r="M47" s="74"/>
      <c r="N47" s="74"/>
      <c r="O47" s="74"/>
      <c r="P47" s="74"/>
      <c r="Q47" s="74"/>
      <c r="R47" s="192"/>
      <c r="T47" s="227" t="s">
        <v>37</v>
      </c>
    </row>
    <row r="48" customFormat="false" ht="15" hidden="false" customHeight="false" outlineLevel="0" collapsed="false">
      <c r="B48" s="211"/>
      <c r="C48" s="211"/>
      <c r="D48" s="211"/>
      <c r="E48" s="211"/>
      <c r="F48" s="211"/>
      <c r="G48" s="211"/>
      <c r="H48" s="211"/>
      <c r="I48" s="211"/>
      <c r="J48" s="211"/>
      <c r="K48" s="211"/>
      <c r="L48" s="211"/>
      <c r="M48" s="211"/>
      <c r="N48" s="211"/>
      <c r="O48" s="211"/>
      <c r="P48" s="211"/>
      <c r="Q48" s="211"/>
      <c r="R48" s="211"/>
    </row>
    <row r="49" customFormat="false" ht="140.25" hidden="true" customHeight="true" outlineLevel="0" collapsed="false">
      <c r="B49" s="193"/>
      <c r="C49" s="203" t="s">
        <v>46</v>
      </c>
      <c r="D49" s="216" t="s">
        <v>47</v>
      </c>
      <c r="E49" s="216"/>
      <c r="F49" s="216"/>
      <c r="G49" s="193"/>
      <c r="H49" s="74"/>
      <c r="I49" s="74"/>
      <c r="J49" s="74"/>
      <c r="K49" s="74"/>
      <c r="L49" s="74"/>
      <c r="M49" s="74"/>
      <c r="N49" s="74"/>
      <c r="O49" s="74"/>
      <c r="P49" s="74"/>
      <c r="Q49" s="74"/>
      <c r="R49" s="192"/>
      <c r="T49" s="228" t="s">
        <v>37</v>
      </c>
    </row>
    <row r="50" customFormat="false" ht="15" hidden="true" customHeight="false" outlineLevel="0" collapsed="false">
      <c r="B50" s="193"/>
      <c r="C50" s="193"/>
      <c r="D50" s="193"/>
      <c r="E50" s="193"/>
      <c r="F50" s="193"/>
      <c r="G50" s="193"/>
      <c r="H50" s="211"/>
      <c r="I50" s="211"/>
      <c r="J50" s="211"/>
      <c r="K50" s="211"/>
      <c r="L50" s="211"/>
      <c r="M50" s="211"/>
      <c r="N50" s="211"/>
      <c r="O50" s="211"/>
      <c r="P50" s="211"/>
      <c r="Q50" s="211"/>
      <c r="R50" s="192"/>
    </row>
    <row r="51" customFormat="false" ht="61.5" hidden="true" customHeight="true" outlineLevel="0" collapsed="false">
      <c r="B51" s="193"/>
      <c r="C51" s="211" t="s">
        <v>48</v>
      </c>
      <c r="D51" s="216" t="s">
        <v>49</v>
      </c>
      <c r="E51" s="216"/>
      <c r="F51" s="216"/>
      <c r="G51" s="193"/>
      <c r="H51" s="74"/>
      <c r="I51" s="74"/>
      <c r="J51" s="74"/>
      <c r="K51" s="74"/>
      <c r="L51" s="74"/>
      <c r="M51" s="74"/>
      <c r="N51" s="74"/>
      <c r="O51" s="74"/>
      <c r="P51" s="74"/>
      <c r="Q51" s="74"/>
      <c r="R51" s="192"/>
      <c r="T51" s="229" t="s">
        <v>37</v>
      </c>
    </row>
    <row r="52" customFormat="false" ht="15" hidden="true" customHeight="false" outlineLevel="0" collapsed="false">
      <c r="B52" s="193"/>
      <c r="C52" s="203"/>
      <c r="D52" s="193"/>
      <c r="E52" s="193"/>
      <c r="F52" s="193"/>
      <c r="G52" s="193"/>
      <c r="H52" s="211"/>
      <c r="I52" s="211"/>
      <c r="J52" s="211"/>
      <c r="K52" s="211"/>
      <c r="L52" s="211"/>
      <c r="M52" s="211"/>
      <c r="N52" s="211"/>
      <c r="O52" s="211"/>
      <c r="P52" s="211"/>
      <c r="Q52" s="211"/>
      <c r="R52" s="192"/>
    </row>
    <row r="53" customFormat="false" ht="84.75" hidden="true" customHeight="true" outlineLevel="0" collapsed="false">
      <c r="B53" s="193"/>
      <c r="C53" s="211" t="s">
        <v>50</v>
      </c>
      <c r="D53" s="216" t="s">
        <v>51</v>
      </c>
      <c r="E53" s="216"/>
      <c r="F53" s="216"/>
      <c r="G53" s="193"/>
      <c r="H53" s="74"/>
      <c r="I53" s="74"/>
      <c r="J53" s="74"/>
      <c r="K53" s="74"/>
      <c r="L53" s="74"/>
      <c r="M53" s="74"/>
      <c r="N53" s="74"/>
      <c r="O53" s="74"/>
      <c r="P53" s="74"/>
      <c r="Q53" s="74"/>
      <c r="R53" s="192"/>
      <c r="T53" s="230" t="s">
        <v>37</v>
      </c>
    </row>
    <row r="54" customFormat="false" ht="15" hidden="true" customHeight="false" outlineLevel="0" collapsed="false">
      <c r="B54" s="193"/>
      <c r="C54" s="211"/>
      <c r="D54" s="193"/>
      <c r="E54" s="193"/>
      <c r="F54" s="193"/>
      <c r="G54" s="193"/>
      <c r="H54" s="211"/>
      <c r="I54" s="211"/>
      <c r="J54" s="211"/>
      <c r="K54" s="211"/>
      <c r="L54" s="211"/>
      <c r="M54" s="211"/>
      <c r="N54" s="211"/>
      <c r="O54" s="211"/>
      <c r="P54" s="211"/>
      <c r="Q54" s="211"/>
      <c r="R54" s="192"/>
    </row>
    <row r="55" customFormat="false" ht="153" hidden="true" customHeight="true" outlineLevel="0" collapsed="false">
      <c r="B55" s="193"/>
      <c r="C55" s="211" t="s">
        <v>52</v>
      </c>
      <c r="D55" s="216" t="s">
        <v>87</v>
      </c>
      <c r="E55" s="216"/>
      <c r="F55" s="216"/>
      <c r="G55" s="193"/>
      <c r="H55" s="74"/>
      <c r="I55" s="74"/>
      <c r="J55" s="74"/>
      <c r="K55" s="74"/>
      <c r="L55" s="74"/>
      <c r="M55" s="74"/>
      <c r="N55" s="74"/>
      <c r="O55" s="74"/>
      <c r="P55" s="74"/>
      <c r="Q55" s="74"/>
      <c r="R55" s="192"/>
      <c r="T55" s="231" t="s">
        <v>37</v>
      </c>
    </row>
    <row r="56" customFormat="false" ht="15" hidden="true" customHeight="false" outlineLevel="0" collapsed="false">
      <c r="B56" s="193"/>
      <c r="C56" s="193"/>
      <c r="D56" s="193"/>
      <c r="E56" s="193"/>
      <c r="F56" s="193"/>
      <c r="G56" s="193"/>
      <c r="H56" s="211"/>
      <c r="I56" s="211"/>
      <c r="J56" s="211"/>
      <c r="K56" s="211"/>
      <c r="L56" s="211"/>
      <c r="M56" s="211"/>
      <c r="N56" s="211"/>
      <c r="O56" s="211"/>
      <c r="P56" s="211"/>
      <c r="Q56" s="211"/>
      <c r="R56" s="192"/>
    </row>
    <row r="57" customFormat="false" ht="15" hidden="true" customHeight="false" outlineLevel="0" collapsed="false">
      <c r="B57" s="193"/>
      <c r="C57" s="211" t="s">
        <v>88</v>
      </c>
      <c r="D57" s="128" t="s">
        <v>89</v>
      </c>
      <c r="E57" s="128"/>
      <c r="F57" s="128"/>
      <c r="G57" s="193"/>
      <c r="H57" s="74"/>
      <c r="I57" s="74"/>
      <c r="J57" s="74"/>
      <c r="K57" s="74"/>
      <c r="L57" s="74"/>
      <c r="M57" s="74"/>
      <c r="N57" s="74"/>
      <c r="O57" s="74"/>
      <c r="P57" s="74"/>
      <c r="Q57" s="74"/>
      <c r="R57" s="192"/>
    </row>
    <row r="58" customFormat="false" ht="15" hidden="true" customHeight="false" outlineLevel="0" collapsed="false">
      <c r="B58" s="193"/>
      <c r="C58" s="193"/>
      <c r="D58" s="193"/>
      <c r="E58" s="193"/>
      <c r="F58" s="193"/>
      <c r="G58" s="193"/>
      <c r="H58" s="211"/>
      <c r="I58" s="211"/>
      <c r="J58" s="211"/>
      <c r="K58" s="211"/>
      <c r="L58" s="211"/>
      <c r="M58" s="211"/>
      <c r="N58" s="211"/>
      <c r="O58" s="211"/>
      <c r="P58" s="211"/>
      <c r="Q58" s="211"/>
      <c r="R58" s="192"/>
    </row>
    <row r="59" customFormat="false" ht="15" hidden="true" customHeight="false" outlineLevel="0" collapsed="false">
      <c r="B59" s="193"/>
      <c r="C59" s="211" t="s">
        <v>90</v>
      </c>
      <c r="D59" s="128" t="s">
        <v>91</v>
      </c>
      <c r="E59" s="128"/>
      <c r="F59" s="128"/>
      <c r="G59" s="193"/>
      <c r="H59" s="74"/>
      <c r="I59" s="74"/>
      <c r="J59" s="74"/>
      <c r="K59" s="74"/>
      <c r="L59" s="74"/>
      <c r="M59" s="74"/>
      <c r="N59" s="74"/>
      <c r="O59" s="74"/>
      <c r="P59" s="74"/>
      <c r="Q59" s="74"/>
      <c r="R59" s="192"/>
    </row>
    <row r="60" customFormat="false" ht="15" hidden="true" customHeight="false" outlineLevel="0" collapsed="false">
      <c r="B60" s="193"/>
      <c r="C60" s="193"/>
      <c r="D60" s="193"/>
      <c r="E60" s="193"/>
      <c r="F60" s="193"/>
      <c r="G60" s="193"/>
      <c r="H60" s="211"/>
      <c r="I60" s="211"/>
      <c r="J60" s="211"/>
      <c r="K60" s="211"/>
      <c r="L60" s="211"/>
      <c r="M60" s="211"/>
      <c r="N60" s="211"/>
      <c r="O60" s="211"/>
      <c r="P60" s="211"/>
      <c r="Q60" s="211"/>
      <c r="R60" s="192"/>
    </row>
    <row r="61" customFormat="false" ht="15" hidden="true" customHeight="false" outlineLevel="0" collapsed="false">
      <c r="B61" s="193"/>
      <c r="C61" s="211" t="s">
        <v>92</v>
      </c>
      <c r="D61" s="128" t="s">
        <v>93</v>
      </c>
      <c r="E61" s="128"/>
      <c r="F61" s="128"/>
      <c r="G61" s="193"/>
      <c r="H61" s="74"/>
      <c r="I61" s="74"/>
      <c r="J61" s="74"/>
      <c r="K61" s="74"/>
      <c r="L61" s="74"/>
      <c r="M61" s="74"/>
      <c r="N61" s="74"/>
      <c r="O61" s="74"/>
      <c r="P61" s="74"/>
      <c r="Q61" s="74"/>
      <c r="R61" s="192"/>
    </row>
    <row r="62" customFormat="false" ht="15" hidden="true" customHeight="false" outlineLevel="0" collapsed="false">
      <c r="B62" s="193"/>
      <c r="C62" s="193"/>
      <c r="D62" s="193"/>
      <c r="E62" s="193"/>
      <c r="F62" s="193"/>
      <c r="G62" s="193"/>
      <c r="H62" s="211"/>
      <c r="I62" s="211"/>
      <c r="J62" s="211"/>
      <c r="K62" s="211"/>
      <c r="L62" s="211"/>
      <c r="M62" s="211"/>
      <c r="N62" s="211"/>
      <c r="O62" s="211"/>
      <c r="P62" s="211"/>
      <c r="Q62" s="211"/>
      <c r="R62" s="192"/>
    </row>
    <row r="63" customFormat="false" ht="15" hidden="true" customHeight="false" outlineLevel="0" collapsed="false">
      <c r="B63" s="193"/>
      <c r="C63" s="211" t="s">
        <v>94</v>
      </c>
      <c r="D63" s="128" t="s">
        <v>95</v>
      </c>
      <c r="E63" s="128"/>
      <c r="F63" s="128"/>
      <c r="G63" s="193"/>
      <c r="H63" s="74"/>
      <c r="I63" s="74"/>
      <c r="J63" s="74"/>
      <c r="K63" s="74"/>
      <c r="L63" s="74"/>
      <c r="M63" s="74"/>
      <c r="N63" s="74"/>
      <c r="O63" s="74"/>
      <c r="P63" s="74"/>
      <c r="Q63" s="74"/>
      <c r="R63" s="192"/>
    </row>
    <row r="64" customFormat="false" ht="15" hidden="true" customHeight="false" outlineLevel="0" collapsed="false">
      <c r="B64" s="193"/>
      <c r="C64" s="193"/>
      <c r="D64" s="193"/>
      <c r="E64" s="193"/>
      <c r="F64" s="193"/>
      <c r="G64" s="193"/>
      <c r="H64" s="211"/>
      <c r="I64" s="211"/>
      <c r="J64" s="211"/>
      <c r="K64" s="211"/>
      <c r="L64" s="211"/>
      <c r="M64" s="211"/>
      <c r="N64" s="211"/>
      <c r="O64" s="211"/>
      <c r="P64" s="211"/>
      <c r="Q64" s="211"/>
      <c r="R64" s="192"/>
    </row>
    <row r="65" customFormat="false" ht="15" hidden="true" customHeight="false" outlineLevel="0" collapsed="false">
      <c r="B65" s="193"/>
      <c r="C65" s="211" t="s">
        <v>96</v>
      </c>
      <c r="D65" s="128" t="s">
        <v>202</v>
      </c>
      <c r="E65" s="128"/>
      <c r="F65" s="128"/>
      <c r="G65" s="193"/>
      <c r="H65" s="74"/>
      <c r="I65" s="74"/>
      <c r="J65" s="74"/>
      <c r="K65" s="74"/>
      <c r="L65" s="74"/>
      <c r="M65" s="74"/>
      <c r="N65" s="74"/>
      <c r="O65" s="74"/>
      <c r="P65" s="74"/>
      <c r="Q65" s="74"/>
      <c r="R65" s="192"/>
    </row>
    <row r="66" customFormat="false" ht="15" hidden="true" customHeight="false" outlineLevel="0" collapsed="false">
      <c r="B66" s="193"/>
      <c r="C66" s="193"/>
      <c r="D66" s="193"/>
      <c r="E66" s="193"/>
      <c r="F66" s="193"/>
      <c r="G66" s="193"/>
      <c r="H66" s="211"/>
      <c r="I66" s="211"/>
      <c r="J66" s="211"/>
      <c r="K66" s="211"/>
      <c r="L66" s="211"/>
      <c r="M66" s="211"/>
      <c r="N66" s="211"/>
      <c r="O66" s="211"/>
      <c r="P66" s="211"/>
      <c r="Q66" s="211"/>
      <c r="R66" s="192"/>
    </row>
    <row r="67" customFormat="false" ht="15" hidden="true" customHeight="false" outlineLevel="0" collapsed="false">
      <c r="B67" s="193"/>
      <c r="C67" s="211" t="s">
        <v>98</v>
      </c>
      <c r="D67" s="128" t="s">
        <v>99</v>
      </c>
      <c r="E67" s="128"/>
      <c r="F67" s="128"/>
      <c r="G67" s="193"/>
      <c r="H67" s="74"/>
      <c r="I67" s="74"/>
      <c r="J67" s="74"/>
      <c r="K67" s="74"/>
      <c r="L67" s="74"/>
      <c r="M67" s="74"/>
      <c r="N67" s="74"/>
      <c r="O67" s="74"/>
      <c r="P67" s="74"/>
      <c r="Q67" s="74"/>
      <c r="R67" s="192"/>
    </row>
    <row r="68" customFormat="false" ht="15" hidden="true" customHeight="false" outlineLevel="0" collapsed="false">
      <c r="B68" s="193"/>
      <c r="C68" s="193"/>
      <c r="D68" s="193"/>
      <c r="E68" s="193"/>
      <c r="F68" s="193"/>
      <c r="G68" s="193"/>
      <c r="H68" s="211"/>
      <c r="I68" s="211"/>
      <c r="J68" s="211"/>
      <c r="K68" s="211"/>
      <c r="L68" s="211"/>
      <c r="M68" s="211"/>
      <c r="N68" s="211"/>
      <c r="O68" s="211"/>
      <c r="P68" s="211"/>
      <c r="Q68" s="211"/>
      <c r="R68" s="192"/>
    </row>
    <row r="69" customFormat="false" ht="15" hidden="true" customHeight="false" outlineLevel="0" collapsed="false">
      <c r="B69" s="193"/>
      <c r="C69" s="211" t="s">
        <v>100</v>
      </c>
      <c r="D69" s="128" t="s">
        <v>101</v>
      </c>
      <c r="E69" s="128"/>
      <c r="F69" s="128"/>
      <c r="G69" s="193"/>
      <c r="H69" s="74"/>
      <c r="I69" s="74"/>
      <c r="J69" s="74"/>
      <c r="K69" s="74"/>
      <c r="L69" s="74"/>
      <c r="M69" s="74"/>
      <c r="N69" s="74"/>
      <c r="O69" s="74"/>
      <c r="P69" s="74"/>
      <c r="Q69" s="74"/>
      <c r="R69" s="192"/>
    </row>
    <row r="70" customFormat="false" ht="15" hidden="true" customHeight="false" outlineLevel="0" collapsed="false">
      <c r="B70" s="193"/>
      <c r="C70" s="193"/>
      <c r="D70" s="193"/>
      <c r="E70" s="193"/>
      <c r="F70" s="193"/>
      <c r="G70" s="193"/>
      <c r="H70" s="211"/>
      <c r="I70" s="211"/>
      <c r="J70" s="211"/>
      <c r="K70" s="211"/>
      <c r="L70" s="211"/>
      <c r="M70" s="211"/>
      <c r="N70" s="211"/>
      <c r="O70" s="211"/>
      <c r="P70" s="211"/>
      <c r="Q70" s="211"/>
      <c r="R70" s="192"/>
    </row>
    <row r="71" customFormat="false" ht="15" hidden="true" customHeight="false" outlineLevel="0" collapsed="false">
      <c r="B71" s="193"/>
      <c r="C71" s="211" t="s">
        <v>102</v>
      </c>
      <c r="D71" s="128" t="s">
        <v>103</v>
      </c>
      <c r="E71" s="128"/>
      <c r="F71" s="128"/>
      <c r="G71" s="193"/>
      <c r="H71" s="74"/>
      <c r="I71" s="74"/>
      <c r="J71" s="74"/>
      <c r="K71" s="74"/>
      <c r="L71" s="74"/>
      <c r="M71" s="74"/>
      <c r="N71" s="74"/>
      <c r="O71" s="74"/>
      <c r="P71" s="74"/>
      <c r="Q71" s="74"/>
      <c r="R71" s="192"/>
    </row>
    <row r="72" customFormat="false" ht="15" hidden="true" customHeight="false" outlineLevel="0" collapsed="false">
      <c r="B72" s="193"/>
      <c r="C72" s="193"/>
      <c r="D72" s="193"/>
      <c r="E72" s="193"/>
      <c r="F72" s="193"/>
      <c r="G72" s="193"/>
      <c r="H72" s="211"/>
      <c r="I72" s="211"/>
      <c r="J72" s="211"/>
      <c r="K72" s="211"/>
      <c r="L72" s="211"/>
      <c r="M72" s="211"/>
      <c r="N72" s="211"/>
      <c r="O72" s="211"/>
      <c r="P72" s="211"/>
      <c r="Q72" s="211"/>
      <c r="R72" s="192"/>
    </row>
    <row r="73" customFormat="false" ht="15" hidden="true" customHeight="false" outlineLevel="0" collapsed="false">
      <c r="B73" s="193"/>
      <c r="C73" s="211" t="s">
        <v>104</v>
      </c>
      <c r="D73" s="128" t="s">
        <v>105</v>
      </c>
      <c r="E73" s="128"/>
      <c r="F73" s="128"/>
      <c r="G73" s="193"/>
      <c r="H73" s="74"/>
      <c r="I73" s="74"/>
      <c r="J73" s="74"/>
      <c r="K73" s="74"/>
      <c r="L73" s="74"/>
      <c r="M73" s="74"/>
      <c r="N73" s="74"/>
      <c r="O73" s="74"/>
      <c r="P73" s="74"/>
      <c r="Q73" s="74"/>
      <c r="R73" s="192"/>
    </row>
    <row r="74" customFormat="false" ht="15" hidden="true" customHeight="false" outlineLevel="0" collapsed="false">
      <c r="B74" s="193"/>
      <c r="C74" s="193"/>
      <c r="D74" s="193"/>
      <c r="E74" s="193"/>
      <c r="F74" s="193"/>
      <c r="G74" s="193"/>
      <c r="H74" s="211"/>
      <c r="I74" s="211"/>
      <c r="J74" s="211"/>
      <c r="K74" s="211"/>
      <c r="L74" s="211"/>
      <c r="M74" s="211"/>
      <c r="N74" s="211"/>
      <c r="O74" s="211"/>
      <c r="P74" s="211"/>
      <c r="Q74" s="211"/>
      <c r="R74" s="192"/>
    </row>
    <row r="75" customFormat="false" ht="15" hidden="true" customHeight="false" outlineLevel="0" collapsed="false">
      <c r="B75" s="193"/>
      <c r="C75" s="211" t="s">
        <v>106</v>
      </c>
      <c r="D75" s="128" t="s">
        <v>107</v>
      </c>
      <c r="E75" s="128"/>
      <c r="F75" s="128"/>
      <c r="G75" s="193"/>
      <c r="H75" s="74"/>
      <c r="I75" s="74"/>
      <c r="J75" s="74"/>
      <c r="K75" s="74"/>
      <c r="L75" s="74"/>
      <c r="M75" s="74"/>
      <c r="N75" s="74"/>
      <c r="O75" s="74"/>
      <c r="P75" s="74"/>
      <c r="Q75" s="74"/>
      <c r="R75" s="192"/>
    </row>
    <row r="76" customFormat="false" ht="15" hidden="true" customHeight="false" outlineLevel="0" collapsed="false">
      <c r="B76" s="193"/>
      <c r="C76" s="193"/>
      <c r="D76" s="193"/>
      <c r="E76" s="193"/>
      <c r="F76" s="193"/>
      <c r="G76" s="193"/>
      <c r="H76" s="211"/>
      <c r="I76" s="211"/>
      <c r="J76" s="211"/>
      <c r="K76" s="211"/>
      <c r="L76" s="211"/>
      <c r="M76" s="211"/>
      <c r="N76" s="211"/>
      <c r="O76" s="211"/>
      <c r="P76" s="211"/>
      <c r="Q76" s="211"/>
      <c r="R76" s="192"/>
    </row>
    <row r="77" customFormat="false" ht="15" hidden="true" customHeight="false" outlineLevel="0" collapsed="false">
      <c r="B77" s="193"/>
      <c r="C77" s="211" t="s">
        <v>108</v>
      </c>
      <c r="D77" s="128" t="s">
        <v>109</v>
      </c>
      <c r="E77" s="128"/>
      <c r="F77" s="128"/>
      <c r="G77" s="193"/>
      <c r="H77" s="74"/>
      <c r="I77" s="74"/>
      <c r="J77" s="74"/>
      <c r="K77" s="74"/>
      <c r="L77" s="74"/>
      <c r="M77" s="74"/>
      <c r="N77" s="74"/>
      <c r="O77" s="74"/>
      <c r="P77" s="74"/>
      <c r="Q77" s="74"/>
      <c r="R77" s="192"/>
    </row>
    <row r="78" customFormat="false" ht="15" hidden="true" customHeight="false" outlineLevel="0" collapsed="false">
      <c r="B78" s="193"/>
      <c r="C78" s="193"/>
      <c r="D78" s="193"/>
      <c r="E78" s="193"/>
      <c r="F78" s="193"/>
      <c r="G78" s="193"/>
      <c r="H78" s="211"/>
      <c r="I78" s="211"/>
      <c r="J78" s="211"/>
      <c r="K78" s="211"/>
      <c r="L78" s="211"/>
      <c r="M78" s="211"/>
      <c r="N78" s="211"/>
      <c r="O78" s="211"/>
      <c r="P78" s="211"/>
      <c r="Q78" s="211"/>
      <c r="R78" s="192"/>
    </row>
    <row r="79" customFormat="false" ht="15" hidden="true" customHeight="false" outlineLevel="0" collapsed="false">
      <c r="B79" s="193"/>
      <c r="C79" s="211" t="s">
        <v>110</v>
      </c>
      <c r="D79" s="128" t="s">
        <v>111</v>
      </c>
      <c r="E79" s="128"/>
      <c r="F79" s="128"/>
      <c r="G79" s="193"/>
      <c r="H79" s="74"/>
      <c r="I79" s="74"/>
      <c r="J79" s="74"/>
      <c r="K79" s="74"/>
      <c r="L79" s="74"/>
      <c r="M79" s="74"/>
      <c r="N79" s="74"/>
      <c r="O79" s="74"/>
      <c r="P79" s="74"/>
      <c r="Q79" s="74"/>
      <c r="R79" s="192"/>
    </row>
    <row r="80" customFormat="false" ht="15" hidden="true" customHeight="false" outlineLevel="0" collapsed="false">
      <c r="B80" s="193"/>
      <c r="C80" s="193"/>
      <c r="D80" s="193"/>
      <c r="E80" s="193"/>
      <c r="F80" s="193"/>
      <c r="G80" s="193"/>
      <c r="H80" s="211"/>
      <c r="I80" s="211"/>
      <c r="J80" s="211"/>
      <c r="K80" s="211"/>
      <c r="L80" s="211"/>
      <c r="M80" s="211"/>
      <c r="N80" s="211"/>
      <c r="O80" s="211"/>
      <c r="P80" s="211"/>
      <c r="Q80" s="211"/>
      <c r="R80" s="192"/>
    </row>
    <row r="81" customFormat="false" ht="15" hidden="true" customHeight="false" outlineLevel="0" collapsed="false">
      <c r="B81" s="193"/>
      <c r="C81" s="211" t="s">
        <v>112</v>
      </c>
      <c r="D81" s="128" t="s">
        <v>113</v>
      </c>
      <c r="E81" s="128"/>
      <c r="F81" s="128"/>
      <c r="G81" s="193"/>
      <c r="H81" s="74"/>
      <c r="I81" s="74"/>
      <c r="J81" s="74"/>
      <c r="K81" s="74"/>
      <c r="L81" s="74"/>
      <c r="M81" s="74"/>
      <c r="N81" s="74"/>
      <c r="O81" s="74"/>
      <c r="P81" s="74"/>
      <c r="Q81" s="74"/>
      <c r="R81" s="192"/>
    </row>
    <row r="82" customFormat="false" ht="15" hidden="true" customHeight="false" outlineLevel="0" collapsed="false">
      <c r="B82" s="193"/>
      <c r="C82" s="193"/>
      <c r="D82" s="193"/>
      <c r="E82" s="193"/>
      <c r="F82" s="193"/>
      <c r="G82" s="193"/>
      <c r="H82" s="211"/>
      <c r="I82" s="211"/>
      <c r="J82" s="211"/>
      <c r="K82" s="211"/>
      <c r="L82" s="211"/>
      <c r="M82" s="211"/>
      <c r="N82" s="211"/>
      <c r="O82" s="211"/>
      <c r="P82" s="211"/>
      <c r="Q82" s="211"/>
      <c r="R82" s="192"/>
    </row>
    <row r="83" customFormat="false" ht="15" hidden="true" customHeight="false" outlineLevel="0" collapsed="false">
      <c r="B83" s="193"/>
      <c r="C83" s="211" t="s">
        <v>114</v>
      </c>
      <c r="D83" s="128" t="s">
        <v>115</v>
      </c>
      <c r="E83" s="128"/>
      <c r="F83" s="128"/>
      <c r="G83" s="193"/>
      <c r="H83" s="74"/>
      <c r="I83" s="74"/>
      <c r="J83" s="74"/>
      <c r="K83" s="74"/>
      <c r="L83" s="74"/>
      <c r="M83" s="74"/>
      <c r="N83" s="74"/>
      <c r="O83" s="74"/>
      <c r="P83" s="74"/>
      <c r="Q83" s="74"/>
      <c r="R83" s="192"/>
    </row>
    <row r="84" customFormat="false" ht="15" hidden="true" customHeight="false" outlineLevel="0" collapsed="false">
      <c r="B84" s="193"/>
      <c r="C84" s="193"/>
      <c r="D84" s="193"/>
      <c r="E84" s="193"/>
      <c r="F84" s="193"/>
      <c r="G84" s="193"/>
      <c r="H84" s="211"/>
      <c r="I84" s="211"/>
      <c r="J84" s="211"/>
      <c r="K84" s="211"/>
      <c r="L84" s="211"/>
      <c r="M84" s="211"/>
      <c r="N84" s="211"/>
      <c r="O84" s="211"/>
      <c r="P84" s="211"/>
      <c r="Q84" s="211"/>
      <c r="R84" s="192"/>
    </row>
    <row r="85" customFormat="false" ht="15" hidden="true" customHeight="false" outlineLevel="0" collapsed="false">
      <c r="B85" s="193"/>
      <c r="C85" s="211" t="s">
        <v>116</v>
      </c>
      <c r="D85" s="128" t="s">
        <v>117</v>
      </c>
      <c r="E85" s="128"/>
      <c r="F85" s="128"/>
      <c r="G85" s="193"/>
      <c r="H85" s="74"/>
      <c r="I85" s="74"/>
      <c r="J85" s="74"/>
      <c r="K85" s="74"/>
      <c r="L85" s="74"/>
      <c r="M85" s="74"/>
      <c r="N85" s="74"/>
      <c r="O85" s="74"/>
      <c r="P85" s="74"/>
      <c r="Q85" s="74"/>
      <c r="R85" s="192"/>
    </row>
    <row r="86" customFormat="false" ht="15" hidden="true" customHeight="false" outlineLevel="0" collapsed="false">
      <c r="B86" s="193"/>
      <c r="C86" s="193"/>
      <c r="D86" s="193"/>
      <c r="E86" s="193"/>
      <c r="F86" s="193"/>
      <c r="G86" s="193"/>
      <c r="H86" s="211"/>
      <c r="I86" s="211"/>
      <c r="J86" s="211"/>
      <c r="K86" s="211"/>
      <c r="L86" s="211"/>
      <c r="M86" s="211"/>
      <c r="N86" s="211"/>
      <c r="O86" s="211"/>
      <c r="P86" s="211"/>
      <c r="Q86" s="211"/>
      <c r="R86" s="192"/>
    </row>
    <row r="87" customFormat="false" ht="15" hidden="true" customHeight="false" outlineLevel="0" collapsed="false">
      <c r="B87" s="193"/>
      <c r="C87" s="211" t="s">
        <v>118</v>
      </c>
      <c r="D87" s="128" t="s">
        <v>119</v>
      </c>
      <c r="E87" s="128"/>
      <c r="F87" s="128"/>
      <c r="G87" s="193"/>
      <c r="H87" s="74"/>
      <c r="I87" s="74"/>
      <c r="J87" s="74"/>
      <c r="K87" s="74"/>
      <c r="L87" s="74"/>
      <c r="M87" s="74"/>
      <c r="N87" s="74"/>
      <c r="O87" s="74"/>
      <c r="P87" s="74"/>
      <c r="Q87" s="74"/>
      <c r="R87" s="192"/>
    </row>
    <row r="88" customFormat="false" ht="15" hidden="true" customHeight="false" outlineLevel="0" collapsed="false">
      <c r="B88" s="193"/>
      <c r="C88" s="193"/>
      <c r="D88" s="193"/>
      <c r="E88" s="193"/>
      <c r="F88" s="193"/>
      <c r="G88" s="193"/>
      <c r="H88" s="211"/>
      <c r="I88" s="211"/>
      <c r="J88" s="211"/>
      <c r="K88" s="211"/>
      <c r="L88" s="211"/>
      <c r="M88" s="211"/>
      <c r="N88" s="211"/>
      <c r="O88" s="211"/>
      <c r="P88" s="211"/>
      <c r="Q88" s="211"/>
      <c r="R88" s="192"/>
    </row>
    <row r="89" customFormat="false" ht="15" hidden="true" customHeight="false" outlineLevel="0" collapsed="false">
      <c r="B89" s="193"/>
      <c r="C89" s="211" t="s">
        <v>120</v>
      </c>
      <c r="D89" s="128" t="s">
        <v>121</v>
      </c>
      <c r="E89" s="128"/>
      <c r="F89" s="128"/>
      <c r="G89" s="193"/>
      <c r="H89" s="74"/>
      <c r="I89" s="74"/>
      <c r="J89" s="74"/>
      <c r="K89" s="74"/>
      <c r="L89" s="74"/>
      <c r="M89" s="74"/>
      <c r="N89" s="74"/>
      <c r="O89" s="74"/>
      <c r="P89" s="74"/>
      <c r="Q89" s="74"/>
      <c r="R89" s="192"/>
    </row>
    <row r="90" customFormat="false" ht="15" hidden="false" customHeight="false" outlineLevel="0" collapsed="false">
      <c r="B90" s="193"/>
      <c r="C90" s="193"/>
      <c r="D90" s="193"/>
      <c r="E90" s="193"/>
      <c r="F90" s="193"/>
      <c r="G90" s="193"/>
      <c r="H90" s="211"/>
      <c r="I90" s="211"/>
      <c r="J90" s="211"/>
      <c r="K90" s="211"/>
      <c r="L90" s="211"/>
      <c r="M90" s="211"/>
      <c r="N90" s="211"/>
      <c r="O90" s="211"/>
      <c r="P90" s="211"/>
      <c r="Q90" s="211"/>
      <c r="R90" s="192"/>
    </row>
    <row r="91" customFormat="false" ht="15" hidden="false" customHeight="false" outlineLevel="0" collapsed="false">
      <c r="A91" s="232"/>
      <c r="B91" s="232"/>
      <c r="C91" s="232"/>
      <c r="D91" s="233" t="s">
        <v>54</v>
      </c>
      <c r="E91" s="232"/>
      <c r="F91" s="232"/>
      <c r="G91" s="234"/>
      <c r="H91" s="232"/>
      <c r="I91" s="232"/>
      <c r="J91" s="232"/>
      <c r="K91" s="232"/>
      <c r="L91" s="232"/>
      <c r="M91" s="232"/>
      <c r="N91" s="232"/>
      <c r="O91" s="232"/>
      <c r="P91" s="232"/>
      <c r="Q91" s="232"/>
      <c r="R91" s="232"/>
    </row>
    <row r="92" customFormat="false" ht="15" hidden="true" customHeight="false" outlineLevel="0" collapsed="false">
      <c r="B92" s="193"/>
      <c r="C92" s="211" t="s">
        <v>95</v>
      </c>
      <c r="D92" s="211" t="s">
        <v>123</v>
      </c>
      <c r="E92" s="211"/>
      <c r="F92" s="211"/>
      <c r="G92" s="211"/>
      <c r="H92" s="211"/>
      <c r="I92" s="211"/>
      <c r="J92" s="211"/>
      <c r="K92" s="193"/>
      <c r="L92" s="208" t="s">
        <v>124</v>
      </c>
      <c r="M92" s="193"/>
      <c r="N92" s="208" t="s">
        <v>125</v>
      </c>
      <c r="O92" s="208"/>
      <c r="P92" s="208"/>
      <c r="Q92" s="202" t="s">
        <v>125</v>
      </c>
      <c r="R92" s="192"/>
    </row>
    <row r="93" customFormat="false" ht="15" hidden="true" customHeight="false" outlineLevel="0" collapsed="false">
      <c r="B93" s="235"/>
      <c r="C93" s="236"/>
      <c r="D93" s="237" t="s">
        <v>55</v>
      </c>
      <c r="E93" s="238"/>
      <c r="F93" s="238"/>
      <c r="G93" s="238"/>
      <c r="H93" s="238"/>
      <c r="I93" s="238"/>
      <c r="J93" s="238"/>
      <c r="K93" s="238"/>
      <c r="L93" s="238"/>
      <c r="M93" s="238"/>
      <c r="N93" s="238"/>
      <c r="O93" s="238"/>
      <c r="P93" s="238"/>
      <c r="Q93" s="238"/>
      <c r="R93" s="202"/>
    </row>
    <row r="94" customFormat="false" ht="15" hidden="false" customHeight="false" outlineLevel="0" collapsed="false">
      <c r="B94" s="193"/>
      <c r="C94" s="202"/>
      <c r="D94" s="202"/>
      <c r="E94" s="193"/>
      <c r="F94" s="193"/>
      <c r="G94" s="193"/>
      <c r="H94" s="202"/>
      <c r="I94" s="193"/>
      <c r="J94" s="193"/>
      <c r="K94" s="193"/>
      <c r="L94" s="202"/>
      <c r="M94" s="193"/>
      <c r="N94" s="202"/>
      <c r="O94" s="193"/>
      <c r="P94" s="193"/>
      <c r="Q94" s="193"/>
      <c r="R94" s="192"/>
    </row>
    <row r="95" customFormat="false" ht="15" hidden="false" customHeight="true" outlineLevel="0" collapsed="false">
      <c r="B95" s="193"/>
      <c r="C95" s="203" t="s">
        <v>56</v>
      </c>
      <c r="D95" s="239" t="s">
        <v>57</v>
      </c>
      <c r="E95" s="239"/>
      <c r="F95" s="239"/>
      <c r="G95" s="239"/>
      <c r="H95" s="239"/>
      <c r="I95" s="239"/>
      <c r="J95" s="239"/>
      <c r="K95" s="193"/>
      <c r="L95" s="102"/>
      <c r="M95" s="193"/>
      <c r="N95" s="240"/>
      <c r="O95" s="240"/>
      <c r="P95" s="240"/>
      <c r="Q95" s="241"/>
      <c r="R95" s="193"/>
    </row>
    <row r="96" customFormat="false" ht="15" hidden="false" customHeight="false" outlineLevel="0" collapsed="false">
      <c r="B96" s="193"/>
      <c r="C96" s="242"/>
      <c r="D96" s="193"/>
      <c r="E96" s="193"/>
      <c r="F96" s="207"/>
      <c r="G96" s="193"/>
      <c r="H96" s="207"/>
      <c r="I96" s="193"/>
      <c r="J96" s="193"/>
      <c r="K96" s="193"/>
      <c r="L96" s="193"/>
      <c r="M96" s="193"/>
      <c r="N96" s="193"/>
      <c r="O96" s="193"/>
      <c r="P96" s="192"/>
      <c r="Q96" s="193"/>
      <c r="R96" s="193"/>
    </row>
    <row r="97" customFormat="false" ht="15" hidden="false" customHeight="true" outlineLevel="0" collapsed="false">
      <c r="B97" s="193"/>
      <c r="C97" s="211" t="s">
        <v>58</v>
      </c>
      <c r="D97" s="239" t="s">
        <v>59</v>
      </c>
      <c r="E97" s="239"/>
      <c r="F97" s="239"/>
      <c r="G97" s="239"/>
      <c r="H97" s="239"/>
      <c r="I97" s="239"/>
      <c r="J97" s="239"/>
      <c r="K97" s="193"/>
      <c r="L97" s="102"/>
      <c r="M97" s="193"/>
      <c r="N97" s="240"/>
      <c r="O97" s="240"/>
      <c r="P97" s="240"/>
      <c r="Q97" s="241"/>
      <c r="R97" s="193"/>
    </row>
    <row r="98" customFormat="false" ht="15" hidden="false" customHeight="false" outlineLevel="0" collapsed="false">
      <c r="B98" s="193"/>
      <c r="C98" s="243"/>
      <c r="D98" s="244"/>
      <c r="E98" s="193"/>
      <c r="F98" s="193"/>
      <c r="G98" s="193"/>
      <c r="H98" s="207"/>
      <c r="I98" s="207"/>
      <c r="J98" s="207"/>
      <c r="K98" s="193"/>
      <c r="L98" s="193"/>
      <c r="M98" s="193"/>
      <c r="N98" s="193"/>
      <c r="O98" s="193"/>
      <c r="P98" s="193"/>
      <c r="Q98" s="193"/>
      <c r="R98" s="192"/>
    </row>
    <row r="99" customFormat="false" ht="33.75" hidden="false" customHeight="true" outlineLevel="0" collapsed="false">
      <c r="B99" s="193"/>
      <c r="C99" s="211" t="s">
        <v>61</v>
      </c>
      <c r="D99" s="239" t="s">
        <v>203</v>
      </c>
      <c r="E99" s="239"/>
      <c r="F99" s="239"/>
      <c r="G99" s="239"/>
      <c r="H99" s="239"/>
      <c r="I99" s="239"/>
      <c r="J99" s="239"/>
      <c r="K99" s="193"/>
      <c r="L99" s="102"/>
      <c r="M99" s="193"/>
      <c r="N99" s="240"/>
      <c r="O99" s="240"/>
      <c r="P99" s="240"/>
      <c r="Q99" s="241"/>
      <c r="R99" s="193"/>
      <c r="T99" s="223" t="s">
        <v>37</v>
      </c>
    </row>
    <row r="100" customFormat="false" ht="15" hidden="false" customHeight="false" outlineLevel="0" collapsed="false">
      <c r="B100" s="193"/>
      <c r="C100" s="243"/>
      <c r="D100" s="244"/>
      <c r="E100" s="193"/>
      <c r="F100" s="193"/>
      <c r="G100" s="193"/>
      <c r="H100" s="207"/>
      <c r="I100" s="207"/>
      <c r="J100" s="207"/>
      <c r="K100" s="193"/>
      <c r="L100" s="193"/>
      <c r="M100" s="193"/>
      <c r="N100" s="193"/>
      <c r="O100" s="193"/>
      <c r="P100" s="193"/>
      <c r="Q100" s="193"/>
      <c r="R100" s="192"/>
    </row>
    <row r="101" customFormat="false" ht="15" hidden="true" customHeight="false" outlineLevel="0" collapsed="false">
      <c r="B101" s="193"/>
      <c r="C101" s="193"/>
      <c r="D101" s="193"/>
      <c r="E101" s="193"/>
      <c r="F101" s="193"/>
      <c r="G101" s="193"/>
      <c r="H101" s="193"/>
      <c r="I101" s="193"/>
      <c r="J101" s="193"/>
      <c r="K101" s="193"/>
      <c r="L101" s="193"/>
      <c r="M101" s="193"/>
      <c r="N101" s="193"/>
      <c r="O101" s="193"/>
      <c r="P101" s="193"/>
      <c r="Q101" s="193"/>
      <c r="R101" s="192"/>
    </row>
    <row r="102" customFormat="false" ht="20.25" hidden="false" customHeight="true" outlineLevel="0" collapsed="false">
      <c r="B102" s="245" t="s">
        <v>204</v>
      </c>
      <c r="C102" s="245"/>
      <c r="D102" s="245"/>
      <c r="E102" s="245"/>
      <c r="F102" s="245"/>
      <c r="G102" s="245"/>
      <c r="H102" s="245"/>
      <c r="I102" s="245"/>
      <c r="J102" s="245"/>
      <c r="K102" s="245"/>
      <c r="L102" s="245"/>
      <c r="M102" s="245"/>
      <c r="N102" s="245"/>
      <c r="O102" s="245"/>
      <c r="P102" s="245"/>
      <c r="Q102" s="245"/>
      <c r="R102" s="245"/>
    </row>
  </sheetData>
  <sheetProtection algorithmName="SHA-512" hashValue="BBW1aUXjqqz0uGBlzrBdTBrehFU/OYssyWysWJfI5vIdWYd/wEplp22/k3zMskgskpQ3xu5erINs2U7k6VX1/w==" saltValue="Yx1z/yWkKB7erZdErzZMGA==" spinCount="100000" sheet="true" objects="true" scenarios="true" formatCells="false" formatColumns="false" formatRows="false" insertColumns="false" insertRows="false" insertHyperlinks="false" deleteColumns="false" deleteRows="false"/>
  <mergeCells count="87">
    <mergeCell ref="C1: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87:F87"/>
    <mergeCell ref="H87:Q87"/>
    <mergeCell ref="D89:F89"/>
    <mergeCell ref="H89:Q89"/>
    <mergeCell ref="D95:J95"/>
    <mergeCell ref="D97:J97"/>
    <mergeCell ref="D99:J99"/>
    <mergeCell ref="B102:R102"/>
  </mergeCells>
  <dataValidations count="3">
    <dataValidation allowBlank="true" operator="greaterThan" showDropDown="false" showErrorMessage="true" showInputMessage="true" sqref="H19:Q19" type="none">
      <formula1>0</formula1>
      <formula2>0</formula2>
    </dataValidation>
    <dataValidation allowBlank="true" operator="between" showDropDown="false" showErrorMessage="true" showInputMessage="true" sqref="H41:Q41" type="list">
      <formula1>"W3C (http://www.w3.org),OASIS (https://www.oasis-open.org/),IEEE (http://standards.ieee.org/),ETSI (http://www.etsi.org/),Gs1 (http://www.gs1.fr/),OpenEHR (http://www.OpenEHR.org/),IETF (https://www.ietf.org/),Other SDO/SSO"</formula1>
      <formula2>0</formula2>
    </dataValidation>
    <dataValidation allowBlank="true" operator="between" showDropDown="false" showErrorMessage="true" showInputMessage="true" sqref="L95 L97 L99" type="list">
      <formula1>"Yes,No"</formula1>
      <formula2>0</formula2>
    </dataValidation>
  </dataValidations>
  <hyperlinks>
    <hyperlink ref="H17" r:id="rId1" display="CAMSS@everis.com"/>
    <hyperlink ref="H39" r:id="rId2" display="https://www.w3.org/TR/2017/REC-shacl-20170720/ "/>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875" defaultRowHeight="15" zeroHeight="false" outlineLevelRow="0" outlineLevelCol="0"/>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5" colorId="64" zoomScale="100" zoomScaleNormal="100" zoomScalePageLayoutView="100" workbookViewId="0">
      <selection pane="topLeft" activeCell="G40" activeCellId="0" sqref="G40"/>
    </sheetView>
  </sheetViews>
  <sheetFormatPr defaultColWidth="8.6875" defaultRowHeight="15" zeroHeight="false" outlineLevelRow="0" outlineLevelCol="0"/>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26"/>
  <sheetViews>
    <sheetView showFormulas="false" showGridLines="true" showRowColHeaders="true" showZeros="true" rightToLeft="false" tabSelected="false" showOutlineSymbols="true" defaultGridColor="true" view="normal" topLeftCell="A125" colorId="64" zoomScale="100" zoomScaleNormal="100" zoomScalePageLayoutView="100" workbookViewId="0">
      <selection pane="topLeft" activeCell="I133" activeCellId="0" sqref="I133"/>
    </sheetView>
  </sheetViews>
  <sheetFormatPr defaultColWidth="9.15625" defaultRowHeight="15" zeroHeight="true" outlineLevelRow="0" outlineLevelCol="0"/>
  <cols>
    <col collapsed="false" customWidth="true" hidden="false" outlineLevel="0" max="1" min="1" style="182" width="2.57"/>
    <col collapsed="false" customWidth="true" hidden="false" outlineLevel="0" max="2" min="2" style="182" width="5.43"/>
    <col collapsed="false" customWidth="true" hidden="false" outlineLevel="0" max="3" min="3" style="182" width="46.71"/>
    <col collapsed="false" customWidth="true" hidden="false" outlineLevel="0" max="4" min="4" style="182" width="2.71"/>
    <col collapsed="false" customWidth="true" hidden="false" outlineLevel="0" max="5" min="5" style="182" width="38.7"/>
    <col collapsed="false" customWidth="true" hidden="false" outlineLevel="0" max="6" min="6" style="182" width="2.71"/>
    <col collapsed="false" customWidth="true" hidden="false" outlineLevel="0" max="7" min="7" style="182" width="8.42"/>
    <col collapsed="false" customWidth="true" hidden="false" outlineLevel="0" max="8" min="8" style="182" width="2.71"/>
    <col collapsed="false" customWidth="true" hidden="false" outlineLevel="0" max="9" min="9" style="182" width="66.15"/>
    <col collapsed="false" customWidth="true" hidden="false" outlineLevel="0" max="10" min="10" style="182" width="2.71"/>
    <col collapsed="false" customWidth="true" hidden="true" outlineLevel="0" max="12" min="11" style="182" width="11.71"/>
    <col collapsed="false" customWidth="false" hidden="true" outlineLevel="0" max="1024" min="13" style="182" width="9.14"/>
  </cols>
  <sheetData>
    <row r="1" customFormat="false" ht="15" hidden="false" customHeight="false" outlineLevel="0" collapsed="false">
      <c r="A1" s="246"/>
      <c r="B1" s="246"/>
      <c r="C1" s="247"/>
      <c r="D1" s="248"/>
      <c r="E1" s="248"/>
      <c r="F1" s="248"/>
      <c r="G1" s="246"/>
      <c r="H1" s="246"/>
      <c r="I1" s="249"/>
      <c r="J1" s="250"/>
    </row>
    <row r="2" customFormat="false" ht="15" hidden="false" customHeight="true" outlineLevel="0" collapsed="false">
      <c r="A2" s="187"/>
      <c r="B2" s="187"/>
      <c r="C2" s="251" t="s">
        <v>130</v>
      </c>
      <c r="D2" s="252"/>
      <c r="E2" s="253" t="s">
        <v>205</v>
      </c>
      <c r="F2" s="253"/>
      <c r="G2" s="253"/>
      <c r="H2" s="253"/>
      <c r="I2" s="254"/>
      <c r="J2" s="255"/>
    </row>
    <row r="3" customFormat="false" ht="5.1" hidden="false" customHeight="true" outlineLevel="0" collapsed="false">
      <c r="A3" s="187"/>
      <c r="B3" s="187"/>
      <c r="C3" s="256"/>
      <c r="D3" s="252"/>
      <c r="E3" s="203"/>
      <c r="F3" s="203"/>
      <c r="G3" s="203"/>
      <c r="H3" s="203"/>
      <c r="I3" s="254"/>
      <c r="J3" s="255"/>
    </row>
    <row r="4" customFormat="false" ht="15" hidden="false" customHeight="true" outlineLevel="0" collapsed="false">
      <c r="A4" s="187"/>
      <c r="B4" s="187"/>
      <c r="C4" s="251" t="s">
        <v>132</v>
      </c>
      <c r="D4" s="252"/>
      <c r="E4" s="257" t="s">
        <v>201</v>
      </c>
      <c r="F4" s="257"/>
      <c r="G4" s="257"/>
      <c r="H4" s="257"/>
      <c r="I4" s="254"/>
      <c r="J4" s="255"/>
    </row>
    <row r="5" customFormat="false" ht="5.1" hidden="false" customHeight="true" outlineLevel="0" collapsed="false">
      <c r="A5" s="187"/>
      <c r="B5" s="187"/>
      <c r="C5" s="256"/>
      <c r="D5" s="252"/>
      <c r="E5" s="203"/>
      <c r="F5" s="203"/>
      <c r="G5" s="203"/>
      <c r="H5" s="203"/>
      <c r="I5" s="254"/>
      <c r="J5" s="255"/>
    </row>
    <row r="6" customFormat="false" ht="15" hidden="true" customHeight="false" outlineLevel="0" collapsed="false">
      <c r="A6" s="187"/>
      <c r="B6" s="187"/>
      <c r="C6" s="256"/>
      <c r="D6" s="252"/>
      <c r="E6" s="258"/>
      <c r="F6" s="258"/>
      <c r="G6" s="258"/>
      <c r="H6" s="258"/>
      <c r="I6" s="254"/>
      <c r="J6" s="255"/>
    </row>
    <row r="7" customFormat="false" ht="5.1" hidden="true" customHeight="true" outlineLevel="0" collapsed="false">
      <c r="A7" s="187"/>
      <c r="B7" s="187"/>
      <c r="C7" s="256"/>
      <c r="D7" s="252"/>
      <c r="E7" s="203"/>
      <c r="F7" s="203"/>
      <c r="G7" s="203"/>
      <c r="H7" s="203"/>
      <c r="I7" s="254"/>
      <c r="J7" s="255"/>
    </row>
    <row r="8" customFormat="false" ht="15" hidden="false" customHeight="true" outlineLevel="0" collapsed="false">
      <c r="A8" s="187"/>
      <c r="B8" s="187"/>
      <c r="C8" s="251" t="s">
        <v>206</v>
      </c>
      <c r="D8" s="252"/>
      <c r="E8" s="253" t="s">
        <v>199</v>
      </c>
      <c r="F8" s="253"/>
      <c r="G8" s="253"/>
      <c r="H8" s="253"/>
      <c r="I8" s="254"/>
      <c r="J8" s="255"/>
    </row>
    <row r="9" customFormat="false" ht="5.1" hidden="false" customHeight="true" outlineLevel="0" collapsed="false">
      <c r="A9" s="187"/>
      <c r="B9" s="187"/>
      <c r="C9" s="256"/>
      <c r="D9" s="252"/>
      <c r="E9" s="203"/>
      <c r="F9" s="203"/>
      <c r="G9" s="203"/>
      <c r="H9" s="203"/>
      <c r="I9" s="254"/>
      <c r="J9" s="255"/>
    </row>
    <row r="10" customFormat="false" ht="15" hidden="false" customHeight="true" outlineLevel="0" collapsed="false">
      <c r="A10" s="187"/>
      <c r="B10" s="259"/>
      <c r="C10" s="251" t="s">
        <v>207</v>
      </c>
      <c r="D10" s="252"/>
      <c r="E10" s="260" t="s">
        <v>208</v>
      </c>
      <c r="F10" s="260"/>
      <c r="G10" s="260"/>
      <c r="H10" s="260"/>
      <c r="I10" s="254"/>
      <c r="J10" s="255"/>
    </row>
    <row r="11" customFormat="false" ht="15" hidden="false" customHeight="false" outlineLevel="0" collapsed="false">
      <c r="A11" s="190"/>
      <c r="B11" s="190"/>
      <c r="C11" s="190"/>
      <c r="D11" s="261"/>
      <c r="E11" s="261"/>
      <c r="F11" s="261"/>
      <c r="G11" s="262"/>
      <c r="H11" s="190"/>
      <c r="I11" s="263"/>
      <c r="J11" s="264"/>
    </row>
    <row r="12" customFormat="false" ht="15.75" hidden="false" customHeight="false" outlineLevel="0" collapsed="false">
      <c r="A12" s="265"/>
      <c r="B12" s="205" t="s">
        <v>95</v>
      </c>
      <c r="C12" s="256" t="s">
        <v>123</v>
      </c>
      <c r="D12" s="266"/>
      <c r="E12" s="266"/>
      <c r="F12" s="266"/>
      <c r="G12" s="256" t="s">
        <v>124</v>
      </c>
      <c r="H12" s="266"/>
      <c r="I12" s="267" t="s">
        <v>125</v>
      </c>
      <c r="J12" s="268"/>
    </row>
    <row r="13" customFormat="false" ht="15.75" hidden="true" customHeight="false" outlineLevel="0" collapsed="false">
      <c r="A13" s="265"/>
      <c r="B13" s="205"/>
      <c r="C13" s="256"/>
      <c r="D13" s="266"/>
      <c r="E13" s="266"/>
      <c r="F13" s="266"/>
      <c r="G13" s="256"/>
      <c r="H13" s="266"/>
      <c r="I13" s="267"/>
      <c r="J13" s="269"/>
    </row>
    <row r="14" customFormat="false" ht="15" hidden="false" customHeight="true" outlineLevel="0" collapsed="false">
      <c r="A14" s="270"/>
      <c r="B14" s="270"/>
      <c r="C14" s="271" t="s">
        <v>209</v>
      </c>
      <c r="D14" s="271"/>
      <c r="E14" s="271"/>
      <c r="F14" s="270"/>
      <c r="G14" s="270"/>
      <c r="H14" s="270"/>
      <c r="I14" s="270"/>
      <c r="J14" s="270"/>
    </row>
    <row r="15" customFormat="false" ht="15.75" hidden="false" customHeight="false" outlineLevel="0" collapsed="false">
      <c r="A15" s="265"/>
      <c r="B15" s="205"/>
      <c r="C15" s="256"/>
      <c r="D15" s="266"/>
      <c r="E15" s="266"/>
      <c r="F15" s="266"/>
      <c r="G15" s="256"/>
      <c r="H15" s="266"/>
      <c r="I15" s="267"/>
      <c r="J15" s="269"/>
    </row>
    <row r="16" customFormat="false" ht="15.75" hidden="false" customHeight="false" outlineLevel="0" collapsed="false">
      <c r="A16" s="265"/>
      <c r="B16" s="270"/>
      <c r="C16" s="272" t="s">
        <v>210</v>
      </c>
      <c r="D16" s="270"/>
      <c r="E16" s="270"/>
      <c r="F16" s="270"/>
      <c r="G16" s="270"/>
      <c r="H16" s="270"/>
      <c r="I16" s="270"/>
      <c r="J16" s="265"/>
    </row>
    <row r="17" customFormat="false" ht="15.75" hidden="false" customHeight="false" outlineLevel="0" collapsed="false">
      <c r="A17" s="265"/>
      <c r="B17" s="205"/>
      <c r="C17" s="256"/>
      <c r="D17" s="266"/>
      <c r="E17" s="266"/>
      <c r="F17" s="266"/>
      <c r="G17" s="256"/>
      <c r="H17" s="266"/>
      <c r="I17" s="267"/>
      <c r="J17" s="269"/>
    </row>
    <row r="18" customFormat="false" ht="165" hidden="false" customHeight="true" outlineLevel="0" collapsed="false">
      <c r="A18" s="265"/>
      <c r="B18" s="273" t="s">
        <v>135</v>
      </c>
      <c r="C18" s="274" t="s">
        <v>211</v>
      </c>
      <c r="D18" s="274"/>
      <c r="E18" s="274"/>
      <c r="F18" s="192"/>
      <c r="G18" s="164" t="s">
        <v>212</v>
      </c>
      <c r="H18" s="192"/>
      <c r="I18" s="275" t="s">
        <v>213</v>
      </c>
      <c r="J18" s="269"/>
      <c r="L18" s="276" t="s">
        <v>37</v>
      </c>
    </row>
    <row r="19" customFormat="false" ht="15" hidden="false" customHeight="false" outlineLevel="0" collapsed="false">
      <c r="A19" s="256"/>
      <c r="B19" s="256"/>
      <c r="C19" s="256"/>
      <c r="D19" s="256"/>
      <c r="E19" s="256"/>
      <c r="F19" s="256"/>
      <c r="G19" s="256"/>
      <c r="H19" s="256"/>
      <c r="I19" s="256"/>
      <c r="J19" s="256"/>
    </row>
    <row r="20" customFormat="false" ht="15" hidden="false" customHeight="true" outlineLevel="0" collapsed="false">
      <c r="A20" s="277"/>
      <c r="B20" s="278"/>
      <c r="C20" s="277" t="s">
        <v>214</v>
      </c>
      <c r="D20" s="277"/>
      <c r="E20" s="277"/>
      <c r="F20" s="277"/>
      <c r="G20" s="277"/>
      <c r="H20" s="277"/>
      <c r="I20" s="277"/>
      <c r="J20" s="277"/>
    </row>
    <row r="21" customFormat="false" ht="15" hidden="false" customHeight="false" outlineLevel="0" collapsed="false">
      <c r="A21" s="279"/>
      <c r="B21" s="280"/>
      <c r="C21" s="279"/>
      <c r="D21" s="279"/>
      <c r="E21" s="279"/>
      <c r="F21" s="279"/>
      <c r="G21" s="281"/>
      <c r="H21" s="279"/>
      <c r="I21" s="282"/>
      <c r="J21" s="283"/>
    </row>
    <row r="22" customFormat="false" ht="15" hidden="false" customHeight="false" outlineLevel="0" collapsed="false">
      <c r="A22" s="192"/>
      <c r="B22" s="277"/>
      <c r="C22" s="284" t="s">
        <v>215</v>
      </c>
      <c r="D22" s="277"/>
      <c r="E22" s="277"/>
      <c r="F22" s="277"/>
      <c r="G22" s="277"/>
      <c r="H22" s="277"/>
      <c r="I22" s="277"/>
      <c r="J22" s="285"/>
    </row>
    <row r="23" customFormat="false" ht="15" hidden="false" customHeight="false" outlineLevel="0" collapsed="false">
      <c r="A23" s="192"/>
      <c r="B23" s="273"/>
      <c r="C23" s="279"/>
      <c r="D23" s="279"/>
      <c r="E23" s="279"/>
      <c r="F23" s="192"/>
      <c r="G23" s="203"/>
      <c r="H23" s="192"/>
      <c r="I23" s="282"/>
      <c r="J23" s="285"/>
    </row>
    <row r="24" customFormat="false" ht="105" hidden="false" customHeight="true" outlineLevel="0" collapsed="false">
      <c r="A24" s="192"/>
      <c r="B24" s="273" t="s">
        <v>137</v>
      </c>
      <c r="C24" s="274" t="s">
        <v>216</v>
      </c>
      <c r="D24" s="274"/>
      <c r="E24" s="274"/>
      <c r="F24" s="192"/>
      <c r="G24" s="164" t="s">
        <v>217</v>
      </c>
      <c r="H24" s="192"/>
      <c r="I24" s="275" t="s">
        <v>218</v>
      </c>
      <c r="J24" s="285"/>
    </row>
    <row r="25" customFormat="false" ht="15" hidden="false" customHeight="false" outlineLevel="0" collapsed="false">
      <c r="A25" s="192"/>
      <c r="B25" s="273"/>
      <c r="C25" s="279"/>
      <c r="D25" s="279"/>
      <c r="E25" s="279"/>
      <c r="F25" s="192"/>
      <c r="G25" s="203"/>
      <c r="H25" s="192"/>
      <c r="I25" s="282"/>
      <c r="J25" s="285"/>
    </row>
    <row r="26" customFormat="false" ht="135" hidden="false" customHeight="true" outlineLevel="0" collapsed="false">
      <c r="A26" s="192"/>
      <c r="B26" s="273" t="s">
        <v>139</v>
      </c>
      <c r="C26" s="274" t="s">
        <v>219</v>
      </c>
      <c r="D26" s="274"/>
      <c r="E26" s="274"/>
      <c r="F26" s="192"/>
      <c r="G26" s="164" t="s">
        <v>217</v>
      </c>
      <c r="H26" s="192"/>
      <c r="I26" s="275" t="s">
        <v>220</v>
      </c>
      <c r="J26" s="285"/>
      <c r="L26" s="276" t="s">
        <v>37</v>
      </c>
    </row>
    <row r="27" customFormat="false" ht="15" hidden="false" customHeight="false" outlineLevel="0" collapsed="false">
      <c r="A27" s="192"/>
      <c r="B27" s="273"/>
      <c r="C27" s="286"/>
      <c r="D27" s="287"/>
      <c r="E27" s="287"/>
      <c r="F27" s="192"/>
      <c r="G27" s="203"/>
      <c r="H27" s="192"/>
      <c r="I27" s="282"/>
      <c r="J27" s="285"/>
    </row>
    <row r="28" customFormat="false" ht="90" hidden="false" customHeight="true" outlineLevel="0" collapsed="false">
      <c r="A28" s="192"/>
      <c r="B28" s="273" t="s">
        <v>142</v>
      </c>
      <c r="C28" s="274" t="s">
        <v>221</v>
      </c>
      <c r="D28" s="274"/>
      <c r="E28" s="274"/>
      <c r="F28" s="192"/>
      <c r="G28" s="164" t="s">
        <v>217</v>
      </c>
      <c r="H28" s="192"/>
      <c r="I28" s="275" t="s">
        <v>222</v>
      </c>
      <c r="J28" s="285"/>
    </row>
    <row r="29" customFormat="false" ht="15" hidden="false" customHeight="false" outlineLevel="0" collapsed="false">
      <c r="A29" s="192"/>
      <c r="B29" s="273"/>
      <c r="C29" s="286"/>
      <c r="D29" s="287"/>
      <c r="E29" s="287"/>
      <c r="F29" s="192"/>
      <c r="G29" s="203"/>
      <c r="H29" s="192"/>
      <c r="I29" s="282"/>
      <c r="J29" s="285"/>
    </row>
    <row r="30" customFormat="false" ht="120" hidden="false" customHeight="true" outlineLevel="0" collapsed="false">
      <c r="A30" s="192"/>
      <c r="B30" s="273" t="s">
        <v>144</v>
      </c>
      <c r="C30" s="274" t="s">
        <v>223</v>
      </c>
      <c r="D30" s="274"/>
      <c r="E30" s="274"/>
      <c r="F30" s="192"/>
      <c r="G30" s="164" t="s">
        <v>217</v>
      </c>
      <c r="H30" s="192"/>
      <c r="I30" s="275" t="s">
        <v>224</v>
      </c>
      <c r="J30" s="285"/>
    </row>
    <row r="31" customFormat="false" ht="15" hidden="false" customHeight="false" outlineLevel="0" collapsed="false">
      <c r="A31" s="192"/>
      <c r="B31" s="273"/>
      <c r="C31" s="286"/>
      <c r="D31" s="287"/>
      <c r="E31" s="287"/>
      <c r="F31" s="192"/>
      <c r="G31" s="203"/>
      <c r="H31" s="192"/>
      <c r="I31" s="282"/>
      <c r="J31" s="285"/>
    </row>
    <row r="32" customFormat="false" ht="75" hidden="false" customHeight="true" outlineLevel="0" collapsed="false">
      <c r="A32" s="192"/>
      <c r="B32" s="273" t="s">
        <v>152</v>
      </c>
      <c r="C32" s="274" t="s">
        <v>225</v>
      </c>
      <c r="D32" s="274"/>
      <c r="E32" s="274"/>
      <c r="F32" s="192"/>
      <c r="G32" s="164" t="s">
        <v>217</v>
      </c>
      <c r="H32" s="192"/>
      <c r="I32" s="275" t="s">
        <v>226</v>
      </c>
      <c r="J32" s="285"/>
    </row>
    <row r="33" customFormat="false" ht="15" hidden="false" customHeight="false" outlineLevel="0" collapsed="false">
      <c r="A33" s="192"/>
      <c r="B33" s="288"/>
      <c r="C33" s="286"/>
      <c r="D33" s="287"/>
      <c r="E33" s="287"/>
      <c r="F33" s="192"/>
      <c r="G33" s="203"/>
      <c r="H33" s="192"/>
      <c r="I33" s="282"/>
      <c r="J33" s="285"/>
    </row>
    <row r="34" customFormat="false" ht="75" hidden="false" customHeight="true" outlineLevel="0" collapsed="false">
      <c r="A34" s="192"/>
      <c r="B34" s="273" t="s">
        <v>155</v>
      </c>
      <c r="C34" s="274" t="s">
        <v>227</v>
      </c>
      <c r="D34" s="274"/>
      <c r="E34" s="274"/>
      <c r="F34" s="192"/>
      <c r="G34" s="164" t="s">
        <v>217</v>
      </c>
      <c r="H34" s="192"/>
      <c r="I34" s="275" t="s">
        <v>228</v>
      </c>
      <c r="J34" s="285"/>
    </row>
    <row r="35" customFormat="false" ht="15" hidden="false" customHeight="false" outlineLevel="0" collapsed="false">
      <c r="A35" s="192"/>
      <c r="B35" s="192"/>
      <c r="C35" s="286"/>
      <c r="D35" s="287"/>
      <c r="E35" s="287"/>
      <c r="F35" s="192"/>
      <c r="G35" s="203"/>
      <c r="H35" s="192"/>
      <c r="I35" s="282"/>
      <c r="J35" s="285"/>
    </row>
    <row r="36" customFormat="false" ht="90" hidden="false" customHeight="true" outlineLevel="0" collapsed="false">
      <c r="A36" s="192"/>
      <c r="B36" s="203" t="s">
        <v>160</v>
      </c>
      <c r="C36" s="274" t="s">
        <v>229</v>
      </c>
      <c r="D36" s="274"/>
      <c r="E36" s="274"/>
      <c r="F36" s="192"/>
      <c r="G36" s="164" t="s">
        <v>217</v>
      </c>
      <c r="H36" s="192"/>
      <c r="I36" s="275" t="s">
        <v>230</v>
      </c>
      <c r="J36" s="285"/>
      <c r="L36" s="276" t="s">
        <v>37</v>
      </c>
    </row>
    <row r="37" customFormat="false" ht="15" hidden="false" customHeight="false" outlineLevel="0" collapsed="false">
      <c r="A37" s="192"/>
      <c r="B37" s="203"/>
      <c r="C37" s="286"/>
      <c r="D37" s="287"/>
      <c r="E37" s="287"/>
      <c r="F37" s="192"/>
      <c r="G37" s="203"/>
      <c r="H37" s="192"/>
      <c r="I37" s="282"/>
      <c r="J37" s="285"/>
    </row>
    <row r="38" customFormat="false" ht="300" hidden="false" customHeight="true" outlineLevel="0" collapsed="false">
      <c r="A38" s="192"/>
      <c r="B38" s="203" t="s">
        <v>164</v>
      </c>
      <c r="C38" s="274" t="s">
        <v>231</v>
      </c>
      <c r="D38" s="274"/>
      <c r="E38" s="274"/>
      <c r="F38" s="192"/>
      <c r="G38" s="164" t="s">
        <v>217</v>
      </c>
      <c r="H38" s="192"/>
      <c r="I38" s="275" t="s">
        <v>232</v>
      </c>
      <c r="J38" s="285"/>
    </row>
    <row r="39" customFormat="false" ht="15" hidden="false" customHeight="false" outlineLevel="0" collapsed="false">
      <c r="A39" s="192"/>
      <c r="B39" s="203"/>
      <c r="C39" s="286"/>
      <c r="D39" s="287"/>
      <c r="E39" s="287"/>
      <c r="F39" s="192"/>
      <c r="G39" s="203"/>
      <c r="H39" s="192"/>
      <c r="I39" s="282"/>
      <c r="J39" s="285"/>
    </row>
    <row r="40" customFormat="false" ht="75" hidden="false" customHeight="true" outlineLevel="0" collapsed="false">
      <c r="A40" s="192"/>
      <c r="B40" s="203" t="s">
        <v>166</v>
      </c>
      <c r="C40" s="274" t="s">
        <v>233</v>
      </c>
      <c r="D40" s="274"/>
      <c r="E40" s="274"/>
      <c r="F40" s="192"/>
      <c r="G40" s="164" t="s">
        <v>217</v>
      </c>
      <c r="H40" s="192"/>
      <c r="I40" s="275" t="s">
        <v>234</v>
      </c>
      <c r="J40" s="285"/>
    </row>
    <row r="41" customFormat="false" ht="15" hidden="false" customHeight="false" outlineLevel="0" collapsed="false">
      <c r="A41" s="192"/>
      <c r="B41" s="203"/>
      <c r="C41" s="279"/>
      <c r="D41" s="279"/>
      <c r="E41" s="279"/>
      <c r="F41" s="192"/>
      <c r="G41" s="203"/>
      <c r="H41" s="192"/>
      <c r="I41" s="282"/>
      <c r="J41" s="285"/>
    </row>
    <row r="42" customFormat="false" ht="15" hidden="false" customHeight="false" outlineLevel="0" collapsed="false">
      <c r="A42" s="192"/>
      <c r="B42" s="289"/>
      <c r="C42" s="290" t="s">
        <v>235</v>
      </c>
      <c r="D42" s="289"/>
      <c r="E42" s="289"/>
      <c r="F42" s="289"/>
      <c r="G42" s="289"/>
      <c r="H42" s="289"/>
      <c r="I42" s="289"/>
      <c r="J42" s="285"/>
    </row>
    <row r="43" customFormat="false" ht="15" hidden="false" customHeight="false" outlineLevel="0" collapsed="false">
      <c r="A43" s="192"/>
      <c r="B43" s="203"/>
      <c r="C43" s="279"/>
      <c r="D43" s="279"/>
      <c r="E43" s="279"/>
      <c r="F43" s="192"/>
      <c r="G43" s="203"/>
      <c r="H43" s="192"/>
      <c r="I43" s="282"/>
      <c r="J43" s="285"/>
    </row>
    <row r="44" customFormat="false" ht="165" hidden="false" customHeight="true" outlineLevel="0" collapsed="false">
      <c r="A44" s="192"/>
      <c r="B44" s="203" t="s">
        <v>168</v>
      </c>
      <c r="C44" s="274" t="s">
        <v>236</v>
      </c>
      <c r="D44" s="274"/>
      <c r="E44" s="274"/>
      <c r="F44" s="192"/>
      <c r="G44" s="164" t="s">
        <v>217</v>
      </c>
      <c r="H44" s="192"/>
      <c r="I44" s="275" t="s">
        <v>237</v>
      </c>
      <c r="J44" s="285"/>
      <c r="L44" s="276" t="s">
        <v>37</v>
      </c>
    </row>
    <row r="45" customFormat="false" ht="15" hidden="false" customHeight="false" outlineLevel="0" collapsed="false">
      <c r="A45" s="192"/>
      <c r="B45" s="291"/>
      <c r="C45" s="292"/>
      <c r="D45" s="292"/>
      <c r="E45" s="292"/>
      <c r="F45" s="293"/>
      <c r="G45" s="203"/>
      <c r="H45" s="293"/>
      <c r="I45" s="282"/>
      <c r="J45" s="285"/>
    </row>
    <row r="46" customFormat="false" ht="210" hidden="false" customHeight="true" outlineLevel="0" collapsed="false">
      <c r="A46" s="192"/>
      <c r="B46" s="203" t="s">
        <v>173</v>
      </c>
      <c r="C46" s="274" t="s">
        <v>238</v>
      </c>
      <c r="D46" s="274"/>
      <c r="E46" s="274"/>
      <c r="F46" s="192"/>
      <c r="G46" s="164" t="s">
        <v>217</v>
      </c>
      <c r="H46" s="192"/>
      <c r="I46" s="275" t="s">
        <v>239</v>
      </c>
      <c r="J46" s="285"/>
      <c r="L46" s="276" t="s">
        <v>37</v>
      </c>
    </row>
    <row r="47" customFormat="false" ht="15" hidden="false" customHeight="false" outlineLevel="0" collapsed="false">
      <c r="A47" s="192"/>
      <c r="B47" s="203"/>
      <c r="C47" s="294"/>
      <c r="D47" s="294"/>
      <c r="E47" s="294"/>
      <c r="F47" s="293"/>
      <c r="G47" s="295"/>
      <c r="H47" s="192"/>
      <c r="I47" s="282"/>
      <c r="J47" s="285"/>
    </row>
    <row r="48" customFormat="false" ht="15" hidden="false" customHeight="false" outlineLevel="0" collapsed="false">
      <c r="A48" s="192"/>
      <c r="B48" s="289"/>
      <c r="C48" s="290" t="s">
        <v>240</v>
      </c>
      <c r="D48" s="289"/>
      <c r="E48" s="289"/>
      <c r="F48" s="289"/>
      <c r="G48" s="289"/>
      <c r="H48" s="289"/>
      <c r="I48" s="289"/>
      <c r="J48" s="285"/>
    </row>
    <row r="49" customFormat="false" ht="15" hidden="false" customHeight="false" outlineLevel="0" collapsed="false">
      <c r="A49" s="192"/>
      <c r="B49" s="192"/>
      <c r="C49" s="279"/>
      <c r="D49" s="279"/>
      <c r="E49" s="279"/>
      <c r="F49" s="293"/>
      <c r="G49" s="203"/>
      <c r="H49" s="192"/>
      <c r="I49" s="282"/>
      <c r="J49" s="285"/>
    </row>
    <row r="50" customFormat="false" ht="45" hidden="false" customHeight="true" outlineLevel="0" collapsed="false">
      <c r="A50" s="192"/>
      <c r="B50" s="203" t="s">
        <v>176</v>
      </c>
      <c r="C50" s="274" t="s">
        <v>241</v>
      </c>
      <c r="D50" s="274"/>
      <c r="E50" s="274"/>
      <c r="F50" s="192"/>
      <c r="G50" s="164" t="s">
        <v>212</v>
      </c>
      <c r="H50" s="192"/>
      <c r="I50" s="275" t="s">
        <v>242</v>
      </c>
      <c r="J50" s="285"/>
      <c r="L50" s="276" t="s">
        <v>37</v>
      </c>
    </row>
    <row r="51" customFormat="false" ht="15" hidden="false" customHeight="false" outlineLevel="0" collapsed="false">
      <c r="A51" s="192"/>
      <c r="B51" s="192"/>
      <c r="C51" s="279"/>
      <c r="D51" s="279"/>
      <c r="E51" s="279"/>
      <c r="F51" s="192"/>
      <c r="G51" s="203"/>
      <c r="H51" s="192"/>
      <c r="I51" s="282"/>
      <c r="J51" s="285"/>
    </row>
    <row r="52" customFormat="false" ht="105" hidden="false" customHeight="true" outlineLevel="0" collapsed="false">
      <c r="A52" s="192"/>
      <c r="B52" s="203" t="s">
        <v>179</v>
      </c>
      <c r="C52" s="274" t="s">
        <v>243</v>
      </c>
      <c r="D52" s="274"/>
      <c r="E52" s="274"/>
      <c r="F52" s="192"/>
      <c r="G52" s="164" t="s">
        <v>217</v>
      </c>
      <c r="H52" s="192"/>
      <c r="I52" s="275" t="s">
        <v>244</v>
      </c>
      <c r="J52" s="285"/>
      <c r="L52" s="276" t="s">
        <v>37</v>
      </c>
    </row>
    <row r="53" customFormat="false" ht="15" hidden="false" customHeight="false" outlineLevel="0" collapsed="false">
      <c r="A53" s="192"/>
      <c r="B53" s="203"/>
      <c r="C53" s="292"/>
      <c r="D53" s="279"/>
      <c r="E53" s="279"/>
      <c r="F53" s="192"/>
      <c r="G53" s="203"/>
      <c r="H53" s="192"/>
      <c r="I53" s="282"/>
      <c r="J53" s="285"/>
    </row>
    <row r="54" customFormat="false" ht="15" hidden="false" customHeight="true" outlineLevel="0" collapsed="false">
      <c r="A54" s="192"/>
      <c r="B54" s="289"/>
      <c r="C54" s="296" t="s">
        <v>245</v>
      </c>
      <c r="D54" s="296"/>
      <c r="E54" s="296"/>
      <c r="F54" s="289"/>
      <c r="G54" s="289"/>
      <c r="H54" s="289"/>
      <c r="I54" s="289"/>
      <c r="J54" s="285"/>
    </row>
    <row r="55" customFormat="false" ht="15" hidden="false" customHeight="false" outlineLevel="0" collapsed="false">
      <c r="A55" s="192"/>
      <c r="B55" s="192"/>
      <c r="C55" s="279"/>
      <c r="D55" s="279"/>
      <c r="E55" s="279"/>
      <c r="F55" s="192"/>
      <c r="G55" s="203"/>
      <c r="H55" s="192"/>
      <c r="I55" s="282"/>
      <c r="J55" s="285"/>
    </row>
    <row r="56" customFormat="false" ht="75" hidden="false" customHeight="true" outlineLevel="0" collapsed="false">
      <c r="A56" s="192"/>
      <c r="B56" s="203" t="s">
        <v>183</v>
      </c>
      <c r="C56" s="274" t="s">
        <v>246</v>
      </c>
      <c r="D56" s="274"/>
      <c r="E56" s="274"/>
      <c r="F56" s="192"/>
      <c r="G56" s="164" t="s">
        <v>212</v>
      </c>
      <c r="H56" s="192"/>
      <c r="I56" s="275" t="s">
        <v>247</v>
      </c>
      <c r="J56" s="285"/>
    </row>
    <row r="57" customFormat="false" ht="15" hidden="false" customHeight="false" outlineLevel="0" collapsed="false">
      <c r="A57" s="192"/>
      <c r="B57" s="203"/>
      <c r="C57" s="279"/>
      <c r="D57" s="279"/>
      <c r="E57" s="279"/>
      <c r="F57" s="192"/>
      <c r="G57" s="203"/>
      <c r="H57" s="192"/>
      <c r="I57" s="282"/>
      <c r="J57" s="285"/>
    </row>
    <row r="58" customFormat="false" ht="45" hidden="false" customHeight="true" outlineLevel="0" collapsed="false">
      <c r="A58" s="192"/>
      <c r="B58" s="203" t="s">
        <v>187</v>
      </c>
      <c r="C58" s="274" t="s">
        <v>248</v>
      </c>
      <c r="D58" s="274"/>
      <c r="E58" s="274"/>
      <c r="F58" s="192"/>
      <c r="G58" s="164" t="s">
        <v>212</v>
      </c>
      <c r="H58" s="192"/>
      <c r="I58" s="275" t="s">
        <v>249</v>
      </c>
      <c r="J58" s="285"/>
      <c r="L58" s="276" t="s">
        <v>37</v>
      </c>
    </row>
    <row r="59" customFormat="false" ht="15" hidden="false" customHeight="false" outlineLevel="0" collapsed="false">
      <c r="A59" s="192"/>
      <c r="B59" s="203"/>
      <c r="C59" s="287"/>
      <c r="D59" s="287"/>
      <c r="E59" s="287"/>
      <c r="F59" s="192"/>
      <c r="H59" s="192"/>
      <c r="I59" s="282"/>
      <c r="J59" s="285"/>
    </row>
    <row r="60" customFormat="false" ht="90" hidden="false" customHeight="true" outlineLevel="0" collapsed="false">
      <c r="A60" s="192"/>
      <c r="B60" s="203" t="s">
        <v>191</v>
      </c>
      <c r="C60" s="274" t="s">
        <v>250</v>
      </c>
      <c r="D60" s="274"/>
      <c r="E60" s="274"/>
      <c r="F60" s="192"/>
      <c r="G60" s="164" t="s">
        <v>217</v>
      </c>
      <c r="H60" s="192"/>
      <c r="I60" s="275" t="s">
        <v>251</v>
      </c>
      <c r="J60" s="285"/>
      <c r="L60" s="276" t="s">
        <v>37</v>
      </c>
    </row>
    <row r="61" customFormat="false" ht="15" hidden="false" customHeight="false" outlineLevel="0" collapsed="false">
      <c r="A61" s="192"/>
      <c r="B61" s="203"/>
      <c r="C61" s="287"/>
      <c r="D61" s="287"/>
      <c r="E61" s="287"/>
      <c r="F61" s="192"/>
      <c r="H61" s="192"/>
      <c r="I61" s="282"/>
      <c r="J61" s="285"/>
    </row>
    <row r="62" customFormat="false" ht="15" hidden="false" customHeight="false" outlineLevel="0" collapsed="false">
      <c r="A62" s="297"/>
      <c r="B62" s="297"/>
      <c r="C62" s="298" t="s">
        <v>252</v>
      </c>
      <c r="D62" s="299"/>
      <c r="E62" s="299"/>
      <c r="F62" s="299"/>
      <c r="G62" s="299"/>
      <c r="H62" s="299"/>
      <c r="I62" s="299"/>
      <c r="J62" s="300"/>
    </row>
    <row r="63" customFormat="false" ht="15" hidden="false" customHeight="false" outlineLevel="0" collapsed="false">
      <c r="A63" s="192"/>
      <c r="B63" s="203"/>
      <c r="C63" s="287"/>
      <c r="D63" s="287"/>
      <c r="E63" s="287"/>
      <c r="F63" s="192"/>
      <c r="G63" s="282"/>
      <c r="H63" s="192"/>
      <c r="I63" s="282"/>
      <c r="J63" s="285"/>
    </row>
    <row r="64" customFormat="false" ht="15" hidden="false" customHeight="false" outlineLevel="0" collapsed="false">
      <c r="A64" s="192"/>
      <c r="B64" s="301"/>
      <c r="C64" s="302" t="s">
        <v>253</v>
      </c>
      <c r="D64" s="301"/>
      <c r="E64" s="301"/>
      <c r="F64" s="301"/>
      <c r="G64" s="301"/>
      <c r="H64" s="301"/>
      <c r="I64" s="301"/>
      <c r="J64" s="285"/>
    </row>
    <row r="65" customFormat="false" ht="15" hidden="false" customHeight="false" outlineLevel="0" collapsed="false">
      <c r="A65" s="192"/>
      <c r="B65" s="203"/>
      <c r="C65" s="287"/>
      <c r="D65" s="287"/>
      <c r="E65" s="287"/>
      <c r="F65" s="192"/>
      <c r="H65" s="192"/>
      <c r="I65" s="282"/>
      <c r="J65" s="285"/>
    </row>
    <row r="66" customFormat="false" ht="150" hidden="false" customHeight="true" outlineLevel="0" collapsed="false">
      <c r="A66" s="192"/>
      <c r="B66" s="203" t="s">
        <v>254</v>
      </c>
      <c r="C66" s="274" t="s">
        <v>255</v>
      </c>
      <c r="D66" s="274"/>
      <c r="E66" s="274"/>
      <c r="F66" s="192"/>
      <c r="G66" s="164" t="s">
        <v>217</v>
      </c>
      <c r="H66" s="192"/>
      <c r="I66" s="275" t="s">
        <v>256</v>
      </c>
      <c r="J66" s="285"/>
    </row>
    <row r="67" customFormat="false" ht="15" hidden="false" customHeight="false" outlineLevel="0" collapsed="false">
      <c r="A67" s="192"/>
      <c r="B67" s="203"/>
      <c r="C67" s="287"/>
      <c r="D67" s="287"/>
      <c r="E67" s="287"/>
      <c r="F67" s="192"/>
      <c r="H67" s="192"/>
      <c r="I67" s="282"/>
      <c r="J67" s="285"/>
    </row>
    <row r="68" customFormat="false" ht="15" hidden="false" customHeight="false" outlineLevel="0" collapsed="false">
      <c r="A68" s="192"/>
      <c r="B68" s="301"/>
      <c r="C68" s="302" t="s">
        <v>257</v>
      </c>
      <c r="D68" s="301"/>
      <c r="E68" s="301"/>
      <c r="F68" s="301"/>
      <c r="G68" s="301"/>
      <c r="H68" s="301"/>
      <c r="I68" s="301"/>
      <c r="J68" s="285"/>
    </row>
    <row r="69" customFormat="false" ht="15" hidden="false" customHeight="false" outlineLevel="0" collapsed="false">
      <c r="A69" s="192"/>
      <c r="B69" s="203"/>
      <c r="C69" s="287"/>
      <c r="D69" s="287"/>
      <c r="E69" s="287"/>
      <c r="F69" s="192"/>
      <c r="H69" s="192"/>
      <c r="I69" s="282"/>
      <c r="J69" s="285"/>
    </row>
    <row r="70" customFormat="false" ht="30" hidden="false" customHeight="true" outlineLevel="0" collapsed="false">
      <c r="A70" s="192"/>
      <c r="B70" s="203" t="s">
        <v>258</v>
      </c>
      <c r="C70" s="274" t="s">
        <v>259</v>
      </c>
      <c r="D70" s="274"/>
      <c r="E70" s="274"/>
      <c r="F70" s="192"/>
      <c r="G70" s="164" t="s">
        <v>260</v>
      </c>
      <c r="H70" s="192"/>
      <c r="I70" s="275" t="s">
        <v>261</v>
      </c>
      <c r="J70" s="285"/>
    </row>
    <row r="71" customFormat="false" ht="15" hidden="false" customHeight="false" outlineLevel="0" collapsed="false">
      <c r="A71" s="192"/>
      <c r="B71" s="203"/>
      <c r="C71" s="287"/>
      <c r="D71" s="287"/>
      <c r="E71" s="287"/>
      <c r="F71" s="192"/>
      <c r="G71" s="295"/>
      <c r="H71" s="192"/>
      <c r="I71" s="282"/>
      <c r="J71" s="285"/>
    </row>
    <row r="72" customFormat="false" ht="15" hidden="false" customHeight="false" outlineLevel="0" collapsed="false">
      <c r="A72" s="192"/>
      <c r="B72" s="301"/>
      <c r="C72" s="302" t="s">
        <v>262</v>
      </c>
      <c r="D72" s="301"/>
      <c r="E72" s="301"/>
      <c r="F72" s="301"/>
      <c r="G72" s="301"/>
      <c r="H72" s="301"/>
      <c r="I72" s="301"/>
      <c r="J72" s="285"/>
    </row>
    <row r="73" customFormat="false" ht="15" hidden="false" customHeight="false" outlineLevel="0" collapsed="false">
      <c r="A73" s="192"/>
      <c r="B73" s="203"/>
      <c r="C73" s="287"/>
      <c r="D73" s="287"/>
      <c r="E73" s="287"/>
      <c r="F73" s="192"/>
      <c r="G73" s="295"/>
      <c r="H73" s="192"/>
      <c r="I73" s="282"/>
      <c r="J73" s="285"/>
    </row>
    <row r="74" customFormat="false" ht="60" hidden="false" customHeight="true" outlineLevel="0" collapsed="false">
      <c r="A74" s="192"/>
      <c r="B74" s="203" t="s">
        <v>263</v>
      </c>
      <c r="C74" s="274" t="s">
        <v>264</v>
      </c>
      <c r="D74" s="274"/>
      <c r="E74" s="274"/>
      <c r="F74" s="192"/>
      <c r="G74" s="164" t="s">
        <v>217</v>
      </c>
      <c r="H74" s="192"/>
      <c r="I74" s="275" t="s">
        <v>265</v>
      </c>
      <c r="J74" s="285"/>
      <c r="L74" s="276" t="s">
        <v>37</v>
      </c>
    </row>
    <row r="75" customFormat="false" ht="15" hidden="false" customHeight="false" outlineLevel="0" collapsed="false">
      <c r="A75" s="192"/>
      <c r="B75" s="203"/>
      <c r="C75" s="287"/>
      <c r="D75" s="287"/>
      <c r="E75" s="287"/>
      <c r="F75" s="192"/>
      <c r="G75" s="295"/>
      <c r="H75" s="192"/>
      <c r="I75" s="282"/>
      <c r="J75" s="285"/>
    </row>
    <row r="76" customFormat="false" ht="15" hidden="false" customHeight="false" outlineLevel="0" collapsed="false">
      <c r="A76" s="192"/>
      <c r="B76" s="301"/>
      <c r="C76" s="302" t="s">
        <v>266</v>
      </c>
      <c r="D76" s="301"/>
      <c r="E76" s="301"/>
      <c r="F76" s="301"/>
      <c r="G76" s="301"/>
      <c r="H76" s="301"/>
      <c r="I76" s="301"/>
      <c r="J76" s="285"/>
    </row>
    <row r="77" customFormat="false" ht="15" hidden="false" customHeight="false" outlineLevel="0" collapsed="false">
      <c r="A77" s="192"/>
      <c r="B77" s="203"/>
      <c r="C77" s="287"/>
      <c r="D77" s="287"/>
      <c r="E77" s="287"/>
      <c r="F77" s="192"/>
      <c r="G77" s="295"/>
      <c r="H77" s="192"/>
      <c r="I77" s="282"/>
      <c r="J77" s="285"/>
    </row>
    <row r="78" customFormat="false" ht="30" hidden="false" customHeight="true" outlineLevel="0" collapsed="false">
      <c r="A78" s="192"/>
      <c r="B78" s="203" t="s">
        <v>267</v>
      </c>
      <c r="C78" s="274" t="s">
        <v>268</v>
      </c>
      <c r="D78" s="274"/>
      <c r="E78" s="274"/>
      <c r="F78" s="192"/>
      <c r="G78" s="164" t="s">
        <v>260</v>
      </c>
      <c r="H78" s="192"/>
      <c r="I78" s="275" t="s">
        <v>269</v>
      </c>
      <c r="J78" s="285"/>
    </row>
    <row r="79" customFormat="false" ht="15" hidden="false" customHeight="false" outlineLevel="0" collapsed="false">
      <c r="A79" s="192"/>
      <c r="B79" s="203"/>
      <c r="C79" s="287"/>
      <c r="D79" s="287"/>
      <c r="E79" s="287"/>
      <c r="F79" s="192"/>
      <c r="G79" s="295"/>
      <c r="H79" s="192"/>
      <c r="I79" s="282"/>
      <c r="J79" s="285"/>
    </row>
    <row r="80" customFormat="false" ht="15" hidden="false" customHeight="true" outlineLevel="0" collapsed="false">
      <c r="A80" s="303"/>
      <c r="B80" s="304" t="s">
        <v>270</v>
      </c>
      <c r="C80" s="304"/>
      <c r="D80" s="304"/>
      <c r="E80" s="304"/>
      <c r="F80" s="304"/>
      <c r="G80" s="304"/>
      <c r="H80" s="304"/>
      <c r="I80" s="304"/>
      <c r="J80" s="304"/>
    </row>
    <row r="81" customFormat="false" ht="15" hidden="false" customHeight="false" outlineLevel="0" collapsed="false">
      <c r="A81" s="192"/>
      <c r="B81" s="203"/>
      <c r="C81" s="287"/>
      <c r="D81" s="287"/>
      <c r="E81" s="287"/>
      <c r="F81" s="192"/>
      <c r="G81" s="279"/>
      <c r="H81" s="192"/>
      <c r="I81" s="282"/>
      <c r="J81" s="285"/>
    </row>
    <row r="82" customFormat="false" ht="15" hidden="false" customHeight="false" outlineLevel="0" collapsed="false">
      <c r="A82" s="192"/>
      <c r="B82" s="305"/>
      <c r="C82" s="306" t="s">
        <v>271</v>
      </c>
      <c r="D82" s="306"/>
      <c r="E82" s="306"/>
      <c r="F82" s="306"/>
      <c r="G82" s="306"/>
      <c r="H82" s="306"/>
      <c r="I82" s="306"/>
      <c r="J82" s="285"/>
    </row>
    <row r="83" customFormat="false" ht="15" hidden="false" customHeight="false" outlineLevel="0" collapsed="false">
      <c r="A83" s="192"/>
      <c r="B83" s="203"/>
      <c r="C83" s="287"/>
      <c r="D83" s="287"/>
      <c r="E83" s="287"/>
      <c r="F83" s="192"/>
      <c r="G83" s="295"/>
      <c r="H83" s="192"/>
      <c r="I83" s="282"/>
      <c r="J83" s="285"/>
    </row>
    <row r="84" customFormat="false" ht="60" hidden="false" customHeight="true" outlineLevel="0" collapsed="false">
      <c r="A84" s="192"/>
      <c r="B84" s="203" t="s">
        <v>272</v>
      </c>
      <c r="C84" s="274" t="s">
        <v>273</v>
      </c>
      <c r="D84" s="274"/>
      <c r="E84" s="274"/>
      <c r="F84" s="192"/>
      <c r="G84" s="164" t="s">
        <v>217</v>
      </c>
      <c r="H84" s="192"/>
      <c r="I84" s="275" t="s">
        <v>274</v>
      </c>
      <c r="J84" s="285"/>
      <c r="L84" s="276" t="s">
        <v>37</v>
      </c>
    </row>
    <row r="85" customFormat="false" ht="15" hidden="false" customHeight="false" outlineLevel="0" collapsed="false">
      <c r="A85" s="192"/>
      <c r="B85" s="203"/>
      <c r="C85" s="294"/>
      <c r="D85" s="294"/>
      <c r="E85" s="294"/>
      <c r="F85" s="192"/>
      <c r="G85" s="295"/>
      <c r="H85" s="192"/>
      <c r="I85" s="282"/>
      <c r="J85" s="285"/>
    </row>
    <row r="86" customFormat="false" ht="15" hidden="false" customHeight="false" outlineLevel="0" collapsed="false">
      <c r="A86" s="192"/>
      <c r="B86" s="305"/>
      <c r="C86" s="306" t="s">
        <v>275</v>
      </c>
      <c r="D86" s="305"/>
      <c r="E86" s="305"/>
      <c r="F86" s="305"/>
      <c r="G86" s="305"/>
      <c r="H86" s="305"/>
      <c r="I86" s="305"/>
      <c r="J86" s="285"/>
    </row>
    <row r="87" customFormat="false" ht="15" hidden="false" customHeight="false" outlineLevel="0" collapsed="false">
      <c r="A87" s="192"/>
      <c r="B87" s="203"/>
      <c r="C87" s="287"/>
      <c r="D87" s="287"/>
      <c r="E87" s="287"/>
      <c r="F87" s="192"/>
      <c r="G87" s="295"/>
      <c r="H87" s="192"/>
      <c r="I87" s="282"/>
      <c r="J87" s="285"/>
    </row>
    <row r="88" customFormat="false" ht="45" hidden="false" customHeight="true" outlineLevel="0" collapsed="false">
      <c r="A88" s="192"/>
      <c r="B88" s="203" t="s">
        <v>276</v>
      </c>
      <c r="C88" s="274" t="s">
        <v>277</v>
      </c>
      <c r="D88" s="274"/>
      <c r="E88" s="274"/>
      <c r="F88" s="192"/>
      <c r="G88" s="164" t="s">
        <v>260</v>
      </c>
      <c r="H88" s="192"/>
      <c r="I88" s="275" t="s">
        <v>278</v>
      </c>
      <c r="J88" s="285"/>
      <c r="L88" s="276" t="s">
        <v>37</v>
      </c>
    </row>
    <row r="89" customFormat="false" ht="15" hidden="false" customHeight="false" outlineLevel="0" collapsed="false">
      <c r="A89" s="192"/>
      <c r="B89" s="203"/>
      <c r="C89" s="294"/>
      <c r="D89" s="294"/>
      <c r="E89" s="294"/>
      <c r="F89" s="192"/>
      <c r="G89" s="295"/>
      <c r="H89" s="192"/>
      <c r="I89" s="282"/>
      <c r="J89" s="285"/>
    </row>
    <row r="90" customFormat="false" ht="15" hidden="false" customHeight="true" outlineLevel="0" collapsed="false">
      <c r="A90" s="192"/>
      <c r="B90" s="305"/>
      <c r="C90" s="307" t="s">
        <v>279</v>
      </c>
      <c r="D90" s="307"/>
      <c r="E90" s="307"/>
      <c r="F90" s="305"/>
      <c r="G90" s="305"/>
      <c r="H90" s="305"/>
      <c r="I90" s="305"/>
      <c r="J90" s="285"/>
    </row>
    <row r="91" customFormat="false" ht="15" hidden="false" customHeight="false" outlineLevel="0" collapsed="false">
      <c r="A91" s="192"/>
      <c r="B91" s="203"/>
      <c r="C91" s="294"/>
      <c r="D91" s="294"/>
      <c r="E91" s="294"/>
      <c r="F91" s="192"/>
      <c r="G91" s="295"/>
      <c r="H91" s="192"/>
      <c r="I91" s="282"/>
      <c r="J91" s="285"/>
    </row>
    <row r="92" customFormat="false" ht="60" hidden="false" customHeight="true" outlineLevel="0" collapsed="false">
      <c r="A92" s="192"/>
      <c r="B92" s="203" t="s">
        <v>280</v>
      </c>
      <c r="C92" s="274" t="s">
        <v>281</v>
      </c>
      <c r="D92" s="274"/>
      <c r="E92" s="274"/>
      <c r="F92" s="192"/>
      <c r="G92" s="164" t="s">
        <v>212</v>
      </c>
      <c r="H92" s="192"/>
      <c r="I92" s="275" t="s">
        <v>282</v>
      </c>
      <c r="J92" s="285"/>
      <c r="L92" s="276" t="s">
        <v>37</v>
      </c>
    </row>
    <row r="93" customFormat="false" ht="15" hidden="false" customHeight="false" outlineLevel="0" collapsed="false">
      <c r="A93" s="192"/>
      <c r="B93" s="203"/>
      <c r="C93" s="287"/>
      <c r="D93" s="287"/>
      <c r="E93" s="287"/>
      <c r="F93" s="192"/>
      <c r="G93" s="295"/>
      <c r="H93" s="192"/>
      <c r="I93" s="282"/>
      <c r="J93" s="285"/>
    </row>
    <row r="94" customFormat="false" ht="15" hidden="false" customHeight="true" outlineLevel="0" collapsed="false">
      <c r="A94" s="308"/>
      <c r="B94" s="309"/>
      <c r="C94" s="309" t="s">
        <v>283</v>
      </c>
      <c r="D94" s="308"/>
      <c r="E94" s="308"/>
      <c r="F94" s="308"/>
      <c r="G94" s="308"/>
      <c r="H94" s="308"/>
      <c r="I94" s="308"/>
      <c r="J94" s="308"/>
    </row>
    <row r="95" customFormat="false" ht="15" hidden="false" customHeight="false" outlineLevel="0" collapsed="false">
      <c r="A95" s="192"/>
      <c r="B95" s="310"/>
      <c r="C95" s="279"/>
      <c r="D95" s="310"/>
      <c r="E95" s="310"/>
      <c r="F95" s="310"/>
      <c r="G95" s="311"/>
      <c r="H95" s="310"/>
      <c r="I95" s="312"/>
      <c r="J95" s="285"/>
    </row>
    <row r="96" customFormat="false" ht="15" hidden="false" customHeight="false" outlineLevel="0" collapsed="false">
      <c r="A96" s="279"/>
      <c r="B96" s="308"/>
      <c r="C96" s="313" t="s">
        <v>284</v>
      </c>
      <c r="D96" s="308"/>
      <c r="E96" s="308"/>
      <c r="F96" s="308"/>
      <c r="G96" s="308"/>
      <c r="H96" s="308"/>
      <c r="I96" s="308"/>
      <c r="J96" s="279"/>
    </row>
    <row r="97" customFormat="false" ht="15" hidden="false" customHeight="false" outlineLevel="0" collapsed="false">
      <c r="A97" s="279"/>
      <c r="B97" s="279"/>
      <c r="C97" s="279"/>
      <c r="D97" s="279"/>
      <c r="E97" s="279"/>
      <c r="F97" s="279"/>
      <c r="G97" s="279"/>
      <c r="H97" s="279"/>
      <c r="I97" s="279"/>
      <c r="J97" s="279"/>
    </row>
    <row r="98" customFormat="false" ht="30" hidden="false" customHeight="true" outlineLevel="0" collapsed="false">
      <c r="A98" s="279"/>
      <c r="B98" s="203" t="s">
        <v>285</v>
      </c>
      <c r="C98" s="274" t="s">
        <v>286</v>
      </c>
      <c r="D98" s="274"/>
      <c r="E98" s="274"/>
      <c r="F98" s="192"/>
      <c r="G98" s="164" t="s">
        <v>217</v>
      </c>
      <c r="H98" s="192"/>
      <c r="I98" s="275" t="s">
        <v>287</v>
      </c>
      <c r="J98" s="279"/>
    </row>
    <row r="99" customFormat="false" ht="15" hidden="false" customHeight="false" outlineLevel="0" collapsed="false">
      <c r="A99" s="279"/>
      <c r="B99" s="279"/>
      <c r="C99" s="279"/>
      <c r="D99" s="279"/>
      <c r="E99" s="279"/>
      <c r="F99" s="279"/>
      <c r="G99" s="279"/>
      <c r="H99" s="279"/>
      <c r="I99" s="279"/>
      <c r="J99" s="279"/>
    </row>
    <row r="100" customFormat="false" ht="34.5" hidden="false" customHeight="true" outlineLevel="0" collapsed="false">
      <c r="A100" s="279"/>
      <c r="B100" s="203" t="s">
        <v>288</v>
      </c>
      <c r="C100" s="274" t="s">
        <v>289</v>
      </c>
      <c r="D100" s="274"/>
      <c r="E100" s="274"/>
      <c r="F100" s="192"/>
      <c r="G100" s="164" t="s">
        <v>217</v>
      </c>
      <c r="H100" s="192"/>
      <c r="I100" s="275" t="s">
        <v>290</v>
      </c>
      <c r="J100" s="279"/>
      <c r="L100" s="276" t="s">
        <v>37</v>
      </c>
    </row>
    <row r="101" customFormat="false" ht="15" hidden="false" customHeight="false" outlineLevel="0" collapsed="false">
      <c r="A101" s="279"/>
      <c r="B101" s="279"/>
      <c r="C101" s="279"/>
      <c r="D101" s="279"/>
      <c r="E101" s="279"/>
      <c r="F101" s="279"/>
      <c r="G101" s="279"/>
      <c r="H101" s="279"/>
      <c r="I101" s="279"/>
      <c r="J101" s="279"/>
    </row>
    <row r="102" customFormat="false" ht="15" hidden="false" customHeight="true" outlineLevel="0" collapsed="false">
      <c r="A102" s="279"/>
      <c r="B102" s="203" t="s">
        <v>291</v>
      </c>
      <c r="C102" s="274" t="s">
        <v>292</v>
      </c>
      <c r="D102" s="274"/>
      <c r="E102" s="274"/>
      <c r="F102" s="192"/>
      <c r="G102" s="164" t="s">
        <v>212</v>
      </c>
      <c r="H102" s="192"/>
      <c r="I102" s="275" t="s">
        <v>293</v>
      </c>
      <c r="J102" s="279"/>
    </row>
    <row r="103" customFormat="false" ht="15" hidden="false" customHeight="false" outlineLevel="0" collapsed="false">
      <c r="A103" s="279"/>
      <c r="B103" s="279"/>
      <c r="C103" s="279"/>
      <c r="D103" s="279"/>
      <c r="E103" s="279"/>
      <c r="F103" s="279"/>
      <c r="G103" s="279"/>
      <c r="H103" s="279"/>
      <c r="I103" s="279"/>
      <c r="J103" s="279"/>
    </row>
    <row r="104" customFormat="false" ht="34.5" hidden="false" customHeight="true" outlineLevel="0" collapsed="false">
      <c r="A104" s="279"/>
      <c r="B104" s="203" t="s">
        <v>294</v>
      </c>
      <c r="C104" s="274" t="s">
        <v>295</v>
      </c>
      <c r="D104" s="274"/>
      <c r="E104" s="274"/>
      <c r="F104" s="192"/>
      <c r="G104" s="164" t="s">
        <v>217</v>
      </c>
      <c r="H104" s="192"/>
      <c r="I104" s="275" t="s">
        <v>296</v>
      </c>
      <c r="J104" s="279"/>
      <c r="L104" s="276" t="s">
        <v>37</v>
      </c>
    </row>
    <row r="105" customFormat="false" ht="15" hidden="false" customHeight="false" outlineLevel="0" collapsed="false">
      <c r="A105" s="279"/>
      <c r="B105" s="279"/>
      <c r="C105" s="279"/>
      <c r="D105" s="279"/>
      <c r="E105" s="279"/>
      <c r="F105" s="279"/>
      <c r="G105" s="279"/>
      <c r="H105" s="279"/>
      <c r="I105" s="279"/>
      <c r="J105" s="279"/>
    </row>
    <row r="106" customFormat="false" ht="15" hidden="false" customHeight="true" outlineLevel="0" collapsed="false">
      <c r="A106" s="279"/>
      <c r="B106" s="203" t="s">
        <v>297</v>
      </c>
      <c r="C106" s="274" t="s">
        <v>298</v>
      </c>
      <c r="D106" s="274"/>
      <c r="E106" s="274"/>
      <c r="F106" s="192"/>
      <c r="G106" s="164" t="s">
        <v>212</v>
      </c>
      <c r="H106" s="192"/>
      <c r="I106" s="275" t="s">
        <v>299</v>
      </c>
      <c r="J106" s="279"/>
    </row>
    <row r="107" customFormat="false" ht="15" hidden="false" customHeight="false" outlineLevel="0" collapsed="false">
      <c r="A107" s="279"/>
      <c r="B107" s="279"/>
      <c r="C107" s="279"/>
      <c r="D107" s="279"/>
      <c r="E107" s="279"/>
      <c r="F107" s="279"/>
      <c r="G107" s="279"/>
      <c r="H107" s="279"/>
      <c r="I107" s="279"/>
      <c r="J107" s="279"/>
    </row>
    <row r="108" customFormat="false" ht="15" hidden="false" customHeight="true" outlineLevel="0" collapsed="false">
      <c r="A108" s="279"/>
      <c r="B108" s="203" t="s">
        <v>300</v>
      </c>
      <c r="C108" s="274" t="s">
        <v>301</v>
      </c>
      <c r="D108" s="274"/>
      <c r="E108" s="274"/>
      <c r="F108" s="192"/>
      <c r="G108" s="164" t="s">
        <v>217</v>
      </c>
      <c r="H108" s="192"/>
      <c r="I108" s="275" t="s">
        <v>302</v>
      </c>
      <c r="J108" s="279"/>
    </row>
    <row r="109" customFormat="false" ht="15" hidden="false" customHeight="true" outlineLevel="0" collapsed="false">
      <c r="A109" s="279"/>
      <c r="B109" s="203"/>
      <c r="C109" s="294"/>
      <c r="D109" s="294"/>
      <c r="E109" s="294"/>
      <c r="F109" s="192"/>
      <c r="G109" s="279"/>
      <c r="H109" s="192"/>
      <c r="I109" s="282"/>
      <c r="J109" s="279"/>
    </row>
    <row r="110" customFormat="false" ht="15" hidden="false" customHeight="false" outlineLevel="0" collapsed="false">
      <c r="A110" s="279"/>
      <c r="B110" s="308"/>
      <c r="C110" s="313" t="s">
        <v>303</v>
      </c>
      <c r="D110" s="308"/>
      <c r="E110" s="308"/>
      <c r="F110" s="308"/>
      <c r="G110" s="308"/>
      <c r="H110" s="308"/>
      <c r="I110" s="308"/>
      <c r="J110" s="279"/>
    </row>
    <row r="111" customFormat="false" ht="15" hidden="false" customHeight="true" outlineLevel="0" collapsed="false">
      <c r="A111" s="279"/>
      <c r="B111" s="203"/>
      <c r="C111" s="294"/>
      <c r="D111" s="294"/>
      <c r="E111" s="294"/>
      <c r="F111" s="192"/>
      <c r="G111" s="279"/>
      <c r="H111" s="192"/>
      <c r="I111" s="282"/>
      <c r="J111" s="279"/>
    </row>
    <row r="112" customFormat="false" ht="39" hidden="false" customHeight="true" outlineLevel="0" collapsed="false">
      <c r="A112" s="279"/>
      <c r="B112" s="203" t="s">
        <v>304</v>
      </c>
      <c r="C112" s="274" t="s">
        <v>305</v>
      </c>
      <c r="D112" s="274"/>
      <c r="E112" s="274"/>
      <c r="F112" s="192"/>
      <c r="G112" s="164" t="s">
        <v>217</v>
      </c>
      <c r="H112" s="192"/>
      <c r="I112" s="275" t="s">
        <v>306</v>
      </c>
      <c r="J112" s="279"/>
      <c r="L112" s="314" t="s">
        <v>37</v>
      </c>
    </row>
    <row r="113" customFormat="false" ht="15" hidden="false" customHeight="true" outlineLevel="0" collapsed="false">
      <c r="A113" s="279"/>
      <c r="B113" s="203"/>
      <c r="C113" s="294"/>
      <c r="D113" s="294"/>
      <c r="E113" s="294"/>
      <c r="F113" s="192"/>
      <c r="G113" s="279"/>
      <c r="H113" s="192"/>
      <c r="I113" s="282"/>
      <c r="J113" s="279"/>
    </row>
    <row r="114" customFormat="false" ht="15" hidden="false" customHeight="false" outlineLevel="0" collapsed="false">
      <c r="A114" s="279"/>
      <c r="B114" s="308"/>
      <c r="C114" s="313" t="s">
        <v>307</v>
      </c>
      <c r="D114" s="308"/>
      <c r="E114" s="308"/>
      <c r="F114" s="308"/>
      <c r="G114" s="308"/>
      <c r="H114" s="308"/>
      <c r="I114" s="308"/>
      <c r="J114" s="279"/>
    </row>
    <row r="115" customFormat="false" ht="13.5" hidden="false" customHeight="true" outlineLevel="0" collapsed="false">
      <c r="A115" s="279"/>
      <c r="B115" s="279"/>
      <c r="C115" s="279"/>
      <c r="D115" s="279"/>
      <c r="E115" s="279"/>
      <c r="F115" s="279"/>
      <c r="G115" s="279"/>
      <c r="H115" s="279"/>
      <c r="I115" s="279"/>
      <c r="J115" s="279"/>
    </row>
    <row r="116" customFormat="false" ht="34.5" hidden="false" customHeight="true" outlineLevel="0" collapsed="false">
      <c r="A116" s="279"/>
      <c r="B116" s="203" t="s">
        <v>308</v>
      </c>
      <c r="C116" s="274" t="s">
        <v>309</v>
      </c>
      <c r="D116" s="274"/>
      <c r="E116" s="274"/>
      <c r="F116" s="192"/>
      <c r="G116" s="164" t="s">
        <v>217</v>
      </c>
      <c r="H116" s="192"/>
      <c r="I116" s="275" t="s">
        <v>310</v>
      </c>
      <c r="J116" s="279"/>
      <c r="L116" s="276" t="s">
        <v>37</v>
      </c>
    </row>
    <row r="117" customFormat="false" ht="12.75" hidden="false" customHeight="true" outlineLevel="0" collapsed="false">
      <c r="A117" s="279"/>
      <c r="B117" s="203"/>
      <c r="C117" s="294"/>
      <c r="D117" s="294"/>
      <c r="E117" s="294"/>
      <c r="F117" s="192"/>
      <c r="G117" s="279"/>
      <c r="H117" s="192"/>
      <c r="I117" s="282"/>
      <c r="J117" s="279"/>
      <c r="L117" s="276"/>
    </row>
    <row r="118" customFormat="false" ht="15" hidden="false" customHeight="false" outlineLevel="0" collapsed="false">
      <c r="A118" s="279"/>
      <c r="B118" s="308"/>
      <c r="C118" s="313" t="s">
        <v>311</v>
      </c>
      <c r="D118" s="308"/>
      <c r="E118" s="308"/>
      <c r="F118" s="308"/>
      <c r="G118" s="308"/>
      <c r="H118" s="308"/>
      <c r="I118" s="308"/>
      <c r="J118" s="279"/>
    </row>
    <row r="119" customFormat="false" ht="15" hidden="false" customHeight="false" outlineLevel="0" collapsed="false">
      <c r="A119" s="279"/>
      <c r="B119" s="279"/>
      <c r="C119" s="279"/>
      <c r="D119" s="279"/>
      <c r="E119" s="279"/>
      <c r="F119" s="279"/>
      <c r="G119" s="279"/>
      <c r="H119" s="279"/>
      <c r="I119" s="279"/>
      <c r="J119" s="279"/>
    </row>
    <row r="120" customFormat="false" ht="15" hidden="true" customHeight="false" outlineLevel="0" collapsed="false">
      <c r="A120" s="279"/>
      <c r="C120" s="315" t="s">
        <v>217</v>
      </c>
      <c r="D120" s="316"/>
      <c r="E120" s="316"/>
      <c r="G120" s="317"/>
      <c r="J120" s="279"/>
    </row>
    <row r="121" customFormat="false" ht="15" hidden="true" customHeight="false" outlineLevel="0" collapsed="false">
      <c r="A121" s="279"/>
      <c r="C121" s="316" t="s">
        <v>212</v>
      </c>
      <c r="D121" s="316"/>
      <c r="E121" s="316"/>
      <c r="G121" s="317"/>
      <c r="J121" s="279"/>
    </row>
    <row r="122" customFormat="false" ht="15" hidden="true" customHeight="false" outlineLevel="0" collapsed="false">
      <c r="A122" s="279"/>
      <c r="C122" s="316" t="s">
        <v>260</v>
      </c>
      <c r="D122" s="316"/>
      <c r="E122" s="316"/>
      <c r="G122" s="317"/>
      <c r="J122" s="279"/>
    </row>
    <row r="123" customFormat="false" ht="29.25" hidden="false" customHeight="true" outlineLevel="0" collapsed="false">
      <c r="A123" s="279"/>
      <c r="B123" s="203" t="s">
        <v>312</v>
      </c>
      <c r="C123" s="274" t="s">
        <v>313</v>
      </c>
      <c r="D123" s="274"/>
      <c r="E123" s="274"/>
      <c r="F123" s="192"/>
      <c r="G123" s="164" t="s">
        <v>212</v>
      </c>
      <c r="H123" s="192"/>
      <c r="I123" s="275" t="s">
        <v>314</v>
      </c>
      <c r="J123" s="279"/>
      <c r="L123" s="276" t="s">
        <v>37</v>
      </c>
    </row>
    <row r="124" customFormat="false" ht="15" hidden="false" customHeight="false" outlineLevel="0" collapsed="false">
      <c r="A124" s="279"/>
      <c r="B124" s="279"/>
      <c r="C124" s="279"/>
      <c r="D124" s="279"/>
      <c r="E124" s="279"/>
      <c r="F124" s="279"/>
      <c r="G124" s="279"/>
      <c r="H124" s="279"/>
      <c r="I124" s="279"/>
      <c r="J124" s="279"/>
    </row>
    <row r="125" customFormat="false" ht="30.75" hidden="false" customHeight="true" outlineLevel="0" collapsed="false">
      <c r="A125" s="279"/>
      <c r="B125" s="203" t="s">
        <v>315</v>
      </c>
      <c r="C125" s="274" t="s">
        <v>316</v>
      </c>
      <c r="D125" s="274"/>
      <c r="E125" s="274"/>
      <c r="F125" s="192"/>
      <c r="G125" s="164" t="s">
        <v>212</v>
      </c>
      <c r="H125" s="192"/>
      <c r="I125" s="275" t="s">
        <v>317</v>
      </c>
      <c r="J125" s="279"/>
      <c r="L125" s="276" t="s">
        <v>37</v>
      </c>
    </row>
    <row r="126" customFormat="false" ht="15" hidden="false" customHeight="false" outlineLevel="0" collapsed="false">
      <c r="A126" s="279"/>
      <c r="B126" s="203"/>
      <c r="C126" s="294"/>
      <c r="D126" s="294"/>
      <c r="E126" s="294"/>
      <c r="F126" s="192"/>
      <c r="G126" s="279"/>
      <c r="H126" s="192"/>
      <c r="I126" s="282"/>
      <c r="J126" s="279"/>
    </row>
    <row r="127" customFormat="false" ht="15" hidden="false" customHeight="false" outlineLevel="0" collapsed="false">
      <c r="A127" s="279"/>
      <c r="B127" s="308"/>
      <c r="C127" s="313" t="s">
        <v>318</v>
      </c>
      <c r="D127" s="308"/>
      <c r="E127" s="308"/>
      <c r="F127" s="308"/>
      <c r="G127" s="308"/>
      <c r="H127" s="308"/>
      <c r="I127" s="308"/>
      <c r="J127" s="279"/>
    </row>
    <row r="128" customFormat="false" ht="15" hidden="false" customHeight="false" outlineLevel="0" collapsed="false">
      <c r="A128" s="279"/>
      <c r="B128" s="203"/>
      <c r="C128" s="294"/>
      <c r="D128" s="294"/>
      <c r="E128" s="294"/>
      <c r="F128" s="192"/>
      <c r="G128" s="279"/>
      <c r="H128" s="192"/>
      <c r="I128" s="282"/>
      <c r="J128" s="279"/>
    </row>
    <row r="129" customFormat="false" ht="30" hidden="false" customHeight="true" outlineLevel="0" collapsed="false">
      <c r="A129" s="279"/>
      <c r="B129" s="203" t="s">
        <v>319</v>
      </c>
      <c r="C129" s="274" t="s">
        <v>320</v>
      </c>
      <c r="D129" s="274"/>
      <c r="E129" s="274"/>
      <c r="F129" s="192"/>
      <c r="G129" s="164" t="s">
        <v>212</v>
      </c>
      <c r="H129" s="192"/>
      <c r="I129" s="275" t="s">
        <v>321</v>
      </c>
      <c r="J129" s="279"/>
    </row>
    <row r="130" customFormat="false" ht="15" hidden="false" customHeight="false" outlineLevel="0" collapsed="false">
      <c r="A130" s="279"/>
      <c r="B130" s="203"/>
      <c r="C130" s="294"/>
      <c r="D130" s="294"/>
      <c r="E130" s="294"/>
      <c r="F130" s="192"/>
      <c r="G130" s="279"/>
      <c r="H130" s="192"/>
      <c r="I130" s="282"/>
      <c r="J130" s="279"/>
    </row>
    <row r="131" customFormat="false" ht="90" hidden="false" customHeight="true" outlineLevel="0" collapsed="false">
      <c r="A131" s="279"/>
      <c r="B131" s="203" t="s">
        <v>322</v>
      </c>
      <c r="C131" s="274" t="s">
        <v>323</v>
      </c>
      <c r="D131" s="274"/>
      <c r="E131" s="274"/>
      <c r="F131" s="192"/>
      <c r="G131" s="164" t="s">
        <v>217</v>
      </c>
      <c r="H131" s="192"/>
      <c r="I131" s="275" t="s">
        <v>324</v>
      </c>
      <c r="J131" s="279"/>
    </row>
    <row r="132" customFormat="false" ht="15" hidden="false" customHeight="false" outlineLevel="0" collapsed="false">
      <c r="A132" s="279"/>
      <c r="B132" s="203"/>
      <c r="C132" s="294"/>
      <c r="D132" s="294"/>
      <c r="E132" s="294"/>
      <c r="F132" s="192"/>
      <c r="G132" s="279"/>
      <c r="H132" s="192"/>
      <c r="I132" s="282"/>
      <c r="J132" s="279"/>
    </row>
    <row r="133" customFormat="false" ht="75" hidden="false" customHeight="true" outlineLevel="0" collapsed="false">
      <c r="A133" s="279"/>
      <c r="B133" s="203" t="s">
        <v>325</v>
      </c>
      <c r="C133" s="274" t="s">
        <v>326</v>
      </c>
      <c r="D133" s="274"/>
      <c r="E133" s="274"/>
      <c r="F133" s="192"/>
      <c r="G133" s="164" t="s">
        <v>217</v>
      </c>
      <c r="H133" s="192"/>
      <c r="I133" s="275" t="s">
        <v>327</v>
      </c>
      <c r="J133" s="279"/>
    </row>
    <row r="134" customFormat="false" ht="15" hidden="false" customHeight="false" outlineLevel="0" collapsed="false">
      <c r="A134" s="279"/>
      <c r="B134" s="203"/>
      <c r="C134" s="294"/>
      <c r="D134" s="294"/>
      <c r="E134" s="294"/>
      <c r="F134" s="192"/>
      <c r="G134" s="279"/>
      <c r="H134" s="192"/>
      <c r="I134" s="282"/>
      <c r="J134" s="279"/>
    </row>
    <row r="135" customFormat="false" ht="15" hidden="false" customHeight="false" outlineLevel="0" collapsed="false">
      <c r="A135" s="279"/>
      <c r="B135" s="308"/>
      <c r="C135" s="313" t="s">
        <v>328</v>
      </c>
      <c r="D135" s="308"/>
      <c r="E135" s="308"/>
      <c r="F135" s="308"/>
      <c r="G135" s="308"/>
      <c r="H135" s="308"/>
      <c r="I135" s="308"/>
      <c r="J135" s="279"/>
    </row>
    <row r="136" customFormat="false" ht="15" hidden="false" customHeight="false" outlineLevel="0" collapsed="false">
      <c r="A136" s="279"/>
      <c r="B136" s="279"/>
      <c r="C136" s="279"/>
      <c r="D136" s="279"/>
      <c r="E136" s="279"/>
      <c r="F136" s="279"/>
      <c r="G136" s="279"/>
      <c r="H136" s="279"/>
      <c r="I136" s="279"/>
      <c r="J136" s="279"/>
    </row>
    <row r="137" customFormat="false" ht="15" hidden="false" customHeight="true" outlineLevel="0" collapsed="false">
      <c r="A137" s="279"/>
      <c r="B137" s="318" t="s">
        <v>329</v>
      </c>
      <c r="C137" s="318"/>
      <c r="D137" s="318"/>
      <c r="E137" s="318"/>
      <c r="F137" s="318"/>
      <c r="G137" s="318"/>
      <c r="H137" s="318"/>
      <c r="I137" s="318"/>
      <c r="J137" s="279"/>
    </row>
    <row r="138" customFormat="false" ht="15" hidden="false" customHeight="false" outlineLevel="0" collapsed="false">
      <c r="A138" s="279"/>
      <c r="B138" s="203"/>
      <c r="C138" s="294"/>
      <c r="D138" s="294"/>
      <c r="E138" s="294"/>
      <c r="F138" s="192"/>
      <c r="G138" s="279"/>
      <c r="H138" s="192"/>
      <c r="I138" s="282"/>
      <c r="J138" s="279"/>
    </row>
    <row r="139" customFormat="false" ht="20.25" hidden="false" customHeight="true" outlineLevel="0" collapsed="false">
      <c r="A139" s="319" t="s">
        <v>193</v>
      </c>
      <c r="B139" s="319"/>
      <c r="C139" s="319"/>
      <c r="D139" s="319"/>
      <c r="E139" s="319"/>
      <c r="F139" s="319"/>
      <c r="G139" s="319"/>
      <c r="H139" s="319"/>
      <c r="I139" s="319"/>
      <c r="J139" s="319"/>
      <c r="K139" s="320"/>
    </row>
    <row r="140" customFormat="false" ht="15" hidden="true" customHeight="false" outlineLevel="0" collapsed="false">
      <c r="G140" s="317"/>
    </row>
    <row r="141" customFormat="false" ht="15" hidden="true" customHeight="false" outlineLevel="0" collapsed="false">
      <c r="G141" s="317"/>
    </row>
    <row r="142" customFormat="false" ht="15" hidden="true" customHeight="false" outlineLevel="0" collapsed="false">
      <c r="G142" s="317"/>
    </row>
    <row r="143" customFormat="false" ht="15" hidden="true" customHeight="false" outlineLevel="0" collapsed="false">
      <c r="G143" s="317"/>
    </row>
    <row r="144" customFormat="false" ht="15" hidden="true" customHeight="false" outlineLevel="0" collapsed="false">
      <c r="G144" s="317"/>
    </row>
    <row r="145" customFormat="false" ht="15" hidden="true" customHeight="false" outlineLevel="0" collapsed="false">
      <c r="G145" s="317"/>
    </row>
    <row r="146" customFormat="false" ht="15" hidden="true" customHeight="false" outlineLevel="0" collapsed="false">
      <c r="G146" s="317"/>
    </row>
    <row r="147" customFormat="false" ht="15" hidden="true" customHeight="false" outlineLevel="0" collapsed="false">
      <c r="G147" s="317"/>
    </row>
    <row r="148" customFormat="false" ht="15" hidden="true" customHeight="false" outlineLevel="0" collapsed="false">
      <c r="G148" s="317"/>
    </row>
    <row r="149" customFormat="false" ht="15" hidden="true" customHeight="false" outlineLevel="0" collapsed="false">
      <c r="G149" s="317"/>
    </row>
    <row r="150" customFormat="false" ht="15" hidden="true" customHeight="false" outlineLevel="0" collapsed="false">
      <c r="G150" s="317"/>
    </row>
    <row r="151" customFormat="false" ht="15" hidden="true" customHeight="false" outlineLevel="0" collapsed="false">
      <c r="G151" s="317"/>
    </row>
    <row r="152" customFormat="false" ht="15" hidden="true" customHeight="false" outlineLevel="0" collapsed="false">
      <c r="G152" s="317"/>
    </row>
    <row r="153" customFormat="false" ht="15" hidden="true" customHeight="false" outlineLevel="0" collapsed="false">
      <c r="G153" s="317"/>
    </row>
    <row r="154" customFormat="false" ht="15" hidden="true" customHeight="false" outlineLevel="0" collapsed="false">
      <c r="G154" s="317"/>
    </row>
    <row r="155" customFormat="false" ht="15" hidden="true" customHeight="false" outlineLevel="0" collapsed="false">
      <c r="G155" s="317"/>
    </row>
    <row r="156" customFormat="false" ht="15" hidden="true" customHeight="false" outlineLevel="0" collapsed="false">
      <c r="G156" s="317"/>
    </row>
    <row r="157" customFormat="false" ht="15" hidden="true" customHeight="false" outlineLevel="0" collapsed="false">
      <c r="G157" s="317"/>
    </row>
    <row r="158" customFormat="false" ht="15" hidden="true" customHeight="false" outlineLevel="0" collapsed="false">
      <c r="G158" s="317"/>
    </row>
    <row r="159" customFormat="false" ht="15" hidden="true" customHeight="false" outlineLevel="0" collapsed="false">
      <c r="G159" s="317"/>
    </row>
    <row r="160" customFormat="false" ht="15" hidden="true" customHeight="false" outlineLevel="0" collapsed="false">
      <c r="G160" s="317"/>
    </row>
    <row r="161" customFormat="false" ht="15" hidden="true" customHeight="false" outlineLevel="0" collapsed="false">
      <c r="G161" s="317"/>
    </row>
    <row r="162" customFormat="false" ht="15" hidden="true" customHeight="false" outlineLevel="0" collapsed="false">
      <c r="G162" s="317"/>
    </row>
    <row r="163" customFormat="false" ht="15" hidden="true" customHeight="false" outlineLevel="0" collapsed="false">
      <c r="G163" s="317"/>
    </row>
    <row r="164" customFormat="false" ht="15" hidden="true" customHeight="false" outlineLevel="0" collapsed="false">
      <c r="G164" s="317"/>
    </row>
    <row r="165" customFormat="false" ht="15" hidden="true" customHeight="false" outlineLevel="0" collapsed="false">
      <c r="G165" s="317"/>
    </row>
    <row r="166" customFormat="false" ht="15" hidden="true" customHeight="false" outlineLevel="0" collapsed="false">
      <c r="G166" s="317"/>
    </row>
    <row r="167" customFormat="false" ht="15" hidden="true" customHeight="false" outlineLevel="0" collapsed="false">
      <c r="G167" s="317" t="s">
        <v>217</v>
      </c>
    </row>
    <row r="168" customFormat="false" ht="15" hidden="true" customHeight="false" outlineLevel="0" collapsed="false">
      <c r="G168" s="317" t="s">
        <v>212</v>
      </c>
    </row>
    <row r="169" customFormat="false" ht="15" hidden="true" customHeight="false" outlineLevel="0" collapsed="false">
      <c r="G169" s="317" t="s">
        <v>260</v>
      </c>
    </row>
    <row r="170" customFormat="false" ht="15" hidden="true" customHeight="false" outlineLevel="0" collapsed="false">
      <c r="G170" s="317"/>
    </row>
    <row r="171" customFormat="false" ht="15" hidden="true" customHeight="false" outlineLevel="0" collapsed="false">
      <c r="G171" s="317"/>
    </row>
    <row r="172" customFormat="false" ht="15" hidden="true" customHeight="false" outlineLevel="0" collapsed="false">
      <c r="G172" s="317"/>
    </row>
    <row r="173" customFormat="false" ht="15" hidden="true" customHeight="false" outlineLevel="0" collapsed="false">
      <c r="G173" s="317"/>
    </row>
    <row r="174" customFormat="false" ht="15" hidden="true" customHeight="false" outlineLevel="0" collapsed="false">
      <c r="G174" s="317"/>
    </row>
    <row r="175" customFormat="false" ht="15" hidden="true" customHeight="false" outlineLevel="0" collapsed="false">
      <c r="G175" s="317"/>
    </row>
    <row r="176" customFormat="false" ht="15" hidden="true" customHeight="false" outlineLevel="0" collapsed="false">
      <c r="G176" s="317"/>
    </row>
    <row r="177" customFormat="false" ht="15" hidden="true" customHeight="false" outlineLevel="0" collapsed="false">
      <c r="G177" s="317"/>
    </row>
    <row r="178" customFormat="false" ht="15" hidden="true" customHeight="false" outlineLevel="0" collapsed="false">
      <c r="G178" s="317"/>
    </row>
    <row r="179" customFormat="false" ht="15" hidden="true" customHeight="false" outlineLevel="0" collapsed="false">
      <c r="G179" s="317"/>
    </row>
    <row r="180" customFormat="false" ht="15" hidden="true" customHeight="false" outlineLevel="0" collapsed="false">
      <c r="G180" s="317"/>
    </row>
    <row r="181" customFormat="false" ht="15" hidden="true" customHeight="false" outlineLevel="0" collapsed="false">
      <c r="G181" s="317"/>
    </row>
    <row r="182" customFormat="false" ht="15" hidden="true" customHeight="false" outlineLevel="0" collapsed="false">
      <c r="G182" s="317"/>
    </row>
    <row r="183" customFormat="false" ht="15" hidden="true" customHeight="false" outlineLevel="0" collapsed="false">
      <c r="G183" s="317"/>
    </row>
    <row r="184" customFormat="false" ht="15" hidden="true" customHeight="false" outlineLevel="0" collapsed="false">
      <c r="G184" s="317"/>
    </row>
    <row r="185" customFormat="false" ht="15" hidden="true" customHeight="false" outlineLevel="0" collapsed="false">
      <c r="G185" s="317"/>
    </row>
    <row r="186" customFormat="false" ht="15" hidden="true" customHeight="false" outlineLevel="0" collapsed="false">
      <c r="G186" s="317"/>
    </row>
    <row r="187" customFormat="false" ht="15" hidden="true" customHeight="false" outlineLevel="0" collapsed="false">
      <c r="G187" s="317"/>
    </row>
    <row r="188" customFormat="false" ht="15" hidden="true" customHeight="false" outlineLevel="0" collapsed="false">
      <c r="G188" s="317"/>
    </row>
    <row r="189" customFormat="false" ht="15" hidden="true" customHeight="false" outlineLevel="0" collapsed="false">
      <c r="G189" s="317"/>
    </row>
    <row r="190" customFormat="false" ht="15" hidden="true" customHeight="false" outlineLevel="0" collapsed="false">
      <c r="G190" s="317"/>
    </row>
    <row r="191" customFormat="false" ht="15" hidden="true" customHeight="false" outlineLevel="0" collapsed="false">
      <c r="G191" s="317"/>
    </row>
    <row r="192" customFormat="false" ht="15" hidden="true" customHeight="false" outlineLevel="0" collapsed="false">
      <c r="G192" s="317"/>
    </row>
    <row r="193" customFormat="false" ht="15" hidden="true" customHeight="false" outlineLevel="0" collapsed="false">
      <c r="G193" s="317"/>
    </row>
    <row r="194" customFormat="false" ht="15" hidden="true" customHeight="false" outlineLevel="0" collapsed="false">
      <c r="G194" s="317"/>
    </row>
    <row r="195" customFormat="false" ht="15" hidden="true" customHeight="false" outlineLevel="0" collapsed="false">
      <c r="G195" s="317"/>
    </row>
    <row r="196" customFormat="false" ht="15" hidden="true" customHeight="false" outlineLevel="0" collapsed="false">
      <c r="G196" s="317"/>
    </row>
    <row r="197" customFormat="false" ht="15" hidden="true" customHeight="false" outlineLevel="0" collapsed="false">
      <c r="G197" s="317"/>
    </row>
    <row r="198" customFormat="false" ht="15" hidden="true" customHeight="false" outlineLevel="0" collapsed="false">
      <c r="G198" s="317"/>
    </row>
    <row r="199" customFormat="false" ht="15" hidden="true" customHeight="false" outlineLevel="0" collapsed="false">
      <c r="G199" s="317"/>
    </row>
    <row r="200" customFormat="false" ht="15" hidden="true" customHeight="false" outlineLevel="0" collapsed="false">
      <c r="G200" s="317"/>
    </row>
    <row r="201" customFormat="false" ht="15" hidden="true" customHeight="false" outlineLevel="0" collapsed="false">
      <c r="G201" s="317"/>
    </row>
    <row r="202" customFormat="false" ht="15" hidden="true" customHeight="false" outlineLevel="0" collapsed="false">
      <c r="G202" s="317"/>
    </row>
    <row r="203" customFormat="false" ht="15" hidden="true" customHeight="false" outlineLevel="0" collapsed="false">
      <c r="G203" s="317"/>
    </row>
    <row r="204" customFormat="false" ht="15" hidden="true" customHeight="false" outlineLevel="0" collapsed="false">
      <c r="G204" s="317"/>
    </row>
    <row r="205" customFormat="false" ht="15" hidden="true" customHeight="false" outlineLevel="0" collapsed="false">
      <c r="G205" s="317"/>
    </row>
    <row r="206" customFormat="false" ht="15" hidden="true" customHeight="false" outlineLevel="0" collapsed="false">
      <c r="G206" s="317"/>
    </row>
    <row r="207" customFormat="false" ht="15" hidden="true" customHeight="false" outlineLevel="0" collapsed="false">
      <c r="G207" s="317"/>
    </row>
    <row r="208" customFormat="false" ht="15" hidden="true" customHeight="false" outlineLevel="0" collapsed="false">
      <c r="G208" s="317"/>
    </row>
    <row r="209" customFormat="false" ht="15" hidden="true" customHeight="false" outlineLevel="0" collapsed="false">
      <c r="G209" s="317"/>
    </row>
    <row r="210" customFormat="false" ht="15" hidden="true" customHeight="false" outlineLevel="0" collapsed="false">
      <c r="G210" s="317"/>
    </row>
    <row r="211" customFormat="false" ht="15" hidden="true" customHeight="false" outlineLevel="0" collapsed="false">
      <c r="G211" s="317"/>
    </row>
    <row r="212" customFormat="false" ht="15" hidden="true" customHeight="false" outlineLevel="0" collapsed="false">
      <c r="G212" s="317"/>
    </row>
    <row r="213" customFormat="false" ht="15" hidden="true" customHeight="false" outlineLevel="0" collapsed="false">
      <c r="G213" s="317"/>
    </row>
    <row r="214" customFormat="false" ht="15" hidden="true" customHeight="false" outlineLevel="0" collapsed="false">
      <c r="G214" s="317"/>
    </row>
    <row r="215" customFormat="false" ht="15" hidden="true" customHeight="false" outlineLevel="0" collapsed="false">
      <c r="G215" s="317"/>
    </row>
    <row r="216" customFormat="false" ht="15" hidden="true" customHeight="false" outlineLevel="0" collapsed="false">
      <c r="G216" s="317"/>
    </row>
    <row r="217" customFormat="false" ht="15" hidden="true" customHeight="false" outlineLevel="0" collapsed="false">
      <c r="G217" s="317"/>
    </row>
    <row r="218" customFormat="false" ht="15" hidden="true" customHeight="false" outlineLevel="0" collapsed="false">
      <c r="G218" s="317"/>
    </row>
    <row r="219" customFormat="false" ht="15" hidden="true" customHeight="false" outlineLevel="0" collapsed="false">
      <c r="G219" s="317"/>
    </row>
    <row r="220" customFormat="false" ht="15" hidden="true" customHeight="false" outlineLevel="0" collapsed="false">
      <c r="G220" s="317"/>
    </row>
    <row r="221" customFormat="false" ht="15" hidden="true" customHeight="false" outlineLevel="0" collapsed="false">
      <c r="G221" s="317"/>
    </row>
    <row r="222" customFormat="false" ht="15" hidden="true" customHeight="false" outlineLevel="0" collapsed="false">
      <c r="G222" s="317"/>
    </row>
    <row r="223" customFormat="false" ht="15" hidden="true" customHeight="false" outlineLevel="0" collapsed="false">
      <c r="G223" s="317"/>
    </row>
    <row r="224" customFormat="false" ht="15" hidden="true" customHeight="false" outlineLevel="0" collapsed="false">
      <c r="G224" s="317"/>
    </row>
    <row r="225" customFormat="false" ht="15" hidden="true" customHeight="false" outlineLevel="0" collapsed="false">
      <c r="G225" s="317"/>
    </row>
    <row r="226" customFormat="false" ht="15" hidden="true" customHeight="false" outlineLevel="0" collapsed="false">
      <c r="G226" s="317"/>
    </row>
  </sheetData>
  <sheetProtection algorithmName="SHA-512" hashValue="EtL+hPiPpSSlTpKDzAsD3PvSyWk0YL3Vc4rzHoMSsTsvVLBJoleuylWfeMGar2KllixERfyU7sa2w3o+O1e1cA==" saltValue="0r8WpOofTuuFtN3DY5x01g==" spinCount="100000" sheet="true" objects="true" scenarios="true"/>
  <mergeCells count="48">
    <mergeCell ref="E2:H2"/>
    <mergeCell ref="E4:H4"/>
    <mergeCell ref="E6:H6"/>
    <mergeCell ref="E8:H8"/>
    <mergeCell ref="E10:H10"/>
    <mergeCell ref="C14:E14"/>
    <mergeCell ref="C18:E18"/>
    <mergeCell ref="C24:E24"/>
    <mergeCell ref="C26:E26"/>
    <mergeCell ref="C28:E28"/>
    <mergeCell ref="C30:E30"/>
    <mergeCell ref="C32:E32"/>
    <mergeCell ref="C34:E34"/>
    <mergeCell ref="C36:E36"/>
    <mergeCell ref="C38:E38"/>
    <mergeCell ref="C40:E40"/>
    <mergeCell ref="C44:E44"/>
    <mergeCell ref="C46:E46"/>
    <mergeCell ref="C50:E50"/>
    <mergeCell ref="C52:E52"/>
    <mergeCell ref="C54:E54"/>
    <mergeCell ref="C56:E56"/>
    <mergeCell ref="C58:E58"/>
    <mergeCell ref="C60:E60"/>
    <mergeCell ref="C66:E66"/>
    <mergeCell ref="C70:E70"/>
    <mergeCell ref="C74:E74"/>
    <mergeCell ref="C78:E78"/>
    <mergeCell ref="B80:J80"/>
    <mergeCell ref="C84:E84"/>
    <mergeCell ref="C88:E88"/>
    <mergeCell ref="C90:E90"/>
    <mergeCell ref="C92:E92"/>
    <mergeCell ref="C98:E98"/>
    <mergeCell ref="C100:E100"/>
    <mergeCell ref="C102:E102"/>
    <mergeCell ref="C104:E104"/>
    <mergeCell ref="C106:E106"/>
    <mergeCell ref="C108:E108"/>
    <mergeCell ref="C112:E112"/>
    <mergeCell ref="C116:E116"/>
    <mergeCell ref="C123:E123"/>
    <mergeCell ref="C125:E125"/>
    <mergeCell ref="C129:E129"/>
    <mergeCell ref="C131:E131"/>
    <mergeCell ref="C133:E133"/>
    <mergeCell ref="B137:I137"/>
    <mergeCell ref="A139:J139"/>
  </mergeCells>
  <conditionalFormatting sqref="C37 C39">
    <cfRule type="expression" priority="2" aboveAverage="0" equalAverage="0" bottom="0" percent="0" rank="0" text="" dxfId="0">
      <formula>#ref!="unselect"</formula>
    </cfRule>
    <cfRule type="expression" priority="3" aboveAverage="0" equalAverage="0" bottom="0" percent="0" rank="0" text="" dxfId="1">
      <formula>AND(#ref!="select",#ref!="select")</formula>
    </cfRule>
    <cfRule type="expression" priority="4" aboveAverage="0" equalAverage="0" bottom="0" percent="0" rank="0" text="" dxfId="2">
      <formula>#ref!="select"</formula>
    </cfRule>
  </conditionalFormatting>
  <conditionalFormatting sqref="C120">
    <cfRule type="cellIs" priority="5" operator="notEqual" aboveAverage="0" equalAverage="0" bottom="0" percent="0" rank="0" text="" dxfId="3">
      <formula>$C$120</formula>
    </cfRule>
  </conditionalFormatting>
  <conditionalFormatting sqref="G18">
    <cfRule type="cellIs" priority="6" operator="equal" aboveAverage="0" equalAverage="0" bottom="0" percent="0" rank="0" text="" dxfId="4">
      <formula>$C$121</formula>
    </cfRule>
    <cfRule type="cellIs" priority="7" operator="equal" aboveAverage="0" equalAverage="0" bottom="0" percent="0" rank="0" text="" dxfId="5">
      <formula>$C$120</formula>
    </cfRule>
  </conditionalFormatting>
  <conditionalFormatting sqref="G133">
    <cfRule type="cellIs" priority="8" operator="equal" aboveAverage="0" equalAverage="0" bottom="0" percent="0" rank="0" text="" dxfId="6">
      <formula>$C$121</formula>
    </cfRule>
    <cfRule type="cellIs" priority="9" operator="equal" aboveAverage="0" equalAverage="0" bottom="0" percent="0" rank="0" text="" dxfId="7">
      <formula>$C$120</formula>
    </cfRule>
  </conditionalFormatting>
  <conditionalFormatting sqref="G24">
    <cfRule type="cellIs" priority="10" operator="equal" aboveAverage="0" equalAverage="0" bottom="0" percent="0" rank="0" text="" dxfId="8">
      <formula>$C$121</formula>
    </cfRule>
    <cfRule type="cellIs" priority="11" operator="equal" aboveAverage="0" equalAverage="0" bottom="0" percent="0" rank="0" text="" dxfId="9">
      <formula>$C$120</formula>
    </cfRule>
  </conditionalFormatting>
  <conditionalFormatting sqref="G26">
    <cfRule type="cellIs" priority="12" operator="equal" aboveAverage="0" equalAverage="0" bottom="0" percent="0" rank="0" text="" dxfId="10">
      <formula>$C$121</formula>
    </cfRule>
    <cfRule type="cellIs" priority="13" operator="equal" aboveAverage="0" equalAverage="0" bottom="0" percent="0" rank="0" text="" dxfId="11">
      <formula>$C$120</formula>
    </cfRule>
  </conditionalFormatting>
  <conditionalFormatting sqref="G28">
    <cfRule type="cellIs" priority="14" operator="equal" aboveAverage="0" equalAverage="0" bottom="0" percent="0" rank="0" text="" dxfId="12">
      <formula>$C$121</formula>
    </cfRule>
    <cfRule type="cellIs" priority="15" operator="equal" aboveAverage="0" equalAverage="0" bottom="0" percent="0" rank="0" text="" dxfId="13">
      <formula>$C$120</formula>
    </cfRule>
  </conditionalFormatting>
  <conditionalFormatting sqref="G30">
    <cfRule type="cellIs" priority="16" operator="equal" aboveAverage="0" equalAverage="0" bottom="0" percent="0" rank="0" text="" dxfId="14">
      <formula>$C$121</formula>
    </cfRule>
    <cfRule type="cellIs" priority="17" operator="equal" aboveAverage="0" equalAverage="0" bottom="0" percent="0" rank="0" text="" dxfId="15">
      <formula>$C$120</formula>
    </cfRule>
  </conditionalFormatting>
  <conditionalFormatting sqref="G32">
    <cfRule type="cellIs" priority="18" operator="equal" aboveAverage="0" equalAverage="0" bottom="0" percent="0" rank="0" text="" dxfId="16">
      <formula>$C$121</formula>
    </cfRule>
    <cfRule type="cellIs" priority="19" operator="equal" aboveAverage="0" equalAverage="0" bottom="0" percent="0" rank="0" text="" dxfId="17">
      <formula>$C$120</formula>
    </cfRule>
  </conditionalFormatting>
  <conditionalFormatting sqref="G34">
    <cfRule type="cellIs" priority="20" operator="equal" aboveAverage="0" equalAverage="0" bottom="0" percent="0" rank="0" text="" dxfId="18">
      <formula>$C$121</formula>
    </cfRule>
    <cfRule type="cellIs" priority="21" operator="equal" aboveAverage="0" equalAverage="0" bottom="0" percent="0" rank="0" text="" dxfId="19">
      <formula>$C$120</formula>
    </cfRule>
  </conditionalFormatting>
  <conditionalFormatting sqref="G36">
    <cfRule type="cellIs" priority="22" operator="equal" aboveAverage="0" equalAverage="0" bottom="0" percent="0" rank="0" text="" dxfId="20">
      <formula>$C$121</formula>
    </cfRule>
    <cfRule type="cellIs" priority="23" operator="equal" aboveAverage="0" equalAverage="0" bottom="0" percent="0" rank="0" text="" dxfId="21">
      <formula>$C$120</formula>
    </cfRule>
  </conditionalFormatting>
  <conditionalFormatting sqref="G38">
    <cfRule type="cellIs" priority="24" operator="equal" aboveAverage="0" equalAverage="0" bottom="0" percent="0" rank="0" text="" dxfId="22">
      <formula>$C$121</formula>
    </cfRule>
    <cfRule type="cellIs" priority="25" operator="equal" aboveAverage="0" equalAverage="0" bottom="0" percent="0" rank="0" text="" dxfId="23">
      <formula>$C$120</formula>
    </cfRule>
  </conditionalFormatting>
  <conditionalFormatting sqref="G40">
    <cfRule type="cellIs" priority="26" operator="equal" aboveAverage="0" equalAverage="0" bottom="0" percent="0" rank="0" text="" dxfId="24">
      <formula>$C$121</formula>
    </cfRule>
    <cfRule type="cellIs" priority="27" operator="equal" aboveAverage="0" equalAverage="0" bottom="0" percent="0" rank="0" text="" dxfId="25">
      <formula>$C$120</formula>
    </cfRule>
  </conditionalFormatting>
  <conditionalFormatting sqref="G44">
    <cfRule type="cellIs" priority="28" operator="equal" aboveAverage="0" equalAverage="0" bottom="0" percent="0" rank="0" text="" dxfId="26">
      <formula>$C$121</formula>
    </cfRule>
    <cfRule type="cellIs" priority="29" operator="equal" aboveAverage="0" equalAverage="0" bottom="0" percent="0" rank="0" text="" dxfId="27">
      <formula>$C$120</formula>
    </cfRule>
  </conditionalFormatting>
  <conditionalFormatting sqref="G46">
    <cfRule type="cellIs" priority="30" operator="equal" aboveAverage="0" equalAverage="0" bottom="0" percent="0" rank="0" text="" dxfId="28">
      <formula>$C$121</formula>
    </cfRule>
    <cfRule type="cellIs" priority="31" operator="equal" aboveAverage="0" equalAverage="0" bottom="0" percent="0" rank="0" text="" dxfId="29">
      <formula>$C$120</formula>
    </cfRule>
  </conditionalFormatting>
  <conditionalFormatting sqref="G50">
    <cfRule type="cellIs" priority="32" operator="equal" aboveAverage="0" equalAverage="0" bottom="0" percent="0" rank="0" text="" dxfId="30">
      <formula>$C$121</formula>
    </cfRule>
    <cfRule type="cellIs" priority="33" operator="equal" aboveAverage="0" equalAverage="0" bottom="0" percent="0" rank="0" text="" dxfId="31">
      <formula>$C$120</formula>
    </cfRule>
  </conditionalFormatting>
  <conditionalFormatting sqref="G52">
    <cfRule type="cellIs" priority="34" operator="equal" aboveAverage="0" equalAverage="0" bottom="0" percent="0" rank="0" text="" dxfId="32">
      <formula>$C$121</formula>
    </cfRule>
    <cfRule type="cellIs" priority="35" operator="equal" aboveAverage="0" equalAverage="0" bottom="0" percent="0" rank="0" text="" dxfId="33">
      <formula>$C$120</formula>
    </cfRule>
  </conditionalFormatting>
  <conditionalFormatting sqref="G131">
    <cfRule type="cellIs" priority="36" operator="equal" aboveAverage="0" equalAverage="0" bottom="0" percent="0" rank="0" text="" dxfId="34">
      <formula>$C$121</formula>
    </cfRule>
    <cfRule type="cellIs" priority="37" operator="equal" aboveAverage="0" equalAverage="0" bottom="0" percent="0" rank="0" text="" dxfId="35">
      <formula>$C$120</formula>
    </cfRule>
  </conditionalFormatting>
  <conditionalFormatting sqref="G129">
    <cfRule type="cellIs" priority="38" operator="equal" aboveAverage="0" equalAverage="0" bottom="0" percent="0" rank="0" text="" dxfId="36">
      <formula>$C$121</formula>
    </cfRule>
    <cfRule type="cellIs" priority="39" operator="equal" aboveAverage="0" equalAverage="0" bottom="0" percent="0" rank="0" text="" dxfId="37">
      <formula>$C$120</formula>
    </cfRule>
  </conditionalFormatting>
  <conditionalFormatting sqref="G125">
    <cfRule type="cellIs" priority="40" operator="equal" aboveAverage="0" equalAverage="0" bottom="0" percent="0" rank="0" text="" dxfId="38">
      <formula>$C$121</formula>
    </cfRule>
    <cfRule type="cellIs" priority="41" operator="equal" aboveAverage="0" equalAverage="0" bottom="0" percent="0" rank="0" text="" dxfId="39">
      <formula>$C$120</formula>
    </cfRule>
  </conditionalFormatting>
  <conditionalFormatting sqref="G123">
    <cfRule type="cellIs" priority="42" operator="equal" aboveAverage="0" equalAverage="0" bottom="0" percent="0" rank="0" text="" dxfId="40">
      <formula>$C$121</formula>
    </cfRule>
    <cfRule type="cellIs" priority="43" operator="equal" aboveAverage="0" equalAverage="0" bottom="0" percent="0" rank="0" text="" dxfId="41">
      <formula>$C$120</formula>
    </cfRule>
  </conditionalFormatting>
  <conditionalFormatting sqref="G56">
    <cfRule type="cellIs" priority="44" operator="equal" aboveAverage="0" equalAverage="0" bottom="0" percent="0" rank="0" text="" dxfId="42">
      <formula>$C$121</formula>
    </cfRule>
    <cfRule type="cellIs" priority="45" operator="equal" aboveAverage="0" equalAverage="0" bottom="0" percent="0" rank="0" text="" dxfId="43">
      <formula>$C$120</formula>
    </cfRule>
  </conditionalFormatting>
  <conditionalFormatting sqref="G58">
    <cfRule type="cellIs" priority="46" operator="equal" aboveAverage="0" equalAverage="0" bottom="0" percent="0" rank="0" text="" dxfId="44">
      <formula>$C$121</formula>
    </cfRule>
    <cfRule type="cellIs" priority="47" operator="equal" aboveAverage="0" equalAverage="0" bottom="0" percent="0" rank="0" text="" dxfId="45">
      <formula>$C$120</formula>
    </cfRule>
  </conditionalFormatting>
  <conditionalFormatting sqref="G60">
    <cfRule type="cellIs" priority="48" operator="equal" aboveAverage="0" equalAverage="0" bottom="0" percent="0" rank="0" text="" dxfId="46">
      <formula>$C$121</formula>
    </cfRule>
    <cfRule type="cellIs" priority="49" operator="equal" aboveAverage="0" equalAverage="0" bottom="0" percent="0" rank="0" text="" dxfId="47">
      <formula>$C$120</formula>
    </cfRule>
  </conditionalFormatting>
  <conditionalFormatting sqref="G66">
    <cfRule type="cellIs" priority="50" operator="equal" aboveAverage="0" equalAverage="0" bottom="0" percent="0" rank="0" text="" dxfId="48">
      <formula>$C$121</formula>
    </cfRule>
    <cfRule type="cellIs" priority="51" operator="equal" aboveAverage="0" equalAverage="0" bottom="0" percent="0" rank="0" text="" dxfId="49">
      <formula>$C$120</formula>
    </cfRule>
  </conditionalFormatting>
  <conditionalFormatting sqref="G70">
    <cfRule type="cellIs" priority="52" operator="equal" aboveAverage="0" equalAverage="0" bottom="0" percent="0" rank="0" text="" dxfId="50">
      <formula>$C$121</formula>
    </cfRule>
    <cfRule type="cellIs" priority="53" operator="equal" aboveAverage="0" equalAverage="0" bottom="0" percent="0" rank="0" text="" dxfId="51">
      <formula>$C$120</formula>
    </cfRule>
  </conditionalFormatting>
  <conditionalFormatting sqref="G74">
    <cfRule type="cellIs" priority="54" operator="equal" aboveAverage="0" equalAverage="0" bottom="0" percent="0" rank="0" text="" dxfId="52">
      <formula>$C$121</formula>
    </cfRule>
    <cfRule type="cellIs" priority="55" operator="equal" aboveAverage="0" equalAverage="0" bottom="0" percent="0" rank="0" text="" dxfId="53">
      <formula>$C$120</formula>
    </cfRule>
  </conditionalFormatting>
  <conditionalFormatting sqref="G78">
    <cfRule type="cellIs" priority="56" operator="equal" aboveAverage="0" equalAverage="0" bottom="0" percent="0" rank="0" text="" dxfId="54">
      <formula>$C$121</formula>
    </cfRule>
    <cfRule type="cellIs" priority="57" operator="equal" aboveAverage="0" equalAverage="0" bottom="0" percent="0" rank="0" text="" dxfId="55">
      <formula>$C$120</formula>
    </cfRule>
  </conditionalFormatting>
  <conditionalFormatting sqref="G84">
    <cfRule type="cellIs" priority="58" operator="equal" aboveAverage="0" equalAverage="0" bottom="0" percent="0" rank="0" text="" dxfId="56">
      <formula>$C$121</formula>
    </cfRule>
    <cfRule type="cellIs" priority="59" operator="equal" aboveAverage="0" equalAverage="0" bottom="0" percent="0" rank="0" text="" dxfId="57">
      <formula>$C$120</formula>
    </cfRule>
  </conditionalFormatting>
  <conditionalFormatting sqref="G88">
    <cfRule type="cellIs" priority="60" operator="equal" aboveAverage="0" equalAverage="0" bottom="0" percent="0" rank="0" text="" dxfId="58">
      <formula>$C$121</formula>
    </cfRule>
    <cfRule type="cellIs" priority="61" operator="equal" aboveAverage="0" equalAverage="0" bottom="0" percent="0" rank="0" text="" dxfId="59">
      <formula>$C$120</formula>
    </cfRule>
  </conditionalFormatting>
  <conditionalFormatting sqref="G92">
    <cfRule type="cellIs" priority="62" operator="equal" aboveAverage="0" equalAverage="0" bottom="0" percent="0" rank="0" text="" dxfId="60">
      <formula>$C$121</formula>
    </cfRule>
    <cfRule type="cellIs" priority="63" operator="equal" aboveAverage="0" equalAverage="0" bottom="0" percent="0" rank="0" text="" dxfId="61">
      <formula>$C$120</formula>
    </cfRule>
  </conditionalFormatting>
  <conditionalFormatting sqref="G98">
    <cfRule type="cellIs" priority="64" operator="equal" aboveAverage="0" equalAverage="0" bottom="0" percent="0" rank="0" text="" dxfId="62">
      <formula>$C$121</formula>
    </cfRule>
    <cfRule type="cellIs" priority="65" operator="equal" aboveAverage="0" equalAverage="0" bottom="0" percent="0" rank="0" text="" dxfId="63">
      <formula>$C$120</formula>
    </cfRule>
  </conditionalFormatting>
  <conditionalFormatting sqref="G100">
    <cfRule type="cellIs" priority="66" operator="equal" aboveAverage="0" equalAverage="0" bottom="0" percent="0" rank="0" text="" dxfId="64">
      <formula>$C$121</formula>
    </cfRule>
    <cfRule type="cellIs" priority="67" operator="equal" aboveAverage="0" equalAverage="0" bottom="0" percent="0" rank="0" text="" dxfId="65">
      <formula>$C$120</formula>
    </cfRule>
  </conditionalFormatting>
  <conditionalFormatting sqref="G102">
    <cfRule type="cellIs" priority="68" operator="equal" aboveAverage="0" equalAverage="0" bottom="0" percent="0" rank="0" text="" dxfId="66">
      <formula>$C$121</formula>
    </cfRule>
    <cfRule type="cellIs" priority="69" operator="equal" aboveAverage="0" equalAverage="0" bottom="0" percent="0" rank="0" text="" dxfId="67">
      <formula>$C$120</formula>
    </cfRule>
  </conditionalFormatting>
  <conditionalFormatting sqref="G104">
    <cfRule type="cellIs" priority="70" operator="equal" aboveAverage="0" equalAverage="0" bottom="0" percent="0" rank="0" text="" dxfId="68">
      <formula>$C$121</formula>
    </cfRule>
    <cfRule type="cellIs" priority="71" operator="equal" aboveAverage="0" equalAverage="0" bottom="0" percent="0" rank="0" text="" dxfId="69">
      <formula>$C$120</formula>
    </cfRule>
  </conditionalFormatting>
  <conditionalFormatting sqref="G106">
    <cfRule type="cellIs" priority="72" operator="equal" aboveAverage="0" equalAverage="0" bottom="0" percent="0" rank="0" text="" dxfId="70">
      <formula>$C$121</formula>
    </cfRule>
    <cfRule type="cellIs" priority="73" operator="equal" aboveAverage="0" equalAverage="0" bottom="0" percent="0" rank="0" text="" dxfId="71">
      <formula>$C$120</formula>
    </cfRule>
  </conditionalFormatting>
  <conditionalFormatting sqref="G108">
    <cfRule type="cellIs" priority="74" operator="equal" aboveAverage="0" equalAverage="0" bottom="0" percent="0" rank="0" text="" dxfId="72">
      <formula>$C$121</formula>
    </cfRule>
    <cfRule type="cellIs" priority="75" operator="equal" aboveAverage="0" equalAverage="0" bottom="0" percent="0" rank="0" text="" dxfId="73">
      <formula>$C$120</formula>
    </cfRule>
  </conditionalFormatting>
  <conditionalFormatting sqref="G112">
    <cfRule type="cellIs" priority="76" operator="equal" aboveAverage="0" equalAverage="0" bottom="0" percent="0" rank="0" text="" dxfId="74">
      <formula>$C$121</formula>
    </cfRule>
    <cfRule type="cellIs" priority="77" operator="equal" aboveAverage="0" equalAverage="0" bottom="0" percent="0" rank="0" text="" dxfId="75">
      <formula>$C$120</formula>
    </cfRule>
  </conditionalFormatting>
  <conditionalFormatting sqref="G116">
    <cfRule type="cellIs" priority="78" operator="equal" aboveAverage="0" equalAverage="0" bottom="0" percent="0" rank="0" text="" dxfId="76">
      <formula>$C$121</formula>
    </cfRule>
    <cfRule type="cellIs" priority="79" operator="equal" aboveAverage="0" equalAverage="0" bottom="0" percent="0" rank="0" text="" dxfId="77">
      <formula>$C$120</formula>
    </cfRule>
  </conditionalFormatting>
  <dataValidations count="2">
    <dataValidation allowBlank="true" operator="between" showDropDown="false" showErrorMessage="true" showInputMessage="true" sqref="G18 G24 G26 G28 G30 G32 G34 G36 G38 G40 G44 G46 G50 G52 G56 G58 G60 G66 G70 G74 G78 G84 G88 G92 G98 G100 G102 G104 G106 G108 G112 G116 G123 G125 G129 G131 G133" type="list">
      <formula1>"✓,X,N/A"</formula1>
      <formula2>0</formula2>
    </dataValidation>
    <dataValidation allowBlank="true" operator="between" showDropDown="false" showErrorMessage="true" showInputMessage="true" sqref="E10:H10" type="list">
      <formula1>"International Standard,European Standard,National Standard,Specification Identified by MSP,Generic Specification,Member State Recommendation"</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59"/>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D95" activeCellId="0" sqref="D95"/>
    </sheetView>
  </sheetViews>
  <sheetFormatPr defaultColWidth="9.15625" defaultRowHeight="15" zeroHeight="true" outlineLevelRow="0" outlineLevelCol="0"/>
  <cols>
    <col collapsed="false" customWidth="false" hidden="true" outlineLevel="0" max="1" min="1" style="0" width="9.14"/>
    <col collapsed="false" customWidth="true" hidden="false" outlineLevel="0" max="2" min="2" style="0" width="2.71"/>
    <col collapsed="false" customWidth="true" hidden="false" outlineLevel="0" max="3" min="3" style="0" width="6.57"/>
    <col collapsed="false" customWidth="true" hidden="false" outlineLevel="0" max="4" min="4" style="0" width="47.28"/>
    <col collapsed="false" customWidth="true" hidden="false" outlineLevel="0" max="5" min="5" style="0" width="2.29"/>
    <col collapsed="false" customWidth="true" hidden="false" outlineLevel="0" max="6" min="6" style="0" width="39.14"/>
    <col collapsed="false" customWidth="true" hidden="false" outlineLevel="0" max="7" min="7" style="0" width="2.71"/>
    <col collapsed="false" customWidth="false" hidden="false" outlineLevel="0" max="8" min="8" style="321" width="9.14"/>
    <col collapsed="false" customWidth="true" hidden="false" outlineLevel="0" max="9" min="9" style="0" width="2.71"/>
    <col collapsed="false" customWidth="true" hidden="false" outlineLevel="0" max="10" min="10" style="0" width="64.28"/>
    <col collapsed="false" customWidth="true" hidden="false" outlineLevel="0" max="11" min="11" style="0" width="2.71"/>
    <col collapsed="false" customWidth="false" hidden="true" outlineLevel="0" max="1024" min="12" style="0" width="9.14"/>
  </cols>
  <sheetData>
    <row r="1" customFormat="false" ht="15" hidden="false" customHeight="false" outlineLevel="0" collapsed="false">
      <c r="A1" s="322"/>
      <c r="B1" s="323"/>
      <c r="C1" s="323"/>
      <c r="D1" s="324"/>
      <c r="E1" s="325"/>
      <c r="F1" s="325"/>
      <c r="G1" s="325"/>
      <c r="H1" s="323"/>
      <c r="I1" s="323"/>
      <c r="J1" s="326"/>
      <c r="K1" s="327"/>
    </row>
    <row r="2" customFormat="false" ht="15" hidden="false" customHeight="true" outlineLevel="0" collapsed="false">
      <c r="A2" s="328"/>
      <c r="B2" s="58"/>
      <c r="C2" s="58"/>
      <c r="D2" s="329" t="s">
        <v>130</v>
      </c>
      <c r="E2" s="330"/>
      <c r="F2" s="331" t="s">
        <v>330</v>
      </c>
      <c r="G2" s="331"/>
      <c r="H2" s="331"/>
      <c r="I2" s="331"/>
      <c r="J2" s="332"/>
      <c r="K2" s="333"/>
    </row>
    <row r="3" customFormat="false" ht="8.1" hidden="false" customHeight="true" outlineLevel="0" collapsed="false">
      <c r="A3" s="328"/>
      <c r="B3" s="58"/>
      <c r="C3" s="58"/>
      <c r="D3" s="179"/>
      <c r="E3" s="330"/>
      <c r="F3" s="58"/>
      <c r="G3" s="58"/>
      <c r="H3" s="58"/>
      <c r="I3" s="58"/>
      <c r="J3" s="332"/>
      <c r="K3" s="333"/>
    </row>
    <row r="4" customFormat="false" ht="15" hidden="false" customHeight="false" outlineLevel="0" collapsed="false">
      <c r="A4" s="328"/>
      <c r="B4" s="58"/>
      <c r="C4" s="58"/>
      <c r="D4" s="329" t="s">
        <v>132</v>
      </c>
      <c r="E4" s="330"/>
      <c r="F4" s="334"/>
      <c r="G4" s="334"/>
      <c r="H4" s="334"/>
      <c r="I4" s="334"/>
      <c r="J4" s="332"/>
      <c r="K4" s="333"/>
    </row>
    <row r="5" customFormat="false" ht="8.1" hidden="false" customHeight="true" outlineLevel="0" collapsed="false">
      <c r="A5" s="328"/>
      <c r="B5" s="58"/>
      <c r="C5" s="58"/>
      <c r="D5" s="179"/>
      <c r="E5" s="330"/>
      <c r="F5" s="58"/>
      <c r="G5" s="58"/>
      <c r="H5" s="58"/>
      <c r="I5" s="58"/>
      <c r="J5" s="332"/>
      <c r="K5" s="333"/>
    </row>
    <row r="6" customFormat="false" ht="15" hidden="true" customHeight="false" outlineLevel="0" collapsed="false">
      <c r="A6" s="328"/>
      <c r="B6" s="58"/>
      <c r="C6" s="58"/>
      <c r="D6" s="179"/>
      <c r="E6" s="330"/>
      <c r="F6" s="335"/>
      <c r="G6" s="335"/>
      <c r="H6" s="335"/>
      <c r="I6" s="335"/>
      <c r="J6" s="332"/>
      <c r="K6" s="333"/>
    </row>
    <row r="7" customFormat="false" ht="15" hidden="true" customHeight="true" outlineLevel="0" collapsed="false">
      <c r="A7" s="328"/>
      <c r="B7" s="58"/>
      <c r="C7" s="58"/>
      <c r="D7" s="179"/>
      <c r="E7" s="330"/>
      <c r="F7" s="58"/>
      <c r="G7" s="58"/>
      <c r="H7" s="58"/>
      <c r="I7" s="58"/>
      <c r="J7" s="332"/>
      <c r="K7" s="333"/>
    </row>
    <row r="8" customFormat="false" ht="15" hidden="false" customHeight="true" outlineLevel="0" collapsed="false">
      <c r="A8" s="328"/>
      <c r="B8" s="58"/>
      <c r="C8" s="58"/>
      <c r="D8" s="329" t="s">
        <v>34</v>
      </c>
      <c r="E8" s="330"/>
      <c r="F8" s="331" t="s">
        <v>331</v>
      </c>
      <c r="G8" s="331"/>
      <c r="H8" s="331"/>
      <c r="I8" s="331"/>
      <c r="J8" s="332"/>
      <c r="K8" s="333"/>
    </row>
    <row r="9" customFormat="false" ht="8.1" hidden="false" customHeight="true" outlineLevel="0" collapsed="false">
      <c r="A9" s="328"/>
      <c r="B9" s="58"/>
      <c r="C9" s="58"/>
      <c r="D9" s="179"/>
      <c r="E9" s="330"/>
      <c r="F9" s="58"/>
      <c r="G9" s="58"/>
      <c r="H9" s="58"/>
      <c r="I9" s="58"/>
      <c r="J9" s="332"/>
      <c r="K9" s="333"/>
    </row>
    <row r="10" customFormat="false" ht="15" hidden="false" customHeight="false" outlineLevel="0" collapsed="false">
      <c r="A10" s="328"/>
      <c r="B10" s="58"/>
      <c r="C10" s="336"/>
      <c r="D10" s="329" t="s">
        <v>332</v>
      </c>
      <c r="E10" s="330"/>
      <c r="F10" s="331"/>
      <c r="G10" s="331"/>
      <c r="H10" s="331"/>
      <c r="I10" s="331"/>
      <c r="J10" s="332"/>
      <c r="K10" s="333"/>
    </row>
    <row r="11" customFormat="false" ht="15" hidden="false" customHeight="false" outlineLevel="0" collapsed="false">
      <c r="A11" s="337"/>
      <c r="B11" s="117"/>
      <c r="C11" s="117"/>
      <c r="D11" s="117"/>
      <c r="E11" s="338"/>
      <c r="F11" s="338"/>
      <c r="G11" s="338"/>
      <c r="H11" s="339"/>
      <c r="I11" s="117"/>
      <c r="J11" s="340"/>
      <c r="K11" s="341"/>
    </row>
    <row r="12" customFormat="false" ht="15.75" hidden="false" customHeight="false" outlineLevel="0" collapsed="false">
      <c r="A12" s="342"/>
      <c r="B12" s="343"/>
      <c r="C12" s="62" t="s">
        <v>95</v>
      </c>
      <c r="D12" s="179" t="s">
        <v>123</v>
      </c>
      <c r="E12" s="344"/>
      <c r="F12" s="344"/>
      <c r="G12" s="344"/>
      <c r="H12" s="179" t="s">
        <v>124</v>
      </c>
      <c r="I12" s="344"/>
      <c r="J12" s="345" t="s">
        <v>125</v>
      </c>
      <c r="K12" s="346"/>
    </row>
    <row r="13" s="351" customFormat="true" ht="15" hidden="false" customHeight="false" outlineLevel="0" collapsed="false">
      <c r="A13" s="347"/>
      <c r="B13" s="348"/>
      <c r="C13" s="348"/>
      <c r="D13" s="349" t="s">
        <v>134</v>
      </c>
      <c r="E13" s="348"/>
      <c r="F13" s="348"/>
      <c r="G13" s="348"/>
      <c r="H13" s="350"/>
      <c r="I13" s="348"/>
      <c r="J13" s="348"/>
      <c r="K13" s="348"/>
    </row>
    <row r="14" customFormat="false" ht="15" hidden="false" customHeight="false" outlineLevel="0" collapsed="false">
      <c r="A14" s="352"/>
      <c r="B14" s="58"/>
      <c r="C14" s="58"/>
      <c r="D14" s="353"/>
      <c r="E14" s="56"/>
      <c r="F14" s="56"/>
      <c r="G14" s="56"/>
      <c r="H14" s="72"/>
      <c r="I14" s="56"/>
      <c r="J14" s="354"/>
      <c r="K14" s="333"/>
    </row>
    <row r="15" customFormat="false" ht="33.75" hidden="false" customHeight="true" outlineLevel="0" collapsed="false">
      <c r="A15" s="352"/>
      <c r="B15" s="56"/>
      <c r="C15" s="162" t="s">
        <v>135</v>
      </c>
      <c r="D15" s="355" t="s">
        <v>333</v>
      </c>
      <c r="E15" s="355"/>
      <c r="F15" s="355"/>
      <c r="G15" s="56"/>
      <c r="H15" s="164"/>
      <c r="I15" s="56"/>
      <c r="J15" s="275"/>
      <c r="K15" s="333"/>
      <c r="N15" s="87" t="s">
        <v>37</v>
      </c>
    </row>
    <row r="16" customFormat="false" ht="15" hidden="false" customHeight="false" outlineLevel="0" collapsed="false">
      <c r="A16" s="352"/>
      <c r="B16" s="139"/>
      <c r="C16" s="356"/>
      <c r="D16" s="139"/>
      <c r="E16" s="139"/>
      <c r="F16" s="139"/>
      <c r="G16" s="139"/>
      <c r="H16" s="141"/>
      <c r="I16" s="139"/>
      <c r="J16" s="357"/>
      <c r="K16" s="358"/>
    </row>
    <row r="17" customFormat="false" ht="33.75" hidden="false" customHeight="true" outlineLevel="0" collapsed="false">
      <c r="A17" s="352"/>
      <c r="B17" s="56"/>
      <c r="C17" s="359" t="s">
        <v>137</v>
      </c>
      <c r="D17" s="163" t="s">
        <v>334</v>
      </c>
      <c r="E17" s="163"/>
      <c r="F17" s="163"/>
      <c r="G17" s="56"/>
      <c r="H17" s="164"/>
      <c r="I17" s="56"/>
      <c r="J17" s="275"/>
      <c r="K17" s="333"/>
      <c r="N17" s="87" t="s">
        <v>37</v>
      </c>
    </row>
    <row r="18" customFormat="false" ht="15" hidden="false" customHeight="false" outlineLevel="0" collapsed="false">
      <c r="A18" s="352"/>
      <c r="B18" s="56"/>
      <c r="C18" s="359"/>
      <c r="D18" s="139"/>
      <c r="E18" s="139"/>
      <c r="F18" s="139"/>
      <c r="G18" s="56"/>
      <c r="H18" s="72"/>
      <c r="I18" s="56"/>
      <c r="J18" s="357"/>
      <c r="K18" s="360"/>
    </row>
    <row r="19" customFormat="false" ht="33.75" hidden="false" customHeight="true" outlineLevel="0" collapsed="false">
      <c r="A19" s="352"/>
      <c r="B19" s="56"/>
      <c r="C19" s="359" t="s">
        <v>139</v>
      </c>
      <c r="D19" s="361" t="s">
        <v>335</v>
      </c>
      <c r="E19" s="361"/>
      <c r="F19" s="361"/>
      <c r="G19" s="56"/>
      <c r="H19" s="164"/>
      <c r="I19" s="56"/>
      <c r="J19" s="275"/>
      <c r="K19" s="360"/>
      <c r="N19" s="87" t="s">
        <v>37</v>
      </c>
    </row>
    <row r="20" customFormat="false" ht="15" hidden="false" customHeight="false" outlineLevel="0" collapsed="false">
      <c r="A20" s="352"/>
      <c r="B20" s="56"/>
      <c r="C20" s="359"/>
      <c r="D20" s="139"/>
      <c r="E20" s="139"/>
      <c r="F20" s="139"/>
      <c r="G20" s="56"/>
      <c r="H20" s="72"/>
      <c r="I20" s="56"/>
      <c r="J20" s="357"/>
      <c r="K20" s="360"/>
    </row>
    <row r="21" customFormat="false" ht="33.75" hidden="false" customHeight="true" outlineLevel="0" collapsed="false">
      <c r="A21" s="352"/>
      <c r="B21" s="56"/>
      <c r="C21" s="359" t="s">
        <v>142</v>
      </c>
      <c r="D21" s="163" t="s">
        <v>336</v>
      </c>
      <c r="E21" s="163"/>
      <c r="F21" s="163"/>
      <c r="G21" s="56"/>
      <c r="H21" s="164"/>
      <c r="I21" s="56"/>
      <c r="J21" s="275"/>
      <c r="K21" s="360"/>
      <c r="N21" s="87" t="s">
        <v>37</v>
      </c>
    </row>
    <row r="22" customFormat="false" ht="15" hidden="false" customHeight="false" outlineLevel="0" collapsed="false">
      <c r="A22" s="352"/>
      <c r="B22" s="56"/>
      <c r="C22" s="359"/>
      <c r="D22" s="139"/>
      <c r="E22" s="139"/>
      <c r="F22" s="139"/>
      <c r="G22" s="56"/>
      <c r="H22" s="72"/>
      <c r="I22" s="56"/>
      <c r="J22" s="357"/>
      <c r="K22" s="360"/>
    </row>
    <row r="23" customFormat="false" ht="33.75" hidden="false" customHeight="true" outlineLevel="0" collapsed="false">
      <c r="A23" s="352"/>
      <c r="B23" s="56"/>
      <c r="C23" s="359" t="s">
        <v>144</v>
      </c>
      <c r="D23" s="163" t="s">
        <v>337</v>
      </c>
      <c r="E23" s="163"/>
      <c r="F23" s="163"/>
      <c r="G23" s="56"/>
      <c r="H23" s="164"/>
      <c r="I23" s="56"/>
      <c r="J23" s="275"/>
      <c r="K23" s="360"/>
      <c r="N23" s="87" t="s">
        <v>37</v>
      </c>
    </row>
    <row r="24" customFormat="false" ht="15" hidden="false" customHeight="false" outlineLevel="0" collapsed="false">
      <c r="A24" s="352"/>
      <c r="B24" s="56"/>
      <c r="C24" s="359"/>
      <c r="D24" s="139"/>
      <c r="E24" s="139"/>
      <c r="F24" s="139"/>
      <c r="G24" s="56"/>
      <c r="H24" s="72"/>
      <c r="I24" s="56"/>
      <c r="J24" s="357"/>
      <c r="K24" s="360"/>
    </row>
    <row r="25" customFormat="false" ht="33.75" hidden="false" customHeight="true" outlineLevel="0" collapsed="false">
      <c r="A25" s="352"/>
      <c r="B25" s="56"/>
      <c r="C25" s="359" t="s">
        <v>152</v>
      </c>
      <c r="D25" s="163" t="s">
        <v>338</v>
      </c>
      <c r="E25" s="163"/>
      <c r="F25" s="163"/>
      <c r="G25" s="56"/>
      <c r="H25" s="164"/>
      <c r="I25" s="56"/>
      <c r="J25" s="275"/>
      <c r="K25" s="360"/>
      <c r="N25" s="87" t="s">
        <v>37</v>
      </c>
    </row>
    <row r="26" customFormat="false" ht="15" hidden="false" customHeight="false" outlineLevel="0" collapsed="false">
      <c r="A26" s="352"/>
      <c r="B26" s="56"/>
      <c r="C26" s="362"/>
      <c r="D26" s="139"/>
      <c r="E26" s="139"/>
      <c r="F26" s="139"/>
      <c r="G26" s="56"/>
      <c r="H26" s="72"/>
      <c r="I26" s="56"/>
      <c r="J26" s="357"/>
      <c r="K26" s="360"/>
    </row>
    <row r="27" customFormat="false" ht="15" hidden="false" customHeight="true" outlineLevel="0" collapsed="false">
      <c r="A27" s="352"/>
      <c r="B27" s="56"/>
      <c r="C27" s="359" t="s">
        <v>155</v>
      </c>
      <c r="D27" s="163" t="s">
        <v>339</v>
      </c>
      <c r="E27" s="163"/>
      <c r="F27" s="163"/>
      <c r="G27" s="56"/>
      <c r="H27" s="164"/>
      <c r="I27" s="56"/>
      <c r="J27" s="275"/>
      <c r="K27" s="360"/>
    </row>
    <row r="28" customFormat="false" ht="15" hidden="false" customHeight="false" outlineLevel="0" collapsed="false">
      <c r="A28" s="352"/>
      <c r="B28" s="56"/>
      <c r="C28" s="56"/>
      <c r="D28" s="139"/>
      <c r="E28" s="139"/>
      <c r="F28" s="139"/>
      <c r="G28" s="56"/>
      <c r="H28" s="72"/>
      <c r="I28" s="56"/>
      <c r="J28" s="357"/>
      <c r="K28" s="360"/>
    </row>
    <row r="29" customFormat="false" ht="15" hidden="false" customHeight="false" outlineLevel="0" collapsed="false">
      <c r="A29" s="352"/>
      <c r="B29" s="83"/>
      <c r="C29" s="83"/>
      <c r="D29" s="167" t="s">
        <v>141</v>
      </c>
      <c r="E29" s="363"/>
      <c r="F29" s="363"/>
      <c r="G29" s="83"/>
      <c r="H29" s="364"/>
      <c r="I29" s="83"/>
      <c r="J29" s="83"/>
      <c r="K29" s="83"/>
      <c r="L29" s="83"/>
      <c r="M29" s="83"/>
      <c r="N29" s="83"/>
      <c r="O29" s="83"/>
    </row>
    <row r="30" customFormat="false" ht="15" hidden="false" customHeight="false" outlineLevel="0" collapsed="false">
      <c r="A30" s="352"/>
      <c r="B30" s="56"/>
      <c r="C30" s="56"/>
      <c r="D30" s="139"/>
      <c r="E30" s="139"/>
      <c r="F30" s="139"/>
      <c r="G30" s="56"/>
      <c r="H30" s="72"/>
      <c r="I30" s="56"/>
      <c r="J30" s="357"/>
      <c r="K30" s="360"/>
    </row>
    <row r="31" customFormat="false" ht="81.75" hidden="false" customHeight="true" outlineLevel="0" collapsed="false">
      <c r="A31" s="352"/>
      <c r="B31" s="56"/>
      <c r="C31" s="72" t="s">
        <v>160</v>
      </c>
      <c r="D31" s="365" t="s">
        <v>340</v>
      </c>
      <c r="E31" s="365"/>
      <c r="F31" s="365"/>
      <c r="G31" s="56"/>
      <c r="H31" s="164"/>
      <c r="I31" s="56"/>
      <c r="J31" s="275"/>
      <c r="K31" s="360"/>
      <c r="M31" s="366" t="s">
        <v>37</v>
      </c>
    </row>
    <row r="32" customFormat="false" ht="15" hidden="false" customHeight="false" outlineLevel="0" collapsed="false">
      <c r="A32" s="352"/>
      <c r="B32" s="56"/>
      <c r="C32" s="72"/>
      <c r="D32" s="169"/>
      <c r="E32" s="139"/>
      <c r="F32" s="139"/>
      <c r="G32" s="56"/>
      <c r="H32" s="72"/>
      <c r="I32" s="56"/>
      <c r="J32" s="357"/>
      <c r="K32" s="360"/>
    </row>
    <row r="33" customFormat="false" ht="33.75" hidden="false" customHeight="true" outlineLevel="0" collapsed="false">
      <c r="A33" s="352"/>
      <c r="B33" s="56"/>
      <c r="C33" s="72" t="s">
        <v>341</v>
      </c>
      <c r="D33" s="163" t="s">
        <v>342</v>
      </c>
      <c r="E33" s="163"/>
      <c r="F33" s="163"/>
      <c r="G33" s="56"/>
      <c r="H33" s="164"/>
      <c r="I33" s="56"/>
      <c r="J33" s="275"/>
      <c r="K33" s="360"/>
      <c r="M33" s="87" t="s">
        <v>37</v>
      </c>
    </row>
    <row r="34" customFormat="false" ht="15" hidden="false" customHeight="false" outlineLevel="0" collapsed="false">
      <c r="A34" s="352"/>
      <c r="B34" s="56"/>
      <c r="C34" s="72"/>
      <c r="D34" s="139"/>
      <c r="E34" s="139"/>
      <c r="F34" s="139"/>
      <c r="G34" s="56"/>
      <c r="H34" s="72"/>
      <c r="I34" s="56"/>
      <c r="J34" s="357"/>
      <c r="K34" s="360"/>
    </row>
    <row r="35" customFormat="false" ht="33.75" hidden="false" customHeight="true" outlineLevel="0" collapsed="false">
      <c r="A35" s="352"/>
      <c r="B35" s="56"/>
      <c r="C35" s="72" t="s">
        <v>343</v>
      </c>
      <c r="D35" s="163" t="s">
        <v>344</v>
      </c>
      <c r="E35" s="163"/>
      <c r="F35" s="163"/>
      <c r="G35" s="56"/>
      <c r="H35" s="164"/>
      <c r="I35" s="56"/>
      <c r="J35" s="275"/>
      <c r="K35" s="360"/>
      <c r="M35" s="87" t="s">
        <v>37</v>
      </c>
    </row>
    <row r="36" customFormat="false" ht="15" hidden="true" customHeight="false" outlineLevel="0" collapsed="false">
      <c r="A36" s="352"/>
      <c r="B36" s="56"/>
      <c r="C36" s="72"/>
      <c r="D36" s="139"/>
      <c r="E36" s="139"/>
      <c r="F36" s="139"/>
      <c r="G36" s="56"/>
      <c r="H36" s="72"/>
      <c r="I36" s="56"/>
      <c r="J36" s="357"/>
      <c r="K36" s="360"/>
    </row>
    <row r="37" customFormat="false" ht="15" hidden="true" customHeight="true" outlineLevel="0" collapsed="false">
      <c r="A37" s="352"/>
      <c r="B37" s="56"/>
      <c r="C37" s="72"/>
      <c r="D37" s="163" t="s">
        <v>345</v>
      </c>
      <c r="E37" s="163"/>
      <c r="F37" s="163"/>
      <c r="G37" s="56"/>
      <c r="H37" s="164"/>
      <c r="I37" s="56"/>
      <c r="J37" s="275"/>
      <c r="K37" s="360"/>
    </row>
    <row r="38" customFormat="false" ht="15" hidden="false" customHeight="false" outlineLevel="0" collapsed="false">
      <c r="A38" s="352"/>
      <c r="B38" s="56"/>
      <c r="C38" s="72"/>
      <c r="D38" s="367"/>
      <c r="E38" s="139"/>
      <c r="F38" s="139"/>
      <c r="G38" s="56"/>
      <c r="H38" s="72"/>
      <c r="I38" s="56"/>
      <c r="J38" s="357"/>
      <c r="K38" s="360"/>
    </row>
    <row r="39" customFormat="false" ht="15" hidden="false" customHeight="true" outlineLevel="0" collapsed="false">
      <c r="A39" s="352"/>
      <c r="B39" s="56"/>
      <c r="C39" s="72" t="s">
        <v>166</v>
      </c>
      <c r="D39" s="163" t="s">
        <v>346</v>
      </c>
      <c r="E39" s="163"/>
      <c r="F39" s="163"/>
      <c r="G39" s="56"/>
      <c r="H39" s="164"/>
      <c r="I39" s="56"/>
      <c r="J39" s="275"/>
      <c r="K39" s="360"/>
    </row>
    <row r="40" customFormat="false" ht="15" hidden="false" customHeight="false" outlineLevel="0" collapsed="false">
      <c r="A40" s="352"/>
      <c r="B40" s="368"/>
      <c r="C40" s="368"/>
      <c r="D40" s="169"/>
      <c r="E40" s="169"/>
      <c r="F40" s="169"/>
      <c r="G40" s="63"/>
      <c r="H40" s="72"/>
      <c r="I40" s="369"/>
      <c r="J40" s="357"/>
      <c r="K40" s="360"/>
    </row>
    <row r="41" customFormat="false" ht="33.75" hidden="false" customHeight="true" outlineLevel="0" collapsed="false">
      <c r="A41" s="352"/>
      <c r="B41" s="56"/>
      <c r="C41" s="72" t="s">
        <v>168</v>
      </c>
      <c r="D41" s="163" t="s">
        <v>347</v>
      </c>
      <c r="E41" s="163"/>
      <c r="F41" s="163"/>
      <c r="G41" s="63"/>
      <c r="H41" s="164"/>
      <c r="I41" s="56"/>
      <c r="J41" s="275"/>
      <c r="K41" s="360"/>
      <c r="M41" s="87" t="s">
        <v>37</v>
      </c>
    </row>
    <row r="42" customFormat="false" ht="15" hidden="false" customHeight="false" outlineLevel="0" collapsed="false">
      <c r="A42" s="352"/>
      <c r="B42" s="56"/>
      <c r="C42" s="56"/>
      <c r="D42" s="139"/>
      <c r="E42" s="139"/>
      <c r="F42" s="139"/>
      <c r="G42" s="63"/>
      <c r="H42" s="72"/>
      <c r="I42" s="56"/>
      <c r="J42" s="357"/>
      <c r="K42" s="360"/>
    </row>
    <row r="43" customFormat="false" ht="33.75" hidden="false" customHeight="true" outlineLevel="0" collapsed="false">
      <c r="A43" s="352"/>
      <c r="B43" s="56"/>
      <c r="C43" s="72" t="s">
        <v>173</v>
      </c>
      <c r="D43" s="163" t="s">
        <v>348</v>
      </c>
      <c r="E43" s="163"/>
      <c r="F43" s="163"/>
      <c r="G43" s="56"/>
      <c r="H43" s="164"/>
      <c r="I43" s="56"/>
      <c r="J43" s="275"/>
      <c r="K43" s="360"/>
      <c r="M43" s="87" t="s">
        <v>37</v>
      </c>
    </row>
    <row r="44" customFormat="false" ht="15" hidden="false" customHeight="false" outlineLevel="0" collapsed="false">
      <c r="A44" s="352"/>
      <c r="B44" s="56"/>
      <c r="C44" s="56"/>
      <c r="D44" s="139"/>
      <c r="E44" s="139"/>
      <c r="F44" s="139"/>
      <c r="G44" s="56"/>
      <c r="H44" s="72"/>
      <c r="I44" s="56"/>
      <c r="J44" s="357"/>
      <c r="K44" s="360"/>
    </row>
    <row r="45" customFormat="false" ht="15" hidden="false" customHeight="false" outlineLevel="0" collapsed="false">
      <c r="A45" s="352"/>
      <c r="B45" s="370"/>
      <c r="C45" s="370"/>
      <c r="D45" s="171" t="s">
        <v>349</v>
      </c>
      <c r="E45" s="370"/>
      <c r="F45" s="370"/>
      <c r="G45" s="370"/>
      <c r="H45" s="371"/>
      <c r="I45" s="370"/>
      <c r="J45" s="370"/>
      <c r="K45" s="370"/>
      <c r="L45" s="370"/>
      <c r="M45" s="370"/>
      <c r="N45" s="370"/>
      <c r="O45" s="370"/>
    </row>
    <row r="46" customFormat="false" ht="15" hidden="false" customHeight="false" outlineLevel="0" collapsed="false">
      <c r="A46" s="352"/>
      <c r="B46" s="56"/>
      <c r="C46" s="56"/>
      <c r="D46" s="139"/>
      <c r="E46" s="139"/>
      <c r="F46" s="139"/>
      <c r="G46" s="56"/>
      <c r="H46" s="72"/>
      <c r="I46" s="56"/>
      <c r="J46" s="357"/>
      <c r="K46" s="360"/>
    </row>
    <row r="47" customFormat="false" ht="15" hidden="false" customHeight="true" outlineLevel="0" collapsed="false">
      <c r="A47" s="352"/>
      <c r="B47" s="56"/>
      <c r="C47" s="72" t="s">
        <v>176</v>
      </c>
      <c r="D47" s="163" t="s">
        <v>350</v>
      </c>
      <c r="E47" s="163"/>
      <c r="F47" s="163"/>
      <c r="G47" s="56"/>
      <c r="H47" s="164"/>
      <c r="I47" s="56"/>
      <c r="J47" s="275"/>
      <c r="K47" s="360"/>
    </row>
    <row r="48" customFormat="false" ht="15" hidden="false" customHeight="false" outlineLevel="0" collapsed="false">
      <c r="A48" s="352"/>
      <c r="B48" s="56"/>
      <c r="C48" s="72"/>
      <c r="D48" s="139"/>
      <c r="E48" s="139"/>
      <c r="F48" s="139"/>
      <c r="G48" s="56"/>
      <c r="H48" s="72"/>
      <c r="I48" s="56"/>
      <c r="J48" s="357"/>
      <c r="K48" s="360"/>
    </row>
    <row r="49" customFormat="false" ht="33.75" hidden="false" customHeight="true" outlineLevel="0" collapsed="false">
      <c r="A49" s="352"/>
      <c r="B49" s="56"/>
      <c r="C49" s="72" t="s">
        <v>179</v>
      </c>
      <c r="D49" s="163" t="s">
        <v>351</v>
      </c>
      <c r="E49" s="163"/>
      <c r="F49" s="163"/>
      <c r="G49" s="56"/>
      <c r="H49" s="164"/>
      <c r="I49" s="56"/>
      <c r="J49" s="275"/>
      <c r="K49" s="360"/>
      <c r="M49" s="87" t="s">
        <v>37</v>
      </c>
    </row>
    <row r="50" customFormat="false" ht="15" hidden="false" customHeight="false" outlineLevel="0" collapsed="false">
      <c r="A50" s="352"/>
      <c r="B50" s="56"/>
      <c r="C50" s="56"/>
      <c r="D50" s="139"/>
      <c r="E50" s="139"/>
      <c r="F50" s="139"/>
      <c r="G50" s="56"/>
      <c r="H50" s="72"/>
      <c r="I50" s="56"/>
      <c r="J50" s="357"/>
      <c r="K50" s="360"/>
    </row>
    <row r="51" customFormat="false" ht="15" hidden="false" customHeight="false" outlineLevel="0" collapsed="false">
      <c r="A51" s="352"/>
      <c r="B51" s="368"/>
      <c r="C51" s="372"/>
      <c r="D51" s="373" t="s">
        <v>215</v>
      </c>
      <c r="E51" s="170"/>
      <c r="F51" s="170"/>
      <c r="G51" s="105"/>
      <c r="H51" s="374"/>
      <c r="I51" s="105"/>
      <c r="J51" s="372"/>
      <c r="K51" s="333"/>
    </row>
    <row r="52" customFormat="false" ht="15" hidden="false" customHeight="false" outlineLevel="0" collapsed="false">
      <c r="A52" s="352"/>
      <c r="B52" s="56"/>
      <c r="C52" s="56"/>
      <c r="D52" s="139"/>
      <c r="E52" s="139"/>
      <c r="F52" s="139"/>
      <c r="G52" s="56"/>
      <c r="H52" s="72"/>
      <c r="I52" s="56"/>
      <c r="J52" s="357"/>
      <c r="K52" s="360"/>
    </row>
    <row r="53" customFormat="false" ht="15" hidden="false" customHeight="true" outlineLevel="0" collapsed="false">
      <c r="A53" s="352"/>
      <c r="B53" s="56"/>
      <c r="C53" s="72" t="s">
        <v>183</v>
      </c>
      <c r="D53" s="163" t="s">
        <v>352</v>
      </c>
      <c r="E53" s="163"/>
      <c r="F53" s="163"/>
      <c r="G53" s="56"/>
      <c r="H53" s="164"/>
      <c r="I53" s="56"/>
      <c r="J53" s="275"/>
      <c r="K53" s="360"/>
    </row>
    <row r="54" customFormat="false" ht="15" hidden="false" customHeight="false" outlineLevel="0" collapsed="false">
      <c r="A54" s="352"/>
      <c r="B54" s="56"/>
      <c r="C54" s="56"/>
      <c r="D54" s="139"/>
      <c r="E54" s="139"/>
      <c r="F54" s="139"/>
      <c r="G54" s="56"/>
      <c r="H54" s="72"/>
      <c r="I54" s="56"/>
      <c r="J54" s="357"/>
      <c r="K54" s="360"/>
    </row>
    <row r="55" customFormat="false" ht="33.75" hidden="false" customHeight="true" outlineLevel="0" collapsed="false">
      <c r="A55" s="352"/>
      <c r="B55" s="56"/>
      <c r="C55" s="72" t="s">
        <v>187</v>
      </c>
      <c r="D55" s="163" t="s">
        <v>353</v>
      </c>
      <c r="E55" s="163"/>
      <c r="F55" s="163"/>
      <c r="G55" s="56"/>
      <c r="H55" s="164"/>
      <c r="I55" s="56"/>
      <c r="J55" s="275"/>
      <c r="K55" s="360"/>
      <c r="M55" s="87" t="s">
        <v>37</v>
      </c>
    </row>
    <row r="56" customFormat="false" ht="15" hidden="false" customHeight="false" outlineLevel="0" collapsed="false">
      <c r="A56" s="352"/>
      <c r="B56" s="56"/>
      <c r="C56" s="56"/>
      <c r="D56" s="139"/>
      <c r="E56" s="139"/>
      <c r="F56" s="139"/>
      <c r="G56" s="56"/>
      <c r="H56" s="72"/>
      <c r="I56" s="56"/>
      <c r="J56" s="357"/>
      <c r="K56" s="360"/>
    </row>
    <row r="57" customFormat="false" ht="15" hidden="false" customHeight="false" outlineLevel="0" collapsed="false">
      <c r="A57" s="352"/>
      <c r="B57" s="368"/>
      <c r="C57" s="372"/>
      <c r="D57" s="373" t="s">
        <v>354</v>
      </c>
      <c r="E57" s="170"/>
      <c r="F57" s="170"/>
      <c r="G57" s="105"/>
      <c r="H57" s="374"/>
      <c r="I57" s="105"/>
      <c r="J57" s="372"/>
      <c r="K57" s="333"/>
    </row>
    <row r="58" customFormat="false" ht="15" hidden="false" customHeight="false" outlineLevel="0" collapsed="false">
      <c r="A58" s="352"/>
      <c r="B58" s="56"/>
      <c r="C58" s="56"/>
      <c r="D58" s="139"/>
      <c r="E58" s="139"/>
      <c r="F58" s="139"/>
      <c r="G58" s="56"/>
      <c r="H58" s="72"/>
      <c r="I58" s="56"/>
      <c r="J58" s="357"/>
      <c r="K58" s="360"/>
    </row>
    <row r="59" customFormat="false" ht="15" hidden="false" customHeight="true" outlineLevel="0" collapsed="false">
      <c r="A59" s="352"/>
      <c r="B59" s="56"/>
      <c r="C59" s="72" t="s">
        <v>191</v>
      </c>
      <c r="D59" s="163" t="s">
        <v>355</v>
      </c>
      <c r="E59" s="163"/>
      <c r="F59" s="163"/>
      <c r="G59" s="56"/>
      <c r="H59" s="164"/>
      <c r="I59" s="56"/>
      <c r="J59" s="275"/>
      <c r="K59" s="360"/>
    </row>
    <row r="60" customFormat="false" ht="15" hidden="false" customHeight="false" outlineLevel="0" collapsed="false">
      <c r="A60" s="352"/>
      <c r="B60" s="56"/>
      <c r="C60" s="56"/>
      <c r="D60" s="139"/>
      <c r="E60" s="139"/>
      <c r="F60" s="139"/>
      <c r="G60" s="56"/>
      <c r="H60" s="72"/>
      <c r="I60" s="56"/>
      <c r="J60" s="357"/>
      <c r="K60" s="360"/>
    </row>
    <row r="61" customFormat="false" ht="15" hidden="false" customHeight="false" outlineLevel="0" collapsed="false">
      <c r="A61" s="352"/>
      <c r="B61" s="368"/>
      <c r="C61" s="372"/>
      <c r="D61" s="373" t="s">
        <v>235</v>
      </c>
      <c r="E61" s="170"/>
      <c r="F61" s="170"/>
      <c r="G61" s="105"/>
      <c r="H61" s="374"/>
      <c r="I61" s="105"/>
      <c r="J61" s="372"/>
      <c r="K61" s="333"/>
    </row>
    <row r="62" customFormat="false" ht="15" hidden="false" customHeight="false" outlineLevel="0" collapsed="false">
      <c r="A62" s="352"/>
      <c r="B62" s="56"/>
      <c r="C62" s="56"/>
      <c r="D62" s="139"/>
      <c r="E62" s="139"/>
      <c r="F62" s="139"/>
      <c r="G62" s="56"/>
      <c r="H62" s="72"/>
      <c r="I62" s="56"/>
      <c r="J62" s="357"/>
      <c r="K62" s="360"/>
    </row>
    <row r="63" customFormat="false" ht="33.75" hidden="false" customHeight="true" outlineLevel="0" collapsed="false">
      <c r="A63" s="352"/>
      <c r="B63" s="56"/>
      <c r="C63" s="72" t="s">
        <v>254</v>
      </c>
      <c r="D63" s="163" t="s">
        <v>356</v>
      </c>
      <c r="E63" s="163"/>
      <c r="F63" s="163"/>
      <c r="G63" s="56"/>
      <c r="H63" s="164"/>
      <c r="I63" s="56"/>
      <c r="J63" s="275"/>
      <c r="K63" s="360"/>
      <c r="M63" s="87" t="s">
        <v>37</v>
      </c>
    </row>
    <row r="64" customFormat="false" ht="15" hidden="false" customHeight="false" outlineLevel="0" collapsed="false">
      <c r="A64" s="352"/>
      <c r="B64" s="56"/>
      <c r="C64" s="56"/>
      <c r="D64" s="139"/>
      <c r="E64" s="139"/>
      <c r="F64" s="139"/>
      <c r="G64" s="56"/>
      <c r="H64" s="72"/>
      <c r="I64" s="56"/>
      <c r="J64" s="357"/>
      <c r="K64" s="360"/>
    </row>
    <row r="65" customFormat="false" ht="33.75" hidden="false" customHeight="true" outlineLevel="0" collapsed="false">
      <c r="A65" s="352"/>
      <c r="B65" s="56"/>
      <c r="C65" s="72" t="s">
        <v>258</v>
      </c>
      <c r="D65" s="163" t="s">
        <v>357</v>
      </c>
      <c r="E65" s="163"/>
      <c r="F65" s="163"/>
      <c r="G65" s="56"/>
      <c r="H65" s="164"/>
      <c r="I65" s="56"/>
      <c r="J65" s="275"/>
      <c r="K65" s="360"/>
      <c r="M65" s="87" t="s">
        <v>37</v>
      </c>
    </row>
    <row r="66" customFormat="false" ht="15" hidden="false" customHeight="false" outlineLevel="0" collapsed="false">
      <c r="A66" s="352"/>
      <c r="B66" s="56"/>
      <c r="C66" s="56"/>
      <c r="D66" s="139"/>
      <c r="E66" s="139"/>
      <c r="F66" s="139"/>
      <c r="G66" s="56"/>
      <c r="H66" s="72"/>
      <c r="I66" s="56"/>
      <c r="J66" s="357"/>
      <c r="K66" s="360"/>
    </row>
    <row r="67" customFormat="false" ht="15" hidden="false" customHeight="true" outlineLevel="0" collapsed="false">
      <c r="A67" s="352"/>
      <c r="B67" s="56"/>
      <c r="C67" s="72" t="s">
        <v>263</v>
      </c>
      <c r="D67" s="163" t="s">
        <v>358</v>
      </c>
      <c r="E67" s="163"/>
      <c r="F67" s="163"/>
      <c r="G67" s="56"/>
      <c r="H67" s="164"/>
      <c r="I67" s="56"/>
      <c r="J67" s="275"/>
      <c r="K67" s="360"/>
    </row>
    <row r="68" customFormat="false" ht="15" hidden="false" customHeight="false" outlineLevel="0" collapsed="false">
      <c r="A68" s="352"/>
      <c r="B68" s="56"/>
      <c r="C68" s="56"/>
      <c r="D68" s="139"/>
      <c r="E68" s="139"/>
      <c r="F68" s="139"/>
      <c r="G68" s="56"/>
      <c r="H68" s="72"/>
      <c r="I68" s="56"/>
      <c r="J68" s="357"/>
      <c r="K68" s="360"/>
    </row>
    <row r="69" customFormat="false" ht="15" hidden="false" customHeight="true" outlineLevel="0" collapsed="false">
      <c r="A69" s="352"/>
      <c r="B69" s="56"/>
      <c r="C69" s="72" t="s">
        <v>267</v>
      </c>
      <c r="D69" s="163" t="s">
        <v>359</v>
      </c>
      <c r="E69" s="163"/>
      <c r="F69" s="163"/>
      <c r="G69" s="56"/>
      <c r="H69" s="164"/>
      <c r="I69" s="56"/>
      <c r="J69" s="275"/>
      <c r="K69" s="360"/>
    </row>
    <row r="70" customFormat="false" ht="15" hidden="false" customHeight="false" outlineLevel="0" collapsed="false">
      <c r="A70" s="352"/>
      <c r="B70" s="56"/>
      <c r="C70" s="56"/>
      <c r="D70" s="139"/>
      <c r="E70" s="139"/>
      <c r="F70" s="139"/>
      <c r="G70" s="56"/>
      <c r="H70" s="72"/>
      <c r="I70" s="56"/>
      <c r="J70" s="357"/>
      <c r="K70" s="360"/>
    </row>
    <row r="71" customFormat="false" ht="15" hidden="false" customHeight="true" outlineLevel="0" collapsed="false">
      <c r="A71" s="352"/>
      <c r="B71" s="56"/>
      <c r="C71" s="72" t="s">
        <v>272</v>
      </c>
      <c r="D71" s="163" t="s">
        <v>360</v>
      </c>
      <c r="E71" s="163"/>
      <c r="F71" s="163"/>
      <c r="G71" s="56"/>
      <c r="H71" s="164"/>
      <c r="I71" s="56"/>
      <c r="J71" s="275"/>
      <c r="K71" s="360"/>
    </row>
    <row r="72" customFormat="false" ht="15" hidden="false" customHeight="false" outlineLevel="0" collapsed="false">
      <c r="A72" s="352"/>
      <c r="B72" s="56"/>
      <c r="C72" s="56"/>
      <c r="D72" s="139"/>
      <c r="E72" s="139"/>
      <c r="F72" s="139"/>
      <c r="G72" s="56"/>
      <c r="H72" s="72"/>
      <c r="I72" s="56"/>
      <c r="J72" s="357"/>
      <c r="K72" s="360"/>
    </row>
    <row r="73" customFormat="false" ht="15" hidden="false" customHeight="true" outlineLevel="0" collapsed="false">
      <c r="A73" s="352"/>
      <c r="B73" s="56"/>
      <c r="C73" s="72" t="s">
        <v>276</v>
      </c>
      <c r="D73" s="163" t="s">
        <v>361</v>
      </c>
      <c r="E73" s="163"/>
      <c r="F73" s="163"/>
      <c r="G73" s="56"/>
      <c r="H73" s="164"/>
      <c r="I73" s="56"/>
      <c r="J73" s="275"/>
      <c r="K73" s="360"/>
    </row>
    <row r="74" customFormat="false" ht="15" hidden="false" customHeight="false" outlineLevel="0" collapsed="false">
      <c r="A74" s="352"/>
      <c r="B74" s="56"/>
      <c r="C74" s="56"/>
      <c r="D74" s="139"/>
      <c r="E74" s="139"/>
      <c r="F74" s="139"/>
      <c r="G74" s="56"/>
      <c r="H74" s="72"/>
      <c r="I74" s="56"/>
      <c r="J74" s="357"/>
      <c r="K74" s="360"/>
    </row>
    <row r="75" customFormat="false" ht="15" hidden="false" customHeight="false" outlineLevel="0" collapsed="false">
      <c r="A75" s="375"/>
      <c r="B75" s="375"/>
      <c r="C75" s="375"/>
      <c r="D75" s="177" t="s">
        <v>362</v>
      </c>
      <c r="E75" s="176"/>
      <c r="F75" s="176"/>
      <c r="G75" s="376"/>
      <c r="H75" s="377"/>
      <c r="I75" s="376"/>
      <c r="J75" s="378"/>
      <c r="K75" s="333"/>
    </row>
    <row r="76" customFormat="false" ht="15" hidden="false" customHeight="false" outlineLevel="0" collapsed="false">
      <c r="A76" s="352"/>
      <c r="B76" s="56"/>
      <c r="C76" s="56"/>
      <c r="D76" s="139"/>
      <c r="E76" s="139"/>
      <c r="F76" s="139"/>
      <c r="G76" s="56"/>
      <c r="H76" s="72"/>
      <c r="I76" s="56"/>
      <c r="J76" s="357"/>
      <c r="K76" s="360"/>
    </row>
    <row r="77" customFormat="false" ht="15" hidden="false" customHeight="false" outlineLevel="0" collapsed="false">
      <c r="A77" s="352"/>
      <c r="B77" s="56"/>
      <c r="C77" s="378"/>
      <c r="D77" s="379" t="s">
        <v>363</v>
      </c>
      <c r="E77" s="176"/>
      <c r="F77" s="176"/>
      <c r="G77" s="380"/>
      <c r="H77" s="377"/>
      <c r="I77" s="380"/>
      <c r="J77" s="378"/>
      <c r="K77" s="360"/>
    </row>
    <row r="78" customFormat="false" ht="15" hidden="false" customHeight="false" outlineLevel="0" collapsed="false">
      <c r="A78" s="352"/>
      <c r="B78" s="56"/>
      <c r="C78" s="56"/>
      <c r="D78" s="139"/>
      <c r="E78" s="139"/>
      <c r="F78" s="139"/>
      <c r="G78" s="56"/>
      <c r="H78" s="72"/>
      <c r="I78" s="56"/>
      <c r="J78" s="357"/>
      <c r="K78" s="360"/>
    </row>
    <row r="79" customFormat="false" ht="15" hidden="false" customHeight="true" outlineLevel="0" collapsed="false">
      <c r="A79" s="352"/>
      <c r="B79" s="56"/>
      <c r="C79" s="72" t="s">
        <v>280</v>
      </c>
      <c r="D79" s="163" t="s">
        <v>364</v>
      </c>
      <c r="E79" s="163"/>
      <c r="F79" s="163"/>
      <c r="G79" s="56"/>
      <c r="H79" s="164"/>
      <c r="I79" s="56"/>
      <c r="J79" s="275"/>
      <c r="K79" s="360"/>
    </row>
    <row r="80" customFormat="false" ht="15" hidden="false" customHeight="false" outlineLevel="0" collapsed="false">
      <c r="A80" s="352"/>
      <c r="B80" s="56"/>
      <c r="C80" s="56"/>
      <c r="D80" s="139"/>
      <c r="E80" s="139"/>
      <c r="F80" s="139"/>
      <c r="G80" s="56"/>
      <c r="H80" s="72"/>
      <c r="I80" s="56"/>
      <c r="J80" s="357"/>
      <c r="K80" s="360"/>
    </row>
    <row r="81" customFormat="false" ht="15" hidden="false" customHeight="true" outlineLevel="0" collapsed="false">
      <c r="A81" s="352"/>
      <c r="B81" s="56"/>
      <c r="C81" s="72" t="s">
        <v>285</v>
      </c>
      <c r="D81" s="163" t="s">
        <v>365</v>
      </c>
      <c r="E81" s="163"/>
      <c r="F81" s="163"/>
      <c r="G81" s="56"/>
      <c r="H81" s="164"/>
      <c r="I81" s="56"/>
      <c r="J81" s="275"/>
      <c r="K81" s="360"/>
    </row>
    <row r="82" customFormat="false" ht="15" hidden="false" customHeight="false" outlineLevel="0" collapsed="false">
      <c r="A82" s="352"/>
      <c r="B82" s="56"/>
      <c r="C82" s="56"/>
      <c r="D82" s="139"/>
      <c r="E82" s="139"/>
      <c r="F82" s="139"/>
      <c r="G82" s="56"/>
      <c r="H82" s="72"/>
      <c r="I82" s="56"/>
      <c r="J82" s="357"/>
      <c r="K82" s="360"/>
    </row>
    <row r="83" customFormat="false" ht="33.75" hidden="false" customHeight="true" outlineLevel="0" collapsed="false">
      <c r="A83" s="352"/>
      <c r="B83" s="56"/>
      <c r="C83" s="72" t="s">
        <v>288</v>
      </c>
      <c r="D83" s="163" t="s">
        <v>366</v>
      </c>
      <c r="E83" s="163"/>
      <c r="F83" s="163"/>
      <c r="G83" s="56"/>
      <c r="H83" s="164"/>
      <c r="I83" s="56"/>
      <c r="J83" s="275"/>
      <c r="K83" s="360"/>
      <c r="M83" s="87" t="s">
        <v>37</v>
      </c>
    </row>
    <row r="84" customFormat="false" ht="15" hidden="false" customHeight="false" outlineLevel="0" collapsed="false">
      <c r="A84" s="352"/>
      <c r="B84" s="56"/>
      <c r="C84" s="56"/>
      <c r="D84" s="139"/>
      <c r="E84" s="139"/>
      <c r="F84" s="139"/>
      <c r="G84" s="56"/>
      <c r="H84" s="72"/>
      <c r="I84" s="56"/>
      <c r="J84" s="357"/>
      <c r="K84" s="360"/>
    </row>
    <row r="85" customFormat="false" ht="15" hidden="false" customHeight="true" outlineLevel="0" collapsed="false">
      <c r="A85" s="352"/>
      <c r="B85" s="56"/>
      <c r="C85" s="72" t="s">
        <v>291</v>
      </c>
      <c r="D85" s="163" t="s">
        <v>367</v>
      </c>
      <c r="E85" s="163"/>
      <c r="F85" s="163"/>
      <c r="G85" s="56"/>
      <c r="H85" s="164"/>
      <c r="I85" s="56"/>
      <c r="J85" s="275"/>
      <c r="K85" s="360"/>
    </row>
    <row r="86" customFormat="false" ht="15" hidden="false" customHeight="false" outlineLevel="0" collapsed="false">
      <c r="A86" s="352"/>
      <c r="B86" s="56"/>
      <c r="C86" s="56"/>
      <c r="D86" s="139"/>
      <c r="E86" s="139"/>
      <c r="F86" s="139"/>
      <c r="G86" s="56"/>
      <c r="H86" s="72"/>
      <c r="I86" s="56"/>
      <c r="J86" s="357"/>
      <c r="K86" s="360"/>
    </row>
    <row r="87" customFormat="false" ht="15" hidden="false" customHeight="false" outlineLevel="0" collapsed="false">
      <c r="A87" s="352"/>
      <c r="B87" s="56"/>
      <c r="C87" s="378"/>
      <c r="D87" s="381" t="s">
        <v>368</v>
      </c>
      <c r="E87" s="176"/>
      <c r="F87" s="176"/>
      <c r="G87" s="380"/>
      <c r="H87" s="377"/>
      <c r="I87" s="380"/>
      <c r="J87" s="378"/>
      <c r="K87" s="360"/>
    </row>
    <row r="88" customFormat="false" ht="15" hidden="false" customHeight="false" outlineLevel="0" collapsed="false">
      <c r="A88" s="352"/>
      <c r="B88" s="56"/>
      <c r="C88" s="56"/>
      <c r="D88" s="139"/>
      <c r="E88" s="139"/>
      <c r="F88" s="139"/>
      <c r="G88" s="56"/>
      <c r="H88" s="72"/>
      <c r="I88" s="56"/>
      <c r="J88" s="357"/>
      <c r="K88" s="360"/>
    </row>
    <row r="89" customFormat="false" ht="15" hidden="false" customHeight="true" outlineLevel="0" collapsed="false">
      <c r="A89" s="352"/>
      <c r="B89" s="56"/>
      <c r="C89" s="72" t="s">
        <v>294</v>
      </c>
      <c r="D89" s="163" t="s">
        <v>369</v>
      </c>
      <c r="E89" s="163"/>
      <c r="F89" s="163"/>
      <c r="G89" s="56"/>
      <c r="H89" s="164"/>
      <c r="I89" s="56"/>
      <c r="J89" s="275"/>
      <c r="K89" s="360"/>
    </row>
    <row r="90" customFormat="false" ht="15" hidden="false" customHeight="false" outlineLevel="0" collapsed="false">
      <c r="A90" s="352"/>
      <c r="B90" s="56"/>
      <c r="C90" s="56"/>
      <c r="D90" s="139"/>
      <c r="E90" s="139"/>
      <c r="F90" s="139"/>
      <c r="G90" s="56"/>
      <c r="H90" s="72"/>
      <c r="I90" s="56"/>
      <c r="J90" s="357"/>
      <c r="K90" s="360"/>
    </row>
    <row r="91" customFormat="false" ht="15" hidden="false" customHeight="false" outlineLevel="0" collapsed="false">
      <c r="A91" s="352"/>
      <c r="B91" s="56"/>
      <c r="C91" s="378"/>
      <c r="D91" s="381" t="s">
        <v>370</v>
      </c>
      <c r="E91" s="176"/>
      <c r="F91" s="176"/>
      <c r="G91" s="380"/>
      <c r="H91" s="377"/>
      <c r="I91" s="380"/>
      <c r="J91" s="378"/>
      <c r="K91" s="360"/>
    </row>
    <row r="92" customFormat="false" ht="15" hidden="false" customHeight="false" outlineLevel="0" collapsed="false">
      <c r="A92" s="352"/>
      <c r="B92" s="56"/>
      <c r="C92" s="72"/>
      <c r="D92" s="139"/>
      <c r="E92" s="139"/>
      <c r="F92" s="139"/>
      <c r="G92" s="56"/>
      <c r="H92" s="72"/>
      <c r="I92" s="56"/>
      <c r="J92" s="357"/>
      <c r="K92" s="360"/>
    </row>
    <row r="93" customFormat="false" ht="33.75" hidden="false" customHeight="true" outlineLevel="0" collapsed="false">
      <c r="A93" s="352"/>
      <c r="B93" s="56"/>
      <c r="C93" s="72" t="s">
        <v>371</v>
      </c>
      <c r="D93" s="163" t="s">
        <v>372</v>
      </c>
      <c r="E93" s="163"/>
      <c r="F93" s="163"/>
      <c r="G93" s="56"/>
      <c r="H93" s="164"/>
      <c r="I93" s="56"/>
      <c r="J93" s="275"/>
      <c r="K93" s="360"/>
      <c r="M93" s="87" t="s">
        <v>37</v>
      </c>
    </row>
    <row r="94" customFormat="false" ht="15" hidden="false" customHeight="false" outlineLevel="0" collapsed="false">
      <c r="A94" s="352"/>
      <c r="B94" s="56"/>
      <c r="C94" s="72"/>
      <c r="D94" s="139"/>
      <c r="E94" s="139"/>
      <c r="F94" s="139"/>
      <c r="G94" s="56"/>
      <c r="H94" s="72"/>
      <c r="I94" s="56"/>
      <c r="J94" s="357"/>
      <c r="K94" s="360"/>
    </row>
    <row r="95" customFormat="false" ht="15" hidden="false" customHeight="true" outlineLevel="0" collapsed="false">
      <c r="A95" s="352"/>
      <c r="B95" s="56"/>
      <c r="C95" s="72" t="s">
        <v>373</v>
      </c>
      <c r="D95" s="163" t="s">
        <v>374</v>
      </c>
      <c r="E95" s="163"/>
      <c r="F95" s="163"/>
      <c r="G95" s="56"/>
      <c r="H95" s="164"/>
      <c r="I95" s="56"/>
      <c r="J95" s="275"/>
      <c r="K95" s="360"/>
    </row>
    <row r="96" customFormat="false" ht="15" hidden="false" customHeight="false" outlineLevel="0" collapsed="false">
      <c r="A96" s="352"/>
      <c r="B96" s="56"/>
      <c r="C96" s="56"/>
      <c r="D96" s="139"/>
      <c r="E96" s="139"/>
      <c r="F96" s="139"/>
      <c r="G96" s="56"/>
      <c r="H96" s="72"/>
      <c r="I96" s="56"/>
      <c r="J96" s="357"/>
      <c r="K96" s="360"/>
    </row>
    <row r="97" customFormat="false" ht="33.75" hidden="false" customHeight="true" outlineLevel="0" collapsed="false">
      <c r="A97" s="352"/>
      <c r="B97" s="56"/>
      <c r="C97" s="72" t="s">
        <v>300</v>
      </c>
      <c r="D97" s="163" t="s">
        <v>375</v>
      </c>
      <c r="E97" s="163"/>
      <c r="F97" s="163"/>
      <c r="G97" s="56"/>
      <c r="H97" s="164"/>
      <c r="I97" s="56"/>
      <c r="J97" s="275"/>
      <c r="K97" s="360"/>
      <c r="M97" s="87" t="s">
        <v>37</v>
      </c>
    </row>
    <row r="98" customFormat="false" ht="15" hidden="false" customHeight="false" outlineLevel="0" collapsed="false">
      <c r="A98" s="352"/>
      <c r="B98" s="56"/>
      <c r="C98" s="56"/>
      <c r="D98" s="139"/>
      <c r="E98" s="139"/>
      <c r="F98" s="139"/>
      <c r="G98" s="56"/>
      <c r="H98" s="72"/>
      <c r="I98" s="56"/>
      <c r="J98" s="357"/>
      <c r="K98" s="360"/>
    </row>
    <row r="99" customFormat="false" ht="15" hidden="false" customHeight="false" outlineLevel="0" collapsed="false">
      <c r="A99" s="352"/>
      <c r="B99" s="56"/>
      <c r="C99" s="378"/>
      <c r="D99" s="379" t="s">
        <v>376</v>
      </c>
      <c r="E99" s="176"/>
      <c r="F99" s="176"/>
      <c r="G99" s="380"/>
      <c r="H99" s="377"/>
      <c r="I99" s="380"/>
      <c r="J99" s="378"/>
      <c r="K99" s="360"/>
    </row>
    <row r="100" customFormat="false" ht="15" hidden="false" customHeight="false" outlineLevel="0" collapsed="false">
      <c r="A100" s="352"/>
      <c r="B100" s="56"/>
      <c r="C100" s="72"/>
      <c r="D100" s="139"/>
      <c r="E100" s="139"/>
      <c r="F100" s="139"/>
      <c r="G100" s="56"/>
      <c r="H100" s="72"/>
      <c r="I100" s="56"/>
      <c r="J100" s="357"/>
      <c r="K100" s="360"/>
    </row>
    <row r="101" customFormat="false" ht="33.75" hidden="false" customHeight="true" outlineLevel="0" collapsed="false">
      <c r="A101" s="352"/>
      <c r="B101" s="56"/>
      <c r="C101" s="72" t="s">
        <v>377</v>
      </c>
      <c r="D101" s="163" t="s">
        <v>378</v>
      </c>
      <c r="E101" s="163"/>
      <c r="F101" s="163"/>
      <c r="G101" s="56"/>
      <c r="H101" s="164"/>
      <c r="I101" s="56"/>
      <c r="J101" s="275"/>
      <c r="K101" s="360"/>
      <c r="M101" s="87" t="s">
        <v>37</v>
      </c>
    </row>
    <row r="102" customFormat="false" ht="15" hidden="false" customHeight="false" outlineLevel="0" collapsed="false">
      <c r="A102" s="352"/>
      <c r="B102" s="56"/>
      <c r="C102" s="72"/>
      <c r="D102" s="139"/>
      <c r="E102" s="139"/>
      <c r="F102" s="139"/>
      <c r="G102" s="56"/>
      <c r="H102" s="72"/>
      <c r="I102" s="56"/>
      <c r="J102" s="357"/>
      <c r="K102" s="360"/>
    </row>
    <row r="103" customFormat="false" ht="51" hidden="false" customHeight="true" outlineLevel="0" collapsed="false">
      <c r="A103" s="352"/>
      <c r="B103" s="56"/>
      <c r="C103" s="72" t="s">
        <v>379</v>
      </c>
      <c r="D103" s="163" t="s">
        <v>380</v>
      </c>
      <c r="E103" s="163"/>
      <c r="F103" s="163"/>
      <c r="G103" s="56"/>
      <c r="H103" s="164"/>
      <c r="I103" s="56"/>
      <c r="J103" s="275"/>
      <c r="K103" s="360"/>
      <c r="M103" s="91" t="s">
        <v>37</v>
      </c>
    </row>
    <row r="104" customFormat="false" ht="15" hidden="false" customHeight="false" outlineLevel="0" collapsed="false">
      <c r="A104" s="352"/>
      <c r="B104" s="56"/>
      <c r="C104" s="56"/>
      <c r="D104" s="139"/>
      <c r="E104" s="139"/>
      <c r="F104" s="139"/>
      <c r="G104" s="56"/>
      <c r="H104" s="72"/>
      <c r="I104" s="56"/>
      <c r="J104" s="357"/>
      <c r="K104" s="360"/>
    </row>
    <row r="105" customFormat="false" ht="15" hidden="false" customHeight="true" outlineLevel="0" collapsed="false">
      <c r="A105" s="352"/>
      <c r="B105" s="56"/>
      <c r="C105" s="72" t="s">
        <v>308</v>
      </c>
      <c r="D105" s="163" t="s">
        <v>381</v>
      </c>
      <c r="E105" s="163"/>
      <c r="F105" s="163"/>
      <c r="G105" s="56"/>
      <c r="H105" s="164"/>
      <c r="I105" s="56"/>
      <c r="J105" s="275"/>
      <c r="K105" s="360"/>
    </row>
    <row r="106" customFormat="false" ht="15" hidden="false" customHeight="false" outlineLevel="0" collapsed="false">
      <c r="A106" s="352"/>
      <c r="B106" s="56"/>
      <c r="C106" s="56"/>
      <c r="D106" s="139"/>
      <c r="E106" s="139"/>
      <c r="F106" s="139"/>
      <c r="G106" s="56"/>
      <c r="H106" s="72"/>
      <c r="I106" s="56"/>
      <c r="J106" s="357"/>
      <c r="K106" s="360"/>
    </row>
    <row r="107" customFormat="false" ht="33.75" hidden="false" customHeight="true" outlineLevel="0" collapsed="false">
      <c r="A107" s="352"/>
      <c r="B107" s="56"/>
      <c r="C107" s="72" t="s">
        <v>312</v>
      </c>
      <c r="D107" s="163" t="s">
        <v>382</v>
      </c>
      <c r="E107" s="163"/>
      <c r="F107" s="163"/>
      <c r="G107" s="56"/>
      <c r="H107" s="164"/>
      <c r="I107" s="56"/>
      <c r="J107" s="275"/>
      <c r="K107" s="360"/>
      <c r="M107" s="87" t="s">
        <v>37</v>
      </c>
    </row>
    <row r="108" customFormat="false" ht="15" hidden="false" customHeight="false" outlineLevel="0" collapsed="false">
      <c r="A108" s="352"/>
      <c r="B108" s="56"/>
      <c r="C108" s="56"/>
      <c r="D108" s="139"/>
      <c r="E108" s="139"/>
      <c r="F108" s="139"/>
      <c r="G108" s="56"/>
      <c r="H108" s="72"/>
      <c r="I108" s="56"/>
      <c r="J108" s="357"/>
      <c r="K108" s="360"/>
    </row>
    <row r="109" customFormat="false" ht="33.75" hidden="false" customHeight="true" outlineLevel="0" collapsed="false">
      <c r="A109" s="352"/>
      <c r="B109" s="56"/>
      <c r="C109" s="72" t="s">
        <v>315</v>
      </c>
      <c r="D109" s="163" t="s">
        <v>383</v>
      </c>
      <c r="E109" s="163"/>
      <c r="F109" s="163"/>
      <c r="G109" s="56"/>
      <c r="H109" s="164"/>
      <c r="I109" s="56"/>
      <c r="J109" s="275"/>
      <c r="K109" s="360"/>
      <c r="M109" s="87" t="s">
        <v>37</v>
      </c>
    </row>
    <row r="110" customFormat="false" ht="15" hidden="false" customHeight="false" outlineLevel="0" collapsed="false">
      <c r="A110" s="352"/>
      <c r="B110" s="56"/>
      <c r="C110" s="56"/>
      <c r="D110" s="139"/>
      <c r="E110" s="139"/>
      <c r="F110" s="139"/>
      <c r="G110" s="56"/>
      <c r="H110" s="72"/>
      <c r="I110" s="56"/>
      <c r="J110" s="357"/>
      <c r="K110" s="360"/>
    </row>
    <row r="111" customFormat="false" ht="33.75" hidden="false" customHeight="true" outlineLevel="0" collapsed="false">
      <c r="A111" s="352"/>
      <c r="B111" s="56"/>
      <c r="C111" s="72" t="s">
        <v>319</v>
      </c>
      <c r="D111" s="163" t="s">
        <v>384</v>
      </c>
      <c r="E111" s="163"/>
      <c r="F111" s="163"/>
      <c r="G111" s="56"/>
      <c r="H111" s="164"/>
      <c r="I111" s="56"/>
      <c r="J111" s="275"/>
      <c r="K111" s="360"/>
      <c r="M111" s="87" t="s">
        <v>37</v>
      </c>
    </row>
    <row r="112" customFormat="false" ht="15" hidden="false" customHeight="false" outlineLevel="0" collapsed="false">
      <c r="A112" s="352"/>
      <c r="B112" s="56"/>
      <c r="C112" s="56"/>
      <c r="D112" s="139"/>
      <c r="E112" s="139"/>
      <c r="F112" s="139"/>
      <c r="G112" s="56"/>
      <c r="H112" s="72"/>
      <c r="I112" s="56"/>
      <c r="J112" s="357"/>
      <c r="K112" s="360"/>
    </row>
    <row r="113" customFormat="false" ht="33.75" hidden="false" customHeight="true" outlineLevel="0" collapsed="false">
      <c r="A113" s="352"/>
      <c r="B113" s="56"/>
      <c r="C113" s="72" t="s">
        <v>322</v>
      </c>
      <c r="D113" s="163" t="s">
        <v>385</v>
      </c>
      <c r="E113" s="163"/>
      <c r="F113" s="163"/>
      <c r="G113" s="56"/>
      <c r="H113" s="164"/>
      <c r="I113" s="56"/>
      <c r="J113" s="275"/>
      <c r="K113" s="360"/>
      <c r="M113" s="87" t="s">
        <v>37</v>
      </c>
    </row>
    <row r="114" customFormat="false" ht="15" hidden="false" customHeight="false" outlineLevel="0" collapsed="false">
      <c r="A114" s="352"/>
      <c r="B114" s="56"/>
      <c r="C114" s="56"/>
      <c r="D114" s="139"/>
      <c r="E114" s="139"/>
      <c r="F114" s="139"/>
      <c r="G114" s="56"/>
      <c r="H114" s="72"/>
      <c r="I114" s="56"/>
      <c r="J114" s="357"/>
      <c r="K114" s="360"/>
    </row>
    <row r="115" customFormat="false" ht="33.75" hidden="false" customHeight="true" outlineLevel="0" collapsed="false">
      <c r="A115" s="352"/>
      <c r="B115" s="56"/>
      <c r="C115" s="72" t="s">
        <v>325</v>
      </c>
      <c r="D115" s="163" t="s">
        <v>386</v>
      </c>
      <c r="E115" s="163"/>
      <c r="F115" s="163"/>
      <c r="G115" s="56"/>
      <c r="H115" s="164"/>
      <c r="I115" s="56"/>
      <c r="J115" s="275"/>
      <c r="K115" s="360"/>
      <c r="M115" s="87" t="s">
        <v>37</v>
      </c>
    </row>
    <row r="116" customFormat="false" ht="15" hidden="false" customHeight="false" outlineLevel="0" collapsed="false">
      <c r="A116" s="352"/>
      <c r="B116" s="56"/>
      <c r="C116" s="56"/>
      <c r="D116" s="139"/>
      <c r="E116" s="139"/>
      <c r="F116" s="139"/>
      <c r="G116" s="56"/>
      <c r="H116" s="72"/>
      <c r="I116" s="56"/>
      <c r="J116" s="357"/>
      <c r="K116" s="360"/>
    </row>
    <row r="117" customFormat="false" ht="33.75" hidden="false" customHeight="true" outlineLevel="0" collapsed="false">
      <c r="A117" s="352"/>
      <c r="B117" s="56"/>
      <c r="C117" s="72" t="s">
        <v>387</v>
      </c>
      <c r="D117" s="163" t="s">
        <v>388</v>
      </c>
      <c r="E117" s="163"/>
      <c r="F117" s="163"/>
      <c r="G117" s="56"/>
      <c r="H117" s="164"/>
      <c r="I117" s="56"/>
      <c r="J117" s="275"/>
      <c r="K117" s="360"/>
      <c r="M117" s="87" t="s">
        <v>37</v>
      </c>
    </row>
    <row r="118" customFormat="false" ht="15" hidden="false" customHeight="false" outlineLevel="0" collapsed="false">
      <c r="A118" s="352"/>
      <c r="B118" s="56"/>
      <c r="C118" s="56"/>
      <c r="D118" s="139"/>
      <c r="E118" s="139"/>
      <c r="F118" s="139"/>
      <c r="G118" s="56"/>
      <c r="H118" s="72"/>
      <c r="I118" s="56"/>
      <c r="J118" s="357"/>
      <c r="K118" s="360"/>
    </row>
    <row r="119" customFormat="false" ht="64.5" hidden="false" customHeight="true" outlineLevel="0" collapsed="false">
      <c r="A119" s="352"/>
      <c r="B119" s="56"/>
      <c r="C119" s="72" t="s">
        <v>389</v>
      </c>
      <c r="D119" s="163" t="s">
        <v>390</v>
      </c>
      <c r="E119" s="163"/>
      <c r="F119" s="163"/>
      <c r="G119" s="56"/>
      <c r="H119" s="164"/>
      <c r="I119" s="56"/>
      <c r="J119" s="275"/>
      <c r="K119" s="360"/>
      <c r="M119" s="382" t="s">
        <v>37</v>
      </c>
    </row>
    <row r="120" customFormat="false" ht="15" hidden="false" customHeight="false" outlineLevel="0" collapsed="false">
      <c r="A120" s="352"/>
      <c r="B120" s="56"/>
      <c r="C120" s="56"/>
      <c r="D120" s="139"/>
      <c r="E120" s="139"/>
      <c r="F120" s="139"/>
      <c r="G120" s="56"/>
      <c r="H120" s="72"/>
      <c r="I120" s="56"/>
      <c r="J120" s="357"/>
      <c r="K120" s="360"/>
    </row>
    <row r="121" customFormat="false" ht="15" hidden="false" customHeight="true" outlineLevel="0" collapsed="false">
      <c r="A121" s="352"/>
      <c r="B121" s="56"/>
      <c r="C121" s="72" t="s">
        <v>391</v>
      </c>
      <c r="D121" s="163" t="s">
        <v>392</v>
      </c>
      <c r="E121" s="163"/>
      <c r="F121" s="163"/>
      <c r="G121" s="56"/>
      <c r="H121" s="164"/>
      <c r="I121" s="56"/>
      <c r="J121" s="275"/>
      <c r="K121" s="360"/>
    </row>
    <row r="122" customFormat="false" ht="15" hidden="false" customHeight="false" outlineLevel="0" collapsed="false">
      <c r="A122" s="352"/>
      <c r="B122" s="56"/>
      <c r="C122" s="56"/>
      <c r="D122" s="139"/>
      <c r="E122" s="139"/>
      <c r="F122" s="139"/>
      <c r="G122" s="56"/>
      <c r="H122" s="72"/>
      <c r="I122" s="56"/>
      <c r="J122" s="357"/>
      <c r="K122" s="360"/>
    </row>
    <row r="123" customFormat="false" ht="15" hidden="false" customHeight="true" outlineLevel="0" collapsed="false">
      <c r="A123" s="352"/>
      <c r="B123" s="56"/>
      <c r="C123" s="72" t="s">
        <v>393</v>
      </c>
      <c r="D123" s="163" t="s">
        <v>394</v>
      </c>
      <c r="E123" s="163"/>
      <c r="F123" s="163"/>
      <c r="G123" s="56"/>
      <c r="H123" s="164"/>
      <c r="I123" s="56"/>
      <c r="J123" s="275"/>
      <c r="K123" s="360"/>
    </row>
    <row r="124" customFormat="false" ht="15" hidden="false" customHeight="false" outlineLevel="0" collapsed="false">
      <c r="A124" s="352"/>
      <c r="B124" s="56"/>
      <c r="C124" s="56"/>
      <c r="D124" s="139"/>
      <c r="E124" s="139"/>
      <c r="F124" s="139"/>
      <c r="G124" s="56"/>
      <c r="H124" s="72"/>
      <c r="I124" s="56"/>
      <c r="J124" s="357"/>
      <c r="K124" s="360"/>
    </row>
    <row r="125" customFormat="false" ht="15" hidden="false" customHeight="false" outlineLevel="0" collapsed="false">
      <c r="A125" s="352"/>
      <c r="B125" s="56"/>
      <c r="C125" s="378"/>
      <c r="D125" s="381" t="s">
        <v>395</v>
      </c>
      <c r="E125" s="176"/>
      <c r="F125" s="176"/>
      <c r="G125" s="380"/>
      <c r="H125" s="377"/>
      <c r="I125" s="380"/>
      <c r="J125" s="378"/>
      <c r="K125" s="360"/>
    </row>
    <row r="126" customFormat="false" ht="15" hidden="false" customHeight="false" outlineLevel="0" collapsed="false">
      <c r="A126" s="352"/>
      <c r="B126" s="56"/>
      <c r="C126" s="72"/>
      <c r="D126" s="139"/>
      <c r="E126" s="139"/>
      <c r="F126" s="139"/>
      <c r="G126" s="56"/>
      <c r="H126" s="72"/>
      <c r="I126" s="56"/>
      <c r="J126" s="357"/>
      <c r="K126" s="360"/>
    </row>
    <row r="127" customFormat="false" ht="15" hidden="false" customHeight="true" outlineLevel="0" collapsed="false">
      <c r="A127" s="352"/>
      <c r="B127" s="56"/>
      <c r="C127" s="72" t="s">
        <v>396</v>
      </c>
      <c r="D127" s="163" t="s">
        <v>397</v>
      </c>
      <c r="E127" s="163"/>
      <c r="F127" s="163"/>
      <c r="G127" s="56"/>
      <c r="H127" s="164"/>
      <c r="I127" s="56"/>
      <c r="J127" s="275"/>
      <c r="K127" s="360"/>
    </row>
    <row r="128" customFormat="false" ht="15" hidden="false" customHeight="false" outlineLevel="0" collapsed="false">
      <c r="A128" s="352"/>
      <c r="B128" s="56"/>
      <c r="C128" s="72"/>
      <c r="D128" s="139"/>
      <c r="E128" s="139"/>
      <c r="F128" s="139"/>
      <c r="G128" s="56"/>
      <c r="H128" s="72"/>
      <c r="I128" s="56"/>
      <c r="J128" s="357"/>
      <c r="K128" s="360"/>
    </row>
    <row r="129" customFormat="false" ht="15" hidden="false" customHeight="true" outlineLevel="0" collapsed="false">
      <c r="A129" s="352"/>
      <c r="B129" s="56"/>
      <c r="C129" s="72" t="s">
        <v>379</v>
      </c>
      <c r="D129" s="163" t="s">
        <v>398</v>
      </c>
      <c r="E129" s="163"/>
      <c r="F129" s="163"/>
      <c r="G129" s="56"/>
      <c r="H129" s="164"/>
      <c r="I129" s="56"/>
      <c r="J129" s="275"/>
      <c r="K129" s="360"/>
    </row>
    <row r="130" customFormat="false" ht="15" hidden="false" customHeight="false" outlineLevel="0" collapsed="false">
      <c r="A130" s="352"/>
      <c r="B130" s="56"/>
      <c r="C130" s="56"/>
      <c r="D130" s="139"/>
      <c r="E130" s="139"/>
      <c r="F130" s="139"/>
      <c r="G130" s="56"/>
      <c r="H130" s="72"/>
      <c r="I130" s="56"/>
      <c r="J130" s="357"/>
      <c r="K130" s="360"/>
    </row>
    <row r="131" customFormat="false" ht="15" hidden="false" customHeight="false" outlineLevel="0" collapsed="false">
      <c r="A131" s="352"/>
      <c r="B131" s="56"/>
      <c r="C131" s="378"/>
      <c r="D131" s="381" t="s">
        <v>399</v>
      </c>
      <c r="E131" s="176"/>
      <c r="F131" s="176"/>
      <c r="G131" s="380"/>
      <c r="H131" s="377"/>
      <c r="I131" s="380"/>
      <c r="J131" s="378"/>
      <c r="K131" s="360"/>
    </row>
    <row r="132" customFormat="false" ht="15" hidden="false" customHeight="false" outlineLevel="0" collapsed="false">
      <c r="A132" s="352"/>
      <c r="B132" s="56"/>
      <c r="C132" s="56"/>
      <c r="D132" s="139"/>
      <c r="E132" s="139"/>
      <c r="F132" s="139"/>
      <c r="G132" s="56"/>
      <c r="H132" s="72"/>
      <c r="I132" s="56"/>
      <c r="J132" s="357"/>
      <c r="K132" s="360"/>
    </row>
    <row r="133" customFormat="false" ht="33.75" hidden="false" customHeight="true" outlineLevel="0" collapsed="false">
      <c r="A133" s="352"/>
      <c r="B133" s="56"/>
      <c r="C133" s="72" t="s">
        <v>400</v>
      </c>
      <c r="D133" s="163" t="s">
        <v>401</v>
      </c>
      <c r="E133" s="163"/>
      <c r="F133" s="163"/>
      <c r="G133" s="56"/>
      <c r="H133" s="164"/>
      <c r="I133" s="56"/>
      <c r="J133" s="275"/>
      <c r="K133" s="360"/>
      <c r="M133" s="87" t="s">
        <v>37</v>
      </c>
    </row>
    <row r="134" customFormat="false" ht="15" hidden="false" customHeight="false" outlineLevel="0" collapsed="false">
      <c r="A134" s="352"/>
      <c r="B134" s="56"/>
      <c r="C134" s="56"/>
      <c r="D134" s="139"/>
      <c r="E134" s="139"/>
      <c r="F134" s="139"/>
      <c r="G134" s="56"/>
      <c r="H134" s="72"/>
      <c r="I134" s="56"/>
      <c r="J134" s="357"/>
      <c r="K134" s="360"/>
    </row>
    <row r="135" customFormat="false" ht="33.75" hidden="false" customHeight="true" outlineLevel="0" collapsed="false">
      <c r="A135" s="352"/>
      <c r="B135" s="56"/>
      <c r="C135" s="72" t="s">
        <v>402</v>
      </c>
      <c r="D135" s="383" t="s">
        <v>403</v>
      </c>
      <c r="E135" s="383"/>
      <c r="F135" s="383"/>
      <c r="G135" s="56"/>
      <c r="H135" s="164"/>
      <c r="I135" s="56"/>
      <c r="J135" s="275"/>
      <c r="K135" s="360"/>
      <c r="M135" s="87" t="s">
        <v>37</v>
      </c>
    </row>
    <row r="136" customFormat="false" ht="15" hidden="false" customHeight="false" outlineLevel="0" collapsed="false">
      <c r="A136" s="352"/>
      <c r="B136" s="56"/>
      <c r="C136" s="56"/>
      <c r="D136" s="139"/>
      <c r="E136" s="139"/>
      <c r="F136" s="139"/>
      <c r="G136" s="56"/>
      <c r="H136" s="72"/>
      <c r="I136" s="56"/>
      <c r="J136" s="357"/>
      <c r="K136" s="360"/>
    </row>
    <row r="137" customFormat="false" ht="33.75" hidden="false" customHeight="true" outlineLevel="0" collapsed="false">
      <c r="A137" s="352"/>
      <c r="B137" s="56"/>
      <c r="C137" s="72" t="s">
        <v>404</v>
      </c>
      <c r="D137" s="163" t="s">
        <v>405</v>
      </c>
      <c r="E137" s="163"/>
      <c r="F137" s="163"/>
      <c r="G137" s="56"/>
      <c r="H137" s="164"/>
      <c r="I137" s="56"/>
      <c r="J137" s="275"/>
      <c r="K137" s="360"/>
      <c r="M137" s="87" t="s">
        <v>37</v>
      </c>
    </row>
    <row r="138" customFormat="false" ht="15" hidden="false" customHeight="false" outlineLevel="0" collapsed="false">
      <c r="A138" s="352"/>
      <c r="B138" s="56"/>
      <c r="C138" s="56"/>
      <c r="D138" s="139"/>
      <c r="E138" s="139"/>
      <c r="F138" s="139"/>
      <c r="G138" s="56"/>
      <c r="H138" s="72"/>
      <c r="I138" s="56"/>
      <c r="J138" s="357"/>
      <c r="K138" s="360"/>
    </row>
    <row r="139" customFormat="false" ht="33.75" hidden="false" customHeight="true" outlineLevel="0" collapsed="false">
      <c r="A139" s="352"/>
      <c r="B139" s="56"/>
      <c r="C139" s="72" t="s">
        <v>406</v>
      </c>
      <c r="D139" s="163" t="s">
        <v>407</v>
      </c>
      <c r="E139" s="163"/>
      <c r="F139" s="163"/>
      <c r="G139" s="56"/>
      <c r="H139" s="164"/>
      <c r="I139" s="56"/>
      <c r="J139" s="275"/>
      <c r="K139" s="360"/>
      <c r="M139" s="87" t="s">
        <v>37</v>
      </c>
    </row>
    <row r="140" customFormat="false" ht="15" hidden="false" customHeight="false" outlineLevel="0" collapsed="false">
      <c r="A140" s="352"/>
      <c r="B140" s="384"/>
      <c r="C140" s="384"/>
      <c r="D140" s="385"/>
      <c r="E140" s="385"/>
      <c r="F140" s="385"/>
      <c r="G140" s="384"/>
      <c r="H140" s="72"/>
      <c r="I140" s="384"/>
      <c r="J140" s="386"/>
      <c r="K140" s="387"/>
    </row>
    <row r="141" customFormat="false" ht="15" hidden="false" customHeight="true" outlineLevel="0" collapsed="false">
      <c r="A141" s="352"/>
      <c r="B141" s="56"/>
      <c r="C141" s="72" t="s">
        <v>408</v>
      </c>
      <c r="D141" s="163" t="s">
        <v>409</v>
      </c>
      <c r="E141" s="163"/>
      <c r="F141" s="163"/>
      <c r="G141" s="56"/>
      <c r="H141" s="164"/>
      <c r="I141" s="56"/>
      <c r="J141" s="275"/>
      <c r="K141" s="360"/>
    </row>
    <row r="142" customFormat="false" ht="15" hidden="false" customHeight="false" outlineLevel="0" collapsed="false">
      <c r="A142" s="352"/>
      <c r="B142" s="56"/>
      <c r="C142" s="56"/>
      <c r="D142" s="139"/>
      <c r="E142" s="139"/>
      <c r="F142" s="139"/>
      <c r="G142" s="56"/>
      <c r="H142" s="72"/>
      <c r="I142" s="56"/>
      <c r="J142" s="357"/>
      <c r="K142" s="360"/>
    </row>
    <row r="143" customFormat="false" ht="15" hidden="false" customHeight="true" outlineLevel="0" collapsed="false">
      <c r="A143" s="352"/>
      <c r="B143" s="56"/>
      <c r="C143" s="72" t="s">
        <v>410</v>
      </c>
      <c r="D143" s="163" t="s">
        <v>411</v>
      </c>
      <c r="E143" s="163"/>
      <c r="F143" s="163"/>
      <c r="G143" s="56"/>
      <c r="H143" s="164"/>
      <c r="I143" s="56"/>
      <c r="J143" s="275"/>
      <c r="K143" s="360"/>
    </row>
    <row r="144" customFormat="false" ht="15" hidden="false" customHeight="false" outlineLevel="0" collapsed="false">
      <c r="A144" s="352"/>
      <c r="B144" s="56"/>
      <c r="C144" s="56"/>
      <c r="D144" s="139"/>
      <c r="E144" s="139"/>
      <c r="F144" s="139"/>
      <c r="G144" s="56"/>
      <c r="H144" s="72"/>
      <c r="I144" s="56"/>
      <c r="J144" s="357"/>
      <c r="K144" s="360"/>
    </row>
    <row r="145" customFormat="false" ht="33.75" hidden="false" customHeight="true" outlineLevel="0" collapsed="false">
      <c r="A145" s="352"/>
      <c r="B145" s="56"/>
      <c r="C145" s="72" t="s">
        <v>412</v>
      </c>
      <c r="D145" s="163" t="s">
        <v>413</v>
      </c>
      <c r="E145" s="163"/>
      <c r="F145" s="163"/>
      <c r="G145" s="56"/>
      <c r="H145" s="164"/>
      <c r="I145" s="56"/>
      <c r="J145" s="275"/>
      <c r="K145" s="360"/>
      <c r="M145" s="87" t="s">
        <v>37</v>
      </c>
    </row>
    <row r="146" customFormat="false" ht="15" hidden="false" customHeight="false" outlineLevel="0" collapsed="false">
      <c r="A146" s="352"/>
      <c r="B146" s="388"/>
      <c r="C146" s="388"/>
      <c r="D146" s="389"/>
      <c r="E146" s="388"/>
      <c r="F146" s="388"/>
      <c r="G146" s="388"/>
      <c r="H146" s="390"/>
      <c r="I146" s="388"/>
      <c r="J146" s="391"/>
      <c r="K146" s="360"/>
    </row>
    <row r="147" customFormat="false" ht="20.25" hidden="false" customHeight="true" outlineLevel="0" collapsed="false">
      <c r="A147" s="392" t="s">
        <v>193</v>
      </c>
      <c r="B147" s="392"/>
      <c r="C147" s="392"/>
      <c r="D147" s="392"/>
      <c r="E147" s="392"/>
      <c r="F147" s="392"/>
      <c r="G147" s="392"/>
      <c r="H147" s="392"/>
      <c r="I147" s="392"/>
      <c r="J147" s="392"/>
      <c r="K147" s="392"/>
    </row>
    <row r="157" customFormat="false" ht="15" hidden="true" customHeight="false" outlineLevel="0" collapsed="false">
      <c r="D157" s="0" t="s">
        <v>217</v>
      </c>
    </row>
    <row r="158" customFormat="false" ht="15" hidden="true" customHeight="false" outlineLevel="0" collapsed="false">
      <c r="D158" s="0" t="s">
        <v>212</v>
      </c>
    </row>
    <row r="159" customFormat="false" ht="15" hidden="true" customHeight="false" outlineLevel="0" collapsed="false">
      <c r="D159" s="0" t="s">
        <v>260</v>
      </c>
    </row>
  </sheetData>
  <sheetProtection algorithmName="SHA-512" hashValue="8oqJYxwiW+XSbkZbtr59C0khATZpcPVrNt60Eg3L9aY8jEcB+1mVDzMuZ8s6tshn9AfDE98pdEdr00u3QrINMA==" saltValue="ZJOOj/uFQLadgIfqVFLWTg==" spinCount="100000" sheet="true" objects="true" scenarios="true"/>
  <mergeCells count="62">
    <mergeCell ref="F2:I2"/>
    <mergeCell ref="F4:I4"/>
    <mergeCell ref="F6:I6"/>
    <mergeCell ref="F8:I8"/>
    <mergeCell ref="F10:I10"/>
    <mergeCell ref="D15:F15"/>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35:F135"/>
    <mergeCell ref="D137:F137"/>
    <mergeCell ref="D139:F139"/>
    <mergeCell ref="D141:F141"/>
    <mergeCell ref="D143:F143"/>
    <mergeCell ref="D145:F145"/>
    <mergeCell ref="A147:K147"/>
  </mergeCells>
  <conditionalFormatting sqref="H15:H145">
    <cfRule type="cellIs" priority="2" operator="equal" aboveAverage="0" equalAverage="0" bottom="0" percent="0" rank="0" text="" dxfId="78">
      <formula>"X"</formula>
    </cfRule>
    <cfRule type="cellIs" priority="3" operator="equal" aboveAverage="0" equalAverage="0" bottom="0" percent="0" rank="0" text="" dxfId="79">
      <formula>"✓"</formula>
    </cfRule>
  </conditionalFormatting>
  <dataValidations count="2">
    <dataValidation allowBlank="true" operator="between" showDropDown="false" showErrorMessage="true" showInputMessage="true" sqref="H15 H17 H19 H21 H23 H25 H27 H31 H33 H35 H37 H39 H41 H43 H47 H49 H53 H55 H59 H63 H65 H67 H69 H71 H73 H79 H81 H83 H85 H89 H93 H95 H97 H101 H103 H105 H107 H109 H111 H113 H115 H117 H119 H121 H123 H127 H129 H133 H135 H137 H139 H141 H143 H145" type="list">
      <formula1>"✓,X,N/A"</formula1>
      <formula2>0</formula2>
    </dataValidation>
    <dataValidation allowBlank="true" operator="between" showDropDown="false" showErrorMessage="true" showInputMessage="true" sqref="F10:I10" type="list">
      <formula1>"European Standard,European Identified Specification,Member State Standard,International Standard,Open Specification,Proprietaty Specification,"</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J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6" activeCellId="0" sqref="G16"/>
    </sheetView>
  </sheetViews>
  <sheetFormatPr defaultColWidth="9.15625" defaultRowHeight="15" zeroHeight="true" outlineLevelRow="0" outlineLevelCol="0"/>
  <cols>
    <col collapsed="false" customWidth="true" hidden="false" outlineLevel="0" max="1" min="1" style="0" width="1.42"/>
    <col collapsed="false" customWidth="true" hidden="false" outlineLevel="0" max="2" min="2" style="0" width="3.14"/>
    <col collapsed="false" customWidth="true" hidden="false" outlineLevel="0" max="3" min="3" style="0" width="37.29"/>
    <col collapsed="false" customWidth="true" hidden="false" outlineLevel="0" max="4" min="4" style="0" width="2.71"/>
    <col collapsed="false" customWidth="true" hidden="false" outlineLevel="0" max="5" min="5" style="0" width="13.7"/>
    <col collapsed="false" customWidth="true" hidden="false" outlineLevel="0" max="6" min="6" style="0" width="2.71"/>
    <col collapsed="false" customWidth="true" hidden="false" outlineLevel="0" max="7" min="7" style="0" width="13.7"/>
    <col collapsed="false" customWidth="true" hidden="false" outlineLevel="0" max="8" min="8" style="0" width="2.71"/>
    <col collapsed="false" customWidth="true" hidden="false" outlineLevel="0" max="9" min="9" style="0" width="13.7"/>
    <col collapsed="false" customWidth="true" hidden="false" outlineLevel="0" max="10" min="10" style="0" width="2.71"/>
    <col collapsed="false" customWidth="true" hidden="false" outlineLevel="0" max="11" min="11" style="0" width="13.7"/>
    <col collapsed="false" customWidth="true" hidden="false" outlineLevel="0" max="12" min="12" style="0" width="2.71"/>
    <col collapsed="false" customWidth="true" hidden="false" outlineLevel="0" max="13" min="13" style="0" width="13.7"/>
    <col collapsed="false" customWidth="false" hidden="true" outlineLevel="0" max="1022" min="14" style="0" width="9.14"/>
    <col collapsed="false" customWidth="true" hidden="false" outlineLevel="0" max="1023" min="1023" style="0" width="2.71"/>
    <col collapsed="false" customWidth="false" hidden="true" outlineLevel="0" max="1024" min="1024" style="0" width="9.14"/>
  </cols>
  <sheetData>
    <row r="1" s="393" customFormat="true" ht="15" hidden="false" customHeight="true" outlineLevel="0" collapsed="false">
      <c r="A1" s="393" t="s">
        <v>414</v>
      </c>
    </row>
    <row r="2" s="398" customFormat="true" ht="15.75" hidden="false" customHeight="true" outlineLevel="0" collapsed="false">
      <c r="A2" s="394"/>
      <c r="B2" s="394"/>
      <c r="C2" s="395"/>
      <c r="D2" s="395"/>
      <c r="E2" s="395"/>
      <c r="F2" s="395"/>
      <c r="G2" s="396"/>
      <c r="H2" s="395"/>
      <c r="I2" s="395"/>
      <c r="J2" s="395"/>
      <c r="K2" s="395"/>
      <c r="L2" s="395"/>
      <c r="M2" s="395"/>
      <c r="N2" s="397"/>
      <c r="O2" s="397"/>
      <c r="P2" s="397"/>
      <c r="Q2" s="397"/>
      <c r="R2" s="397"/>
      <c r="S2" s="397"/>
      <c r="T2" s="397"/>
      <c r="U2" s="397"/>
      <c r="V2" s="397"/>
      <c r="W2" s="397"/>
      <c r="X2" s="397"/>
      <c r="Y2" s="397"/>
      <c r="Z2" s="397"/>
      <c r="AA2" s="397"/>
      <c r="AB2" s="397"/>
      <c r="AC2" s="397"/>
      <c r="AD2" s="397"/>
      <c r="AE2" s="397"/>
      <c r="AF2" s="397"/>
      <c r="AG2" s="397"/>
      <c r="AH2" s="397"/>
      <c r="AI2" s="397"/>
      <c r="AJ2" s="397"/>
      <c r="AK2" s="397"/>
      <c r="AL2" s="397"/>
      <c r="AM2" s="397"/>
      <c r="AN2" s="397"/>
      <c r="AO2" s="397"/>
      <c r="AP2" s="397"/>
      <c r="AQ2" s="397"/>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7"/>
      <c r="CI2" s="397"/>
      <c r="CJ2" s="397"/>
      <c r="CK2" s="397"/>
      <c r="CL2" s="397"/>
      <c r="CM2" s="397"/>
      <c r="CN2" s="397"/>
      <c r="CO2" s="397"/>
      <c r="CP2" s="397"/>
      <c r="CQ2" s="397"/>
      <c r="CR2" s="397"/>
      <c r="CS2" s="397"/>
      <c r="CT2" s="397"/>
      <c r="CU2" s="397"/>
      <c r="CV2" s="397"/>
      <c r="CW2" s="397"/>
      <c r="CX2" s="397"/>
      <c r="CY2" s="397"/>
      <c r="CZ2" s="397"/>
      <c r="DA2" s="397"/>
      <c r="DB2" s="397"/>
      <c r="DC2" s="397"/>
      <c r="DD2" s="397"/>
      <c r="DE2" s="397"/>
      <c r="DF2" s="397"/>
      <c r="DG2" s="397"/>
      <c r="DH2" s="397"/>
      <c r="DI2" s="397"/>
      <c r="DJ2" s="397"/>
      <c r="DK2" s="397"/>
      <c r="DL2" s="397"/>
      <c r="DM2" s="397"/>
      <c r="DN2" s="397"/>
      <c r="ALT2" s="399"/>
      <c r="ALU2" s="399"/>
      <c r="ALV2" s="399"/>
      <c r="ALW2" s="399"/>
      <c r="ALX2" s="399"/>
      <c r="ALY2" s="399"/>
      <c r="ALZ2" s="399"/>
      <c r="AMA2" s="399"/>
      <c r="AMB2" s="399"/>
      <c r="AMC2" s="399"/>
      <c r="AMD2" s="399"/>
      <c r="AME2" s="399"/>
      <c r="AMF2" s="399"/>
      <c r="AMG2" s="399"/>
      <c r="AMH2" s="399"/>
      <c r="AMJ2" s="400"/>
    </row>
    <row r="3" s="398" customFormat="true" ht="15" hidden="false" customHeight="true" outlineLevel="0" collapsed="false">
      <c r="C3" s="401" t="s">
        <v>130</v>
      </c>
      <c r="D3" s="402"/>
      <c r="E3" s="403" t="s">
        <v>415</v>
      </c>
      <c r="F3" s="403"/>
      <c r="G3" s="403"/>
      <c r="H3" s="403"/>
      <c r="I3" s="403"/>
      <c r="J3" s="394"/>
      <c r="AMA3" s="399"/>
      <c r="AMB3" s="399"/>
      <c r="AMC3" s="399"/>
      <c r="AMD3" s="399"/>
      <c r="AME3" s="399"/>
      <c r="AMF3" s="399"/>
      <c r="AMG3" s="399"/>
      <c r="AMH3" s="399"/>
      <c r="AMJ3" s="400"/>
    </row>
    <row r="4" s="398" customFormat="true" ht="8.1" hidden="false" customHeight="true" outlineLevel="0" collapsed="false">
      <c r="B4" s="404"/>
      <c r="C4" s="402"/>
      <c r="D4" s="405"/>
      <c r="E4" s="406"/>
      <c r="F4" s="406"/>
      <c r="G4" s="406"/>
      <c r="H4" s="406"/>
      <c r="I4" s="407"/>
      <c r="AMA4" s="399"/>
      <c r="AMB4" s="399"/>
      <c r="AMC4" s="399"/>
      <c r="AMD4" s="399"/>
      <c r="AME4" s="399"/>
      <c r="AMF4" s="399"/>
      <c r="AMG4" s="399"/>
      <c r="AMH4" s="399"/>
      <c r="AMJ4" s="400"/>
    </row>
    <row r="5" s="398" customFormat="true" ht="15" hidden="false" customHeight="true" outlineLevel="0" collapsed="false">
      <c r="C5" s="401" t="s">
        <v>132</v>
      </c>
      <c r="D5" s="405"/>
      <c r="E5" s="408" t="s">
        <v>133</v>
      </c>
      <c r="F5" s="408"/>
      <c r="G5" s="408"/>
      <c r="H5" s="408"/>
      <c r="I5" s="408"/>
      <c r="J5" s="394"/>
      <c r="AMA5" s="399"/>
      <c r="AMB5" s="399"/>
      <c r="AMC5" s="399"/>
      <c r="AMD5" s="399"/>
      <c r="AME5" s="399"/>
      <c r="AMF5" s="399"/>
      <c r="AMG5" s="399"/>
      <c r="AMH5" s="399"/>
      <c r="AMJ5" s="400"/>
    </row>
    <row r="6" s="398" customFormat="true" ht="8.1" hidden="false" customHeight="true" outlineLevel="0" collapsed="false">
      <c r="B6" s="404"/>
      <c r="C6" s="402"/>
      <c r="D6" s="405"/>
      <c r="E6" s="406"/>
      <c r="F6" s="406"/>
      <c r="G6" s="406"/>
      <c r="H6" s="406"/>
      <c r="I6" s="406"/>
      <c r="AMA6" s="399"/>
      <c r="AMB6" s="399"/>
      <c r="AMC6" s="399"/>
      <c r="AMD6" s="399"/>
      <c r="AME6" s="399"/>
      <c r="AMF6" s="399"/>
      <c r="AMG6" s="399"/>
      <c r="AMH6" s="399"/>
      <c r="AMJ6" s="400"/>
    </row>
    <row r="7" s="398" customFormat="true" ht="15" hidden="false" customHeight="true" outlineLevel="0" collapsed="false">
      <c r="C7" s="401" t="s">
        <v>34</v>
      </c>
      <c r="D7" s="405"/>
      <c r="E7" s="408" t="s">
        <v>415</v>
      </c>
      <c r="F7" s="408"/>
      <c r="G7" s="408"/>
      <c r="H7" s="408"/>
      <c r="I7" s="408"/>
      <c r="J7" s="394"/>
      <c r="N7" s="394"/>
      <c r="O7" s="394"/>
      <c r="AMA7" s="399"/>
      <c r="AMB7" s="399"/>
      <c r="AMC7" s="399"/>
      <c r="AMD7" s="399"/>
      <c r="AME7" s="399"/>
      <c r="AMF7" s="399"/>
      <c r="AMG7" s="399"/>
      <c r="AMH7" s="399"/>
      <c r="AMJ7" s="400"/>
    </row>
    <row r="8" s="398" customFormat="true" ht="8.1" hidden="false" customHeight="true" outlineLevel="0" collapsed="false">
      <c r="B8" s="404"/>
      <c r="C8" s="402"/>
      <c r="D8" s="405"/>
      <c r="E8" s="407"/>
      <c r="F8" s="407"/>
      <c r="G8" s="407"/>
      <c r="H8" s="407"/>
      <c r="I8" s="407"/>
      <c r="J8" s="394"/>
      <c r="N8" s="394"/>
      <c r="O8" s="394"/>
      <c r="P8" s="394"/>
      <c r="AMA8" s="399"/>
      <c r="AMB8" s="399"/>
      <c r="AMC8" s="399"/>
      <c r="AMD8" s="399"/>
      <c r="AME8" s="399"/>
      <c r="AMF8" s="399"/>
      <c r="AMG8" s="399"/>
      <c r="AMH8" s="399"/>
      <c r="AMJ8" s="400"/>
    </row>
    <row r="9" s="398" customFormat="true" ht="15" hidden="false" customHeight="true" outlineLevel="0" collapsed="false">
      <c r="C9" s="401" t="s">
        <v>332</v>
      </c>
      <c r="D9" s="409"/>
      <c r="E9" s="408"/>
      <c r="F9" s="408"/>
      <c r="G9" s="408"/>
      <c r="H9" s="408"/>
      <c r="I9" s="408"/>
      <c r="J9" s="394"/>
      <c r="N9" s="394"/>
      <c r="O9" s="394"/>
      <c r="P9" s="394"/>
      <c r="AMA9" s="399"/>
      <c r="AMB9" s="399"/>
      <c r="AMC9" s="399"/>
      <c r="AMD9" s="399"/>
      <c r="AME9" s="399"/>
      <c r="AMF9" s="399"/>
      <c r="AMG9" s="399"/>
      <c r="AMH9" s="399"/>
      <c r="AMJ9" s="400"/>
    </row>
    <row r="10" s="398" customFormat="true" ht="15" hidden="false" customHeight="true" outlineLevel="0" collapsed="false">
      <c r="C10" s="410"/>
      <c r="G10" s="411"/>
      <c r="L10" s="399"/>
      <c r="ALU10" s="399"/>
      <c r="ALV10" s="399"/>
      <c r="ALW10" s="399"/>
      <c r="ALX10" s="399"/>
      <c r="ALY10" s="399"/>
      <c r="ALZ10" s="399"/>
      <c r="AMA10" s="399"/>
      <c r="AMB10" s="399"/>
      <c r="AMC10" s="399"/>
      <c r="AMD10" s="399"/>
      <c r="AME10" s="399"/>
      <c r="AMF10" s="399"/>
      <c r="AMG10" s="399"/>
      <c r="AMH10" s="399"/>
      <c r="AMJ10" s="400"/>
    </row>
    <row r="11" s="417" customFormat="true" ht="51.75" hidden="false" customHeight="true" outlineLevel="0" collapsed="false">
      <c r="A11" s="412"/>
      <c r="B11" s="413"/>
      <c r="C11" s="413"/>
      <c r="D11" s="413"/>
      <c r="E11" s="414" t="s">
        <v>416</v>
      </c>
      <c r="F11" s="415"/>
      <c r="G11" s="414" t="s">
        <v>417</v>
      </c>
      <c r="H11" s="415"/>
      <c r="I11" s="414" t="s">
        <v>418</v>
      </c>
      <c r="J11" s="415"/>
      <c r="K11" s="414" t="s">
        <v>419</v>
      </c>
      <c r="L11" s="416"/>
      <c r="M11" s="414" t="s">
        <v>420</v>
      </c>
      <c r="N11" s="413"/>
      <c r="O11" s="413"/>
      <c r="P11" s="413"/>
      <c r="AMA11" s="418"/>
      <c r="AMB11" s="418"/>
      <c r="AMC11" s="418"/>
      <c r="AMD11" s="418"/>
      <c r="AME11" s="418"/>
      <c r="AMF11" s="418"/>
      <c r="AMG11" s="418"/>
      <c r="AMH11" s="418"/>
      <c r="AMI11" s="419"/>
      <c r="AMJ11" s="400"/>
    </row>
    <row r="12" s="394" customFormat="true" ht="35.25" hidden="false" customHeight="true" outlineLevel="0" collapsed="false">
      <c r="A12" s="420"/>
      <c r="B12" s="421"/>
      <c r="C12" s="422" t="s">
        <v>421</v>
      </c>
      <c r="E12" s="423" t="n">
        <v>0</v>
      </c>
      <c r="F12" s="424"/>
      <c r="G12" s="423" t="n">
        <v>0</v>
      </c>
      <c r="H12" s="425"/>
      <c r="I12" s="426" t="n">
        <v>0</v>
      </c>
      <c r="J12" s="427"/>
      <c r="K12" s="426" t="n">
        <v>0</v>
      </c>
      <c r="L12" s="428"/>
      <c r="M12" s="426" t="n">
        <v>0</v>
      </c>
      <c r="AMA12" s="429"/>
      <c r="AMB12" s="429"/>
      <c r="AMC12" s="429"/>
      <c r="AMD12" s="429"/>
      <c r="AME12" s="429"/>
      <c r="AMF12" s="429"/>
      <c r="AMG12" s="429"/>
      <c r="AMH12" s="429"/>
      <c r="AMI12" s="430"/>
      <c r="AMJ12" s="400"/>
    </row>
    <row r="13" s="394" customFormat="true" ht="15" hidden="false" customHeight="false" outlineLevel="0" collapsed="false">
      <c r="A13" s="431"/>
      <c r="E13" s="424"/>
      <c r="F13" s="424"/>
      <c r="G13" s="424"/>
      <c r="H13" s="425"/>
      <c r="I13" s="427"/>
      <c r="J13" s="427"/>
      <c r="K13" s="427"/>
      <c r="L13" s="429"/>
      <c r="M13" s="427"/>
      <c r="AMA13" s="429"/>
      <c r="AMB13" s="429"/>
      <c r="AMC13" s="429"/>
      <c r="AMD13" s="429"/>
      <c r="AME13" s="429"/>
      <c r="AMF13" s="429"/>
      <c r="AMG13" s="429"/>
      <c r="AMH13" s="429"/>
      <c r="AMI13" s="430"/>
      <c r="AMJ13" s="400"/>
    </row>
    <row r="14" s="394" customFormat="true" ht="31.5" hidden="false" customHeight="true" outlineLevel="0" collapsed="false">
      <c r="A14" s="432"/>
      <c r="B14" s="433"/>
      <c r="C14" s="433" t="s">
        <v>422</v>
      </c>
      <c r="E14" s="423" t="n">
        <v>0</v>
      </c>
      <c r="F14" s="424"/>
      <c r="G14" s="423" t="n">
        <v>0</v>
      </c>
      <c r="H14" s="425"/>
      <c r="I14" s="426" t="n">
        <v>0</v>
      </c>
      <c r="J14" s="427"/>
      <c r="K14" s="426" t="n">
        <v>0</v>
      </c>
      <c r="L14" s="428"/>
      <c r="M14" s="426" t="n">
        <v>0</v>
      </c>
      <c r="AMA14" s="429"/>
      <c r="AMB14" s="429"/>
      <c r="AMC14" s="429"/>
      <c r="AMD14" s="429"/>
      <c r="AME14" s="429"/>
      <c r="AMF14" s="429"/>
      <c r="AMG14" s="429"/>
      <c r="AMH14" s="429"/>
      <c r="AMI14" s="430"/>
      <c r="AMJ14" s="400"/>
    </row>
    <row r="15" s="394" customFormat="true" ht="15" hidden="false" customHeight="false" outlineLevel="0" collapsed="false">
      <c r="A15" s="431"/>
      <c r="E15" s="424"/>
      <c r="F15" s="424"/>
      <c r="G15" s="424"/>
      <c r="H15" s="425"/>
      <c r="I15" s="427"/>
      <c r="J15" s="427"/>
      <c r="K15" s="427"/>
      <c r="L15" s="429"/>
      <c r="M15" s="427"/>
      <c r="AMA15" s="429"/>
      <c r="AMB15" s="429"/>
      <c r="AMC15" s="429"/>
      <c r="AMD15" s="429"/>
      <c r="AME15" s="429"/>
      <c r="AMF15" s="429"/>
      <c r="AMG15" s="429"/>
      <c r="AMH15" s="429"/>
      <c r="AMI15" s="430"/>
      <c r="AMJ15" s="400"/>
    </row>
    <row r="16" s="394" customFormat="true" ht="33" hidden="false" customHeight="true" outlineLevel="0" collapsed="false">
      <c r="A16" s="434"/>
      <c r="B16" s="434"/>
      <c r="C16" s="435" t="s">
        <v>349</v>
      </c>
      <c r="E16" s="423" t="n">
        <v>1</v>
      </c>
      <c r="F16" s="424"/>
      <c r="G16" s="423" t="n">
        <v>0.5</v>
      </c>
      <c r="H16" s="425"/>
      <c r="I16" s="426" t="n">
        <v>3</v>
      </c>
      <c r="J16" s="427"/>
      <c r="K16" s="426" t="n">
        <v>0</v>
      </c>
      <c r="L16" s="428"/>
      <c r="M16" s="426" t="n">
        <v>0</v>
      </c>
      <c r="AMA16" s="429"/>
      <c r="AMB16" s="429"/>
      <c r="AMC16" s="429"/>
      <c r="AMD16" s="429"/>
      <c r="AME16" s="429"/>
      <c r="AMF16" s="429"/>
      <c r="AMG16" s="429"/>
      <c r="AMH16" s="429"/>
      <c r="AMI16" s="430"/>
      <c r="AMJ16" s="400"/>
    </row>
    <row r="17" s="394" customFormat="true" ht="15" hidden="false" customHeight="false" outlineLevel="0" collapsed="false">
      <c r="A17" s="431"/>
      <c r="C17" s="436"/>
      <c r="E17" s="424"/>
      <c r="F17" s="424"/>
      <c r="G17" s="424"/>
      <c r="H17" s="425"/>
      <c r="I17" s="427"/>
      <c r="J17" s="427"/>
      <c r="K17" s="427"/>
      <c r="L17" s="429"/>
      <c r="M17" s="427"/>
      <c r="AMA17" s="429"/>
      <c r="AMB17" s="429"/>
      <c r="AMC17" s="429"/>
      <c r="AMD17" s="429"/>
      <c r="AME17" s="429"/>
      <c r="AMF17" s="429"/>
      <c r="AMG17" s="429"/>
      <c r="AMH17" s="429"/>
      <c r="AMI17" s="430"/>
      <c r="AMJ17" s="400"/>
    </row>
    <row r="18" s="394" customFormat="true" ht="35.25" hidden="false" customHeight="true" outlineLevel="0" collapsed="false">
      <c r="A18" s="437"/>
      <c r="B18" s="437"/>
      <c r="C18" s="438" t="s">
        <v>362</v>
      </c>
      <c r="E18" s="423" t="n">
        <v>0</v>
      </c>
      <c r="F18" s="424"/>
      <c r="G18" s="423" t="n">
        <v>0</v>
      </c>
      <c r="H18" s="425"/>
      <c r="I18" s="426" t="n">
        <v>0</v>
      </c>
      <c r="J18" s="427"/>
      <c r="K18" s="426" t="n">
        <v>0</v>
      </c>
      <c r="L18" s="427"/>
      <c r="M18" s="426" t="n">
        <v>0</v>
      </c>
      <c r="AMA18" s="429"/>
      <c r="AMB18" s="429"/>
      <c r="AMC18" s="429"/>
      <c r="AMD18" s="429"/>
      <c r="AME18" s="429"/>
      <c r="AMF18" s="429"/>
      <c r="AMG18" s="429"/>
      <c r="AMH18" s="429"/>
      <c r="AMI18" s="430"/>
      <c r="AMJ18" s="400"/>
    </row>
    <row r="19" s="394" customFormat="true" ht="15" hidden="false" customHeight="false" outlineLevel="0" collapsed="false">
      <c r="A19" s="431"/>
      <c r="C19" s="439"/>
      <c r="E19" s="424"/>
      <c r="F19" s="424"/>
      <c r="G19" s="424"/>
      <c r="H19" s="425"/>
      <c r="I19" s="425"/>
      <c r="J19" s="440"/>
      <c r="K19" s="440"/>
      <c r="L19" s="429"/>
      <c r="M19" s="440"/>
      <c r="AMA19" s="429"/>
      <c r="AMB19" s="429"/>
      <c r="AMC19" s="429"/>
      <c r="AMD19" s="429"/>
      <c r="AME19" s="429"/>
      <c r="AMF19" s="429"/>
      <c r="AMG19" s="429"/>
      <c r="AMH19" s="429"/>
      <c r="AMI19" s="430"/>
      <c r="AMJ19" s="400"/>
    </row>
    <row r="20" s="417" customFormat="true" ht="15" hidden="false" customHeight="false" outlineLevel="0" collapsed="false">
      <c r="A20" s="441"/>
      <c r="C20" s="442"/>
      <c r="E20" s="443"/>
      <c r="F20" s="443"/>
      <c r="G20" s="443"/>
      <c r="H20" s="444"/>
      <c r="I20" s="444"/>
      <c r="J20" s="445"/>
      <c r="K20" s="445"/>
      <c r="L20" s="418"/>
      <c r="M20" s="445"/>
      <c r="AMA20" s="418"/>
      <c r="AMB20" s="418"/>
      <c r="AMC20" s="418"/>
      <c r="AMD20" s="418"/>
      <c r="AME20" s="418"/>
      <c r="AMF20" s="418"/>
      <c r="AMG20" s="418"/>
      <c r="AMH20" s="418"/>
      <c r="AMI20" s="446"/>
      <c r="AMJ20" s="400"/>
    </row>
    <row r="21" s="394" customFormat="true" ht="31.5" hidden="false" customHeight="true" outlineLevel="0" collapsed="false">
      <c r="A21" s="447"/>
      <c r="B21" s="447"/>
      <c r="C21" s="448" t="s">
        <v>423</v>
      </c>
      <c r="E21" s="423" t="n">
        <v>0.25</v>
      </c>
      <c r="F21" s="424"/>
      <c r="G21" s="423" t="n">
        <v>0.125</v>
      </c>
      <c r="H21" s="440"/>
      <c r="I21" s="426" t="n">
        <v>3</v>
      </c>
      <c r="J21" s="440"/>
      <c r="K21" s="426" t="n">
        <v>0</v>
      </c>
      <c r="L21" s="428"/>
      <c r="M21" s="426" t="n">
        <v>0</v>
      </c>
      <c r="AMA21" s="429"/>
      <c r="AMB21" s="429"/>
      <c r="AMC21" s="429"/>
      <c r="AMD21" s="429"/>
      <c r="AME21" s="429"/>
      <c r="AMF21" s="429"/>
      <c r="AMG21" s="429"/>
      <c r="AMH21" s="429"/>
      <c r="AMI21" s="430"/>
      <c r="AMJ21" s="400"/>
    </row>
    <row r="22" s="450" customFormat="true" ht="15" hidden="false" customHeight="false" outlineLevel="0" collapsed="false">
      <c r="A22" s="449"/>
      <c r="G22" s="451"/>
      <c r="L22" s="452"/>
      <c r="ALU22" s="452"/>
      <c r="ALV22" s="452"/>
      <c r="ALW22" s="452"/>
      <c r="ALX22" s="452"/>
      <c r="ALY22" s="452"/>
      <c r="ALZ22" s="452"/>
      <c r="AMA22" s="452"/>
      <c r="AMB22" s="452"/>
      <c r="AMC22" s="452"/>
      <c r="AMD22" s="452"/>
      <c r="AME22" s="452"/>
      <c r="AMF22" s="452"/>
      <c r="AMG22" s="452"/>
      <c r="AMH22" s="452"/>
      <c r="AMI22" s="453"/>
      <c r="AMJ22" s="400"/>
    </row>
    <row r="23" s="417" customFormat="true" ht="15" hidden="false" customHeight="false" outlineLevel="0" collapsed="false">
      <c r="A23" s="441"/>
      <c r="G23" s="454"/>
      <c r="L23" s="418"/>
      <c r="ALU23" s="418"/>
      <c r="ALV23" s="418"/>
      <c r="ALW23" s="418"/>
      <c r="ALX23" s="418"/>
      <c r="ALY23" s="418"/>
      <c r="ALZ23" s="418"/>
      <c r="AMA23" s="418"/>
      <c r="AMB23" s="418"/>
      <c r="AMC23" s="418"/>
      <c r="AMD23" s="418"/>
      <c r="AME23" s="418"/>
      <c r="AMF23" s="418"/>
      <c r="AMG23" s="418"/>
      <c r="AMH23" s="418"/>
      <c r="AMI23" s="446"/>
      <c r="AMJ23" s="400"/>
    </row>
    <row r="24" s="457" customFormat="true" ht="15" hidden="false" customHeight="false" outlineLevel="0" collapsed="false">
      <c r="A24" s="455" t="s">
        <v>424</v>
      </c>
      <c r="B24" s="455"/>
      <c r="C24" s="455"/>
      <c r="D24" s="455"/>
      <c r="E24" s="456"/>
      <c r="F24" s="456"/>
      <c r="G24" s="456"/>
      <c r="H24" s="456"/>
      <c r="I24" s="394"/>
      <c r="J24" s="394"/>
      <c r="K24" s="394"/>
      <c r="L24" s="428"/>
      <c r="M24" s="394"/>
      <c r="N24" s="394"/>
      <c r="O24" s="394"/>
      <c r="P24" s="394"/>
      <c r="Q24" s="394"/>
      <c r="R24" s="394"/>
      <c r="S24" s="394"/>
      <c r="T24" s="394"/>
      <c r="U24" s="394"/>
      <c r="V24" s="394"/>
      <c r="W24" s="394"/>
      <c r="X24" s="394"/>
      <c r="ALU24" s="429"/>
      <c r="ALV24" s="429"/>
      <c r="ALW24" s="429"/>
      <c r="ALX24" s="429"/>
      <c r="ALY24" s="429"/>
      <c r="ALZ24" s="429"/>
      <c r="AMA24" s="429"/>
      <c r="AMB24" s="429"/>
      <c r="AMC24" s="429"/>
      <c r="AMD24" s="429"/>
      <c r="AME24" s="429"/>
      <c r="AMF24" s="429"/>
      <c r="AMG24" s="429"/>
      <c r="AMH24" s="429"/>
      <c r="AMI24" s="430"/>
      <c r="AMJ24" s="400"/>
    </row>
    <row r="25" s="394" customFormat="true" ht="15" hidden="false" customHeight="false" outlineLevel="0" collapsed="false">
      <c r="A25" s="431"/>
      <c r="E25" s="429"/>
      <c r="L25" s="428"/>
      <c r="ALU25" s="429"/>
      <c r="ALV25" s="429"/>
      <c r="ALW25" s="429"/>
      <c r="ALX25" s="429"/>
      <c r="ALY25" s="429"/>
      <c r="ALZ25" s="429"/>
      <c r="AMA25" s="429"/>
      <c r="AMB25" s="429"/>
      <c r="AMC25" s="429"/>
      <c r="AMD25" s="429"/>
      <c r="AME25" s="429"/>
      <c r="AMF25" s="429"/>
      <c r="AMG25" s="429"/>
      <c r="AMH25" s="429"/>
      <c r="AMI25" s="430"/>
      <c r="AMJ25" s="400"/>
    </row>
    <row r="26" s="394" customFormat="true" ht="15" hidden="false" customHeight="false" outlineLevel="0" collapsed="false">
      <c r="A26" s="455" t="s">
        <v>425</v>
      </c>
      <c r="B26" s="455"/>
      <c r="C26" s="455"/>
      <c r="D26" s="455"/>
      <c r="E26" s="458"/>
      <c r="F26" s="458"/>
      <c r="G26" s="458"/>
      <c r="H26" s="458"/>
      <c r="L26" s="428"/>
      <c r="ALU26" s="429"/>
      <c r="ALV26" s="429"/>
      <c r="ALW26" s="429"/>
      <c r="ALX26" s="429"/>
      <c r="ALY26" s="429"/>
      <c r="ALZ26" s="429"/>
      <c r="AMA26" s="429"/>
      <c r="AMB26" s="429"/>
      <c r="AMC26" s="429"/>
      <c r="AMD26" s="429"/>
      <c r="AME26" s="429"/>
      <c r="AMF26" s="429"/>
      <c r="AMG26" s="429"/>
      <c r="AMH26" s="429"/>
      <c r="AMI26" s="430"/>
      <c r="AMJ26" s="400"/>
    </row>
    <row r="27" s="450" customFormat="true" ht="15" hidden="false" customHeight="false" outlineLevel="0" collapsed="false">
      <c r="A27" s="449"/>
      <c r="L27" s="451"/>
      <c r="ALU27" s="452"/>
      <c r="ALV27" s="452"/>
      <c r="ALW27" s="452"/>
      <c r="ALX27" s="452"/>
      <c r="ALY27" s="452"/>
      <c r="ALZ27" s="452"/>
      <c r="AMA27" s="452"/>
      <c r="AMB27" s="452"/>
      <c r="AMC27" s="452"/>
      <c r="AMD27" s="452"/>
      <c r="AME27" s="452"/>
      <c r="AMF27" s="452"/>
      <c r="AMG27" s="452"/>
      <c r="AMH27" s="452"/>
      <c r="AMI27" s="453"/>
      <c r="AMJ27" s="400"/>
    </row>
    <row r="28" s="439" customFormat="true" ht="15" hidden="false" customHeight="false" outlineLevel="0" collapsed="false">
      <c r="AMJ28" s="400"/>
    </row>
    <row r="29" s="398" customFormat="true" ht="15" hidden="false" customHeight="false" outlineLevel="0" collapsed="false">
      <c r="AMJ29" s="400"/>
    </row>
    <row r="30" s="398" customFormat="true" ht="15" hidden="false" customHeight="false" outlineLevel="0" collapsed="false">
      <c r="D30" s="459"/>
      <c r="E30" s="394" t="s">
        <v>426</v>
      </c>
      <c r="F30" s="394" t="s">
        <v>427</v>
      </c>
      <c r="G30" s="394" t="s">
        <v>428</v>
      </c>
      <c r="H30" s="460" t="s">
        <v>429</v>
      </c>
      <c r="I30" s="461"/>
      <c r="J30" s="460"/>
      <c r="K30" s="460"/>
      <c r="ALU30" s="399"/>
      <c r="ALV30" s="399"/>
      <c r="ALW30" s="399"/>
      <c r="ALX30" s="399"/>
      <c r="ALY30" s="399"/>
      <c r="ALZ30" s="399"/>
      <c r="AMA30" s="399"/>
      <c r="AMB30" s="399"/>
      <c r="AMC30" s="399"/>
      <c r="AMD30" s="399"/>
      <c r="AME30" s="399"/>
      <c r="AMF30" s="399"/>
      <c r="AMG30" s="399"/>
      <c r="AMH30" s="399"/>
      <c r="AMJ30" s="400"/>
    </row>
    <row r="31" s="398" customFormat="true" ht="30" hidden="false" customHeight="false" outlineLevel="0" collapsed="false">
      <c r="D31" s="459"/>
      <c r="E31" s="462" t="s">
        <v>430</v>
      </c>
      <c r="F31" s="463" t="n">
        <f aca="false">E12*G12</f>
        <v>0</v>
      </c>
      <c r="G31" s="463" t="n">
        <f aca="false">G12*(1-E12)</f>
        <v>0</v>
      </c>
      <c r="H31" s="464" t="n">
        <f aca="false">1-G12</f>
        <v>1</v>
      </c>
      <c r="I31" s="461"/>
      <c r="J31" s="460"/>
      <c r="K31" s="460"/>
      <c r="ALU31" s="399"/>
      <c r="ALV31" s="399"/>
      <c r="ALW31" s="399"/>
      <c r="ALX31" s="399"/>
      <c r="ALY31" s="399"/>
      <c r="ALZ31" s="399"/>
      <c r="AMA31" s="399"/>
      <c r="AMB31" s="399"/>
      <c r="AMC31" s="399"/>
      <c r="AMD31" s="399"/>
      <c r="AME31" s="399"/>
      <c r="AMF31" s="399"/>
      <c r="AMG31" s="399"/>
      <c r="AMH31" s="399"/>
      <c r="AMJ31" s="400"/>
    </row>
    <row r="32" s="398" customFormat="true" ht="30" hidden="false" customHeight="false" outlineLevel="0" collapsed="false">
      <c r="D32" s="459"/>
      <c r="E32" s="462" t="s">
        <v>431</v>
      </c>
      <c r="F32" s="463" t="n">
        <f aca="false">E14*G14</f>
        <v>0</v>
      </c>
      <c r="G32" s="463" t="n">
        <f aca="false">G14*(1-E14)</f>
        <v>0</v>
      </c>
      <c r="H32" s="464" t="n">
        <f aca="false">1-G14</f>
        <v>1</v>
      </c>
      <c r="I32" s="465"/>
      <c r="J32" s="459"/>
      <c r="K32" s="460"/>
      <c r="ALU32" s="399"/>
      <c r="ALV32" s="399"/>
      <c r="ALW32" s="399"/>
      <c r="ALX32" s="399"/>
      <c r="ALY32" s="399"/>
      <c r="ALZ32" s="399"/>
      <c r="AMA32" s="399"/>
      <c r="AMB32" s="399"/>
      <c r="AMC32" s="399"/>
      <c r="AMD32" s="399"/>
      <c r="AME32" s="399"/>
      <c r="AMF32" s="399"/>
      <c r="AMG32" s="399"/>
      <c r="AMH32" s="399"/>
      <c r="AMJ32" s="400"/>
    </row>
    <row r="33" s="398" customFormat="true" ht="15" hidden="false" customHeight="false" outlineLevel="0" collapsed="false">
      <c r="D33" s="459"/>
      <c r="E33" s="462" t="s">
        <v>432</v>
      </c>
      <c r="F33" s="463" t="n">
        <f aca="false">E16*G16</f>
        <v>0.5</v>
      </c>
      <c r="G33" s="463" t="n">
        <f aca="false">G16*(1-E16)</f>
        <v>0</v>
      </c>
      <c r="H33" s="464" t="n">
        <f aca="false">1-G16</f>
        <v>0.5</v>
      </c>
      <c r="I33" s="459"/>
      <c r="J33" s="459"/>
      <c r="K33" s="460"/>
      <c r="ALU33" s="399"/>
      <c r="ALV33" s="399"/>
      <c r="ALW33" s="399"/>
      <c r="ALX33" s="399"/>
      <c r="ALY33" s="399"/>
      <c r="ALZ33" s="399"/>
      <c r="AMA33" s="399"/>
      <c r="AMB33" s="399"/>
      <c r="AMC33" s="399"/>
      <c r="AMD33" s="399"/>
      <c r="AME33" s="399"/>
      <c r="AMF33" s="399"/>
      <c r="AMG33" s="399"/>
      <c r="AMH33" s="399"/>
      <c r="AMJ33" s="400"/>
    </row>
    <row r="34" s="398" customFormat="true" ht="15" hidden="false" customHeight="false" outlineLevel="0" collapsed="false">
      <c r="D34" s="459"/>
      <c r="E34" s="462" t="s">
        <v>433</v>
      </c>
      <c r="F34" s="463" t="n">
        <f aca="false">E18*G18</f>
        <v>0</v>
      </c>
      <c r="G34" s="463" t="n">
        <f aca="false">G18*(1-E18)</f>
        <v>0</v>
      </c>
      <c r="H34" s="464" t="n">
        <f aca="false">1-G18</f>
        <v>1</v>
      </c>
      <c r="I34" s="459"/>
      <c r="J34" s="459"/>
      <c r="K34" s="459"/>
      <c r="ALU34" s="399"/>
      <c r="ALV34" s="399"/>
      <c r="ALW34" s="399"/>
      <c r="ALX34" s="399"/>
      <c r="ALY34" s="399"/>
      <c r="ALZ34" s="399"/>
      <c r="AMA34" s="399"/>
      <c r="AMB34" s="399"/>
      <c r="AMC34" s="399"/>
      <c r="AMD34" s="399"/>
      <c r="AME34" s="399"/>
      <c r="AMF34" s="399"/>
      <c r="AMG34" s="399"/>
      <c r="AMH34" s="399"/>
      <c r="AMJ34" s="400"/>
    </row>
    <row r="35" s="398" customFormat="true" ht="15" hidden="false" customHeight="false" outlineLevel="0" collapsed="false">
      <c r="D35" s="459"/>
      <c r="E35" s="462" t="s">
        <v>434</v>
      </c>
      <c r="F35" s="463" t="n">
        <f aca="false">E21*G21</f>
        <v>0.03125</v>
      </c>
      <c r="G35" s="463" t="n">
        <f aca="false">G21*(1-E21)</f>
        <v>0.09375</v>
      </c>
      <c r="H35" s="464" t="n">
        <f aca="false">1-G21</f>
        <v>0.875</v>
      </c>
      <c r="I35" s="459"/>
      <c r="J35" s="459"/>
      <c r="K35" s="459"/>
      <c r="ALU35" s="399"/>
      <c r="ALV35" s="399"/>
      <c r="ALW35" s="399"/>
      <c r="ALX35" s="399"/>
      <c r="ALY35" s="399"/>
      <c r="ALZ35" s="399"/>
      <c r="AMA35" s="399"/>
      <c r="AMB35" s="399"/>
      <c r="AMC35" s="399"/>
      <c r="AMD35" s="399"/>
      <c r="AME35" s="399"/>
      <c r="AMF35" s="399"/>
      <c r="AMG35" s="399"/>
      <c r="AMH35" s="399"/>
      <c r="AMJ35" s="400"/>
    </row>
    <row r="36" s="398" customFormat="true" ht="15" hidden="false" customHeight="false" outlineLevel="0" collapsed="false">
      <c r="D36" s="459"/>
      <c r="E36" s="459"/>
      <c r="F36" s="459"/>
      <c r="G36" s="459"/>
      <c r="H36" s="459"/>
      <c r="I36" s="459"/>
      <c r="J36" s="459"/>
      <c r="K36" s="459"/>
      <c r="ALU36" s="399"/>
      <c r="ALV36" s="399"/>
      <c r="ALW36" s="399"/>
      <c r="ALX36" s="399"/>
      <c r="ALY36" s="399"/>
      <c r="ALZ36" s="399"/>
      <c r="AMA36" s="399"/>
      <c r="AMB36" s="399"/>
      <c r="AMC36" s="399"/>
      <c r="AMD36" s="399"/>
      <c r="AME36" s="399"/>
      <c r="AMF36" s="399"/>
      <c r="AMG36" s="399"/>
      <c r="AMH36" s="399"/>
      <c r="AMJ36" s="400"/>
    </row>
    <row r="37" s="398" customFormat="true" ht="15" hidden="false" customHeight="false" outlineLevel="0" collapsed="false">
      <c r="ALU37" s="399"/>
      <c r="ALV37" s="399"/>
      <c r="ALW37" s="399"/>
      <c r="ALX37" s="399"/>
      <c r="ALY37" s="399"/>
      <c r="ALZ37" s="399"/>
      <c r="AMA37" s="399"/>
      <c r="AMB37" s="399"/>
      <c r="AMC37" s="399"/>
      <c r="AMD37" s="399"/>
      <c r="AME37" s="399"/>
      <c r="AMF37" s="399"/>
      <c r="AMG37" s="399"/>
      <c r="AMH37" s="399"/>
      <c r="AMJ37" s="400"/>
    </row>
    <row r="38" s="398" customFormat="true" ht="15" hidden="false" customHeight="false" outlineLevel="0" collapsed="false">
      <c r="ALU38" s="399"/>
      <c r="ALV38" s="399"/>
      <c r="ALW38" s="399"/>
      <c r="ALX38" s="399"/>
      <c r="ALY38" s="399"/>
      <c r="ALZ38" s="399"/>
      <c r="AMA38" s="399"/>
      <c r="AMB38" s="399"/>
      <c r="AMC38" s="399"/>
      <c r="AMD38" s="399"/>
      <c r="AME38" s="399"/>
      <c r="AMF38" s="399"/>
      <c r="AMG38" s="399"/>
      <c r="AMH38" s="399"/>
      <c r="AMJ38" s="400"/>
    </row>
    <row r="39" s="398" customFormat="true" ht="15" hidden="false" customHeight="false" outlineLevel="0" collapsed="false">
      <c r="ALU39" s="399"/>
      <c r="ALV39" s="399"/>
      <c r="ALW39" s="399"/>
      <c r="ALX39" s="399"/>
      <c r="ALY39" s="399"/>
      <c r="ALZ39" s="399"/>
      <c r="AMA39" s="399"/>
      <c r="AMB39" s="399"/>
      <c r="AMC39" s="399"/>
      <c r="AMD39" s="399"/>
      <c r="AME39" s="399"/>
      <c r="AMF39" s="399"/>
      <c r="AMG39" s="399"/>
      <c r="AMH39" s="399"/>
      <c r="AMJ39" s="400"/>
    </row>
    <row r="40" s="398" customFormat="true" ht="15" hidden="false" customHeight="false" outlineLevel="0" collapsed="false">
      <c r="ALU40" s="399"/>
      <c r="ALV40" s="399"/>
      <c r="ALW40" s="399"/>
      <c r="ALX40" s="399"/>
      <c r="ALY40" s="399"/>
      <c r="ALZ40" s="399"/>
      <c r="AMA40" s="399"/>
      <c r="AMB40" s="399"/>
      <c r="AMC40" s="399"/>
      <c r="AMD40" s="399"/>
      <c r="AME40" s="399"/>
      <c r="AMF40" s="399"/>
      <c r="AMG40" s="399"/>
      <c r="AMH40" s="399"/>
      <c r="AMJ40" s="400"/>
    </row>
    <row r="41" s="398" customFormat="true" ht="15" hidden="false" customHeight="false" outlineLevel="0" collapsed="false">
      <c r="ALU41" s="399"/>
      <c r="ALV41" s="399"/>
      <c r="ALW41" s="399"/>
      <c r="ALX41" s="399"/>
      <c r="ALY41" s="399"/>
      <c r="ALZ41" s="399"/>
      <c r="AMA41" s="399"/>
      <c r="AMB41" s="399"/>
      <c r="AMC41" s="399"/>
      <c r="AMD41" s="399"/>
      <c r="AME41" s="399"/>
      <c r="AMF41" s="399"/>
      <c r="AMG41" s="399"/>
      <c r="AMH41" s="399"/>
      <c r="AMJ41" s="400"/>
    </row>
    <row r="42" s="398" customFormat="true" ht="15" hidden="false" customHeight="false" outlineLevel="0" collapsed="false">
      <c r="ALU42" s="399"/>
      <c r="ALV42" s="399"/>
      <c r="ALW42" s="399"/>
      <c r="ALX42" s="399"/>
      <c r="ALY42" s="399"/>
      <c r="ALZ42" s="399"/>
      <c r="AMA42" s="399"/>
      <c r="AMB42" s="399"/>
      <c r="AMC42" s="399"/>
      <c r="AMD42" s="399"/>
      <c r="AME42" s="399"/>
      <c r="AMF42" s="399"/>
      <c r="AMG42" s="399"/>
      <c r="AMH42" s="399"/>
      <c r="AMJ42" s="400"/>
    </row>
    <row r="43" s="398" customFormat="true" ht="15" hidden="false" customHeight="false" outlineLevel="0" collapsed="false">
      <c r="ALU43" s="399"/>
      <c r="ALV43" s="399"/>
      <c r="ALW43" s="399"/>
      <c r="ALX43" s="399"/>
      <c r="ALY43" s="399"/>
      <c r="ALZ43" s="399"/>
      <c r="AMA43" s="399"/>
      <c r="AMB43" s="399"/>
      <c r="AMC43" s="399"/>
      <c r="AMD43" s="399"/>
      <c r="AME43" s="399"/>
      <c r="AMF43" s="399"/>
      <c r="AMG43" s="399"/>
      <c r="AMH43" s="399"/>
      <c r="AMJ43" s="400"/>
    </row>
    <row r="44" s="398" customFormat="true" ht="15" hidden="false" customHeight="false" outlineLevel="0" collapsed="false">
      <c r="ALU44" s="399"/>
      <c r="ALV44" s="399"/>
      <c r="ALW44" s="399"/>
      <c r="ALX44" s="399"/>
      <c r="ALY44" s="399"/>
      <c r="ALZ44" s="399"/>
      <c r="AMA44" s="399"/>
      <c r="AMB44" s="399"/>
      <c r="AMC44" s="399"/>
      <c r="AMD44" s="399"/>
      <c r="AME44" s="399"/>
      <c r="AMF44" s="399"/>
      <c r="AMG44" s="399"/>
      <c r="AMH44" s="399"/>
      <c r="AMJ44" s="400"/>
    </row>
    <row r="45" s="466" customFormat="true" ht="100.5" hidden="false" customHeight="true" outlineLevel="0" collapsed="false">
      <c r="A45" s="466" t="s">
        <v>435</v>
      </c>
      <c r="AMJ45" s="400"/>
    </row>
    <row r="46" s="467" customFormat="true" ht="18.75" hidden="true" customHeight="true" outlineLevel="0" collapsed="false">
      <c r="AMJ46" s="400"/>
    </row>
    <row r="47" s="467" customFormat="true" ht="21.75" hidden="false" customHeight="true" outlineLevel="0" collapsed="false">
      <c r="AMJ47" s="400"/>
    </row>
  </sheetData>
  <sheetProtection algorithmName="SHA-512" hashValue="p1L5Sm3awFOxV3pnosoL9SOVCcKqBeAmUfTugGClMpMnVSLpioulSRU2Oj0f8nId01UWhBeOapSnr8Zdu3t9xw==" saltValue="4nYdqceulrrInG/wnmxVeQ==" spinCount="100000" sheet="true" objects="true" scenarios="true"/>
  <mergeCells count="11">
    <mergeCell ref="1:1"/>
    <mergeCell ref="E3:I3"/>
    <mergeCell ref="E5:I5"/>
    <mergeCell ref="E7:I7"/>
    <mergeCell ref="E9:I9"/>
    <mergeCell ref="A24:D24"/>
    <mergeCell ref="E24:H24"/>
    <mergeCell ref="A26:D26"/>
    <mergeCell ref="E26:H26"/>
    <mergeCell ref="A45:AMI45"/>
    <mergeCell ref="A46:AMI47"/>
  </mergeCells>
  <conditionalFormatting sqref="D3">
    <cfRule type="expression" priority="2" aboveAverage="0" equalAverage="0" bottom="0" percent="0" rank="0" text="" dxfId="80">
      <formula>#ref!="unselect"</formula>
    </cfRule>
    <cfRule type="expression" priority="3" aboveAverage="0" equalAverage="0" bottom="0" percent="0" rank="0" text="" dxfId="81">
      <formula>AND(#ref!="select",#ref!="select")</formula>
    </cfRule>
    <cfRule type="expression" priority="4" aboveAverage="0" equalAverage="0" bottom="0" percent="0" rank="0" text="" dxfId="82">
      <formula>#ref!="select"</formula>
    </cfRule>
  </conditionalFormatting>
  <conditionalFormatting sqref="C8">
    <cfRule type="expression" priority="5" aboveAverage="0" equalAverage="0" bottom="0" percent="0" rank="0" text="" dxfId="83">
      <formula>#ref!="unselect"</formula>
    </cfRule>
    <cfRule type="expression" priority="6" aboveAverage="0" equalAverage="0" bottom="0" percent="0" rank="0" text="" dxfId="84">
      <formula>AND(#ref!="select",#ref!="select")</formula>
    </cfRule>
    <cfRule type="expression" priority="7" aboveAverage="0" equalAverage="0" bottom="0" percent="0" rank="0" text="" dxfId="85">
      <formula>#ref!="select"</formula>
    </cfRule>
  </conditionalFormatting>
  <dataValidations count="1">
    <dataValidation allowBlank="true" operator="equal" showDropDown="false" showErrorMessage="true" showInputMessage="false" sqref="E24" type="list">
      <formula1>"Discarded,Observed,Accepted,Recommended,Mandatory"</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8" activeCellId="0" sqref="E18"/>
    </sheetView>
  </sheetViews>
  <sheetFormatPr defaultColWidth="8.6875" defaultRowHeight="15" zeroHeight="false" outlineLevelRow="0" outlineLevelCol="0"/>
  <sheetData>
    <row r="1" customFormat="false" ht="15" hidden="false" customHeight="false" outlineLevel="0" collapsed="false">
      <c r="A1" s="468" t="s">
        <v>436</v>
      </c>
      <c r="B1" s="468"/>
      <c r="C1" s="468"/>
      <c r="D1" s="468"/>
      <c r="E1" s="468"/>
      <c r="F1" s="468"/>
      <c r="G1" s="468"/>
      <c r="H1" s="468"/>
      <c r="I1" s="468"/>
      <c r="J1" s="468"/>
      <c r="K1" s="468"/>
      <c r="L1" s="468"/>
      <c r="M1" s="468"/>
    </row>
    <row r="2" customFormat="false" ht="15" hidden="false" customHeight="false" outlineLevel="0" collapsed="false">
      <c r="A2" s="468"/>
      <c r="B2" s="468"/>
      <c r="C2" s="468"/>
      <c r="D2" s="468"/>
      <c r="E2" s="468"/>
      <c r="F2" s="468"/>
      <c r="G2" s="468"/>
      <c r="H2" s="468"/>
      <c r="I2" s="468"/>
      <c r="J2" s="468"/>
      <c r="K2" s="468"/>
      <c r="L2" s="468"/>
      <c r="M2" s="468"/>
    </row>
    <row r="3" customFormat="false" ht="15" hidden="false" customHeight="false" outlineLevel="0" collapsed="false">
      <c r="A3" s="468"/>
      <c r="B3" s="468"/>
      <c r="C3" s="468"/>
      <c r="D3" s="468"/>
      <c r="E3" s="468"/>
      <c r="F3" s="468"/>
      <c r="G3" s="468"/>
      <c r="H3" s="468"/>
      <c r="I3" s="468"/>
      <c r="J3" s="468"/>
      <c r="K3" s="468"/>
      <c r="L3" s="468"/>
      <c r="M3" s="468"/>
    </row>
    <row r="4" customFormat="false" ht="15" hidden="false" customHeight="false" outlineLevel="0" collapsed="false">
      <c r="A4" s="468"/>
      <c r="B4" s="468"/>
      <c r="C4" s="468"/>
      <c r="D4" s="468"/>
      <c r="E4" s="468"/>
      <c r="F4" s="468"/>
      <c r="G4" s="468"/>
      <c r="H4" s="468"/>
      <c r="I4" s="468"/>
      <c r="J4" s="468"/>
      <c r="K4" s="468"/>
      <c r="L4" s="468"/>
      <c r="M4" s="468"/>
    </row>
    <row r="5" customFormat="false" ht="15" hidden="false" customHeight="false" outlineLevel="0" collapsed="false">
      <c r="A5" s="468"/>
      <c r="B5" s="468"/>
      <c r="C5" s="468"/>
      <c r="D5" s="468"/>
      <c r="E5" s="468"/>
      <c r="F5" s="468"/>
      <c r="G5" s="468"/>
      <c r="H5" s="468"/>
      <c r="I5" s="468"/>
      <c r="J5" s="468"/>
      <c r="K5" s="468"/>
      <c r="L5" s="468"/>
      <c r="M5" s="468"/>
    </row>
    <row r="6" customFormat="false" ht="15" hidden="false" customHeight="false" outlineLevel="0" collapsed="false">
      <c r="A6" s="468"/>
      <c r="B6" s="468"/>
      <c r="C6" s="468"/>
      <c r="D6" s="468"/>
      <c r="E6" s="468"/>
      <c r="F6" s="468"/>
      <c r="G6" s="468"/>
      <c r="H6" s="468"/>
      <c r="I6" s="468"/>
      <c r="J6" s="468"/>
      <c r="K6" s="468"/>
      <c r="L6" s="468"/>
      <c r="M6" s="468"/>
    </row>
    <row r="7" customFormat="false" ht="15" hidden="false" customHeight="false" outlineLevel="0" collapsed="false">
      <c r="A7" s="468"/>
      <c r="B7" s="468"/>
      <c r="C7" s="468"/>
      <c r="D7" s="468"/>
      <c r="E7" s="468"/>
      <c r="F7" s="468"/>
      <c r="G7" s="468"/>
      <c r="H7" s="468"/>
      <c r="I7" s="468"/>
      <c r="J7" s="468"/>
      <c r="K7" s="468"/>
      <c r="L7" s="468"/>
      <c r="M7" s="468"/>
    </row>
    <row r="8" customFormat="false" ht="15" hidden="false" customHeight="false" outlineLevel="0" collapsed="false">
      <c r="A8" s="468"/>
      <c r="B8" s="468"/>
      <c r="C8" s="468"/>
      <c r="D8" s="468"/>
      <c r="E8" s="468"/>
      <c r="F8" s="468"/>
      <c r="G8" s="468"/>
      <c r="H8" s="468"/>
      <c r="I8" s="468"/>
      <c r="J8" s="468"/>
      <c r="K8" s="468"/>
      <c r="L8" s="468"/>
      <c r="M8" s="468"/>
    </row>
    <row r="9" customFormat="false" ht="15" hidden="false" customHeight="false" outlineLevel="0" collapsed="false">
      <c r="A9" s="468"/>
      <c r="B9" s="468"/>
      <c r="C9" s="468"/>
      <c r="D9" s="468"/>
      <c r="E9" s="468"/>
      <c r="F9" s="468"/>
      <c r="G9" s="468"/>
      <c r="H9" s="468"/>
      <c r="I9" s="468"/>
      <c r="J9" s="468"/>
      <c r="K9" s="468"/>
      <c r="L9" s="468"/>
      <c r="M9" s="468"/>
    </row>
    <row r="10" customFormat="false" ht="15" hidden="false" customHeight="false" outlineLevel="0" collapsed="false">
      <c r="A10" s="468"/>
      <c r="B10" s="468"/>
      <c r="C10" s="468"/>
      <c r="D10" s="468"/>
      <c r="E10" s="468"/>
      <c r="F10" s="468"/>
      <c r="G10" s="468"/>
      <c r="H10" s="468"/>
      <c r="I10" s="468"/>
      <c r="J10" s="468"/>
      <c r="K10" s="468"/>
      <c r="L10" s="468"/>
      <c r="M10" s="468"/>
    </row>
    <row r="11" customFormat="false" ht="15" hidden="false" customHeight="false" outlineLevel="0" collapsed="false">
      <c r="A11" s="468"/>
      <c r="B11" s="468"/>
      <c r="C11" s="468"/>
      <c r="D11" s="468"/>
      <c r="E11" s="468" t="s">
        <v>416</v>
      </c>
      <c r="F11" s="468"/>
      <c r="G11" s="468" t="s">
        <v>417</v>
      </c>
      <c r="H11" s="468"/>
      <c r="I11" s="468" t="s">
        <v>418</v>
      </c>
      <c r="J11" s="468"/>
      <c r="K11" s="468" t="s">
        <v>419</v>
      </c>
      <c r="L11" s="468"/>
      <c r="M11" s="468" t="s">
        <v>420</v>
      </c>
    </row>
    <row r="12" customFormat="false" ht="15" hidden="false" customHeight="false" outlineLevel="0" collapsed="false">
      <c r="A12" s="468"/>
      <c r="B12" s="468"/>
      <c r="C12" s="468" t="s">
        <v>421</v>
      </c>
      <c r="D12" s="468"/>
      <c r="E12" s="0" t="n">
        <f aca="false">IF(G12&gt;0,(COUNTIF(Assessment_TS!H15:H27,"✓"))/((COUNTIF(Assessment_TS!H15:H27,"X"))+(COUNTIF(Assessment_TS!H15:H27,"✓"))),0)</f>
        <v>0</v>
      </c>
      <c r="G12" s="0" t="n">
        <f aca="false">(COUNTIF(Assessment_TS!H15:H27,"✓")+COUNTIF(Assessment_TS!H15:H27,"X"))/7</f>
        <v>0</v>
      </c>
      <c r="I12" s="0" t="n">
        <f aca="false">COUNTIF(Assessment_TS!H15:H27,"✓")</f>
        <v>0</v>
      </c>
      <c r="K12" s="0" t="n">
        <f aca="false">COUNTIF(Assessment_TS!H15:H27,"X")</f>
        <v>0</v>
      </c>
      <c r="M12" s="0" t="n">
        <f aca="false">COUNTIF(Assessment_TS!H15:H27,"N/A")</f>
        <v>0</v>
      </c>
    </row>
    <row r="13" customFormat="false" ht="15" hidden="false" customHeight="false" outlineLevel="0" collapsed="false">
      <c r="A13" s="468"/>
      <c r="B13" s="468"/>
      <c r="C13" s="468"/>
      <c r="D13" s="468"/>
    </row>
    <row r="14" customFormat="false" ht="15" hidden="false" customHeight="false" outlineLevel="0" collapsed="false">
      <c r="A14" s="468"/>
      <c r="B14" s="468"/>
      <c r="C14" s="468" t="s">
        <v>422</v>
      </c>
      <c r="D14" s="468"/>
      <c r="E14" s="0" t="n">
        <f aca="false">IF(G14&gt;0,(COUNTIF(Assessment_TS!H31:H43,"✓"))/((COUNTIF(Assessment_TS!H31:H43,"X"))+(COUNTIF(Assessment_TS!H31:H43,"✓"))),0)</f>
        <v>0</v>
      </c>
      <c r="G14" s="0" t="n">
        <f aca="false">(COUNTIF(Assessment_TS!H31:H43,"✓")+COUNTIF(Assessment_TS!H31:H43,"X"))/6</f>
        <v>0</v>
      </c>
      <c r="I14" s="0" t="n">
        <f aca="false">COUNTIF(Assessment_TS!H31:H43,"✓")</f>
        <v>0</v>
      </c>
      <c r="K14" s="0" t="n">
        <f aca="false">COUNTIF(Assessment_TS!H31:H43,"X")</f>
        <v>0</v>
      </c>
      <c r="M14" s="0" t="n">
        <f aca="false">COUNTIF(Assessment_TS!H31:H43,"N/A")</f>
        <v>0</v>
      </c>
    </row>
    <row r="15" customFormat="false" ht="15" hidden="false" customHeight="false" outlineLevel="0" collapsed="false">
      <c r="A15" s="468"/>
      <c r="B15" s="468"/>
      <c r="C15" s="468"/>
      <c r="D15" s="468"/>
      <c r="G15" s="0" t="n">
        <f aca="false">(COUNTIF(Assessment_TS!H31:H43,"✓")+COUNTIF(Assessment_TS!H31:H43,"X"))/6</f>
        <v>0</v>
      </c>
    </row>
    <row r="16" customFormat="false" ht="15" hidden="false" customHeight="false" outlineLevel="0" collapsed="false">
      <c r="A16" s="468"/>
      <c r="B16" s="468"/>
      <c r="C16" s="468" t="s">
        <v>349</v>
      </c>
      <c r="D16" s="468"/>
      <c r="E16" s="0" t="n">
        <f aca="false">IF(G16&gt;0,(COUNTIF(Assessment_TS!H47:H73,"✓"))/((COUNTIF(Assessment_TS!H47:H73,"X"))+(COUNTIF(Assessment_TS!H47:H73,"✓"))),0)</f>
        <v>0</v>
      </c>
      <c r="G16" s="0" t="n">
        <f aca="false">(COUNTIF(Assessment_TS!H47:H73,"✓")+COUNTIF(Assessment_TS!H47:H73,"X"))/11</f>
        <v>0</v>
      </c>
      <c r="I16" s="0" t="n">
        <f aca="false">COUNTIF(Assessment_TS!H47:H73,"✓")</f>
        <v>0</v>
      </c>
      <c r="K16" s="0" t="n">
        <f aca="false">COUNTIF(Assessment_TS!H47:H73,"X")</f>
        <v>0</v>
      </c>
      <c r="M16" s="0" t="n">
        <f aca="false">COUNTIF(Assessment_TS!H47:H73,"N/A")</f>
        <v>0</v>
      </c>
    </row>
    <row r="17" customFormat="false" ht="15" hidden="false" customHeight="false" outlineLevel="0" collapsed="false">
      <c r="C17" s="468"/>
      <c r="D17" s="468"/>
    </row>
    <row r="18" customFormat="false" ht="15" hidden="false" customHeight="false" outlineLevel="0" collapsed="false">
      <c r="C18" s="468" t="s">
        <v>362</v>
      </c>
      <c r="D18" s="468"/>
      <c r="E18" s="0" t="n">
        <f aca="false">IF(G18&gt;0,(COUNTIF(Assessment_TS!H79:H145,"✓"))/((COUNTIF(Assessment_TS!H79:H145,"X"))+(COUNTIF(Assessment_TS!H79:H145,"✓"))),0)</f>
        <v>0</v>
      </c>
      <c r="G18" s="0" t="n">
        <f aca="false">(COUNTIF(Assessment_TS!H79:H145,"✓")+COUNTIF(Assessment_TS!H79:H145,"X"))/29</f>
        <v>0</v>
      </c>
      <c r="I18" s="0" t="n">
        <f aca="false">COUNTIF(Assessment_TS!H79:H145,"✓")</f>
        <v>0</v>
      </c>
      <c r="K18" s="0" t="n">
        <f aca="false">COUNTIF(Assessment_TS!H79:H145,"X")</f>
        <v>0</v>
      </c>
      <c r="M18" s="0" t="n">
        <f aca="false">COUNTIF(Assessment_TS!H79:H145,"N/A")</f>
        <v>0</v>
      </c>
    </row>
    <row r="19" customFormat="false" ht="15" hidden="false" customHeight="false" outlineLevel="0" collapsed="false">
      <c r="C19" s="468"/>
      <c r="D19" s="468"/>
    </row>
    <row r="20" customFormat="false" ht="15" hidden="false" customHeight="false" outlineLevel="0" collapsed="false">
      <c r="C20" s="468"/>
      <c r="D20" s="468"/>
    </row>
    <row r="21" customFormat="false" ht="15" hidden="false" customHeight="false" outlineLevel="0" collapsed="false">
      <c r="C21" s="468" t="s">
        <v>423</v>
      </c>
      <c r="D21" s="468"/>
      <c r="E21" s="0" t="n">
        <f aca="false">IF(G21&gt;0,(COUNTIF(Assessment_TS!H15:H145,"✓"))/((COUNTIF(Assessment_TS!H15:H145,"X"))+(COUNTIF(Assessment_TS!H15:H145,"✓"))),0)</f>
        <v>0</v>
      </c>
      <c r="G21" s="0" t="n">
        <f aca="false">(COUNTIF(Assessment_TS!H15:H145,"✓")+COUNTIF(Assessment_TS!H15:H145,"X"))/53</f>
        <v>0</v>
      </c>
      <c r="I21" s="0" t="n">
        <f aca="false">SUM(I12:I18)</f>
        <v>0</v>
      </c>
      <c r="K21" s="0" t="n">
        <f aca="false">SUM(K12:K18)</f>
        <v>0</v>
      </c>
      <c r="M21" s="0" t="n">
        <f aca="false">SUM(M12:M18)</f>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M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22" activeCellId="0" sqref="M22"/>
    </sheetView>
  </sheetViews>
  <sheetFormatPr defaultColWidth="8.6875" defaultRowHeight="15" zeroHeight="false" outlineLevelRow="0" outlineLevelCol="0"/>
  <sheetData>
    <row r="1" customFormat="false" ht="15" hidden="false" customHeight="false" outlineLevel="0" collapsed="false">
      <c r="A1" s="468" t="s">
        <v>436</v>
      </c>
      <c r="B1" s="468"/>
      <c r="C1" s="468"/>
      <c r="D1" s="468"/>
      <c r="E1" s="468"/>
      <c r="F1" s="468"/>
      <c r="G1" s="468"/>
      <c r="H1" s="468"/>
      <c r="I1" s="468"/>
      <c r="J1" s="468"/>
      <c r="K1" s="468"/>
      <c r="L1" s="468"/>
      <c r="M1" s="468"/>
    </row>
    <row r="11" customFormat="false" ht="15" hidden="false" customHeight="false" outlineLevel="0" collapsed="false">
      <c r="A11" s="468"/>
      <c r="B11" s="468"/>
      <c r="C11" s="468"/>
      <c r="D11" s="468"/>
      <c r="E11" s="468" t="s">
        <v>416</v>
      </c>
      <c r="F11" s="468"/>
      <c r="G11" s="468" t="s">
        <v>417</v>
      </c>
      <c r="H11" s="468"/>
      <c r="I11" s="468" t="s">
        <v>418</v>
      </c>
      <c r="J11" s="468"/>
      <c r="K11" s="468" t="s">
        <v>419</v>
      </c>
      <c r="L11" s="468"/>
      <c r="M11" s="468" t="s">
        <v>420</v>
      </c>
    </row>
    <row r="12" customFormat="false" ht="15" hidden="false" customHeight="false" outlineLevel="0" collapsed="false">
      <c r="C12" s="468" t="s">
        <v>421</v>
      </c>
      <c r="D12" s="468"/>
      <c r="E12" s="0" t="n">
        <f aca="false">IF(G12&gt;0,SUM(COUNTIF(Assessment_MSP!I16,"Yes"),COUNTIF(Assessment_MSP!I18,"No"),COUNTIF(Assessment_MSP!I20,"Yes")) / (COUNTIF(Assessment_MSP!I16:I20,"Yes")+COUNTIF(Assessment_MSP!I16:I20,"No")),0)</f>
        <v>0</v>
      </c>
      <c r="G12" s="0" t="n">
        <f aca="false">(COUNTIF(Assessment_MSP!I16:I20,"Yes")+COUNTIF(Assessment_MSP!I16:I20,"No"))/3</f>
        <v>0</v>
      </c>
      <c r="I12" s="0" t="n">
        <f aca="false">SUM(COUNTIF(Assessment_MSP!I16, "Yes"),COUNTIF(Assessment_MSP!I18, "No"),COUNTIF(Assessment_MSP!I20, "Yes"))</f>
        <v>0</v>
      </c>
      <c r="K12" s="0" t="n">
        <f aca="false">SUM(COUNTIF(Assessment_MSP!I16, "No"),COUNTIF(Assessment_MSP!I18, "Yes"),COUNTIF(Assessment_MSP!I20, "No"))</f>
        <v>0</v>
      </c>
      <c r="M12" s="0" t="n">
        <f aca="false">(COUNTIF(Assessment_MSP!I16:I20,"N/A"))</f>
        <v>0</v>
      </c>
    </row>
    <row r="14" customFormat="false" ht="15" hidden="false" customHeight="false" outlineLevel="0" collapsed="false">
      <c r="C14" s="468" t="s">
        <v>422</v>
      </c>
      <c r="D14" s="468"/>
      <c r="E14" s="0" t="n">
        <f aca="false">IF(G14&gt;0,SUM(COUNTIF(Assessment_MSP!I24,"Yes"),COUNTIF(Assessment_MSP!I26:I28,"No"),COUNTIF(Assessment_MSP!I30,"Yes")) / (COUNTIF(Assessment_MSP!I24:I30,"Yes") + COUNTIF(Assessment_MSP!I24:I30,"No")),0%)</f>
        <v>0</v>
      </c>
      <c r="G14" s="0" t="n">
        <f aca="false">(COUNTIF(Assessment_MSP!I24:I30,"Yes")+COUNTIF(Assessment_MSP!I24:I30,"No"))/3</f>
        <v>0</v>
      </c>
      <c r="I14" s="0" t="n">
        <f aca="false">SUM(COUNTIF(Assessment_MSP!I24, "Yes"),COUNTIF(Assessment_MSP!I26:I28, "No"),COUNTIF(Assessment_MSP!I30,"Yes"))</f>
        <v>0</v>
      </c>
      <c r="K14" s="0" t="n">
        <f aca="false">SUM(COUNTIF(Assessment_MSP!I24, "No"),COUNTIF(Assessment_MSP!I26:I28, "Yes"),COUNTIF(Assessment_MSP!I30,"No"))</f>
        <v>0</v>
      </c>
      <c r="M14" s="0" t="n">
        <f aca="false">(COUNTIF(Assessment_MSP!I24:I30,"N/A"))</f>
        <v>0</v>
      </c>
    </row>
    <row r="15" customFormat="false" ht="15" hidden="false" customHeight="false" outlineLevel="0" collapsed="false">
      <c r="C15" s="468"/>
      <c r="D15" s="468"/>
      <c r="G15" s="0" t="n">
        <f aca="false">(COUNTIF(Assessment_MSP!I24:I30,"Yes")+COUNTIF(Assessment_MSP!I24:I30,"No"))/4</f>
        <v>0</v>
      </c>
    </row>
    <row r="16" customFormat="false" ht="15" hidden="false" customHeight="false" outlineLevel="0" collapsed="false">
      <c r="C16" s="468" t="s">
        <v>349</v>
      </c>
      <c r="D16" s="468"/>
      <c r="E16" s="0" t="n">
        <f aca="false">IF(G16&gt;0,SUM(COUNTIF(Assessment_MSP!I34:I50,"Yes")) / ( COUNTIF(Assessment_MSP!I34:I50,"Yes") + COUNTIF(Assessment_MSP!I34:I50,"No")),0%)</f>
        <v>1</v>
      </c>
      <c r="G16" s="0" t="n">
        <f aca="false">(COUNTIF(Assessment_MSP!I34:I50,"Yes") + COUNTIF(Assessment_MSP!I34:I50,"No"))/6</f>
        <v>0.5</v>
      </c>
      <c r="I16" s="0" t="n">
        <f aca="false">(COUNTIF(Assessment_MSP!I34:I50,"Yes"))</f>
        <v>3</v>
      </c>
      <c r="K16" s="0" t="n">
        <f aca="false">(COUNTIF(Assessment_MSP!I34:I50,"No"))</f>
        <v>0</v>
      </c>
      <c r="M16" s="0" t="n">
        <f aca="false">(COUNTIF(Assessment_MSP!I34:I50,"N/A"))</f>
        <v>0</v>
      </c>
    </row>
    <row r="18" customFormat="false" ht="15" hidden="false" customHeight="false" outlineLevel="0" collapsed="false">
      <c r="C18" s="468" t="s">
        <v>362</v>
      </c>
      <c r="D18" s="468"/>
      <c r="E18" s="0" t="n">
        <f aca="false">IF(G18&gt;0,SUM(COUNTIF(Assessment_MSP!I56:I82,"Yes")) / ( COUNTIF(Assessment_MSP!I56:I82,"Yes") + COUNTIF(Assessment_MSP!I56:I82,"No")),0%)</f>
        <v>0</v>
      </c>
      <c r="G18" s="0" t="n">
        <f aca="false">(COUNTIF(Assessment_MSP!I56:I82,"Yes") + COUNTIF(Assessment_MSP!I56:I82,"No"))/9</f>
        <v>0</v>
      </c>
      <c r="I18" s="0" t="n">
        <f aca="false">(COUNTIF(Assessment_MSP!I56:I82,"Yes"))</f>
        <v>0</v>
      </c>
      <c r="K18" s="0" t="n">
        <f aca="false">(COUNTIF(Assessment_MSP!I56:I82,"No"))</f>
        <v>0</v>
      </c>
      <c r="M18" s="0" t="n">
        <f aca="false">(COUNTIF(Assessment_MSP!I56:I82,"N/A"))</f>
        <v>0</v>
      </c>
    </row>
    <row r="21" customFormat="false" ht="15" hidden="false" customHeight="false" outlineLevel="0" collapsed="false">
      <c r="C21" s="468" t="s">
        <v>423</v>
      </c>
      <c r="D21" s="468"/>
      <c r="E21" s="0" t="n">
        <f aca="false">SUM(E12:E18)/4</f>
        <v>0.25</v>
      </c>
      <c r="G21" s="0" t="n">
        <f aca="false">SUM(G12:G18)/4</f>
        <v>0.125</v>
      </c>
      <c r="I21" s="0" t="n">
        <f aca="false">SUM(I12:I18)</f>
        <v>3</v>
      </c>
      <c r="K21" s="0" t="n">
        <f aca="false">SUM(K12:K18)</f>
        <v>0</v>
      </c>
      <c r="M21" s="0" t="n">
        <f aca="false">SUM(M12:M18)</f>
        <v>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J1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66" activeCellId="0" sqref="C66"/>
    </sheetView>
  </sheetViews>
  <sheetFormatPr defaultColWidth="9.15625" defaultRowHeight="15" zeroHeight="true" outlineLevelRow="0" outlineLevelCol="0"/>
  <cols>
    <col collapsed="false" customWidth="true" hidden="false" outlineLevel="0" max="2" min="1" style="0" width="2.14"/>
    <col collapsed="false" customWidth="true" hidden="false" outlineLevel="0" max="3" min="3" style="0" width="49.86"/>
    <col collapsed="false" customWidth="true" hidden="false" outlineLevel="0" max="4" min="4" style="0" width="1.71"/>
    <col collapsed="false" customWidth="true" hidden="false" outlineLevel="0" max="5" min="5" style="0" width="11.71"/>
    <col collapsed="false" customWidth="true" hidden="false" outlineLevel="0" max="6" min="6" style="0" width="2.29"/>
    <col collapsed="false" customWidth="true" hidden="false" outlineLevel="0" max="7" min="7" style="0" width="11.71"/>
    <col collapsed="false" customWidth="true" hidden="false" outlineLevel="0" max="8" min="8" style="0" width="2.29"/>
    <col collapsed="false" customWidth="true" hidden="false" outlineLevel="0" max="9" min="9" style="0" width="11.71"/>
    <col collapsed="false" customWidth="true" hidden="false" outlineLevel="0" max="10" min="10" style="0" width="2.29"/>
    <col collapsed="false" customWidth="true" hidden="false" outlineLevel="0" max="11" min="11" style="0" width="11.71"/>
    <col collapsed="false" customWidth="true" hidden="false" outlineLevel="0" max="12" min="12" style="0" width="2.29"/>
    <col collapsed="false" customWidth="true" hidden="false" outlineLevel="0" max="13" min="13" style="0" width="11.71"/>
    <col collapsed="false" customWidth="true" hidden="false" outlineLevel="0" max="14" min="14" style="0" width="4.14"/>
    <col collapsed="false" customWidth="false" hidden="true" outlineLevel="0" max="1024" min="15" style="0" width="9.14"/>
  </cols>
  <sheetData>
    <row r="1" s="470" customFormat="true" ht="15" hidden="false" customHeight="false" outlineLevel="0" collapsed="false">
      <c r="A1" s="469" t="s">
        <v>437</v>
      </c>
      <c r="B1" s="469"/>
      <c r="C1" s="469"/>
      <c r="D1" s="469"/>
      <c r="E1" s="469"/>
      <c r="F1" s="469"/>
      <c r="G1" s="469"/>
      <c r="H1" s="469"/>
      <c r="I1" s="469"/>
      <c r="J1" s="469"/>
      <c r="K1" s="469"/>
      <c r="L1" s="469"/>
      <c r="M1" s="469"/>
      <c r="N1" s="469"/>
      <c r="AMJ1" s="471"/>
    </row>
    <row r="2" customFormat="false" ht="15" hidden="false" customHeight="false" outlineLevel="0" collapsed="false">
      <c r="A2" s="472"/>
      <c r="B2" s="394"/>
      <c r="C2" s="395"/>
      <c r="D2" s="395"/>
      <c r="E2" s="473"/>
      <c r="F2" s="473"/>
      <c r="G2" s="473"/>
      <c r="H2" s="473"/>
      <c r="I2" s="473"/>
      <c r="J2" s="473"/>
      <c r="K2" s="473"/>
      <c r="L2" s="395"/>
      <c r="M2" s="394"/>
      <c r="N2" s="474"/>
    </row>
    <row r="3" customFormat="false" ht="15" hidden="false" customHeight="false" outlineLevel="0" collapsed="false">
      <c r="A3" s="472"/>
      <c r="B3" s="394"/>
      <c r="C3" s="401" t="s">
        <v>438</v>
      </c>
      <c r="D3" s="475"/>
      <c r="E3" s="476" t="n">
        <v>43581</v>
      </c>
      <c r="F3" s="476"/>
      <c r="G3" s="476"/>
      <c r="H3" s="476"/>
      <c r="I3" s="476"/>
      <c r="J3" s="476"/>
      <c r="K3" s="476"/>
      <c r="L3" s="476"/>
      <c r="M3" s="394"/>
      <c r="N3" s="474"/>
    </row>
    <row r="4" customFormat="false" ht="5.1" hidden="false" customHeight="true" outlineLevel="0" collapsed="false">
      <c r="A4" s="477"/>
      <c r="B4" s="405"/>
      <c r="C4" s="402"/>
      <c r="D4" s="402"/>
      <c r="E4" s="402"/>
      <c r="F4" s="402"/>
      <c r="G4" s="402"/>
      <c r="H4" s="402"/>
      <c r="I4" s="402"/>
      <c r="J4" s="402"/>
      <c r="K4" s="402"/>
      <c r="L4" s="402"/>
      <c r="M4" s="394"/>
      <c r="N4" s="474"/>
    </row>
    <row r="5" customFormat="false" ht="15" hidden="false" customHeight="false" outlineLevel="0" collapsed="false">
      <c r="A5" s="472"/>
      <c r="B5" s="394"/>
      <c r="C5" s="401" t="s">
        <v>439</v>
      </c>
      <c r="D5" s="475"/>
      <c r="E5" s="478" t="s">
        <v>201</v>
      </c>
      <c r="F5" s="478"/>
      <c r="G5" s="478"/>
      <c r="H5" s="478"/>
      <c r="I5" s="478"/>
      <c r="J5" s="478"/>
      <c r="K5" s="478"/>
      <c r="L5" s="478"/>
      <c r="M5" s="394"/>
      <c r="N5" s="474"/>
    </row>
    <row r="6" customFormat="false" ht="5.1" hidden="false" customHeight="true" outlineLevel="0" collapsed="false">
      <c r="A6" s="477"/>
      <c r="B6" s="405"/>
      <c r="C6" s="479"/>
      <c r="D6" s="402"/>
      <c r="E6" s="402"/>
      <c r="F6" s="402"/>
      <c r="G6" s="402"/>
      <c r="H6" s="402"/>
      <c r="I6" s="402"/>
      <c r="J6" s="402"/>
      <c r="K6" s="402"/>
      <c r="L6" s="402"/>
      <c r="M6" s="394"/>
      <c r="N6" s="474"/>
    </row>
    <row r="7" customFormat="false" ht="15" hidden="false" customHeight="false" outlineLevel="0" collapsed="false">
      <c r="A7" s="472"/>
      <c r="B7" s="394"/>
      <c r="C7" s="401" t="s">
        <v>206</v>
      </c>
      <c r="D7" s="480"/>
      <c r="E7" s="478" t="s">
        <v>199</v>
      </c>
      <c r="F7" s="478"/>
      <c r="G7" s="478"/>
      <c r="H7" s="478"/>
      <c r="I7" s="478"/>
      <c r="J7" s="478"/>
      <c r="K7" s="478"/>
      <c r="L7" s="478"/>
      <c r="M7" s="394"/>
      <c r="N7" s="474"/>
    </row>
    <row r="8" customFormat="false" ht="5.1" hidden="false" customHeight="true" outlineLevel="0" collapsed="false">
      <c r="A8" s="477"/>
      <c r="B8" s="405"/>
      <c r="C8" s="402"/>
      <c r="D8" s="402"/>
      <c r="E8" s="402"/>
      <c r="F8" s="402"/>
      <c r="G8" s="402"/>
      <c r="H8" s="402"/>
      <c r="I8" s="402"/>
      <c r="J8" s="402"/>
      <c r="K8" s="402"/>
      <c r="L8" s="402"/>
      <c r="M8" s="394"/>
      <c r="N8" s="474"/>
    </row>
    <row r="9" customFormat="false" ht="15" hidden="false" customHeight="false" outlineLevel="0" collapsed="false">
      <c r="A9" s="472"/>
      <c r="B9" s="394"/>
      <c r="C9" s="401" t="s">
        <v>207</v>
      </c>
      <c r="D9" s="475"/>
      <c r="E9" s="478" t="s">
        <v>208</v>
      </c>
      <c r="F9" s="478"/>
      <c r="G9" s="478"/>
      <c r="H9" s="478"/>
      <c r="I9" s="478"/>
      <c r="J9" s="478"/>
      <c r="K9" s="478"/>
      <c r="L9" s="478"/>
      <c r="M9" s="394"/>
      <c r="N9" s="474"/>
    </row>
    <row r="10" customFormat="false" ht="15" hidden="false" customHeight="false" outlineLevel="0" collapsed="false">
      <c r="A10" s="481"/>
      <c r="B10" s="482"/>
      <c r="C10" s="482"/>
      <c r="D10" s="482"/>
      <c r="E10" s="482"/>
      <c r="F10" s="482"/>
      <c r="G10" s="482"/>
      <c r="H10" s="482"/>
      <c r="I10" s="482"/>
      <c r="J10" s="482"/>
      <c r="K10" s="482"/>
      <c r="L10" s="482"/>
      <c r="M10" s="482"/>
      <c r="N10" s="483"/>
    </row>
    <row r="11" customFormat="false" ht="5.1" hidden="false" customHeight="true" outlineLevel="0" collapsed="false">
      <c r="A11" s="475"/>
      <c r="B11" s="484"/>
      <c r="C11" s="484"/>
      <c r="D11" s="484"/>
      <c r="E11" s="484"/>
      <c r="F11" s="484"/>
      <c r="G11" s="484"/>
      <c r="H11" s="484"/>
      <c r="I11" s="484"/>
      <c r="J11" s="484"/>
      <c r="K11" s="484"/>
      <c r="L11" s="484"/>
      <c r="M11" s="484"/>
      <c r="N11" s="485"/>
    </row>
    <row r="12" customFormat="false" ht="30" hidden="false" customHeight="false" outlineLevel="0" collapsed="false">
      <c r="A12" s="475"/>
      <c r="B12" s="484"/>
      <c r="C12" s="484"/>
      <c r="D12" s="484"/>
      <c r="E12" s="486" t="s">
        <v>416</v>
      </c>
      <c r="F12" s="487"/>
      <c r="G12" s="486" t="s">
        <v>440</v>
      </c>
      <c r="H12" s="487"/>
      <c r="I12" s="487" t="s">
        <v>418</v>
      </c>
      <c r="J12" s="487"/>
      <c r="K12" s="487" t="s">
        <v>419</v>
      </c>
      <c r="L12" s="488"/>
      <c r="M12" s="486" t="s">
        <v>441</v>
      </c>
      <c r="N12" s="485"/>
    </row>
    <row r="13" customFormat="false" ht="3.75" hidden="false" customHeight="true" outlineLevel="0" collapsed="false">
      <c r="A13" s="489"/>
      <c r="B13" s="482"/>
      <c r="C13" s="490"/>
      <c r="D13" s="482"/>
      <c r="E13" s="491"/>
      <c r="F13" s="482"/>
      <c r="G13" s="491"/>
      <c r="H13" s="482"/>
      <c r="I13" s="491"/>
      <c r="J13" s="482"/>
      <c r="K13" s="491"/>
      <c r="L13" s="482"/>
      <c r="M13" s="491"/>
      <c r="N13" s="483"/>
      <c r="O13" s="113"/>
      <c r="P13" s="113"/>
    </row>
    <row r="14" customFormat="false" ht="15" hidden="false" customHeight="false" outlineLevel="0" collapsed="false">
      <c r="A14" s="492"/>
      <c r="B14" s="484"/>
      <c r="C14" s="407"/>
      <c r="D14" s="484"/>
      <c r="E14" s="484"/>
      <c r="F14" s="484"/>
      <c r="G14" s="484"/>
      <c r="H14" s="484"/>
      <c r="I14" s="484"/>
      <c r="J14" s="484"/>
      <c r="K14" s="484"/>
      <c r="L14" s="484"/>
      <c r="M14" s="484"/>
      <c r="N14" s="485"/>
    </row>
    <row r="15" customFormat="false" ht="30" hidden="false" customHeight="true" outlineLevel="0" collapsed="false">
      <c r="A15" s="489"/>
      <c r="B15" s="394"/>
      <c r="C15" s="493" t="s">
        <v>442</v>
      </c>
      <c r="D15" s="494"/>
      <c r="E15" s="423" t="n">
        <f aca="false">IF(G15&gt;0,(COUNTIF(Assessment_EIF!G18,"✓"))/((COUNTIF(Assessment_EIF!G18,"X"))+(COUNTIF(Assessment_EIF!G18,"✓"))),0)</f>
        <v>0</v>
      </c>
      <c r="F15" s="495"/>
      <c r="G15" s="423" t="n">
        <f aca="false">(COUNTIF(Assessment_EIF!G18,"✓")+COUNTIF(Assessment_EIF!G18,"X"))/1</f>
        <v>1</v>
      </c>
      <c r="H15" s="394"/>
      <c r="I15" s="496" t="n">
        <f aca="false">COUNTIF(Assessment_EIF!G18,"✓")</f>
        <v>0</v>
      </c>
      <c r="J15" s="394"/>
      <c r="K15" s="496" t="n">
        <f aca="false">COUNTIF(Assessment_EIF!G18,"X")</f>
        <v>1</v>
      </c>
      <c r="L15" s="394"/>
      <c r="M15" s="496" t="n">
        <f aca="false">COUNTIF(Assessment_EIF!G18,"N/A")</f>
        <v>0</v>
      </c>
      <c r="N15" s="474"/>
    </row>
    <row r="16" customFormat="false" ht="9.95" hidden="false" customHeight="true" outlineLevel="0" collapsed="false">
      <c r="A16" s="489"/>
      <c r="B16" s="394"/>
      <c r="C16" s="497"/>
      <c r="D16" s="394"/>
      <c r="E16" s="498"/>
      <c r="F16" s="495"/>
      <c r="G16" s="498"/>
      <c r="H16" s="394"/>
      <c r="I16" s="497"/>
      <c r="J16" s="394"/>
      <c r="K16" s="497"/>
      <c r="L16" s="394"/>
      <c r="M16" s="497"/>
      <c r="N16" s="474"/>
    </row>
    <row r="17" customFormat="false" ht="33" hidden="false" customHeight="true" outlineLevel="0" collapsed="false">
      <c r="A17" s="489"/>
      <c r="B17" s="394"/>
      <c r="C17" s="499" t="s">
        <v>443</v>
      </c>
      <c r="D17" s="430"/>
      <c r="E17" s="500" t="n">
        <f aca="false">IF(G17&gt;0,(COUNTIF(Assessment_EIF!G18,"✓"))/((COUNTIF(Assessment_EIF!G18,"X"))+(COUNTIF(Assessment_EIF!G18,"✓"))),0)</f>
        <v>0</v>
      </c>
      <c r="F17" s="501"/>
      <c r="G17" s="500" t="n">
        <f aca="false">(COUNTIF(Assessment_EIF!G18,"✓")+COUNTIF(Assessment_EIF!G18,"X"))/1</f>
        <v>1</v>
      </c>
      <c r="H17" s="502"/>
      <c r="I17" s="503" t="n">
        <f aca="false">COUNTIF(Assessment_EIF!G18,"✓")</f>
        <v>0</v>
      </c>
      <c r="J17" s="502"/>
      <c r="K17" s="503" t="n">
        <f aca="false">COUNTIF(Assessment_EIF!G18,"X")</f>
        <v>1</v>
      </c>
      <c r="L17" s="502"/>
      <c r="M17" s="503" t="n">
        <f aca="false">COUNTIF(Assessment_EIF!G18,"N/A")</f>
        <v>0</v>
      </c>
      <c r="N17" s="474"/>
    </row>
    <row r="18" customFormat="false" ht="15" hidden="false" customHeight="false" outlineLevel="0" collapsed="false">
      <c r="A18" s="489"/>
      <c r="B18" s="482"/>
      <c r="C18" s="490"/>
      <c r="D18" s="482"/>
      <c r="E18" s="504"/>
      <c r="F18" s="505"/>
      <c r="G18" s="504"/>
      <c r="H18" s="482"/>
      <c r="I18" s="491"/>
      <c r="J18" s="482"/>
      <c r="K18" s="491"/>
      <c r="L18" s="482"/>
      <c r="M18" s="491"/>
      <c r="N18" s="483"/>
    </row>
    <row r="19" customFormat="false" ht="15.75" hidden="false" customHeight="false" outlineLevel="0" collapsed="false">
      <c r="A19" s="492"/>
      <c r="B19" s="484"/>
      <c r="C19" s="407"/>
      <c r="D19" s="484"/>
      <c r="E19" s="506"/>
      <c r="F19" s="506"/>
      <c r="G19" s="506"/>
      <c r="H19" s="484"/>
      <c r="I19" s="484"/>
      <c r="J19" s="484"/>
      <c r="K19" s="484"/>
      <c r="L19" s="484"/>
      <c r="M19" s="484"/>
      <c r="N19" s="485"/>
    </row>
    <row r="20" customFormat="false" ht="30" hidden="false" customHeight="true" outlineLevel="0" collapsed="false">
      <c r="A20" s="489"/>
      <c r="B20" s="394"/>
      <c r="C20" s="507" t="s">
        <v>444</v>
      </c>
      <c r="D20" s="394"/>
      <c r="E20" s="423" t="n">
        <f aca="false">IF(G20&gt;0,(COUNTIF(Assessment_EIF!G24:G40,"✓"))/((COUNTIF(Assessment_EIF!G24:G40,"X"))+(COUNTIF(Assessment_EIF!G24:G40,"✓"))),0)</f>
        <v>1</v>
      </c>
      <c r="F20" s="495"/>
      <c r="G20" s="423" t="n">
        <f aca="false">(COUNTIF(Assessment_EIF!G24:G40,"✓")+COUNTIF(Assessment_EIF!G24:G40,"X"))/9</f>
        <v>1</v>
      </c>
      <c r="H20" s="394"/>
      <c r="I20" s="496" t="n">
        <f aca="false">COUNTIF(Assessment_EIF!G24:G40,"✓")</f>
        <v>9</v>
      </c>
      <c r="J20" s="394"/>
      <c r="K20" s="496" t="n">
        <f aca="false">COUNTIF(Assessment_EIF!G24:G40,"X")</f>
        <v>0</v>
      </c>
      <c r="L20" s="394"/>
      <c r="M20" s="496" t="n">
        <f aca="false">COUNTIF(Assessment_EIF!G24:G40,"N/A")</f>
        <v>0</v>
      </c>
      <c r="N20" s="474"/>
    </row>
    <row r="21" customFormat="false" ht="9.95" hidden="false" customHeight="true" outlineLevel="0" collapsed="false">
      <c r="A21" s="489"/>
      <c r="B21" s="394"/>
      <c r="C21" s="508"/>
      <c r="D21" s="394"/>
      <c r="E21" s="495"/>
      <c r="F21" s="495"/>
      <c r="G21" s="495"/>
      <c r="H21" s="394"/>
      <c r="I21" s="394"/>
      <c r="J21" s="394"/>
      <c r="K21" s="394"/>
      <c r="L21" s="394"/>
      <c r="M21" s="394"/>
      <c r="N21" s="474"/>
    </row>
    <row r="22" customFormat="false" ht="30" hidden="false" customHeight="true" outlineLevel="0" collapsed="false">
      <c r="A22" s="489"/>
      <c r="B22" s="394"/>
      <c r="C22" s="507" t="s">
        <v>445</v>
      </c>
      <c r="D22" s="394"/>
      <c r="E22" s="423" t="n">
        <f aca="false">IF(G22&gt;0,(COUNTIF(Assessment_EIF!G44:G46,"✓"))/((COUNTIF(Assessment_EIF!G44:G46,"X"))+(COUNTIF(Assessment_EIF!G44:G46,"✓"))),0)</f>
        <v>1</v>
      </c>
      <c r="F22" s="495"/>
      <c r="G22" s="423" t="n">
        <f aca="false">(COUNTIF(Assessment_EIF!G44:G46,"✓")+COUNTIF(Assessment_EIF!G44:G46,"X"))/2</f>
        <v>1</v>
      </c>
      <c r="H22" s="394"/>
      <c r="I22" s="496" t="n">
        <f aca="false">COUNTIF(Assessment_EIF!G44:G46,"✓")</f>
        <v>2</v>
      </c>
      <c r="J22" s="394"/>
      <c r="K22" s="496" t="n">
        <f aca="false">COUNTIF(Assessment_EIF!G44:G46,"X")</f>
        <v>0</v>
      </c>
      <c r="L22" s="394"/>
      <c r="M22" s="496" t="n">
        <f aca="false">COUNTIF(Assessment_EIF!G44:G46,"N/A")</f>
        <v>0</v>
      </c>
      <c r="N22" s="474"/>
    </row>
    <row r="23" customFormat="false" ht="9.95" hidden="false" customHeight="true" outlineLevel="0" collapsed="false">
      <c r="A23" s="489"/>
      <c r="B23" s="394"/>
      <c r="C23" s="508"/>
      <c r="D23" s="394"/>
      <c r="E23" s="495"/>
      <c r="F23" s="495"/>
      <c r="G23" s="495"/>
      <c r="H23" s="394"/>
      <c r="I23" s="394"/>
      <c r="J23" s="394"/>
      <c r="K23" s="394"/>
      <c r="L23" s="394"/>
      <c r="M23" s="394"/>
      <c r="N23" s="474"/>
    </row>
    <row r="24" customFormat="false" ht="30" hidden="false" customHeight="true" outlineLevel="0" collapsed="false">
      <c r="A24" s="489"/>
      <c r="B24" s="394"/>
      <c r="C24" s="507" t="s">
        <v>446</v>
      </c>
      <c r="D24" s="394"/>
      <c r="E24" s="423" t="n">
        <f aca="false">IF(G24&gt;0,(COUNTIF(Assessment_EIF!G50:G52,"✓"))/((COUNTIF(Assessment_EIF!G50:G52,"X"))+(COUNTIF(Assessment_EIF!G50:G52,"✓"))),0)</f>
        <v>0.5</v>
      </c>
      <c r="F24" s="495"/>
      <c r="G24" s="423" t="n">
        <f aca="false">(COUNTIF(Assessment_EIF!G50:G52,"✓")+COUNTIF(Assessment_EIF!G50:G52,"X"))/2</f>
        <v>1</v>
      </c>
      <c r="H24" s="394"/>
      <c r="I24" s="496" t="n">
        <f aca="false">COUNTIF(Assessment_EIF!G50:G52,"✓")</f>
        <v>1</v>
      </c>
      <c r="J24" s="394"/>
      <c r="K24" s="496" t="n">
        <f aca="false">COUNTIF(Assessment_EIF!G50:G52,"X")</f>
        <v>1</v>
      </c>
      <c r="L24" s="394"/>
      <c r="M24" s="496" t="n">
        <f aca="false">COUNTIF(Assessment_EIF!G50:G52,"N/A")</f>
        <v>0</v>
      </c>
      <c r="N24" s="474"/>
    </row>
    <row r="25" customFormat="false" ht="9.95" hidden="false" customHeight="true" outlineLevel="0" collapsed="false">
      <c r="A25" s="489"/>
      <c r="B25" s="394"/>
      <c r="C25" s="508"/>
      <c r="D25" s="394"/>
      <c r="E25" s="495"/>
      <c r="F25" s="495"/>
      <c r="G25" s="495"/>
      <c r="H25" s="394"/>
      <c r="I25" s="394"/>
      <c r="J25" s="394"/>
      <c r="K25" s="394"/>
      <c r="L25" s="394"/>
      <c r="M25" s="394"/>
      <c r="N25" s="474"/>
    </row>
    <row r="26" customFormat="false" ht="30" hidden="false" customHeight="true" outlineLevel="0" collapsed="false">
      <c r="A26" s="489"/>
      <c r="B26" s="394"/>
      <c r="C26" s="507" t="s">
        <v>447</v>
      </c>
      <c r="D26" s="394"/>
      <c r="E26" s="423" t="n">
        <f aca="false">IF(G26&gt;0,(COUNTIF(Assessment_EIF!G56:G60,"✓"))/((COUNTIF(Assessment_EIF!G56:G60,"X"))+(COUNTIF(Assessment_EIF!G56:G60,"✓"))),0)</f>
        <v>0.333333333333333</v>
      </c>
      <c r="F26" s="495"/>
      <c r="G26" s="423" t="n">
        <f aca="false">(COUNTIF(Assessment_EIF!G56:G60,"✓")+COUNTIF(Assessment_EIF!G56:G60,"X"))/3</f>
        <v>1</v>
      </c>
      <c r="H26" s="394"/>
      <c r="I26" s="496" t="n">
        <f aca="false">COUNTIF(Assessment_EIF!G56:G60,"✓")</f>
        <v>1</v>
      </c>
      <c r="J26" s="394"/>
      <c r="K26" s="496" t="n">
        <f aca="false">COUNTIF(Assessment_EIF!G56:G60,"X")</f>
        <v>2</v>
      </c>
      <c r="L26" s="394"/>
      <c r="M26" s="496" t="n">
        <f aca="false">COUNTIF(Assessment_EIF!G56:G60,"N/A")</f>
        <v>0</v>
      </c>
      <c r="N26" s="474"/>
      <c r="P26" s="509" t="n">
        <v>1</v>
      </c>
    </row>
    <row r="27" customFormat="false" ht="9.95" hidden="false" customHeight="true" outlineLevel="0" collapsed="false">
      <c r="A27" s="489"/>
      <c r="B27" s="394"/>
      <c r="C27" s="497"/>
      <c r="D27" s="394"/>
      <c r="E27" s="498"/>
      <c r="F27" s="495"/>
      <c r="G27" s="498"/>
      <c r="H27" s="394"/>
      <c r="I27" s="497"/>
      <c r="J27" s="394"/>
      <c r="K27" s="497"/>
      <c r="L27" s="394"/>
      <c r="M27" s="497"/>
      <c r="N27" s="474"/>
    </row>
    <row r="28" customFormat="false" ht="33" hidden="false" customHeight="true" outlineLevel="0" collapsed="false">
      <c r="A28" s="489"/>
      <c r="B28" s="394"/>
      <c r="C28" s="510" t="s">
        <v>448</v>
      </c>
      <c r="D28" s="394"/>
      <c r="E28" s="500" t="n">
        <f aca="false">IF(G28&gt;0,(COUNTIF(Assessment_EIF!G24:G60,"✓"))/((COUNTIF(Assessment_EIF!G24:G60,"X"))+(COUNTIF(Assessment_EIF!G24:G60,"✓"))),0)</f>
        <v>0.8125</v>
      </c>
      <c r="F28" s="501"/>
      <c r="G28" s="500" t="n">
        <f aca="false">(COUNTIF(Assessment_EIF!G24:G60,"✓")+COUNTIF(Assessment_EIF!G24:G60,"X"))/16</f>
        <v>1</v>
      </c>
      <c r="H28" s="502"/>
      <c r="I28" s="503" t="n">
        <f aca="false">SUM(I20,I22,I24,I26)</f>
        <v>13</v>
      </c>
      <c r="J28" s="502"/>
      <c r="K28" s="503" t="n">
        <f aca="false">SUM(K20,K22,K24,K26)</f>
        <v>3</v>
      </c>
      <c r="L28" s="502"/>
      <c r="M28" s="503" t="n">
        <f aca="false">SUM(M20,M22,M24,M26)</f>
        <v>0</v>
      </c>
      <c r="N28" s="474"/>
    </row>
    <row r="29" customFormat="false" ht="15" hidden="false" customHeight="false" outlineLevel="0" collapsed="false">
      <c r="A29" s="489"/>
      <c r="B29" s="482"/>
      <c r="C29" s="490"/>
      <c r="D29" s="482"/>
      <c r="E29" s="504"/>
      <c r="F29" s="505"/>
      <c r="G29" s="504"/>
      <c r="H29" s="482"/>
      <c r="I29" s="491"/>
      <c r="J29" s="482"/>
      <c r="K29" s="491"/>
      <c r="L29" s="482"/>
      <c r="M29" s="491"/>
      <c r="N29" s="483"/>
      <c r="O29" s="115"/>
      <c r="P29" s="115"/>
    </row>
    <row r="30" customFormat="false" ht="15" hidden="false" customHeight="false" outlineLevel="0" collapsed="false">
      <c r="A30" s="492"/>
      <c r="B30" s="484"/>
      <c r="C30" s="407"/>
      <c r="D30" s="484"/>
      <c r="E30" s="506"/>
      <c r="F30" s="506"/>
      <c r="G30" s="506"/>
      <c r="H30" s="484"/>
      <c r="I30" s="484"/>
      <c r="J30" s="484"/>
      <c r="K30" s="484"/>
      <c r="L30" s="484"/>
      <c r="M30" s="484"/>
      <c r="N30" s="485"/>
      <c r="O30" s="511"/>
      <c r="P30" s="511"/>
    </row>
    <row r="31" customFormat="false" ht="30" hidden="false" customHeight="true" outlineLevel="0" collapsed="false">
      <c r="A31" s="489"/>
      <c r="B31" s="394"/>
      <c r="C31" s="512" t="s">
        <v>449</v>
      </c>
      <c r="D31" s="430"/>
      <c r="E31" s="423" t="n">
        <f aca="false">IF(G31&gt;0,(COUNTIF(Assessment_EIF!G66,"✓"))/((COUNTIF(Assessment_EIF!G66,"X"))+(COUNTIF(Assessment_EIF!G66,"✓"))),0)</f>
        <v>1</v>
      </c>
      <c r="F31" s="495"/>
      <c r="G31" s="423" t="n">
        <f aca="false">(COUNTIF(Assessment_EIF!G66,"✓")+COUNTIF(Assessment_EIF!G66,"X"))/1</f>
        <v>1</v>
      </c>
      <c r="H31" s="394"/>
      <c r="I31" s="496" t="n">
        <f aca="false">COUNTIF(Assessment_EIF!G66,"✓")</f>
        <v>1</v>
      </c>
      <c r="J31" s="394"/>
      <c r="K31" s="496" t="n">
        <f aca="false">COUNTIF(Assessment_EIF!G66,"X")</f>
        <v>0</v>
      </c>
      <c r="L31" s="394"/>
      <c r="M31" s="496" t="n">
        <f aca="false">COUNTIF(Assessment_EIF!G66,"N/A")</f>
        <v>0</v>
      </c>
      <c r="N31" s="474"/>
    </row>
    <row r="32" customFormat="false" ht="9.95" hidden="false" customHeight="true" outlineLevel="0" collapsed="false">
      <c r="A32" s="489"/>
      <c r="B32" s="394"/>
      <c r="C32" s="508"/>
      <c r="D32" s="394"/>
      <c r="E32" s="495"/>
      <c r="F32" s="495"/>
      <c r="G32" s="495"/>
      <c r="H32" s="394"/>
      <c r="I32" s="394"/>
      <c r="J32" s="394"/>
      <c r="K32" s="394"/>
      <c r="L32" s="394"/>
      <c r="M32" s="394"/>
      <c r="N32" s="474"/>
    </row>
    <row r="33" customFormat="false" ht="30" hidden="false" customHeight="true" outlineLevel="0" collapsed="false">
      <c r="A33" s="489"/>
      <c r="B33" s="394"/>
      <c r="C33" s="512" t="s">
        <v>450</v>
      </c>
      <c r="D33" s="394"/>
      <c r="E33" s="423" t="n">
        <f aca="false">IF(G33&gt;0,(COUNTIF(Assessment_EIF!G70,"✓"))/((COUNTIF(Assessment_EIF!G70,"X"))+(COUNTIF(Assessment_EIF!G70,"✓"))),0)</f>
        <v>0</v>
      </c>
      <c r="F33" s="495"/>
      <c r="G33" s="423" t="n">
        <f aca="false">(COUNTIF(Assessment_EIF!G70,"✓")+COUNTIF(Assessment_EIF!G70,"X"))/1</f>
        <v>0</v>
      </c>
      <c r="H33" s="394"/>
      <c r="I33" s="496" t="n">
        <f aca="false">COUNTIF(Assessment_EIF!G70,"✓")</f>
        <v>0</v>
      </c>
      <c r="J33" s="394"/>
      <c r="K33" s="496" t="n">
        <f aca="false">COUNTIF(Assessment_EIF!G70,"X")</f>
        <v>0</v>
      </c>
      <c r="L33" s="394"/>
      <c r="M33" s="496" t="n">
        <f aca="false">COUNTIF(Assessment_EIF!G70,"N/A")</f>
        <v>1</v>
      </c>
      <c r="N33" s="474"/>
    </row>
    <row r="34" customFormat="false" ht="9.95" hidden="false" customHeight="true" outlineLevel="0" collapsed="false">
      <c r="A34" s="489"/>
      <c r="B34" s="394"/>
      <c r="C34" s="508"/>
      <c r="D34" s="394"/>
      <c r="E34" s="495"/>
      <c r="F34" s="495"/>
      <c r="G34" s="495"/>
      <c r="H34" s="394"/>
      <c r="I34" s="394"/>
      <c r="J34" s="394"/>
      <c r="K34" s="394"/>
      <c r="L34" s="394"/>
      <c r="M34" s="394"/>
      <c r="N34" s="474"/>
    </row>
    <row r="35" customFormat="false" ht="30" hidden="false" customHeight="true" outlineLevel="0" collapsed="false">
      <c r="A35" s="489"/>
      <c r="B35" s="394"/>
      <c r="C35" s="512" t="s">
        <v>451</v>
      </c>
      <c r="D35" s="394"/>
      <c r="E35" s="423" t="n">
        <f aca="false">IF(G35&gt;0,(COUNTIF(Assessment_EIF!G74,"✓"))/((COUNTIF(Assessment_EIF!G74,"X"))+(COUNTIF(Assessment_EIF!G74,"✓"))),0)</f>
        <v>1</v>
      </c>
      <c r="F35" s="495"/>
      <c r="G35" s="423" t="n">
        <f aca="false">(COUNTIF(Assessment_EIF!G74,"✓")+COUNTIF(Assessment_EIF!G74,"X"))/1</f>
        <v>1</v>
      </c>
      <c r="H35" s="394"/>
      <c r="I35" s="496" t="n">
        <f aca="false">COUNTIF(Assessment_EIF!G74,"✓")</f>
        <v>1</v>
      </c>
      <c r="J35" s="394"/>
      <c r="K35" s="496" t="n">
        <f aca="false">COUNTIF(Assessment_EIF!G74,"X")</f>
        <v>0</v>
      </c>
      <c r="L35" s="394"/>
      <c r="M35" s="496" t="n">
        <f aca="false">COUNTIF(Assessment_EIF!G74,"N/A")</f>
        <v>0</v>
      </c>
      <c r="N35" s="474"/>
    </row>
    <row r="36" customFormat="false" ht="9.95" hidden="false" customHeight="true" outlineLevel="0" collapsed="false">
      <c r="A36" s="489"/>
      <c r="B36" s="394"/>
      <c r="C36" s="513"/>
      <c r="D36" s="394"/>
      <c r="E36" s="495"/>
      <c r="F36" s="495"/>
      <c r="G36" s="495"/>
      <c r="H36" s="394"/>
      <c r="I36" s="394"/>
      <c r="J36" s="394"/>
      <c r="K36" s="394"/>
      <c r="L36" s="394"/>
      <c r="M36" s="394"/>
      <c r="N36" s="474"/>
    </row>
    <row r="37" customFormat="false" ht="30" hidden="false" customHeight="true" outlineLevel="0" collapsed="false">
      <c r="A37" s="489"/>
      <c r="B37" s="394"/>
      <c r="C37" s="512" t="s">
        <v>452</v>
      </c>
      <c r="D37" s="394"/>
      <c r="E37" s="423" t="n">
        <f aca="false">IF(G37&gt;0,(COUNTIF(Assessment_EIF!G78,"✓"))/((COUNTIF(Assessment_EIF!G78,"X"))+(COUNTIF(Assessment_EIF!G78,"✓"))),0)</f>
        <v>0</v>
      </c>
      <c r="F37" s="495"/>
      <c r="G37" s="423" t="n">
        <f aca="false">(COUNTIF(Assessment_EIF!G78,"✓")+COUNTIF(Assessment_EIF!G78,"X"))/1</f>
        <v>0</v>
      </c>
      <c r="H37" s="394"/>
      <c r="I37" s="496" t="n">
        <f aca="false">COUNTIF(Assessment_EIF!G78,"✓")</f>
        <v>0</v>
      </c>
      <c r="J37" s="394"/>
      <c r="K37" s="496" t="n">
        <f aca="false">COUNTIF(Assessment_EIF!G78,"X")</f>
        <v>0</v>
      </c>
      <c r="L37" s="394"/>
      <c r="M37" s="496" t="n">
        <f aca="false">COUNTIF(Assessment_EIF!G78,"N/A")</f>
        <v>1</v>
      </c>
      <c r="N37" s="474"/>
    </row>
    <row r="38" customFormat="false" ht="9.95" hidden="false" customHeight="true" outlineLevel="0" collapsed="false">
      <c r="A38" s="489"/>
      <c r="B38" s="394"/>
      <c r="C38" s="514"/>
      <c r="D38" s="394"/>
      <c r="E38" s="498"/>
      <c r="F38" s="495"/>
      <c r="G38" s="498"/>
      <c r="H38" s="394"/>
      <c r="I38" s="515"/>
      <c r="J38" s="394"/>
      <c r="K38" s="515"/>
      <c r="L38" s="394"/>
      <c r="M38" s="515"/>
      <c r="N38" s="474"/>
    </row>
    <row r="39" customFormat="false" ht="33" hidden="false" customHeight="true" outlineLevel="0" collapsed="false">
      <c r="A39" s="489"/>
      <c r="B39" s="394"/>
      <c r="C39" s="516" t="s">
        <v>252</v>
      </c>
      <c r="D39" s="430"/>
      <c r="E39" s="500" t="n">
        <f aca="false">IF(G39&gt;0,(COUNTIF(Assessment_EIF!G66:G78,"✓"))/((COUNTIF(Assessment_EIF!G66:G78,"X"))+(COUNTIF(Assessment_EIF!G66:G78,"✓"))),0)</f>
        <v>1</v>
      </c>
      <c r="F39" s="501"/>
      <c r="G39" s="500" t="n">
        <f aca="false">(COUNTIF(Assessment_EIF!G66:G78,"✓")+COUNTIF(Assessment_EIF!G66:G78,"X"))/4</f>
        <v>0.5</v>
      </c>
      <c r="H39" s="502"/>
      <c r="I39" s="503" t="n">
        <f aca="false">SUM(I31:I37)</f>
        <v>2</v>
      </c>
      <c r="J39" s="502"/>
      <c r="K39" s="503" t="n">
        <f aca="false">SUM(K31:K37)</f>
        <v>0</v>
      </c>
      <c r="L39" s="502"/>
      <c r="M39" s="503" t="n">
        <f aca="false">SUM(M31:M37)</f>
        <v>2</v>
      </c>
      <c r="N39" s="474"/>
      <c r="P39" s="509" t="n">
        <v>1</v>
      </c>
    </row>
    <row r="40" customFormat="false" ht="15" hidden="false" customHeight="false" outlineLevel="0" collapsed="false">
      <c r="A40" s="489"/>
      <c r="B40" s="394"/>
      <c r="C40" s="517"/>
      <c r="D40" s="394"/>
      <c r="E40" s="495"/>
      <c r="F40" s="495"/>
      <c r="G40" s="495"/>
      <c r="H40" s="394"/>
      <c r="I40" s="394"/>
      <c r="J40" s="394"/>
      <c r="K40" s="394"/>
      <c r="L40" s="394"/>
      <c r="M40" s="394"/>
      <c r="N40" s="474"/>
    </row>
    <row r="41" customFormat="false" ht="15.75" hidden="false" customHeight="false" outlineLevel="0" collapsed="false">
      <c r="A41" s="492"/>
      <c r="B41" s="518"/>
      <c r="C41" s="519"/>
      <c r="D41" s="518"/>
      <c r="E41" s="520"/>
      <c r="F41" s="520"/>
      <c r="G41" s="520"/>
      <c r="H41" s="518"/>
      <c r="I41" s="518"/>
      <c r="J41" s="518"/>
      <c r="K41" s="518"/>
      <c r="L41" s="518"/>
      <c r="M41" s="518"/>
      <c r="N41" s="521"/>
    </row>
    <row r="42" customFormat="false" ht="30" hidden="false" customHeight="true" outlineLevel="0" collapsed="false">
      <c r="A42" s="489"/>
      <c r="B42" s="394"/>
      <c r="C42" s="522" t="s">
        <v>453</v>
      </c>
      <c r="D42" s="523"/>
      <c r="E42" s="423" t="n">
        <f aca="false">IF(G42&gt;0,(COUNTIF(Assessment_EIF!G84,"✓"))/((COUNTIF(Assessment_EIF!G84,"X"))+(COUNTIF(Assessment_EIF!G84,"✓"))),0)</f>
        <v>1</v>
      </c>
      <c r="F42" s="495"/>
      <c r="G42" s="423" t="n">
        <f aca="false">(COUNTIF(Assessment_EIF!G84,"✓")+COUNTIF(Assessment_EIF!G84,"X"))/1</f>
        <v>1</v>
      </c>
      <c r="H42" s="394"/>
      <c r="I42" s="496" t="n">
        <f aca="false">COUNTIF(Assessment_EIF!G84,"✓")</f>
        <v>1</v>
      </c>
      <c r="J42" s="394"/>
      <c r="K42" s="496" t="n">
        <f aca="false">COUNTIF(Assessment_EIF!G84,"X")</f>
        <v>0</v>
      </c>
      <c r="L42" s="394"/>
      <c r="M42" s="496" t="n">
        <f aca="false">COUNTIF(Assessment_EIF!G84,"N/A")</f>
        <v>0</v>
      </c>
      <c r="N42" s="474"/>
    </row>
    <row r="43" customFormat="false" ht="9.95" hidden="false" customHeight="true" outlineLevel="0" collapsed="false">
      <c r="A43" s="489"/>
      <c r="B43" s="394"/>
      <c r="C43" s="508"/>
      <c r="D43" s="394"/>
      <c r="E43" s="495"/>
      <c r="F43" s="495"/>
      <c r="G43" s="495"/>
      <c r="H43" s="394"/>
      <c r="I43" s="394"/>
      <c r="J43" s="394"/>
      <c r="K43" s="394"/>
      <c r="L43" s="394"/>
      <c r="M43" s="394"/>
      <c r="N43" s="474"/>
    </row>
    <row r="44" customFormat="false" ht="30" hidden="false" customHeight="true" outlineLevel="0" collapsed="false">
      <c r="A44" s="489"/>
      <c r="B44" s="394"/>
      <c r="C44" s="522" t="s">
        <v>454</v>
      </c>
      <c r="D44" s="394"/>
      <c r="E44" s="423" t="n">
        <f aca="false">IF(G44&gt;0,(COUNTIF(Assessment_EIF!G88,"✓"))/((COUNTIF(Assessment_EIF!G88,"X"))+(COUNTIF(Assessment_EIF!G88,"✓"))),0)</f>
        <v>0</v>
      </c>
      <c r="F44" s="495"/>
      <c r="G44" s="423" t="n">
        <f aca="false">(COUNTIF(Assessment_EIF!G88,"✓")+COUNTIF(Assessment_EIF!G88,"X"))/1</f>
        <v>0</v>
      </c>
      <c r="H44" s="394"/>
      <c r="I44" s="496" t="n">
        <f aca="false">COUNTIF(Assessment_EIF!G88,"✓")</f>
        <v>0</v>
      </c>
      <c r="J44" s="394"/>
      <c r="K44" s="496" t="n">
        <f aca="false">COUNTIF(Assessment_EIF!G88,"X")</f>
        <v>0</v>
      </c>
      <c r="L44" s="394"/>
      <c r="M44" s="496" t="n">
        <f aca="false">COUNTIF(Assessment_EIF!G88,"N/A")</f>
        <v>1</v>
      </c>
      <c r="N44" s="474"/>
    </row>
    <row r="45" customFormat="false" ht="8.25" hidden="false" customHeight="true" outlineLevel="0" collapsed="false">
      <c r="A45" s="489"/>
      <c r="B45" s="394"/>
      <c r="C45" s="524"/>
      <c r="D45" s="394"/>
      <c r="E45" s="498"/>
      <c r="F45" s="495"/>
      <c r="G45" s="498"/>
      <c r="H45" s="394"/>
      <c r="I45" s="515"/>
      <c r="J45" s="394"/>
      <c r="K45" s="515"/>
      <c r="L45" s="394"/>
      <c r="M45" s="515"/>
      <c r="N45" s="474"/>
    </row>
    <row r="46" customFormat="false" ht="30" hidden="false" customHeight="true" outlineLevel="0" collapsed="false">
      <c r="A46" s="489"/>
      <c r="B46" s="394"/>
      <c r="C46" s="525" t="s">
        <v>455</v>
      </c>
      <c r="D46" s="394"/>
      <c r="E46" s="423" t="n">
        <f aca="false">IF(G46&gt;0,(COUNTIF(Assessment_EIF!G92,"✓"))/((COUNTIF(Assessment_EIF!G92,"X"))+(COUNTIF(Assessment_EIF!G92,"✓"))),0)</f>
        <v>0</v>
      </c>
      <c r="F46" s="495"/>
      <c r="G46" s="423" t="n">
        <f aca="false">(COUNTIF(Assessment_EIF!G92,"✓")+COUNTIF(Assessment_EIF!G92,"X"))/1</f>
        <v>1</v>
      </c>
      <c r="H46" s="394"/>
      <c r="I46" s="496" t="n">
        <f aca="false">COUNTIF(Assessment_EIF!G92,"✓")</f>
        <v>0</v>
      </c>
      <c r="J46" s="394"/>
      <c r="K46" s="496" t="n">
        <f aca="false">COUNTIF(Assessment_EIF!G92,"X")</f>
        <v>1</v>
      </c>
      <c r="L46" s="394"/>
      <c r="M46" s="496" t="n">
        <f aca="false">COUNTIF(Assessment_EIF!G92,"N/A")</f>
        <v>0</v>
      </c>
      <c r="N46" s="474"/>
    </row>
    <row r="47" customFormat="false" ht="9.95" hidden="false" customHeight="true" outlineLevel="0" collapsed="false">
      <c r="A47" s="489"/>
      <c r="B47" s="394"/>
      <c r="C47" s="526"/>
      <c r="D47" s="394"/>
      <c r="E47" s="498"/>
      <c r="F47" s="495"/>
      <c r="G47" s="498"/>
      <c r="H47" s="394"/>
      <c r="I47" s="515"/>
      <c r="J47" s="394"/>
      <c r="K47" s="515"/>
      <c r="L47" s="394"/>
      <c r="M47" s="515"/>
      <c r="N47" s="474"/>
    </row>
    <row r="48" customFormat="false" ht="33" hidden="false" customHeight="true" outlineLevel="0" collapsed="false">
      <c r="A48" s="489"/>
      <c r="B48" s="394"/>
      <c r="C48" s="527" t="s">
        <v>456</v>
      </c>
      <c r="D48" s="394"/>
      <c r="E48" s="500" t="n">
        <f aca="false">IF(G48&gt;0,(COUNTIF(Assessment_EIF!G84:G92,"✓"))/((COUNTIF(Assessment_EIF!G84:G92,"X"))+(COUNTIF(Assessment_EIF!G84:G92,"✓"))),0)</f>
        <v>0.5</v>
      </c>
      <c r="F48" s="501"/>
      <c r="G48" s="500" t="n">
        <f aca="false">(COUNTIF(Assessment_EIF!G84:G92,"✓")+COUNTIF(Assessment_EIF!G84:G92,"X"))/3</f>
        <v>0.666666666666667</v>
      </c>
      <c r="H48" s="502"/>
      <c r="I48" s="503" t="n">
        <f aca="false">SUM(I42:I46)</f>
        <v>1</v>
      </c>
      <c r="J48" s="502"/>
      <c r="K48" s="503" t="n">
        <f aca="false">SUM(K42:K46)</f>
        <v>1</v>
      </c>
      <c r="L48" s="502"/>
      <c r="M48" s="503" t="n">
        <f aca="false">SUM(M42:M46)</f>
        <v>1</v>
      </c>
      <c r="N48" s="474"/>
      <c r="P48" s="509" t="n">
        <v>1</v>
      </c>
    </row>
    <row r="49" customFormat="false" ht="15" hidden="false" customHeight="false" outlineLevel="0" collapsed="false">
      <c r="A49" s="528"/>
      <c r="B49" s="529"/>
      <c r="C49" s="530"/>
      <c r="D49" s="529"/>
      <c r="E49" s="531"/>
      <c r="F49" s="532"/>
      <c r="G49" s="533"/>
      <c r="H49" s="529"/>
      <c r="I49" s="529"/>
      <c r="J49" s="529"/>
      <c r="K49" s="529"/>
      <c r="L49" s="529"/>
      <c r="M49" s="529"/>
      <c r="N49" s="534"/>
      <c r="O49" s="113"/>
      <c r="P49" s="113"/>
    </row>
    <row r="50" customFormat="false" ht="15" hidden="false" customHeight="false" outlineLevel="0" collapsed="false">
      <c r="A50" s="535"/>
      <c r="B50" s="536"/>
      <c r="C50" s="537"/>
      <c r="D50" s="185"/>
      <c r="E50" s="538"/>
      <c r="F50" s="538"/>
      <c r="G50" s="538"/>
      <c r="H50" s="537"/>
      <c r="I50" s="537"/>
      <c r="J50" s="537"/>
      <c r="K50" s="537"/>
      <c r="L50" s="537"/>
      <c r="M50" s="537"/>
      <c r="N50" s="539"/>
      <c r="O50" s="113"/>
      <c r="P50" s="113"/>
    </row>
    <row r="51" customFormat="false" ht="30" hidden="false" customHeight="true" outlineLevel="0" collapsed="false">
      <c r="A51" s="489"/>
      <c r="B51" s="394"/>
      <c r="C51" s="540" t="s">
        <v>457</v>
      </c>
      <c r="D51" s="541"/>
      <c r="E51" s="423" t="n">
        <f aca="false">IF(G51&gt;0,(COUNTIF(Assessment_EIF!G98:G108,"✓"))/((COUNTIF(Assessment_EIF!G98:G108,"X"))+(COUNTIF(Assessment_EIF!G98:G108,"✓"))),0)</f>
        <v>0.666666666666667</v>
      </c>
      <c r="F51" s="495"/>
      <c r="G51" s="423" t="n">
        <f aca="false">(COUNTIF(Assessment_EIF!G98:G108,"✓")+COUNTIF(Assessment_EIF!G98:G108,"X"))/6</f>
        <v>1</v>
      </c>
      <c r="H51" s="394"/>
      <c r="I51" s="496" t="n">
        <f aca="false">COUNTIF(Assessment_EIF!G98:G108,"✓")</f>
        <v>4</v>
      </c>
      <c r="J51" s="394"/>
      <c r="K51" s="496" t="n">
        <f aca="false">COUNTIF(Assessment_EIF!G98:G108,"X")</f>
        <v>2</v>
      </c>
      <c r="L51" s="394"/>
      <c r="M51" s="496" t="n">
        <f aca="false">COUNTIF(Assessment_EIF!G98:G108,"N/A")</f>
        <v>0</v>
      </c>
      <c r="N51" s="474"/>
      <c r="O51" s="113"/>
      <c r="P51" s="113"/>
    </row>
    <row r="52" customFormat="false" ht="9.95" hidden="false" customHeight="true" outlineLevel="0" collapsed="false">
      <c r="A52" s="394"/>
      <c r="B52" s="394"/>
      <c r="C52" s="542"/>
      <c r="D52" s="394"/>
      <c r="E52" s="495"/>
      <c r="F52" s="495"/>
      <c r="G52" s="495"/>
      <c r="H52" s="394"/>
      <c r="I52" s="394"/>
      <c r="J52" s="394"/>
      <c r="K52" s="394"/>
      <c r="L52" s="394"/>
      <c r="M52" s="394"/>
      <c r="N52" s="543"/>
      <c r="O52" s="113"/>
      <c r="P52" s="113"/>
    </row>
    <row r="53" customFormat="false" ht="30" hidden="false" customHeight="true" outlineLevel="0" collapsed="false">
      <c r="A53" s="489"/>
      <c r="B53" s="394"/>
      <c r="C53" s="540" t="s">
        <v>303</v>
      </c>
      <c r="D53" s="541"/>
      <c r="E53" s="423" t="n">
        <f aca="false">IF(G53&gt;0,(COUNTIF(Assessment_EIF!G112,"✓"))/((COUNTIF(Assessment_EIF!G112,"X"))+(COUNTIF(Assessment_EIF!G112,"✓"))),0)</f>
        <v>1</v>
      </c>
      <c r="F53" s="495"/>
      <c r="G53" s="423" t="n">
        <f aca="false">(COUNTIF(Assessment_EIF!G112,"✓")+COUNTIF(Assessment_EIF!G112,"X"))/1</f>
        <v>1</v>
      </c>
      <c r="H53" s="394"/>
      <c r="I53" s="496" t="n">
        <f aca="false">COUNTIF(Assessment_EIF!G112,"✓")</f>
        <v>1</v>
      </c>
      <c r="J53" s="394"/>
      <c r="K53" s="496" t="n">
        <f aca="false">COUNTIF(Assessment_EIF!G112,"X")</f>
        <v>0</v>
      </c>
      <c r="L53" s="394"/>
      <c r="M53" s="496" t="n">
        <f aca="false">COUNTIF(Assessment_EIF!G112,"N/A")</f>
        <v>0</v>
      </c>
      <c r="N53" s="474"/>
    </row>
    <row r="54" customFormat="false" ht="9.75" hidden="false" customHeight="true" outlineLevel="0" collapsed="false">
      <c r="A54" s="489"/>
      <c r="B54" s="394"/>
      <c r="C54" s="542"/>
      <c r="D54" s="394"/>
      <c r="E54" s="498"/>
      <c r="F54" s="495"/>
      <c r="G54" s="498"/>
      <c r="H54" s="394"/>
      <c r="I54" s="497"/>
      <c r="J54" s="394"/>
      <c r="K54" s="497"/>
      <c r="L54" s="394"/>
      <c r="M54" s="497"/>
      <c r="N54" s="474"/>
    </row>
    <row r="55" customFormat="false" ht="30" hidden="false" customHeight="true" outlineLevel="0" collapsed="false">
      <c r="A55" s="489"/>
      <c r="B55" s="394"/>
      <c r="C55" s="544" t="s">
        <v>458</v>
      </c>
      <c r="D55" s="394"/>
      <c r="E55" s="423" t="n">
        <f aca="false">IF(G55&gt;0,(COUNTIF(Assessment_EIF!G116,"✓"))/((COUNTIF(Assessment_EIF!G116,"X"))+(COUNTIF(Assessment_EIF!G116,"✓"))),0)</f>
        <v>1</v>
      </c>
      <c r="F55" s="495"/>
      <c r="G55" s="423" t="n">
        <f aca="false">(COUNTIF(Assessment_EIF!G116,"✓")+COUNTIF(Assessment_EIF!G116,"X"))/1</f>
        <v>1</v>
      </c>
      <c r="H55" s="394"/>
      <c r="I55" s="496" t="n">
        <f aca="false">COUNTIF(Assessment_EIF!G116,"✓")</f>
        <v>1</v>
      </c>
      <c r="J55" s="394"/>
      <c r="K55" s="496" t="n">
        <f aca="false">COUNTIF(Assessment_EIF!G116,"X")</f>
        <v>0</v>
      </c>
      <c r="L55" s="394"/>
      <c r="M55" s="496" t="n">
        <f aca="false">COUNTIF(Assessment_EIF!G116,"N/A")</f>
        <v>0</v>
      </c>
      <c r="N55" s="474"/>
    </row>
    <row r="56" customFormat="false" ht="9.75" hidden="false" customHeight="true" outlineLevel="0" collapsed="false">
      <c r="A56" s="489"/>
      <c r="B56" s="394"/>
      <c r="C56" s="542"/>
      <c r="D56" s="394"/>
      <c r="E56" s="498"/>
      <c r="F56" s="495"/>
      <c r="G56" s="498"/>
      <c r="H56" s="394"/>
      <c r="I56" s="497"/>
      <c r="J56" s="394"/>
      <c r="K56" s="497"/>
      <c r="L56" s="394"/>
      <c r="M56" s="497"/>
      <c r="N56" s="474"/>
    </row>
    <row r="57" customFormat="false" ht="30" hidden="false" customHeight="true" outlineLevel="0" collapsed="false">
      <c r="A57" s="489"/>
      <c r="B57" s="394"/>
      <c r="C57" s="544" t="s">
        <v>459</v>
      </c>
      <c r="D57" s="394"/>
      <c r="E57" s="423" t="n">
        <f aca="false">IF(G57&gt;0,(COUNTIF(Assessment_EIF!G123:G125,"✓"))/((COUNTIF(Assessment_EIF!G123:G125,"X"))+(COUNTIF(Assessment_EIF!G123:G125,"✓"))),0)</f>
        <v>0</v>
      </c>
      <c r="F57" s="495"/>
      <c r="G57" s="423" t="n">
        <f aca="false">(COUNTIF(Assessment_EIF!G123:G125,"✓")+COUNTIF(Assessment_EIF!G123:G125,"X"))/2</f>
        <v>1</v>
      </c>
      <c r="H57" s="394"/>
      <c r="I57" s="496" t="n">
        <f aca="false">COUNTIF(Assessment_EIF!G123:G125,"✓")</f>
        <v>0</v>
      </c>
      <c r="J57" s="394"/>
      <c r="K57" s="496" t="n">
        <f aca="false">COUNTIF(Assessment_EIF!G123:G125,"X")</f>
        <v>2</v>
      </c>
      <c r="L57" s="394"/>
      <c r="M57" s="496" t="n">
        <f aca="false">COUNTIF(Assessment_EIF!G123:G125,"N/A")</f>
        <v>0</v>
      </c>
      <c r="N57" s="474"/>
      <c r="P57" s="545" t="n">
        <v>1</v>
      </c>
    </row>
    <row r="58" customFormat="false" ht="9.75" hidden="false" customHeight="true" outlineLevel="0" collapsed="false">
      <c r="A58" s="489"/>
      <c r="B58" s="394"/>
      <c r="C58" s="542"/>
      <c r="D58" s="394"/>
      <c r="E58" s="498"/>
      <c r="F58" s="495"/>
      <c r="G58" s="498"/>
      <c r="H58" s="394"/>
      <c r="I58" s="497"/>
      <c r="J58" s="394"/>
      <c r="K58" s="497"/>
      <c r="L58" s="394"/>
      <c r="M58" s="497"/>
      <c r="N58" s="474"/>
    </row>
    <row r="59" customFormat="false" ht="30" hidden="false" customHeight="true" outlineLevel="0" collapsed="false">
      <c r="A59" s="489"/>
      <c r="B59" s="394"/>
      <c r="C59" s="544" t="s">
        <v>460</v>
      </c>
      <c r="D59" s="394"/>
      <c r="E59" s="423" t="n">
        <f aca="false">IF(G59&gt;0,(COUNTIF(Assessment_EIF!G129:G133,"✓"))/((COUNTIF(Assessment_EIF!G129:G133,"X"))+(COUNTIF(Assessment_EIF!G129:G133,"✓"))),0)</f>
        <v>0.666666666666667</v>
      </c>
      <c r="F59" s="495"/>
      <c r="G59" s="423" t="n">
        <f aca="false">(COUNTIF(Assessment_EIF!G129:G133,"✓")+COUNTIF(Assessment_EIF!G129:G133,"X"))/3</f>
        <v>1</v>
      </c>
      <c r="H59" s="394"/>
      <c r="I59" s="496" t="n">
        <f aca="false">COUNTIF(Assessment_EIF!G129:G133,"✓")</f>
        <v>2</v>
      </c>
      <c r="J59" s="394"/>
      <c r="K59" s="496" t="n">
        <f aca="false">COUNTIF(Assessment_EIF!G129:G133,"X")</f>
        <v>1</v>
      </c>
      <c r="L59" s="394"/>
      <c r="M59" s="496" t="n">
        <f aca="false">COUNTIF(Assessment_EIF!G129:G133,"N/A")</f>
        <v>0</v>
      </c>
      <c r="N59" s="474"/>
    </row>
    <row r="60" customFormat="false" ht="7.5" hidden="false" customHeight="true" outlineLevel="0" collapsed="false">
      <c r="A60" s="489"/>
      <c r="B60" s="394"/>
      <c r="C60" s="542"/>
      <c r="D60" s="394"/>
      <c r="E60" s="498"/>
      <c r="F60" s="495"/>
      <c r="G60" s="498"/>
      <c r="H60" s="394"/>
      <c r="I60" s="497"/>
      <c r="J60" s="394"/>
      <c r="K60" s="497"/>
      <c r="L60" s="394"/>
      <c r="M60" s="497"/>
      <c r="N60" s="474"/>
    </row>
    <row r="61" customFormat="false" ht="30" hidden="false" customHeight="true" outlineLevel="0" collapsed="false">
      <c r="A61" s="489"/>
      <c r="B61" s="394"/>
      <c r="C61" s="540" t="s">
        <v>461</v>
      </c>
      <c r="D61" s="394"/>
      <c r="E61" s="423" t="n">
        <f aca="false">IF(G61&gt;0,(COUNTIF(Assessment_EIF!G24:G40,"✓"))/((COUNTIF(Assessment_EIF!G24:G40,"X"))+(COUNTIF(Assessment_EIF!G24:G40,"✓"))),0)</f>
        <v>1</v>
      </c>
      <c r="F61" s="495"/>
      <c r="G61" s="423" t="n">
        <f aca="false">(COUNTIF(Assessment_EIF!G24:G40,"✓")+COUNTIF(Assessment_EIF!G24:G40,"X"))/9</f>
        <v>1</v>
      </c>
      <c r="H61" s="431"/>
      <c r="I61" s="497"/>
      <c r="J61" s="546"/>
      <c r="K61" s="497"/>
      <c r="L61" s="546"/>
      <c r="M61" s="497"/>
      <c r="N61" s="474"/>
    </row>
    <row r="62" customFormat="false" ht="9.95" hidden="false" customHeight="true" outlineLevel="0" collapsed="false">
      <c r="A62" s="489"/>
      <c r="B62" s="394"/>
      <c r="C62" s="440"/>
      <c r="D62" s="394"/>
      <c r="E62" s="498"/>
      <c r="F62" s="495"/>
      <c r="G62" s="498"/>
      <c r="H62" s="394"/>
      <c r="I62" s="547"/>
      <c r="J62" s="394"/>
      <c r="K62" s="515"/>
      <c r="L62" s="394"/>
      <c r="M62" s="515"/>
      <c r="N62" s="474"/>
    </row>
    <row r="63" customFormat="false" ht="33" hidden="false" customHeight="true" outlineLevel="0" collapsed="false">
      <c r="A63" s="489"/>
      <c r="B63" s="394"/>
      <c r="C63" s="548" t="s">
        <v>283</v>
      </c>
      <c r="D63" s="549"/>
      <c r="E63" s="500" t="n">
        <f aca="false">IF(G63&gt;0,((COUNTIF(Assessment_EIF!G98:G133,"✓"))+(COUNTIF(Assessment_EIF!G24:G40,"✓")))/(((COUNTIF(Assessment_EIF!G98:G133,"X"))+(COUNTIF(Assessment_EIF!G98:G133,"✓")))+((COUNTIF(Assessment_EIF!G24:G40,"X"))+(COUNTIF(Assessment_EIF!G24:G40,"✓")))),0)</f>
        <v>0.772727272727273</v>
      </c>
      <c r="F63" s="501"/>
      <c r="G63" s="500" t="n">
        <f aca="false">(((COUNTIF(Assessment_EIF!G98:G133,"X"))+(COUNTIF(Assessment_EIF!G98:G133,"✓")))+((COUNTIF(Assessment_EIF!G24:G40,"X"))+(COUNTIF(Assessment_EIF!G24:G40,"✓"))))/22</f>
        <v>1</v>
      </c>
      <c r="H63" s="549"/>
      <c r="I63" s="503" t="n">
        <f aca="false">SUM(I51:I59,I20)</f>
        <v>17</v>
      </c>
      <c r="J63" s="549"/>
      <c r="K63" s="503" t="n">
        <f aca="false">SUM(K51:K59,K20)</f>
        <v>5</v>
      </c>
      <c r="L63" s="549"/>
      <c r="M63" s="503" t="n">
        <f aca="false">SUM(M51:M59,M20)</f>
        <v>0</v>
      </c>
      <c r="N63" s="474"/>
      <c r="P63" s="509" t="n">
        <v>1</v>
      </c>
    </row>
    <row r="64" customFormat="false" ht="11.25" hidden="false" customHeight="true" outlineLevel="0" collapsed="false">
      <c r="A64" s="489"/>
      <c r="B64" s="394"/>
      <c r="C64" s="550"/>
      <c r="D64" s="549"/>
      <c r="E64" s="551"/>
      <c r="F64" s="502"/>
      <c r="G64" s="551"/>
      <c r="H64" s="549"/>
      <c r="I64" s="552"/>
      <c r="J64" s="549"/>
      <c r="K64" s="552"/>
      <c r="L64" s="549"/>
      <c r="M64" s="552"/>
      <c r="N64" s="474"/>
      <c r="P64" s="553"/>
    </row>
    <row r="65" customFormat="false" ht="15" hidden="false" customHeight="true" outlineLevel="0" collapsed="false">
      <c r="A65" s="489"/>
      <c r="B65" s="394"/>
      <c r="C65" s="554" t="s">
        <v>462</v>
      </c>
      <c r="D65" s="554"/>
      <c r="E65" s="554"/>
      <c r="F65" s="554"/>
      <c r="G65" s="554"/>
      <c r="H65" s="554"/>
      <c r="I65" s="554"/>
      <c r="J65" s="554"/>
      <c r="K65" s="554"/>
      <c r="L65" s="554"/>
      <c r="M65" s="554"/>
      <c r="N65" s="474"/>
      <c r="P65" s="553"/>
    </row>
    <row r="66" customFormat="false" ht="15.75" hidden="false" customHeight="false" outlineLevel="0" collapsed="false">
      <c r="A66" s="535"/>
      <c r="B66" s="536"/>
      <c r="C66" s="555"/>
      <c r="D66" s="185"/>
      <c r="E66" s="537"/>
      <c r="F66" s="537"/>
      <c r="G66" s="537"/>
      <c r="H66" s="537"/>
      <c r="I66" s="537"/>
      <c r="J66" s="537"/>
      <c r="K66" s="537"/>
      <c r="L66" s="537"/>
      <c r="M66" s="537"/>
      <c r="N66" s="539"/>
    </row>
    <row r="67" customFormat="false" ht="16.5" hidden="false" customHeight="true" outlineLevel="0" collapsed="false">
      <c r="A67" s="489"/>
      <c r="B67" s="394"/>
      <c r="C67" s="556" t="s">
        <v>423</v>
      </c>
      <c r="D67" s="394"/>
      <c r="E67" s="500" t="n">
        <f aca="false">IF(G67&gt;0,(COUNTIF(Assessment_EIF!G18:G133,"✓"))/((COUNTIF(Assessment_EIF!G18:G133,"X"))+(COUNTIF(Assessment_EIF!G18:G133,"✓"))),0)</f>
        <v>0.705882352941176</v>
      </c>
      <c r="F67" s="394"/>
      <c r="G67" s="500" t="n">
        <f aca="false">(COUNTIF(Assessment_EIF!G18:G133,"✓")+COUNTIF(Assessment_EIF!G18:G133,"X"))/37</f>
        <v>0.918918918918919</v>
      </c>
      <c r="H67" s="394"/>
      <c r="I67" s="503" t="n">
        <f aca="false">COUNTIF(Assessment_EIF!G18:G133,"✓")</f>
        <v>24</v>
      </c>
      <c r="J67" s="394"/>
      <c r="K67" s="503" t="n">
        <f aca="false">COUNTIF(Assessment_EIF!G18:G133,"X")</f>
        <v>10</v>
      </c>
      <c r="L67" s="394"/>
      <c r="M67" s="503" t="n">
        <f aca="false">COUNTIF(Assessment_EIF!G18:G133,"N/A")</f>
        <v>3</v>
      </c>
      <c r="N67" s="474"/>
      <c r="P67" s="509" t="n">
        <v>1</v>
      </c>
      <c r="R67" s="509"/>
    </row>
    <row r="68" customFormat="false" ht="15.75" hidden="false" customHeight="false" outlineLevel="0" collapsed="false">
      <c r="A68" s="489"/>
      <c r="B68" s="394"/>
      <c r="C68" s="556"/>
      <c r="D68" s="394"/>
      <c r="E68" s="500"/>
      <c r="F68" s="502"/>
      <c r="G68" s="500"/>
      <c r="H68" s="549"/>
      <c r="I68" s="503"/>
      <c r="J68" s="549"/>
      <c r="K68" s="503"/>
      <c r="L68" s="549"/>
      <c r="M68" s="503"/>
      <c r="N68" s="474"/>
      <c r="P68" s="509"/>
      <c r="R68" s="509"/>
    </row>
    <row r="69" customFormat="false" ht="15" hidden="false" customHeight="false" outlineLevel="0" collapsed="false">
      <c r="A69" s="557"/>
      <c r="B69" s="482"/>
      <c r="C69" s="558"/>
      <c r="D69" s="482"/>
      <c r="E69" s="559"/>
      <c r="F69" s="482"/>
      <c r="G69" s="559"/>
      <c r="H69" s="482"/>
      <c r="I69" s="560"/>
      <c r="J69" s="482"/>
      <c r="K69" s="560"/>
      <c r="L69" s="482"/>
      <c r="M69" s="560"/>
      <c r="N69" s="483"/>
    </row>
    <row r="70" customFormat="false" ht="15" hidden="false" customHeight="false" outlineLevel="0" collapsed="false">
      <c r="A70" s="484"/>
      <c r="B70" s="484"/>
      <c r="C70" s="407"/>
      <c r="D70" s="484"/>
      <c r="E70" s="484"/>
      <c r="F70" s="484"/>
      <c r="G70" s="484"/>
      <c r="H70" s="484"/>
      <c r="I70" s="484"/>
      <c r="J70" s="484"/>
      <c r="K70" s="484"/>
      <c r="L70" s="484"/>
      <c r="M70" s="484"/>
      <c r="N70" s="484"/>
    </row>
    <row r="71" customFormat="false" ht="15" hidden="false" customHeight="false" outlineLevel="0" collapsed="false">
      <c r="A71" s="561"/>
      <c r="B71" s="394"/>
      <c r="C71" s="394"/>
      <c r="D71" s="394"/>
      <c r="E71" s="394"/>
      <c r="F71" s="394"/>
      <c r="G71" s="394"/>
      <c r="H71" s="394"/>
      <c r="I71" s="394"/>
      <c r="J71" s="394"/>
      <c r="K71" s="394"/>
      <c r="L71" s="394"/>
      <c r="M71" s="394"/>
      <c r="N71" s="394"/>
    </row>
    <row r="72" customFormat="false" ht="15" hidden="false" customHeight="false" outlineLevel="0" collapsed="false">
      <c r="A72" s="561"/>
      <c r="B72" s="394"/>
      <c r="C72" s="394"/>
      <c r="D72" s="394"/>
      <c r="E72" s="394"/>
      <c r="F72" s="394"/>
      <c r="G72" s="394"/>
      <c r="H72" s="394"/>
      <c r="I72" s="394"/>
      <c r="J72" s="394"/>
      <c r="K72" s="394"/>
      <c r="L72" s="394"/>
      <c r="M72" s="394"/>
      <c r="N72" s="394"/>
    </row>
    <row r="73" customFormat="false" ht="15" hidden="false" customHeight="false" outlineLevel="0" collapsed="false">
      <c r="A73" s="561"/>
      <c r="B73" s="394"/>
      <c r="C73" s="394"/>
      <c r="D73" s="394"/>
      <c r="E73" s="394"/>
      <c r="F73" s="394"/>
      <c r="G73" s="394"/>
      <c r="H73" s="394"/>
      <c r="I73" s="394"/>
      <c r="J73" s="394"/>
      <c r="K73" s="394"/>
      <c r="L73" s="394"/>
      <c r="M73" s="394"/>
      <c r="N73" s="394"/>
    </row>
    <row r="74" customFormat="false" ht="15" hidden="false" customHeight="false" outlineLevel="0" collapsed="false">
      <c r="A74" s="561"/>
      <c r="B74" s="394"/>
      <c r="C74" s="394"/>
      <c r="D74" s="394"/>
      <c r="E74" s="394"/>
      <c r="F74" s="394"/>
      <c r="G74" s="394"/>
      <c r="H74" s="394"/>
      <c r="I74" s="394"/>
      <c r="J74" s="394"/>
      <c r="K74" s="394"/>
      <c r="L74" s="394"/>
      <c r="M74" s="394"/>
      <c r="N74" s="394"/>
    </row>
    <row r="75" customFormat="false" ht="15" hidden="false" customHeight="false" outlineLevel="0" collapsed="false">
      <c r="A75" s="398"/>
      <c r="B75" s="394"/>
      <c r="C75" s="394"/>
      <c r="D75" s="394"/>
      <c r="E75" s="394"/>
      <c r="F75" s="394"/>
      <c r="G75" s="394"/>
      <c r="H75" s="394"/>
      <c r="I75" s="394"/>
      <c r="J75" s="394"/>
      <c r="K75" s="394"/>
      <c r="L75" s="394"/>
      <c r="M75" s="394"/>
      <c r="N75" s="394"/>
    </row>
    <row r="76" customFormat="false" ht="15" hidden="false" customHeight="false" outlineLevel="0" collapsed="false">
      <c r="A76" s="398"/>
      <c r="B76" s="394"/>
      <c r="C76" s="394"/>
      <c r="D76" s="394"/>
      <c r="E76" s="394"/>
      <c r="F76" s="394"/>
      <c r="G76" s="394"/>
      <c r="H76" s="394"/>
      <c r="I76" s="394"/>
      <c r="J76" s="394"/>
      <c r="K76" s="394"/>
      <c r="L76" s="394"/>
      <c r="M76" s="394"/>
      <c r="N76" s="394"/>
    </row>
    <row r="77" customFormat="false" ht="15" hidden="false" customHeight="false" outlineLevel="0" collapsed="false">
      <c r="A77" s="398"/>
      <c r="B77" s="394"/>
      <c r="C77" s="394"/>
      <c r="D77" s="394"/>
      <c r="E77" s="394"/>
      <c r="F77" s="394"/>
      <c r="G77" s="394"/>
      <c r="H77" s="394"/>
      <c r="I77" s="394"/>
      <c r="J77" s="394"/>
      <c r="K77" s="394"/>
      <c r="L77" s="394"/>
      <c r="M77" s="394"/>
      <c r="N77" s="394"/>
    </row>
    <row r="78" customFormat="false" ht="15" hidden="false" customHeight="false" outlineLevel="0" collapsed="false">
      <c r="A78" s="398"/>
      <c r="B78" s="394"/>
      <c r="C78" s="394"/>
      <c r="D78" s="394"/>
      <c r="E78" s="394"/>
      <c r="F78" s="394"/>
      <c r="G78" s="394"/>
      <c r="H78" s="394"/>
      <c r="I78" s="394"/>
      <c r="J78" s="394"/>
      <c r="K78" s="394"/>
      <c r="L78" s="394"/>
      <c r="M78" s="394"/>
      <c r="N78" s="394"/>
    </row>
    <row r="79" customFormat="false" ht="15" hidden="false" customHeight="false" outlineLevel="0" collapsed="false">
      <c r="A79" s="398"/>
      <c r="B79" s="394"/>
      <c r="C79" s="394"/>
      <c r="D79" s="394"/>
      <c r="E79" s="394"/>
      <c r="F79" s="394"/>
      <c r="G79" s="394"/>
      <c r="H79" s="394"/>
      <c r="I79" s="394"/>
      <c r="J79" s="394"/>
      <c r="K79" s="394"/>
      <c r="L79" s="394"/>
      <c r="M79" s="394"/>
      <c r="N79" s="394"/>
    </row>
    <row r="80" customFormat="false" ht="15" hidden="false" customHeight="false" outlineLevel="0" collapsed="false">
      <c r="A80" s="398"/>
      <c r="B80" s="394"/>
      <c r="C80" s="394"/>
      <c r="D80" s="394"/>
      <c r="E80" s="394"/>
      <c r="F80" s="394"/>
      <c r="G80" s="394"/>
      <c r="H80" s="394"/>
      <c r="I80" s="394"/>
      <c r="J80" s="394"/>
      <c r="K80" s="394"/>
      <c r="L80" s="394"/>
      <c r="M80" s="394"/>
      <c r="N80" s="394"/>
    </row>
    <row r="81" customFormat="false" ht="15" hidden="false" customHeight="false" outlineLevel="0" collapsed="false">
      <c r="A81" s="398"/>
      <c r="B81" s="394"/>
      <c r="C81" s="394"/>
      <c r="D81" s="394"/>
      <c r="E81" s="394"/>
      <c r="F81" s="394"/>
      <c r="G81" s="394"/>
      <c r="H81" s="394"/>
      <c r="I81" s="394"/>
      <c r="J81" s="394"/>
      <c r="K81" s="394"/>
      <c r="L81" s="394"/>
      <c r="M81" s="394"/>
      <c r="N81" s="394"/>
    </row>
    <row r="82" customFormat="false" ht="15" hidden="false" customHeight="false" outlineLevel="0" collapsed="false">
      <c r="A82" s="398"/>
      <c r="B82" s="394"/>
      <c r="C82" s="394"/>
      <c r="D82" s="394"/>
      <c r="E82" s="394"/>
      <c r="F82" s="394"/>
      <c r="G82" s="394"/>
      <c r="H82" s="394"/>
      <c r="I82" s="394"/>
      <c r="J82" s="394"/>
      <c r="K82" s="394"/>
      <c r="L82" s="394"/>
      <c r="M82" s="394"/>
      <c r="N82" s="394"/>
    </row>
    <row r="83" customFormat="false" ht="15" hidden="false" customHeight="false" outlineLevel="0" collapsed="false">
      <c r="A83" s="398"/>
      <c r="B83" s="394"/>
      <c r="C83" s="394"/>
      <c r="D83" s="394"/>
      <c r="E83" s="394"/>
      <c r="F83" s="394"/>
      <c r="G83" s="394"/>
      <c r="H83" s="394"/>
      <c r="I83" s="394"/>
      <c r="J83" s="394"/>
      <c r="K83" s="394"/>
      <c r="L83" s="394"/>
      <c r="M83" s="394"/>
      <c r="N83" s="394"/>
    </row>
    <row r="84" customFormat="false" ht="15" hidden="false" customHeight="false" outlineLevel="0" collapsed="false">
      <c r="A84" s="439"/>
      <c r="B84" s="439"/>
      <c r="C84" s="439"/>
      <c r="D84" s="439"/>
      <c r="E84" s="439"/>
      <c r="F84" s="439"/>
      <c r="G84" s="439"/>
      <c r="H84" s="439"/>
      <c r="I84" s="439"/>
      <c r="J84" s="439"/>
      <c r="K84" s="439"/>
      <c r="L84" s="439"/>
      <c r="M84" s="394"/>
      <c r="N84" s="394"/>
    </row>
    <row r="85" customFormat="false" ht="15" hidden="false" customHeight="false" outlineLevel="0" collapsed="false">
      <c r="A85" s="398"/>
      <c r="B85" s="394"/>
      <c r="C85" s="394"/>
      <c r="D85" s="394"/>
      <c r="E85" s="394"/>
      <c r="F85" s="394"/>
      <c r="G85" s="394"/>
      <c r="H85" s="394"/>
      <c r="I85" s="394"/>
      <c r="J85" s="394"/>
      <c r="K85" s="394"/>
      <c r="L85" s="394"/>
      <c r="M85" s="394"/>
      <c r="N85" s="394"/>
    </row>
    <row r="86" customFormat="false" ht="15" hidden="false" customHeight="false" outlineLevel="0" collapsed="false">
      <c r="A86" s="398"/>
      <c r="B86" s="394"/>
      <c r="C86" s="394"/>
      <c r="D86" s="394"/>
      <c r="E86" s="394"/>
      <c r="F86" s="394"/>
      <c r="G86" s="394"/>
      <c r="H86" s="394"/>
      <c r="I86" s="394"/>
      <c r="J86" s="394"/>
      <c r="K86" s="394"/>
      <c r="L86" s="394"/>
      <c r="M86" s="394"/>
      <c r="N86" s="394"/>
    </row>
    <row r="87" customFormat="false" ht="15" hidden="false" customHeight="false" outlineLevel="0" collapsed="false">
      <c r="A87" s="398"/>
      <c r="B87" s="394"/>
      <c r="C87" s="394"/>
      <c r="D87" s="394"/>
      <c r="E87" s="394"/>
      <c r="F87" s="394"/>
      <c r="G87" s="394"/>
      <c r="H87" s="394"/>
      <c r="I87" s="394"/>
      <c r="J87" s="394"/>
      <c r="K87" s="394"/>
      <c r="L87" s="394"/>
      <c r="M87" s="394"/>
      <c r="N87" s="394"/>
    </row>
    <row r="88" customFormat="false" ht="15" hidden="false" customHeight="false" outlineLevel="0" collapsed="false">
      <c r="A88" s="398"/>
      <c r="B88" s="394"/>
      <c r="C88" s="394"/>
      <c r="D88" s="394"/>
      <c r="E88" s="394"/>
      <c r="F88" s="394"/>
      <c r="G88" s="394"/>
      <c r="H88" s="394"/>
      <c r="I88" s="394"/>
      <c r="J88" s="394"/>
      <c r="K88" s="394"/>
      <c r="L88" s="394"/>
      <c r="M88" s="394"/>
      <c r="N88" s="394"/>
    </row>
    <row r="89" customFormat="false" ht="15" hidden="false" customHeight="false" outlineLevel="0" collapsed="false">
      <c r="A89" s="398"/>
      <c r="B89" s="394"/>
      <c r="C89" s="394"/>
      <c r="D89" s="394"/>
      <c r="E89" s="394"/>
      <c r="F89" s="394"/>
      <c r="G89" s="394"/>
      <c r="H89" s="394"/>
      <c r="I89" s="394"/>
      <c r="J89" s="394"/>
      <c r="K89" s="394"/>
      <c r="L89" s="394"/>
      <c r="M89" s="394"/>
      <c r="N89" s="394"/>
    </row>
    <row r="90" customFormat="false" ht="15" hidden="false" customHeight="false" outlineLevel="0" collapsed="false">
      <c r="A90" s="398"/>
      <c r="B90" s="394"/>
      <c r="C90" s="394"/>
      <c r="D90" s="394"/>
      <c r="E90" s="394"/>
      <c r="F90" s="394"/>
      <c r="G90" s="394"/>
      <c r="H90" s="394"/>
      <c r="I90" s="394"/>
      <c r="J90" s="394"/>
      <c r="K90" s="394"/>
      <c r="L90" s="394"/>
      <c r="M90" s="394"/>
      <c r="N90" s="394"/>
    </row>
    <row r="91" customFormat="false" ht="15" hidden="false" customHeight="false" outlineLevel="0" collapsed="false">
      <c r="A91" s="398"/>
      <c r="B91" s="394"/>
      <c r="C91" s="394"/>
      <c r="D91" s="394"/>
      <c r="E91" s="394"/>
      <c r="F91" s="394"/>
      <c r="G91" s="394"/>
      <c r="H91" s="394"/>
      <c r="I91" s="394"/>
      <c r="J91" s="394"/>
      <c r="K91" s="394"/>
      <c r="L91" s="394"/>
      <c r="M91" s="394"/>
      <c r="N91" s="394"/>
    </row>
    <row r="92" customFormat="false" ht="15" hidden="false" customHeight="false" outlineLevel="0" collapsed="false">
      <c r="A92" s="398"/>
      <c r="B92" s="394"/>
      <c r="C92" s="394"/>
      <c r="D92" s="394"/>
      <c r="E92" s="394"/>
      <c r="F92" s="394"/>
      <c r="G92" s="394"/>
      <c r="H92" s="394"/>
      <c r="I92" s="394"/>
      <c r="J92" s="394"/>
      <c r="K92" s="394"/>
      <c r="L92" s="394"/>
      <c r="M92" s="394"/>
      <c r="N92" s="394"/>
    </row>
    <row r="93" customFormat="false" ht="15" hidden="false" customHeight="false" outlineLevel="0" collapsed="false">
      <c r="A93" s="398"/>
      <c r="B93" s="394"/>
      <c r="C93" s="394"/>
      <c r="D93" s="394"/>
      <c r="E93" s="394"/>
      <c r="F93" s="394"/>
      <c r="G93" s="394"/>
      <c r="H93" s="394"/>
      <c r="I93" s="394"/>
      <c r="J93" s="394"/>
      <c r="K93" s="394"/>
      <c r="L93" s="394"/>
      <c r="M93" s="394"/>
      <c r="N93" s="394"/>
    </row>
    <row r="94" customFormat="false" ht="15" hidden="false" customHeight="false" outlineLevel="0" collapsed="false">
      <c r="A94" s="398"/>
      <c r="B94" s="394"/>
      <c r="C94" s="394"/>
      <c r="D94" s="394"/>
      <c r="E94" s="394"/>
      <c r="F94" s="394"/>
      <c r="G94" s="394"/>
      <c r="H94" s="394"/>
      <c r="I94" s="394"/>
      <c r="J94" s="394"/>
      <c r="K94" s="394"/>
      <c r="L94" s="394"/>
      <c r="M94" s="394"/>
      <c r="N94" s="394"/>
    </row>
    <row r="95" customFormat="false" ht="15" hidden="false" customHeight="false" outlineLevel="0" collapsed="false">
      <c r="A95" s="398"/>
      <c r="B95" s="394"/>
      <c r="C95" s="394"/>
      <c r="D95" s="394"/>
      <c r="E95" s="394"/>
      <c r="F95" s="394"/>
      <c r="G95" s="394"/>
      <c r="H95" s="394"/>
      <c r="I95" s="394"/>
      <c r="J95" s="394"/>
      <c r="K95" s="394"/>
      <c r="L95" s="394"/>
      <c r="M95" s="394"/>
      <c r="N95" s="394"/>
    </row>
    <row r="96" customFormat="false" ht="15" hidden="false" customHeight="false" outlineLevel="0" collapsed="false">
      <c r="A96" s="398"/>
      <c r="B96" s="394"/>
      <c r="C96" s="394"/>
      <c r="D96" s="394"/>
      <c r="E96" s="394"/>
      <c r="F96" s="394"/>
      <c r="G96" s="394"/>
      <c r="H96" s="394"/>
      <c r="I96" s="394"/>
      <c r="J96" s="394"/>
      <c r="K96" s="394"/>
      <c r="L96" s="394"/>
      <c r="M96" s="394"/>
      <c r="N96" s="394"/>
    </row>
    <row r="97" customFormat="false" ht="15" hidden="false" customHeight="false" outlineLevel="0" collapsed="false">
      <c r="A97" s="398"/>
      <c r="B97" s="394"/>
      <c r="C97" s="394"/>
      <c r="D97" s="394"/>
      <c r="E97" s="394"/>
      <c r="F97" s="394"/>
      <c r="G97" s="394"/>
      <c r="H97" s="394"/>
      <c r="I97" s="394"/>
      <c r="J97" s="394"/>
      <c r="K97" s="394"/>
      <c r="L97" s="394"/>
      <c r="M97" s="394"/>
      <c r="N97" s="394"/>
    </row>
    <row r="98" customFormat="false" ht="15" hidden="false" customHeight="false" outlineLevel="0" collapsed="false">
      <c r="A98" s="398"/>
      <c r="B98" s="394"/>
      <c r="C98" s="394"/>
      <c r="D98" s="394"/>
      <c r="E98" s="394"/>
      <c r="F98" s="394"/>
      <c r="G98" s="394"/>
      <c r="H98" s="394"/>
      <c r="I98" s="394"/>
      <c r="J98" s="394"/>
      <c r="K98" s="394"/>
      <c r="L98" s="394"/>
      <c r="M98" s="394"/>
      <c r="N98" s="394"/>
    </row>
    <row r="99" customFormat="false" ht="15" hidden="false" customHeight="false" outlineLevel="0" collapsed="false">
      <c r="A99" s="398"/>
      <c r="B99" s="394"/>
      <c r="C99" s="394"/>
      <c r="D99" s="394"/>
      <c r="E99" s="394"/>
      <c r="F99" s="394"/>
      <c r="G99" s="394"/>
      <c r="H99" s="394"/>
      <c r="I99" s="394"/>
      <c r="J99" s="394"/>
      <c r="K99" s="394"/>
      <c r="L99" s="394"/>
      <c r="M99" s="394"/>
      <c r="N99" s="394"/>
    </row>
    <row r="100" customFormat="false" ht="15" hidden="false" customHeight="false" outlineLevel="0" collapsed="false">
      <c r="A100" s="398"/>
      <c r="B100" s="394"/>
      <c r="C100" s="394"/>
      <c r="D100" s="394"/>
      <c r="E100" s="394"/>
      <c r="F100" s="394"/>
      <c r="G100" s="394"/>
      <c r="H100" s="394"/>
      <c r="I100" s="394"/>
      <c r="J100" s="394"/>
      <c r="K100" s="394"/>
      <c r="L100" s="394"/>
      <c r="M100" s="394"/>
      <c r="N100" s="394"/>
    </row>
    <row r="101" customFormat="false" ht="30.75" hidden="false" customHeight="true" outlineLevel="0" collapsed="false">
      <c r="A101" s="562"/>
      <c r="B101" s="562"/>
      <c r="C101" s="562"/>
      <c r="D101" s="562"/>
      <c r="E101" s="562"/>
      <c r="F101" s="562"/>
      <c r="G101" s="562"/>
      <c r="H101" s="562"/>
      <c r="I101" s="562"/>
      <c r="J101" s="562"/>
      <c r="K101" s="562"/>
      <c r="L101" s="562"/>
      <c r="M101" s="562"/>
      <c r="N101" s="562"/>
    </row>
    <row r="102" customFormat="false" ht="44.25" hidden="false" customHeight="true" outlineLevel="0" collapsed="false">
      <c r="A102" s="563"/>
      <c r="B102" s="563"/>
      <c r="C102" s="564" t="s">
        <v>463</v>
      </c>
      <c r="D102" s="564"/>
      <c r="E102" s="564"/>
      <c r="F102" s="564"/>
      <c r="G102" s="564"/>
      <c r="H102" s="564"/>
      <c r="I102" s="564"/>
      <c r="J102" s="564"/>
      <c r="K102" s="564"/>
      <c r="L102" s="564"/>
      <c r="M102" s="564"/>
      <c r="N102" s="563"/>
    </row>
  </sheetData>
  <sheetProtection algorithmName="SHA-512" hashValue="5JxKvlDLhpY37PTdfQIlbhPqx+apK6LxWLda6YoM+Cp52eZxgyC7MNQWzrTOODOEqhdpTfvFh88TAWuCL0aWmA==" saltValue="zxoUuq29PUVelY9OdK8rrg==" spinCount="100000" sheet="true" objects="true" scenarios="true"/>
  <mergeCells count="15">
    <mergeCell ref="A1:N1"/>
    <mergeCell ref="E3:L3"/>
    <mergeCell ref="E5:L5"/>
    <mergeCell ref="E7:L7"/>
    <mergeCell ref="E9:L9"/>
    <mergeCell ref="C65:M65"/>
    <mergeCell ref="C67:C68"/>
    <mergeCell ref="E67:E68"/>
    <mergeCell ref="G67:G68"/>
    <mergeCell ref="I67:I68"/>
    <mergeCell ref="K67:K68"/>
    <mergeCell ref="M67:M68"/>
    <mergeCell ref="P67:P68"/>
    <mergeCell ref="R67:R68"/>
    <mergeCell ref="C102:M102"/>
  </mergeCells>
  <conditionalFormatting sqref="E20:G28 P26">
    <cfRule type="dataBar" priority="2">
      <dataBar showValue="1" minLength="10" maxLength="90">
        <cfvo type="min" val="0"/>
        <cfvo type="max" val="0"/>
        <color rgb="FFA3EDC8"/>
      </dataBar>
      <extLst>
        <ext xmlns:x14="http://schemas.microsoft.com/office/spreadsheetml/2009/9/main" uri="{B025F937-C7B1-47D3-B67F-A62EFF666E3E}">
          <x14:id>{7123C189-E395-425B-BC19-84F0233DC4C9}</x14:id>
        </ext>
      </extLst>
    </cfRule>
  </conditionalFormatting>
  <conditionalFormatting sqref="P26">
    <cfRule type="dataBar" priority="3">
      <dataBar showValue="1" minLength="10" maxLength="90">
        <cfvo type="min" val="0"/>
        <cfvo type="percentile" val="100"/>
        <color rgb="FF99EBC2"/>
      </dataBar>
      <extLst>
        <ext xmlns:x14="http://schemas.microsoft.com/office/spreadsheetml/2009/9/main" uri="{B025F937-C7B1-47D3-B67F-A62EFF666E3E}">
          <x14:id>{F7578F27-4161-4539-A95D-A3E5D958CFA5}</x14:id>
        </ext>
      </extLst>
    </cfRule>
  </conditionalFormatting>
  <conditionalFormatting sqref="E31:G39 P39">
    <cfRule type="dataBar" priority="4">
      <dataBar showValue="1" minLength="10" maxLength="90">
        <cfvo type="min" val="0"/>
        <cfvo type="max" val="0"/>
        <color rgb="FFAFE1BA"/>
      </dataBar>
      <extLst>
        <ext xmlns:x14="http://schemas.microsoft.com/office/spreadsheetml/2009/9/main" uri="{B025F937-C7B1-47D3-B67F-A62EFF666E3E}">
          <x14:id>{7F3180FC-3D4F-4BAD-9A27-74545E2CAF71}</x14:id>
        </ext>
      </extLst>
    </cfRule>
  </conditionalFormatting>
  <conditionalFormatting sqref="P39">
    <cfRule type="dataBar" priority="5">
      <dataBar showValue="1" minLength="10" maxLength="90">
        <cfvo type="min" val="0"/>
        <cfvo type="max" val="0"/>
        <color rgb="FF99EBC2"/>
      </dataBar>
      <extLst>
        <ext xmlns:x14="http://schemas.microsoft.com/office/spreadsheetml/2009/9/main" uri="{B025F937-C7B1-47D3-B67F-A62EFF666E3E}">
          <x14:id>{1F865E66-1187-4C60-B95F-2675D6DAE11E}</x14:id>
        </ext>
      </extLst>
    </cfRule>
  </conditionalFormatting>
  <conditionalFormatting sqref="P39">
    <cfRule type="dataBar" priority="6">
      <dataBar showValue="1" minLength="10" maxLength="90">
        <cfvo type="min" val="0"/>
        <cfvo type="percentile" val="100"/>
        <color rgb="FF99EBC2"/>
      </dataBar>
      <extLst>
        <ext xmlns:x14="http://schemas.microsoft.com/office/spreadsheetml/2009/9/main" uri="{B025F937-C7B1-47D3-B67F-A62EFF666E3E}">
          <x14:id>{2BEEFFC0-1272-41AD-BA45-D6EBBC4A6AC7}</x14:id>
        </ext>
      </extLst>
    </cfRule>
  </conditionalFormatting>
  <conditionalFormatting sqref="P48">
    <cfRule type="dataBar" priority="7">
      <dataBar showValue="1" minLength="10" maxLength="90">
        <cfvo type="min" val="0"/>
        <cfvo type="max" val="0"/>
        <color rgb="FF99EBC2"/>
      </dataBar>
      <extLst>
        <ext xmlns:x14="http://schemas.microsoft.com/office/spreadsheetml/2009/9/main" uri="{B025F937-C7B1-47D3-B67F-A62EFF666E3E}">
          <x14:id>{39E8C364-7B1F-4FA6-B92F-1736EEB09EA1}</x14:id>
        </ext>
      </extLst>
    </cfRule>
  </conditionalFormatting>
  <conditionalFormatting sqref="P48">
    <cfRule type="dataBar" priority="8">
      <dataBar showValue="1" minLength="10" maxLength="90">
        <cfvo type="min" val="0"/>
        <cfvo type="percentile" val="100"/>
        <color rgb="FF99EBC2"/>
      </dataBar>
      <extLst>
        <ext xmlns:x14="http://schemas.microsoft.com/office/spreadsheetml/2009/9/main" uri="{B025F937-C7B1-47D3-B67F-A62EFF666E3E}">
          <x14:id>{A1DED91D-221D-4B99-A78F-80AB7B809B39}</x14:id>
        </ext>
      </extLst>
    </cfRule>
  </conditionalFormatting>
  <conditionalFormatting sqref="P63:P65">
    <cfRule type="dataBar" priority="9">
      <dataBar showValue="1" minLength="10" maxLength="90">
        <cfvo type="min" val="0"/>
        <cfvo type="max" val="0"/>
        <color rgb="FF99EBC2"/>
      </dataBar>
      <extLst>
        <ext xmlns:x14="http://schemas.microsoft.com/office/spreadsheetml/2009/9/main" uri="{B025F937-C7B1-47D3-B67F-A62EFF666E3E}">
          <x14:id>{48603178-F3E0-46FA-BE2F-3627F8DD969C}</x14:id>
        </ext>
      </extLst>
    </cfRule>
  </conditionalFormatting>
  <conditionalFormatting sqref="P63:P65">
    <cfRule type="dataBar" priority="10">
      <dataBar showValue="1" minLength="10" maxLength="90">
        <cfvo type="min" val="0"/>
        <cfvo type="percentile" val="100"/>
        <color rgb="FF99EBC2"/>
      </dataBar>
      <extLst>
        <ext xmlns:x14="http://schemas.microsoft.com/office/spreadsheetml/2009/9/main" uri="{B025F937-C7B1-47D3-B67F-A62EFF666E3E}">
          <x14:id>{60ACBF2C-9099-40C8-8EAC-D9D085533AB7}</x14:id>
        </ext>
      </extLst>
    </cfRule>
  </conditionalFormatting>
  <conditionalFormatting sqref="E15 P26 G15 G17 E17">
    <cfRule type="dataBar" priority="11">
      <dataBar showValue="1" minLength="10" maxLength="90">
        <cfvo type="min" val="0"/>
        <cfvo type="max" val="0"/>
        <color rgb="FFA7E9C5"/>
      </dataBar>
      <extLst>
        <ext xmlns:x14="http://schemas.microsoft.com/office/spreadsheetml/2009/9/main" uri="{B025F937-C7B1-47D3-B67F-A62EFF666E3E}">
          <x14:id>{E79E16C5-EA4B-4242-A6F7-44BB373A4292}</x14:id>
        </ext>
      </extLst>
    </cfRule>
  </conditionalFormatting>
  <conditionalFormatting sqref="C45">
    <cfRule type="dataBar" priority="12">
      <dataBar showValue="1" minLength="10" maxLength="90">
        <cfvo type="min" val="0"/>
        <cfvo type="max" val="0"/>
        <color rgb="FFDBEAC8"/>
      </dataBar>
      <extLst>
        <ext xmlns:x14="http://schemas.microsoft.com/office/spreadsheetml/2009/9/main" uri="{B025F937-C7B1-47D3-B67F-A62EFF666E3E}">
          <x14:id>{39389F9A-539B-4AE3-9220-F2D8EBD1318D}</x14:id>
        </ext>
      </extLst>
    </cfRule>
  </conditionalFormatting>
  <conditionalFormatting sqref="E42:G48 P48">
    <cfRule type="dataBar" priority="13">
      <dataBar showValue="1" minLength="10" maxLength="90">
        <cfvo type="min" val="0"/>
        <cfvo type="max" val="0"/>
        <color rgb="FFCAE1AF"/>
      </dataBar>
      <extLst>
        <ext xmlns:x14="http://schemas.microsoft.com/office/spreadsheetml/2009/9/main" uri="{B025F937-C7B1-47D3-B67F-A62EFF666E3E}">
          <x14:id>{5E213614-D0F6-46D2-9211-E6D396E06AE2}</x14:id>
        </ext>
      </extLst>
    </cfRule>
  </conditionalFormatting>
  <conditionalFormatting sqref="H22">
    <cfRule type="dataBar" priority="14">
      <dataBar showValue="1" minLength="10" maxLength="90">
        <cfvo type="min" val="0"/>
        <cfvo type="max" val="0"/>
        <color rgb="FFA3EDC8"/>
      </dataBar>
      <extLst>
        <ext xmlns:x14="http://schemas.microsoft.com/office/spreadsheetml/2009/9/main" uri="{B025F937-C7B1-47D3-B67F-A62EFF666E3E}">
          <x14:id>{10C64C3F-2FAD-43BE-A293-3C3D64D077FC}</x14:id>
        </ext>
      </extLst>
    </cfRule>
  </conditionalFormatting>
  <conditionalFormatting sqref="E51:G64 C65 P57">
    <cfRule type="dataBar" priority="15">
      <dataBar showValue="1" minLength="10" maxLength="90">
        <cfvo type="min" val="0"/>
        <cfvo type="max" val="0"/>
        <color rgb="FFFDEADA"/>
      </dataBar>
      <extLst>
        <ext xmlns:x14="http://schemas.microsoft.com/office/spreadsheetml/2009/9/main" uri="{B025F937-C7B1-47D3-B67F-A62EFF666E3E}">
          <x14:id>{2886EDBB-1A34-41C7-B4C9-404AFE67C44A}</x14:id>
        </ext>
      </extLst>
    </cfRule>
  </conditionalFormatting>
  <conditionalFormatting sqref="F68">
    <cfRule type="dataBar" priority="16">
      <dataBar showValue="1" minLength="10" maxLength="90">
        <cfvo type="min" val="0"/>
        <cfvo type="max" val="0"/>
        <color rgb="FFFDEADA"/>
      </dataBar>
      <extLst>
        <ext xmlns:x14="http://schemas.microsoft.com/office/spreadsheetml/2009/9/main" uri="{B025F937-C7B1-47D3-B67F-A62EFF666E3E}">
          <x14:id>{6154FB38-4700-498A-9C23-D612A0EC4AEE}</x14:id>
        </ext>
      </extLst>
    </cfRule>
  </conditionalFormatting>
  <conditionalFormatting sqref="E67 P67">
    <cfRule type="dataBar" priority="17">
      <dataBar showValue="1" minLength="10" maxLength="90">
        <cfvo type="min" val="0"/>
        <cfvo type="max" val="0"/>
        <color rgb="FFF2F2F2"/>
      </dataBar>
      <extLst>
        <ext xmlns:x14="http://schemas.microsoft.com/office/spreadsheetml/2009/9/main" uri="{B025F937-C7B1-47D3-B67F-A62EFF666E3E}">
          <x14:id>{C01630A8-5F8A-4BF2-B252-423B18AD9E66}</x14:id>
        </ext>
      </extLst>
    </cfRule>
  </conditionalFormatting>
  <conditionalFormatting sqref="P67 G67">
    <cfRule type="dataBar" priority="18">
      <dataBar showValue="1" minLength="10" maxLength="90">
        <cfvo type="min" val="0"/>
        <cfvo type="max" val="0"/>
        <color rgb="FFF2F2F2"/>
      </dataBar>
      <extLst>
        <ext xmlns:x14="http://schemas.microsoft.com/office/spreadsheetml/2009/9/main" uri="{B025F937-C7B1-47D3-B67F-A62EFF666E3E}">
          <x14:id>{E9128399-8444-4CD2-97EE-96A862212888}</x14:id>
        </ext>
      </extLst>
    </cfRule>
  </conditionalFormatting>
  <conditionalFormatting sqref="R67">
    <cfRule type="dataBar" priority="19">
      <dataBar showValue="1" minLength="10" maxLength="90">
        <cfvo type="min" val="0"/>
        <cfvo type="max" val="0"/>
        <color rgb="FFF2F2F2"/>
      </dataBar>
      <extLst>
        <ext xmlns:x14="http://schemas.microsoft.com/office/spreadsheetml/2009/9/main" uri="{B025F937-C7B1-47D3-B67F-A62EFF666E3E}">
          <x14:id>{97D5E96E-F9BD-431B-925F-E2F76A475B20}</x14:id>
        </ext>
      </extLst>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dataBar" id="{7123C189-E395-425B-BC19-84F0233DC4C9}">
            <x14:dataBar minLength="10" maxLength="90" axisPosition="automatic" gradient="false">
              <x14:cfvo type="autoMin"/>
              <x14:cfvo type="autoMax"/>
              <x14:negativeFillColor rgb="FFFF0000"/>
              <x14:axisColor rgb="FF000000"/>
            </x14:dataBar>
          </x14:cfRule>
          <xm:sqref>E20:G28 P26</xm:sqref>
        </x14:conditionalFormatting>
        <x14:conditionalFormatting xmlns:xm="http://schemas.microsoft.com/office/excel/2006/main">
          <x14:cfRule type="dataBar" id="{F7578F27-4161-4539-A95D-A3E5D958CFA5}">
            <x14:dataBar minLength="10" maxLength="90" axisPosition="automatic" gradient="false">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7F3180FC-3D4F-4BAD-9A27-74545E2CAF71}">
            <x14:dataBar minLength="10" maxLength="90" axisPosition="automatic" gradient="false">
              <x14:cfvo type="autoMin"/>
              <x14:cfvo type="autoMax"/>
              <x14:negativeFillColor rgb="FFFF0000"/>
              <x14:axisColor rgb="FF000000"/>
            </x14:dataBar>
          </x14:cfRule>
          <xm:sqref>E31:G39 P39</xm:sqref>
        </x14:conditionalFormatting>
        <x14:conditionalFormatting xmlns:xm="http://schemas.microsoft.com/office/excel/2006/main">
          <x14:cfRule type="dataBar" id="{1F865E66-1187-4C60-B95F-2675D6DAE11E}">
            <x14:dataBar minLength="10" maxLength="90" axisPosition="automatic" gradient="false">
              <x14:cfvo type="autoMin"/>
              <x14:cfvo type="autoMax"/>
              <x14:negativeFillColor rgb="FFFF0000"/>
              <x14:axisColor rgb="FF000000"/>
            </x14:dataBar>
          </x14:cfRule>
          <xm:sqref>P39</xm:sqref>
        </x14:conditionalFormatting>
        <x14:conditionalFormatting xmlns:xm="http://schemas.microsoft.com/office/excel/2006/main">
          <x14:cfRule type="dataBar" id="{2BEEFFC0-1272-41AD-BA45-D6EBBC4A6AC7}">
            <x14:dataBar minLength="10" maxLength="90" axisPosition="automatic" gradient="false">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39E8C364-7B1F-4FA6-B92F-1736EEB09EA1}">
            <x14:dataBar minLength="10" maxLength="90" axisPosition="automatic" gradient="false">
              <x14:cfvo type="autoMin"/>
              <x14:cfvo type="autoMax"/>
              <x14:negativeFillColor rgb="FFFF0000"/>
              <x14:axisColor rgb="FF000000"/>
            </x14:dataBar>
          </x14:cfRule>
          <xm:sqref>P48</xm:sqref>
        </x14:conditionalFormatting>
        <x14:conditionalFormatting xmlns:xm="http://schemas.microsoft.com/office/excel/2006/main">
          <x14:cfRule type="dataBar" id="{A1DED91D-221D-4B99-A78F-80AB7B809B39}">
            <x14:dataBar minLength="10" maxLength="90" axisPosition="automatic" gradient="false">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48603178-F3E0-46FA-BE2F-3627F8DD969C}">
            <x14:dataBar minLength="10" maxLength="90" axisPosition="automatic" gradient="false">
              <x14:cfvo type="autoMin"/>
              <x14:cfvo type="autoMax"/>
              <x14:negativeFillColor rgb="FFFF0000"/>
              <x14:axisColor rgb="FF000000"/>
            </x14:dataBar>
          </x14:cfRule>
          <xm:sqref>P63:P65</xm:sqref>
        </x14:conditionalFormatting>
        <x14:conditionalFormatting xmlns:xm="http://schemas.microsoft.com/office/excel/2006/main">
          <x14:cfRule type="dataBar" id="{60ACBF2C-9099-40C8-8EAC-D9D085533AB7}">
            <x14:dataBar minLength="10" maxLength="90" axisPosition="automatic" gradient="false">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E79E16C5-EA4B-4242-A6F7-44BB373A4292}">
            <x14:dataBar minLength="10" maxLength="90" axisPosition="automatic" gradient="false">
              <x14:cfvo type="autoMin"/>
              <x14:cfvo type="autoMax"/>
              <x14:negativeFillColor rgb="FFFF0000"/>
              <x14:axisColor rgb="FF000000"/>
            </x14:dataBar>
          </x14:cfRule>
          <xm:sqref>E15 P26 G15 G17 E17</xm:sqref>
        </x14:conditionalFormatting>
        <x14:conditionalFormatting xmlns:xm="http://schemas.microsoft.com/office/excel/2006/main">
          <x14:cfRule type="dataBar" id="{39389F9A-539B-4AE3-9220-F2D8EBD1318D}">
            <x14:dataBar minLength="10" maxLength="90" axisPosition="automatic" gradient="false">
              <x14:cfvo type="autoMin"/>
              <x14:cfvo type="autoMax"/>
              <x14:negativeFillColor rgb="FFFF0000"/>
              <x14:axisColor rgb="FF000000"/>
            </x14:dataBar>
          </x14:cfRule>
          <xm:sqref>C45</xm:sqref>
        </x14:conditionalFormatting>
        <x14:conditionalFormatting xmlns:xm="http://schemas.microsoft.com/office/excel/2006/main">
          <x14:cfRule type="dataBar" id="{5E213614-D0F6-46D2-9211-E6D396E06AE2}">
            <x14:dataBar minLength="10" maxLength="90" axisPosition="automatic" gradient="false">
              <x14:cfvo type="autoMin"/>
              <x14:cfvo type="autoMax"/>
              <x14:negativeFillColor rgb="FFFF0000"/>
              <x14:axisColor rgb="FF000000"/>
            </x14:dataBar>
          </x14:cfRule>
          <xm:sqref>E42:G48 P48</xm:sqref>
        </x14:conditionalFormatting>
        <x14:conditionalFormatting xmlns:xm="http://schemas.microsoft.com/office/excel/2006/main">
          <x14:cfRule type="dataBar" id="{10C64C3F-2FAD-43BE-A293-3C3D64D077FC}">
            <x14:dataBar minLength="10" maxLength="90" axisPosition="automatic" gradient="false">
              <x14:cfvo type="autoMin"/>
              <x14:cfvo type="autoMax"/>
              <x14:negativeFillColor rgb="FFFF0000"/>
              <x14:axisColor rgb="FF000000"/>
            </x14:dataBar>
          </x14:cfRule>
          <xm:sqref>H22</xm:sqref>
        </x14:conditionalFormatting>
        <x14:conditionalFormatting xmlns:xm="http://schemas.microsoft.com/office/excel/2006/main">
          <x14:cfRule type="dataBar" id="{2886EDBB-1A34-41C7-B4C9-404AFE67C44A}">
            <x14:dataBar minLength="10" maxLength="90" axisPosition="automatic" gradient="false">
              <x14:cfvo type="autoMin"/>
              <x14:cfvo type="autoMax"/>
              <x14:negativeFillColor rgb="FFFF0000"/>
              <x14:axisColor rgb="FF000000"/>
            </x14:dataBar>
          </x14:cfRule>
          <xm:sqref>E51:G64 C65 P57</xm:sqref>
        </x14:conditionalFormatting>
        <x14:conditionalFormatting xmlns:xm="http://schemas.microsoft.com/office/excel/2006/main">
          <x14:cfRule type="dataBar" id="{6154FB38-4700-498A-9C23-D612A0EC4AEE}">
            <x14:dataBar minLength="10" maxLength="90" axisPosition="automatic" gradient="false">
              <x14:cfvo type="autoMin"/>
              <x14:cfvo type="autoMax"/>
              <x14:negativeFillColor rgb="FFFF0000"/>
              <x14:axisColor rgb="FF000000"/>
            </x14:dataBar>
          </x14:cfRule>
          <xm:sqref>F68</xm:sqref>
        </x14:conditionalFormatting>
        <x14:conditionalFormatting xmlns:xm="http://schemas.microsoft.com/office/excel/2006/main">
          <x14:cfRule type="dataBar" id="{C01630A8-5F8A-4BF2-B252-423B18AD9E66}">
            <x14:dataBar minLength="10" maxLength="90" axisPosition="automatic" gradient="false">
              <x14:cfvo type="autoMin"/>
              <x14:cfvo type="autoMax"/>
              <x14:negativeFillColor rgb="FFFF0000"/>
              <x14:axisColor rgb="FF000000"/>
            </x14:dataBar>
          </x14:cfRule>
          <xm:sqref>E67 P67</xm:sqref>
        </x14:conditionalFormatting>
        <x14:conditionalFormatting xmlns:xm="http://schemas.microsoft.com/office/excel/2006/main">
          <x14:cfRule type="dataBar" id="{E9128399-8444-4CD2-97EE-96A862212888}">
            <x14:dataBar minLength="10" maxLength="90" axisPosition="automatic" gradient="false">
              <x14:cfvo type="autoMin"/>
              <x14:cfvo type="autoMax"/>
              <x14:negativeFillColor rgb="FFFF0000"/>
              <x14:axisColor rgb="FF000000"/>
            </x14:dataBar>
          </x14:cfRule>
          <xm:sqref>P67 G67</xm:sqref>
        </x14:conditionalFormatting>
        <x14:conditionalFormatting xmlns:xm="http://schemas.microsoft.com/office/excel/2006/main">
          <x14:cfRule type="dataBar" id="{97D5E96E-F9BD-431B-925F-E2F76A475B20}">
            <x14:dataBar minLength="10" maxLength="90" axisPosition="automatic" gradient="false">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40" activeCellId="0" sqref="F40"/>
    </sheetView>
  </sheetViews>
  <sheetFormatPr defaultColWidth="8.6875" defaultRowHeight="15" zeroHeight="false" outlineLevelRow="0" outlineLevelCol="0"/>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8" ma:contentTypeDescription="Create a new document." ma:contentTypeScope="" ma:versionID="9a51d6a74fec5755a20b5f0c407a19e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0d537d0378e84507a5a36b537786ad64"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CC0D5EAF-5AC0-491E-ACBF-D1DBD25B23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LibreOffice/6.4.6.2$Linux_X86_64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Jade Maana</dc:creator>
  <dc:description/>
  <dc:language>ca-ES</dc:language>
  <cp:lastModifiedBy/>
  <dcterms:modified xsi:type="dcterms:W3CDTF">2021-04-13T18:46:25Z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AuthorIds_UIVersion_1024">
    <vt:lpwstr>22</vt:lpwstr>
  </property>
  <property fmtid="{D5CDD505-2E9C-101B-9397-08002B2CF9AE}" pid="4" name="AuthorIds_UIVersion_2048">
    <vt:lpwstr>14</vt:lpwstr>
  </property>
  <property fmtid="{D5CDD505-2E9C-101B-9397-08002B2CF9AE}" pid="5" name="ContentTypeId">
    <vt:lpwstr>0x01010013BCB5C12746E54CA9BC03E8B376BF68</vt:lpwstr>
  </property>
  <property fmtid="{D5CDD505-2E9C-101B-9397-08002B2CF9AE}" pid="6" name="DocSecurity">
    <vt:i4>0</vt:i4>
  </property>
  <property fmtid="{D5CDD505-2E9C-101B-9397-08002B2CF9AE}" pid="7" name="HyperlinksChanged">
    <vt:bool>0</vt:bool>
  </property>
  <property fmtid="{D5CDD505-2E9C-101B-9397-08002B2CF9AE}" pid="8" name="LinksUpToDate">
    <vt:bool>0</vt:bool>
  </property>
  <property fmtid="{D5CDD505-2E9C-101B-9397-08002B2CF9AE}" pid="9" name="ScaleCrop">
    <vt:bool>0</vt:bool>
  </property>
  <property fmtid="{D5CDD505-2E9C-101B-9397-08002B2CF9AE}" pid="10" name="ShareDoc">
    <vt:bool>0</vt:bool>
  </property>
</Properties>
</file>